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a92101a1a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e82b5fff5564dc8"/>
    <x:sheet xmlns:r="http://schemas.openxmlformats.org/officeDocument/2006/relationships" name="Commercial" sheetId="2" r:id="R4a6c0746f0e04e76"/>
    <x:sheet xmlns:r="http://schemas.openxmlformats.org/officeDocument/2006/relationships" name="Functional" sheetId="3" r:id="R72c303f5726f4693"/>
    <x:sheet xmlns:r="http://schemas.openxmlformats.org/officeDocument/2006/relationships" name="Missing TL" sheetId="4" r:id="R673402ead4fe4649"/>
    <x:sheet xmlns:r="http://schemas.openxmlformats.org/officeDocument/2006/relationships" name="Validation" sheetId="5" r:id="R90e363825c6b4f4a"/>
    <x:sheet xmlns:r="http://schemas.openxmlformats.org/officeDocument/2006/relationships" name="Metadata" sheetId="6" r:id="Rf240f6113f74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0d8cfab4d494f" /><Relationship Type="http://schemas.openxmlformats.org/officeDocument/2006/relationships/theme" Target="/xl/theme/theme1.xml" Id="R7787464b733d43e1" /><Relationship Type="http://schemas.microsoft.com/office/2022/11/relationships/FeaturePropertyBag" Target="/xl/featurePropertyBag/featurePropertyBag.xml" Id="R8f35f486b8974f09" /><Relationship Type="http://schemas.openxmlformats.org/officeDocument/2006/relationships/sharedStrings" Target="/xl/sharedStrings.xml" Id="Rf02bc6e673c44d25" /><Relationship Type="http://schemas.openxmlformats.org/officeDocument/2006/relationships/worksheet" Target="/xl/worksheets/sheet1.xml" Id="Rde82b5fff5564dc8" /><Relationship Type="http://schemas.openxmlformats.org/officeDocument/2006/relationships/worksheet" Target="/xl/worksheets/sheet2.xml" Id="R4a6c0746f0e04e76" /><Relationship Type="http://schemas.openxmlformats.org/officeDocument/2006/relationships/worksheet" Target="/xl/worksheets/sheet3.xml" Id="R72c303f5726f4693" /><Relationship Type="http://schemas.openxmlformats.org/officeDocument/2006/relationships/worksheet" Target="/xl/worksheets/sheet4.xml" Id="R673402ead4fe4649" /><Relationship Type="http://schemas.openxmlformats.org/officeDocument/2006/relationships/worksheet" Target="/xl/worksheets/sheet5.xml" Id="R90e363825c6b4f4a" /><Relationship Type="http://schemas.openxmlformats.org/officeDocument/2006/relationships/worksheet" Target="/xl/worksheets/sheet6.xml" Id="Rf240f6113f7446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77SpeciesTable" displayName="EEZ077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77CommercialTable" displayName="EEZ077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77FunctionalTable" displayName="EEZ077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77ValidationTable" displayName="EEZ07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673991d5dd41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d1f4f47f0940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4b2f738a3d41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fb0a2f29c64b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EEZ_077</x:v>
      </x:c>
      <x:c r="B2" s="24" t="str">
        <x:v>Trindade &amp; Martim Vaz Isl. (Brazil)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5291.698427671599</x:v>
      </x:c>
      <x:c r="J2" s="31" t="n">
        <x:v>4475.5729838107</x:v>
      </x:c>
      <x:c r="K2" s="31" t="n">
        <x:v>816.1254438609</x:v>
      </x:c>
      <x:c r="L2" s="31" t="n">
        <x:v>4411.6777798926</x:v>
      </x:c>
      <x:c r="M2" s="31" t="n">
        <x:v>880.020647779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1008312.3485236107</x:v>
      </x:c>
    </x:row>
    <x:row r="3" ht="18" customHeight="1">
      <x:c r="A3" s="24" t="str">
        <x:v>EEZ_077</x:v>
      </x:c>
      <x:c r="B3" s="24" t="str">
        <x:v>Trindade &amp; Martim Vaz Isl. (Brazil)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668.5938483274999</x:v>
      </x:c>
      <x:c r="J3" s="31" t="n">
        <x:v>668.5938483274999</x:v>
      </x:c>
      <x:c r="K3" s="31" t="n">
        <x:v>0</x:v>
      </x:c>
      <x:c r="L3" s="31" t="n">
        <x:v>668.5938483274999</x:v>
      </x:c>
      <x:c r="M3" s="31" t="n">
        <x:v>0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1496795.181367527</x:v>
      </x:c>
    </x:row>
    <x:row r="4" ht="18" customHeight="1">
      <x:c r="A4" s="24" t="str">
        <x:v>EEZ_077</x:v>
      </x:c>
      <x:c r="B4" s="24" t="str">
        <x:v>Trindade &amp; Martim Vaz Isl. (Brazil)</x:v>
      </x:c>
      <x:c r="C4" s="24" t="str">
        <x:v>EEZ</x:v>
      </x:c>
      <x:c r="D4" s="30" t="n">
        <x:v>2019</x:v>
      </x:c>
      <x:c r="E4" s="24" t="str">
        <x:v>Xiphias gladius</x:v>
      </x:c>
      <x:c r="F4" s="24" t="str">
        <x:v>Swordfish</x:v>
      </x:c>
      <x:c r="G4" s="24" t="str">
        <x:v>Large pelagics (&gt;=90 cm)</x:v>
      </x:c>
      <x:c r="H4" s="24" t="str">
        <x:v>Tuna &amp; billfishes</x:v>
      </x:c>
      <x:c r="I4" s="31" t="n">
        <x:v>245.8849635134</x:v>
      </x:c>
      <x:c r="J4" s="31" t="n">
        <x:v>245.8849635134</x:v>
      </x:c>
      <x:c r="K4" s="31" t="n">
        <x:v>0</x:v>
      </x:c>
      <x:c r="L4" s="31" t="n">
        <x:v>245.8849635134</x:v>
      </x:c>
      <x:c r="M4" s="31" t="n">
        <x:v>0</x:v>
      </x:c>
      <x:c r="N4" s="24" t="str">
        <x:v>xiphias gladius</x:v>
      </x:c>
      <x:c r="O4" s="32" t="n">
        <x:v>4.53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Xiphias gladius</x:v>
      </x:c>
      <x:c r="T4" s="32" t="n">
        <x:f>IF(O4="","",(1/'Metadata'!$B$5)^(O4-1))</x:f>
        <x:v>3388.4415613920273</x:v>
      </x:c>
      <x:c r="U4" s="31" t="n">
        <x:f>IF(T4="","",I4*T4)</x:f>
        <x:v>833166.8296901667</x:v>
      </x:c>
    </x:row>
    <x:row r="5" ht="18" customHeight="1">
      <x:c r="A5" s="24" t="str">
        <x:v>EEZ_077</x:v>
      </x:c>
      <x:c r="B5" s="24" t="str">
        <x:v>Trindade &amp; Martim Vaz Isl. (Brazil)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105.289175216</x:v>
      </x:c>
      <x:c r="J5" s="31" t="n">
        <x:v>105.289175216</x:v>
      </x:c>
      <x:c r="K5" s="31" t="n">
        <x:v>0</x:v>
      </x:c>
      <x:c r="L5" s="31" t="n">
        <x:v>105.289175216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325374.6572631281</x:v>
      </x:c>
    </x:row>
    <x:row r="6" ht="18" customHeight="1">
      <x:c r="A6" s="24" t="str">
        <x:v>EEZ_077</x:v>
      </x:c>
      <x:c r="B6" s="24" t="str">
        <x:v>Trindade &amp; Martim Vaz Isl. (Brazil)</x:v>
      </x:c>
      <x:c r="C6" s="24" t="str">
        <x:v>EEZ</x:v>
      </x:c>
      <x:c r="D6" s="30" t="n">
        <x:v>2019</x:v>
      </x:c>
      <x:c r="E6" s="24" t="str">
        <x:v>Marine pelagic fishes not identified</x:v>
      </x:c>
      <x:c r="F6" s="24" t="str">
        <x:v>Pelagic fishes</x:v>
      </x:c>
      <x:c r="G6" s="24" t="str">
        <x:v>Medium pelagics (30 - 89 cm)</x:v>
      </x:c>
      <x:c r="H6" s="24" t="str">
        <x:v>Other fishes &amp; inverts</x:v>
      </x:c>
      <x:c r="I6" s="31" t="n">
        <x:v>50.2614706757</x:v>
      </x:c>
      <x:c r="J6" s="31" t="n">
        <x:v>50.2614706757</x:v>
      </x:c>
      <x:c r="K6" s="31" t="n">
        <x:v>0</x:v>
      </x:c>
      <x:c r="L6" s="31" t="n">
        <x:v>50.2614706757</x:v>
      </x:c>
      <x:c r="M6" s="31" t="n">
        <x:v>0</x:v>
      </x:c>
      <x:c r="N6" s="24" t="str">
        <x:v>marine pelagic fishes not identified</x:v>
      </x:c>
      <x:c r="O6" s="32" t="n">
        <x:v>3.35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pelagic fishes not identified</x:v>
      </x:c>
      <x:c r="T6" s="32" t="n">
        <x:f>IF(O6="","",(1/'Metadata'!$B$5)^(O6-1))</x:f>
        <x:v>223.872113856834</x:v>
      </x:c>
      <x:c r="U6" s="31" t="n">
        <x:f>IF(T6="","",I6*T6)</x:f>
        <x:v>11252.141685722234</x:v>
      </x:c>
    </x:row>
    <x:row r="7" ht="18" customHeight="1">
      <x:c r="A7" s="24" t="str">
        <x:v>EEZ_077</x:v>
      </x:c>
      <x:c r="B7" s="24" t="str">
        <x:v>Trindade &amp; Martim Vaz Isl. (Brazil)</x:v>
      </x:c>
      <x:c r="C7" s="24" t="str">
        <x:v>EEZ</x:v>
      </x:c>
      <x:c r="D7" s="30" t="n">
        <x:v>2019</x:v>
      </x:c>
      <x:c r="E7" s="24" t="str">
        <x:v>Isurus oxyrinchus</x:v>
      </x:c>
      <x:c r="F7" s="24" t="str">
        <x:v>Shortfin mako</x:v>
      </x:c>
      <x:c r="G7" s="24" t="str">
        <x:v>Large sharks (&gt;=90 cm)</x:v>
      </x:c>
      <x:c r="H7" s="24" t="str">
        <x:v>Sharks &amp; rays</x:v>
      </x:c>
      <x:c r="I7" s="31" t="n">
        <x:v>29.8967221871</x:v>
      </x:c>
      <x:c r="J7" s="31" t="n">
        <x:v>29.8967221871</x:v>
      </x:c>
      <x:c r="K7" s="31" t="n">
        <x:v>0</x:v>
      </x:c>
      <x:c r="L7" s="31" t="n">
        <x:v>29.8967221871</x:v>
      </x:c>
      <x:c r="M7" s="31" t="n">
        <x:v>0</x:v>
      </x:c>
      <x:c r="N7" s="24" t="str">
        <x:v>isurus oxyrinchus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Isurus oxyrinchus</x:v>
      </x:c>
      <x:c r="T7" s="32" t="n">
        <x:f>IF(O7="","",(1/'Metadata'!$B$5)^(O7-1))</x:f>
        <x:v>3162.2776601683795</x:v>
      </x:c>
      <x:c r="U7" s="31" t="n">
        <x:f>IF(T7="","",I7*T7)</x:f>
        <x:v>94541.73668452667</x:v>
      </x:c>
    </x:row>
    <x:row r="8" ht="18" customHeight="1">
      <x:c r="A8" s="24" t="str">
        <x:v>EEZ_077</x:v>
      </x:c>
      <x:c r="B8" s="24" t="str">
        <x:v>Trindade &amp; Martim Vaz Isl. (Brazil)</x:v>
      </x:c>
      <x:c r="C8" s="24" t="str">
        <x:v>EEZ</x:v>
      </x:c>
      <x:c r="D8" s="30" t="n">
        <x:v>2019</x:v>
      </x:c>
      <x:c r="E8" s="24" t="str">
        <x:v>Coryphaena hippurus</x:v>
      </x:c>
      <x:c r="F8" s="24" t="str">
        <x:v>Common dolphinfish</x:v>
      </x:c>
      <x:c r="G8" s="24" t="str">
        <x:v>Large pelagics (&gt;=90 cm)</x:v>
      </x:c>
      <x:c r="H8" s="24" t="str">
        <x:v>Perch-likes</x:v>
      </x:c>
      <x:c r="I8" s="31" t="n">
        <x:v>29.1362065515</x:v>
      </x:c>
      <x:c r="J8" s="31" t="n">
        <x:v>29.1362065515</x:v>
      </x:c>
      <x:c r="K8" s="31" t="n">
        <x:v>0</x:v>
      </x:c>
      <x:c r="L8" s="31" t="n">
        <x:v>29.1362065515</x:v>
      </x:c>
      <x:c r="M8" s="31" t="n">
        <x:v>0</x:v>
      </x:c>
      <x:c r="N8" s="24" t="str">
        <x:v>coryphaena hippurus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Coryphaena hippurus</x:v>
      </x:c>
      <x:c r="T8" s="32" t="n">
        <x:f>IF(O8="","",(1/'Metadata'!$B$5)^(O8-1))</x:f>
        <x:v>2344.228815319923</x:v>
      </x:c>
      <x:c r="U8" s="31" t="n">
        <x:f>IF(T8="","",I8*T8)</x:f>
        <x:v>68301.93496713942</x:v>
      </x:c>
    </x:row>
    <x:row r="9" ht="18" customHeight="1">
      <x:c r="A9" s="24" t="str">
        <x:v>EEZ_077</x:v>
      </x:c>
      <x:c r="B9" s="24" t="str">
        <x:v>Trindade &amp; Martim Vaz Isl. (Brazil)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13.5720789282</x:v>
      </x:c>
      <x:c r="J9" s="31" t="n">
        <x:v>13.5720789282</x:v>
      </x:c>
      <x:c r="K9" s="31" t="n">
        <x:v>0</x:v>
      </x:c>
      <x:c r="L9" s="31" t="n">
        <x:v>13.5720789282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34885.61444045145</x:v>
      </x:c>
    </x:row>
    <x:row r="10" ht="18" customHeight="1">
      <x:c r="A10" s="24" t="str">
        <x:v>EEZ_077</x:v>
      </x:c>
      <x:c r="B10" s="24" t="str">
        <x:v>Trindade &amp; Martim Vaz Isl. (Brazil)</x:v>
      </x:c>
      <x:c r="C10" s="24" t="str">
        <x:v>EEZ</x:v>
      </x:c>
      <x:c r="D10" s="30" t="n">
        <x:v>2019</x:v>
      </x:c>
      <x:c r="E10" s="24" t="str">
        <x:v>Caranx latus</x:v>
      </x:c>
      <x:c r="F10" s="24" t="str">
        <x:v>Horse-eye jack</x:v>
      </x:c>
      <x:c r="G10" s="24" t="str">
        <x:v>Large reef assoc. fish (&gt;=90 cm)</x:v>
      </x:c>
      <x:c r="H10" s="24" t="str">
        <x:v>Perch-likes</x:v>
      </x:c>
      <x:c r="I10" s="31" t="n">
        <x:v>8.395434437000002</x:v>
      </x:c>
      <x:c r="J10" s="31" t="n">
        <x:v>8.100000000000001</x:v>
      </x:c>
      <x:c r="K10" s="31" t="n">
        <x:v>0.295434437</x:v>
      </x:c>
      <x:c r="L10" s="31" t="n">
        <x:v>0</x:v>
      </x:c>
      <x:c r="M10" s="31" t="n">
        <x:v>8.395434437000002</x:v>
      </x:c>
      <x:c r="N10" s="24" t="str">
        <x:v>caranx latus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Caranx latus</x:v>
      </x:c>
      <x:c r="T10" s="32" t="n">
        <x:f>IF(O10="","",(1/'Metadata'!$B$5)^(O10-1))</x:f>
        <x:v>1445.439770745928</x:v>
      </x:c>
      <x:c r="U10" s="31" t="n">
        <x:f>IF(T10="","",I10*T10)</x:f>
        <x:v>12135.094827929752</x:v>
      </x:c>
    </x:row>
    <x:row r="11" ht="18" customHeight="1">
      <x:c r="A11" s="24" t="str">
        <x:v>EEZ_077</x:v>
      </x:c>
      <x:c r="B11" s="24" t="str">
        <x:v>Trindade &amp; Martim Vaz Isl. (Brazil)</x:v>
      </x:c>
      <x:c r="C11" s="24" t="str">
        <x:v>EEZ</x:v>
      </x:c>
      <x:c r="D11" s="30" t="n">
        <x:v>2019</x:v>
      </x:c>
      <x:c r="E11" s="24" t="str">
        <x:v>Caranx lugubris</x:v>
      </x:c>
      <x:c r="F11" s="24" t="str">
        <x:v>Black jack</x:v>
      </x:c>
      <x:c r="G11" s="24" t="str">
        <x:v>Large benthopelagics (&gt;=90 cm)</x:v>
      </x:c>
      <x:c r="H11" s="24" t="str">
        <x:v>Perch-likes</x:v>
      </x:c>
      <x:c r="I11" s="31" t="n">
        <x:v>8.395434437000002</x:v>
      </x:c>
      <x:c r="J11" s="31" t="n">
        <x:v>8.100000000000001</x:v>
      </x:c>
      <x:c r="K11" s="31" t="n">
        <x:v>0.295434437</x:v>
      </x:c>
      <x:c r="L11" s="31" t="n">
        <x:v>0</x:v>
      </x:c>
      <x:c r="M11" s="31" t="n">
        <x:v>8.395434437000002</x:v>
      </x:c>
      <x:c r="N11" s="24" t="str">
        <x:v>caranx lugubris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Caranx lugubris</x:v>
      </x:c>
      <x:c r="T11" s="32" t="n">
        <x:f>IF(O11="","",(1/'Metadata'!$B$5)^(O11-1))</x:f>
        <x:v>3162.2776601683795</x:v>
      </x:c>
      <x:c r="U11" s="31" t="n">
        <x:f>IF(T11="","",I11*T11)</x:f>
        <x:v>26548.694767533405</x:v>
      </x:c>
    </x:row>
    <x:row r="12" ht="18" customHeight="1">
      <x:c r="A12" s="24" t="str">
        <x:v>EEZ_077</x:v>
      </x:c>
      <x:c r="B12" s="24" t="str">
        <x:v>Trindade &amp; Martim Vaz Isl. (Brazil)</x:v>
      </x:c>
      <x:c r="C12" s="24" t="str">
        <x:v>EEZ</x:v>
      </x:c>
      <x:c r="D12" s="30" t="n">
        <x:v>2019</x:v>
      </x:c>
      <x:c r="E12" s="24" t="str">
        <x:v>Carcharhinus</x:v>
      </x:c>
      <x:c r="F12" s="24" t="str">
        <x:v>Sharp-nosed sharks</x:v>
      </x:c>
      <x:c r="G12" s="24" t="str">
        <x:v>Large sharks (&gt;=90 cm)</x:v>
      </x:c>
      <x:c r="H12" s="24" t="str">
        <x:v>Sharks &amp; rays</x:v>
      </x:c>
      <x:c r="I12" s="31" t="n">
        <x:v>8.395434437000002</x:v>
      </x:c>
      <x:c r="J12" s="31" t="n">
        <x:v>8.100000000000001</x:v>
      </x:c>
      <x:c r="K12" s="31" t="n">
        <x:v>0.295434437</x:v>
      </x:c>
      <x:c r="L12" s="31" t="n">
        <x:v>0</x:v>
      </x:c>
      <x:c r="M12" s="31" t="n">
        <x:v>8.395434437000002</x:v>
      </x:c>
      <x:c r="N12" s="24" t="str">
        <x:v>carcharhinus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Carcharhinus</x:v>
      </x:c>
      <x:c r="T12" s="32" t="n">
        <x:f>IF(O12="","",(1/'Metadata'!$B$5)^(O12-1))</x:f>
        <x:v>1819.7008586099826</x:v>
      </x:c>
      <x:c r="U12" s="31" t="n">
        <x:f>IF(T12="","",I12*T12)</x:f>
        <x:v>15277.17925341272</x:v>
      </x:c>
    </x:row>
    <x:row r="13" ht="18" customHeight="1">
      <x:c r="A13" s="24" t="str">
        <x:v>EEZ_077</x:v>
      </x:c>
      <x:c r="B13" s="24" t="str">
        <x:v>Trindade &amp; Martim Vaz Isl. (Brazil)</x:v>
      </x:c>
      <x:c r="C13" s="24" t="str">
        <x:v>EEZ</x:v>
      </x:c>
      <x:c r="D13" s="30" t="n">
        <x:v>2019</x:v>
      </x:c>
      <x:c r="E13" s="24" t="str">
        <x:v>Kajikia albida</x:v>
      </x:c>
      <x:c r="F13" s="24" t="str">
        <x:v>Atlantic white marlin</x:v>
      </x:c>
      <x:c r="G13" s="24" t="str">
        <x:v>Large pelagics (&gt;=90 cm)</x:v>
      </x:c>
      <x:c r="H13" s="24" t="str">
        <x:v>Tuna &amp; billfishes</x:v>
      </x:c>
      <x:c r="I13" s="31" t="n">
        <x:v>6.6000166672</x:v>
      </x:c>
      <x:c r="J13" s="31" t="n">
        <x:v>6.6000166672</x:v>
      </x:c>
      <x:c r="K13" s="31" t="n">
        <x:v>0</x:v>
      </x:c>
      <x:c r="L13" s="31" t="n">
        <x:v>6.6000166672</x:v>
      </x:c>
      <x:c r="M13" s="31" t="n">
        <x:v>0</x:v>
      </x:c>
      <x:c r="N13" s="24" t="str">
        <x:v>kajikia albida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Kajikia albida</x:v>
      </x:c>
      <x:c r="T13" s="32" t="n">
        <x:f>IF(O13="","",(1/'Metadata'!$B$5)^(O13-1))</x:f>
        <x:v>3090.295432513592</x:v>
      </x:c>
      <x:c r="U13" s="31" t="n">
        <x:f>IF(T13="","",I13*T13)</x:f>
        <x:v>20396.00136116174</x:v>
      </x:c>
    </x:row>
    <x:row r="14" ht="18" customHeight="1">
      <x:c r="A14" s="24" t="str">
        <x:v>EEZ_077</x:v>
      </x:c>
      <x:c r="B14" s="24" t="str">
        <x:v>Trindade &amp; Martim Vaz Isl. (Brazil)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1.839834437</x:v>
      </x:c>
      <x:c r="J14" s="31" t="n">
        <x:v>1.5444</x:v>
      </x:c>
      <x:c r="K14" s="31" t="n">
        <x:v>0.295434437</x:v>
      </x:c>
      <x:c r="L14" s="31" t="n">
        <x:v>0</x:v>
      </x:c>
      <x:c r="M14" s="31" t="n">
        <x:v>1.839834437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3347.948304709114</x:v>
      </x:c>
    </x:row>
    <x:row r="15" ht="18" customHeight="1">
      <x:c r="A15" s="24" t="str">
        <x:v>EEZ_077</x:v>
      </x:c>
      <x:c r="B15" s="24" t="str">
        <x:v>Trindade &amp; Martim Vaz Isl. (Brazil)</x:v>
      </x:c>
      <x:c r="C15" s="24" t="str">
        <x:v>EEZ</x:v>
      </x:c>
      <x:c r="D15" s="30" t="n">
        <x:v>2019</x:v>
      </x:c>
      <x:c r="E15" s="24" t="str">
        <x:v>Makaira nigricans</x:v>
      </x:c>
      <x:c r="F15" s="24" t="str">
        <x:v>Blue marlin</x:v>
      </x:c>
      <x:c r="G15" s="24" t="str">
        <x:v>Large pelagics (&gt;=90 cm)</x:v>
      </x:c>
      <x:c r="H15" s="24" t="str">
        <x:v>Tuna &amp; billfishes</x:v>
      </x:c>
      <x:c r="I15" s="31" t="n">
        <x:v>1.7168739904</x:v>
      </x:c>
      <x:c r="J15" s="31" t="n">
        <x:v>1.7168739904</x:v>
      </x:c>
      <x:c r="K15" s="31" t="n">
        <x:v>0</x:v>
      </x:c>
      <x:c r="L15" s="31" t="n">
        <x:v>1.7168739904</x:v>
      </x:c>
      <x:c r="M15" s="31" t="n">
        <x:v>0</x:v>
      </x:c>
      <x:c r="N15" s="24" t="str">
        <x:v>makaira nigricans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Makaira nigricans</x:v>
      </x:c>
      <x:c r="T15" s="32" t="n">
        <x:f>IF(O15="","",(1/'Metadata'!$B$5)^(O15-1))</x:f>
        <x:v>3090.295432513592</x:v>
      </x:c>
      <x:c r="U15" s="31" t="n">
        <x:f>IF(T15="","",I15*T15)</x:f>
        <x:v>5305.647850734505</x:v>
      </x:c>
    </x:row>
    <x:row r="16" ht="18" customHeight="1">
      <x:c r="A16" s="24" t="str">
        <x:v>EEZ_077</x:v>
      </x:c>
      <x:c r="B16" s="24" t="str">
        <x:v>Trindade &amp; Martim Vaz Isl. (Brazil)</x:v>
      </x:c>
      <x:c r="C16" s="24" t="str">
        <x:v>EEZ</x:v>
      </x:c>
      <x:c r="D16" s="30" t="n">
        <x:v>2019</x:v>
      </x:c>
      <x:c r="E16" s="24" t="str">
        <x:v>Acanthocybium solandri</x:v>
      </x:c>
      <x:c r="F16" s="24" t="str">
        <x:v>Wahoo</x:v>
      </x:c>
      <x:c r="G16" s="24" t="str">
        <x:v>Large pelagics (&gt;=90 cm)</x:v>
      </x:c>
      <x:c r="H16" s="24" t="str">
        <x:v>Perch-likes</x:v>
      </x:c>
      <x:c r="I16" s="31" t="n">
        <x:v>1.3014087856</x:v>
      </x:c>
      <x:c r="J16" s="31" t="n">
        <x:v>1.3014087856</x:v>
      </x:c>
      <x:c r="K16" s="31" t="n">
        <x:v>0</x:v>
      </x:c>
      <x:c r="L16" s="31" t="n">
        <x:v>1.3014087856</x:v>
      </x:c>
      <x:c r="M16" s="31" t="n">
        <x:v>0</x:v>
      </x:c>
      <x:c r="N16" s="24" t="str">
        <x:v>acanthocybium solandri</x:v>
      </x:c>
      <x:c r="O16" s="32" t="n">
        <x:v>4.26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Acanthocybium solandri</x:v>
      </x:c>
      <x:c r="T16" s="32" t="n">
        <x:f>IF(O16="","",(1/'Metadata'!$B$5)^(O16-1))</x:f>
        <x:v>1819.7008586099826</x:v>
      </x:c>
      <x:c r="U16" s="31" t="n">
        <x:f>IF(T16="","",I16*T16)</x:f>
        <x:v>2368.174684558895</x:v>
      </x:c>
    </x:row>
    <x:row r="17" ht="18" customHeight="1">
      <x:c r="A17" s="24" t="str">
        <x:v>EEZ_077</x:v>
      </x:c>
      <x:c r="B17" s="24" t="str">
        <x:v>Trindade &amp; Martim Vaz Isl. (Brazil)</x:v>
      </x:c>
      <x:c r="C17" s="24" t="str">
        <x:v>EEZ</x:v>
      </x:c>
      <x:c r="D17" s="30" t="n">
        <x:v>2019</x:v>
      </x:c>
      <x:c r="E17" s="24" t="str">
        <x:v>Thunnus alalunga</x:v>
      </x:c>
      <x:c r="F17" s="24" t="str">
        <x:v>Albacore</x:v>
      </x:c>
      <x:c r="G17" s="24" t="str">
        <x:v>Large pelagics (&gt;=90 cm)</x:v>
      </x:c>
      <x:c r="H17" s="24" t="str">
        <x:v>Tuna &amp; billfishes</x:v>
      </x:c>
      <x:c r="I17" s="31" t="n">
        <x:v>0.8777679915</x:v>
      </x:c>
      <x:c r="J17" s="31" t="n">
        <x:v>0.8777679915</x:v>
      </x:c>
      <x:c r="K17" s="31" t="n">
        <x:v>0</x:v>
      </x:c>
      <x:c r="L17" s="31" t="n">
        <x:v>0.8777679915</x:v>
      </x:c>
      <x:c r="M17" s="31" t="n">
        <x:v>0</x:v>
      </x:c>
      <x:c r="N17" s="24" t="str">
        <x:v>thunnus alalunga</x:v>
      </x:c>
      <x:c r="O17" s="32" t="n">
        <x:v>4.3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alalunga</x:v>
      </x:c>
      <x:c r="T17" s="32" t="n">
        <x:f>IF(O17="","",(1/'Metadata'!$B$5)^(O17-1))</x:f>
        <x:v>1995.2623149688789</x:v>
      </x:c>
      <x:c r="U17" s="31" t="n">
        <x:f>IF(T17="","",I17*T17)</x:f>
        <x:v>1751.377394725873</x:v>
      </x:c>
    </x:row>
    <x:row r="18" ht="18" customHeight="1">
      <x:c r="A18" s="24" t="str">
        <x:v>EEZ_077</x:v>
      </x:c>
      <x:c r="B18" s="24" t="str">
        <x:v>Trindade &amp; Martim Vaz Isl. (Brazil)</x:v>
      </x:c>
      <x:c r="C18" s="24" t="str">
        <x:v>EEZ</x:v>
      </x:c>
      <x:c r="D18" s="30" t="n">
        <x:v>2019</x:v>
      </x:c>
      <x:c r="E18" s="24" t="str">
        <x:v>Sarda sarda</x:v>
      </x:c>
      <x:c r="F18" s="24" t="str">
        <x:v>Atlantic bonito</x:v>
      </x:c>
      <x:c r="G18" s="24" t="str">
        <x:v>Medium pelagics (30 - 89 cm)</x:v>
      </x:c>
      <x:c r="H18" s="24" t="str">
        <x:v>Tuna &amp; billfishes</x:v>
      </x:c>
      <x:c r="I18" s="31" t="n">
        <x:v>0.0065224608</x:v>
      </x:c>
      <x:c r="J18" s="31" t="n">
        <x:v>0.0065224608</x:v>
      </x:c>
      <x:c r="K18" s="31" t="n">
        <x:v>0</x:v>
      </x:c>
      <x:c r="L18" s="31" t="n">
        <x:v>0.0065224608</x:v>
      </x:c>
      <x:c r="M18" s="31" t="n">
        <x:v>0</x:v>
      </x:c>
      <x:c r="N18" s="24" t="str">
        <x:v>sarda sarda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Sarda sarda</x:v>
      </x:c>
      <x:c r="T18" s="32" t="n">
        <x:f>IF(O18="","",(1/'Metadata'!$B$5)^(O18-1))</x:f>
        <x:v>3162.2776601683795</x:v>
      </x:c>
      <x:c r="U18" s="31" t="n">
        <x:f>IF(T18="","",I18*T18)</x:f>
        <x:v>20.625832077163977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a673991d5dd41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5341.9598983473</x:v>
      </x:c>
      <x:c r="C2" s="32" t="n">
        <x:v>3.280658616502978</x:v>
      </x:c>
      <x:c r="D2" s="32" t="n">
        <x:f>IF(C2="","",(1/'Metadata'!$B$5)^(C2-1))</x:f>
        <x:v>190.8352580513796</x:v>
      </x:c>
      <x:c r="E2" s="31" t="n">
        <x:f>IF(B2=0,"",B2*D2)</x:f>
        <x:v>1019434.2957012285</x:v>
      </x:c>
    </x:row>
    <x:row r="3" ht="18" customHeight="1">
      <x:c r="A3" s="24" t="str">
        <x:v>Perch-likes</x:v>
      </x:c>
      <x:c r="B3" s="31" t="n">
        <x:v>49.06831864810001</x:v>
      </x:c>
      <x:c r="C3" s="32" t="n">
        <x:v>4.349270300318606</x:v>
      </x:c>
      <x:c r="D3" s="32" t="n">
        <x:f>IF(C3="","",(1/'Metadata'!$B$5)^(C3-1))</x:f>
        <x:v>2234.9628073920585</x:v>
      </x:c>
      <x:c r="E3" s="31" t="n">
        <x:f>IF(B3=0,"",B3*D3)</x:f>
        <x:v>109665.8671997657</x:v>
      </x:c>
    </x:row>
    <x:row r="4" ht="18" customHeight="1">
      <x:c r="A4" s="24" t="str">
        <x:v>Sharks &amp; rays</x:v>
      </x:c>
      <x:c r="B4" s="31" t="n">
        <x:v>706.8860049515998</x:v>
      </x:c>
      <x:c r="C4" s="32" t="n">
        <x:v>4.3552751351740095</x:v>
      </x:c>
      <x:c r="D4" s="32" t="n">
        <x:f>IF(C4="","",(1/'Metadata'!$B$5)^(C4-1))</x:f>
        <x:v>2266.0794644781563</x:v>
      </x:c>
      <x:c r="E4" s="31" t="n">
        <x:f>IF(B4=0,"",B4*D4)</x:f>
        <x:v>1601859.8595478246</x:v>
      </x:c>
    </x:row>
    <x:row r="5" ht="18" customHeight="1">
      <x:c r="A5" s="24" t="str">
        <x:v>Tuna &amp; billfishes</x:v>
      </x:c>
      <x:c r="B5" s="31" t="n">
        <x:v>373.94739876750003</x:v>
      </x:c>
      <x:c r="C5" s="32" t="n">
        <x:v>4.512952216169418</x:v>
      </x:c>
      <x:c r="D5" s="32" t="n">
        <x:f>IF(C5="","",(1/'Metadata'!$B$5)^(C5-1))</x:f>
        <x:v>3258.0085235585193</x:v>
      </x:c>
      <x:c r="E5" s="31" t="n">
        <x:f>IF(B5=0,"",B5*D5)</x:f>
        <x:v>1218323.8125470516</x:v>
      </x:c>
    </x:row>
  </x:sheetData>
  <x:pageMargins left="0.7" right="0.7" top="0.75" bottom="0.75" header="0.3" footer="0.3"/>
  <x:tableParts count="1">
    <x:tablePart xmlns:r="http://schemas.openxmlformats.org/officeDocument/2006/relationships" r:id="R31d1f4f47f0940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8.395434437000002</x:v>
      </x:c>
      <x:c r="C2" s="32" t="n">
        <x:v>4.5</x:v>
      </x:c>
      <x:c r="D2" s="32" t="n">
        <x:f>IF(C2="","",(1/'Metadata'!$B$5)^(C2-1))</x:f>
        <x:v>3162.2776601683795</x:v>
      </x:c>
      <x:c r="E2" s="31" t="n">
        <x:f>IF(B2=0,"",B2*D2)</x:f>
        <x:v>26548.694767533405</x:v>
      </x:c>
    </x:row>
    <x:row r="3" ht="18" customHeight="1">
      <x:c r="A3" s="24" t="str">
        <x:v>Large pelagics (&gt;=90 cm)</x:v>
      </x:c>
      <x:c r="B3" s="31" t="n">
        <x:v>404.37849164380003</x:v>
      </x:c>
      <x:c r="C3" s="32" t="n">
        <x:v>4.501838383098881</x:v>
      </x:c>
      <x:c r="D3" s="32" t="n">
        <x:f>IF(C3="","",(1/'Metadata'!$B$5)^(C3-1))</x:f>
        <x:v>3175.692059269239</x:v>
      </x:c>
      <x:c r="E3" s="31" t="n">
        <x:f>IF(B3=0,"",B3*D3)</x:f>
        <x:v>1284181.564852488</x:v>
      </x:c>
    </x:row>
    <x:row r="4" ht="18" customHeight="1">
      <x:c r="A4" s="24" t="str">
        <x:v>Large reef assoc. fish (&gt;=90 cm)</x:v>
      </x:c>
      <x:c r="B4" s="31" t="n">
        <x:v>8.395434437000002</x:v>
      </x:c>
      <x:c r="C4" s="32" t="n">
        <x:v>4.16</x:v>
      </x:c>
      <x:c r="D4" s="32" t="n">
        <x:f>IF(C4="","",(1/'Metadata'!$B$5)^(C4-1))</x:f>
        <x:v>1445.439770745928</x:v>
      </x:c>
      <x:c r="E4" s="31" t="n">
        <x:f>IF(B4=0,"",B4*D4)</x:f>
        <x:v>12135.094827929752</x:v>
      </x:c>
    </x:row>
    <x:row r="5" ht="18" customHeight="1">
      <x:c r="A5" s="24" t="str">
        <x:v>Large sharks (&gt;=90 cm)</x:v>
      </x:c>
      <x:c r="B5" s="31" t="n">
        <x:v>706.8860049515998</x:v>
      </x:c>
      <x:c r="C5" s="32" t="n">
        <x:v>4.3552751351740095</x:v>
      </x:c>
      <x:c r="D5" s="32" t="n">
        <x:f>IF(C5="","",(1/'Metadata'!$B$5)^(C5-1))</x:f>
        <x:v>2266.0794644781563</x:v>
      </x:c>
      <x:c r="E5" s="31" t="n">
        <x:f>IF(B5=0,"",B5*D5)</x:f>
        <x:v>1601859.8595478246</x:v>
      </x:c>
    </x:row>
    <x:row r="6" ht="18" customHeight="1">
      <x:c r="A6" s="24" t="str">
        <x:v>Medium demersals (30 - 89 cm)</x:v>
      </x:c>
      <x:c r="B6" s="31" t="n">
        <x:v>5291.698427671599</x:v>
      </x:c>
      <x:c r="C6" s="32" t="n">
        <x:v>3.28</x:v>
      </x:c>
      <x:c r="D6" s="32" t="n">
        <x:f>IF(C6="","",(1/'Metadata'!$B$5)^(C6-1))</x:f>
        <x:v>190.54607179632464</x:v>
      </x:c>
      <x:c r="E6" s="31" t="n">
        <x:f>IF(B6=0,"",B6*D6)</x:f>
        <x:v>1008312.3485236107</x:v>
      </x:c>
    </x:row>
    <x:row r="7" ht="18" customHeight="1">
      <x:c r="A7" s="24" t="str">
        <x:v>Medium pelagics (30 - 89 cm)</x:v>
      </x:c>
      <x:c r="B7" s="31" t="n">
        <x:v>52.107827573499996</x:v>
      </x:c>
      <x:c r="C7" s="32" t="n">
        <x:v>3.3822744248974463</x:v>
      </x:c>
      <x:c r="D7" s="32" t="n">
        <x:f>IF(C7="","",(1/'Metadata'!$B$5)^(C7-1))</x:f>
        <x:v>241.1428697038042</x:v>
      </x:c>
      <x:c r="E7" s="31" t="n">
        <x:f>IF(B7=0,"",B7*D7)</x:f>
        <x:v>12565.431075104805</x:v>
      </x:c>
    </x:row>
  </x:sheetData>
  <x:pageMargins left="0.7" right="0.7" top="0.75" bottom="0.75" header="0.3" footer="0.3"/>
  <x:tableParts count="1">
    <x:tablePart xmlns:r="http://schemas.openxmlformats.org/officeDocument/2006/relationships" r:id="R414b2f738a3d410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EEZ_077</x:v>
      </x:c>
      <x:c r="B2" s="24" t="str">
        <x:v>raw_filtered_tonnes</x:v>
      </x:c>
      <x:c r="C2" s="24" t="n">
        <x:v>6471.8616207145005</x:v>
      </x:c>
      <x:c r="D2" s="24" t="str">
        <x:v>tonnes</x:v>
      </x:c>
    </x:row>
    <x:row r="3" ht="18" customHeight="1">
      <x:c r="A3" s="24" t="str">
        <x:v>EEZ_077</x:v>
      </x:c>
      <x:c r="B3" s="24" t="str">
        <x:v>species_catch_tonnes</x:v>
      </x:c>
      <x:c r="C3" s="24" t="n">
        <x:v>6471.8616207145</x:v>
      </x:c>
      <x:c r="D3" s="24" t="str">
        <x:v>tonnes</x:v>
      </x:c>
    </x:row>
    <x:row r="4" ht="18" customHeight="1">
      <x:c r="A4" s="24" t="str">
        <x:v>EEZ_077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EEZ_077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EEZ_077</x:v>
      </x:c>
      <x:c r="B6" s="24" t="str">
        <x:v>matched_catch_tonnes</x:v>
      </x:c>
      <x:c r="C6" s="24" t="n">
        <x:v>6471.8616207145</x:v>
      </x:c>
      <x:c r="D6" s="24" t="str">
        <x:v>tonnes</x:v>
      </x:c>
    </x:row>
    <x:row r="7" ht="18" customHeight="1">
      <x:c r="A7" s="24" t="str">
        <x:v>EEZ_077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EEZ_077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EEZ_077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EEZ_077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EEZ_077</x:v>
      </x:c>
      <x:c r="B11" s="24" t="str">
        <x:v>species_ppr</x:v>
      </x:c>
      <x:c r="C11" s="24" t="n">
        <x:v>3959781.188899115</x:v>
      </x:c>
      <x:c r="D11" s="24" t="str">
        <x:v>tonnes_primary_production_equivalent</x:v>
      </x:c>
    </x:row>
    <x:row r="12" ht="18" customHeight="1">
      <x:c r="A12" s="24" t="str">
        <x:v>EEZ_077</x:v>
      </x:c>
      <x:c r="B12" s="24" t="str">
        <x:v>commercial_ppr</x:v>
      </x:c>
      <x:c r="C12" s="24" t="n">
        <x:v>3949283.8349958705</x:v>
      </x:c>
      <x:c r="D12" s="24" t="str">
        <x:v>tonnes_primary_production_equivalent</x:v>
      </x:c>
    </x:row>
    <x:row r="13" ht="18" customHeight="1">
      <x:c r="A13" s="24" t="str">
        <x:v>EEZ_077</x:v>
      </x:c>
      <x:c r="B13" s="24" t="str">
        <x:v>functional_ppr</x:v>
      </x:c>
      <x:c r="C13" s="24" t="n">
        <x:v>3945602.9935944914</x:v>
      </x:c>
      <x:c r="D13" s="24" t="str">
        <x:v>tonnes_primary_production_equivalent</x:v>
      </x:c>
    </x:row>
    <x:row r="14" ht="18" customHeight="1">
      <x:c r="A14" s="24" t="str">
        <x:v>EEZ_077</x:v>
      </x:c>
      <x:c r="B14" s="24" t="str">
        <x:v>commercial_ppr_difference</x:v>
      </x:c>
      <x:c r="C14" s="24" t="n">
        <x:v>-10497.353903244715</x:v>
      </x:c>
      <x:c r="D14" s="24" t="str">
        <x:v>tonnes_primary_production_equivalent</x:v>
      </x:c>
    </x:row>
    <x:row r="15" ht="18" customHeight="1">
      <x:c r="A15" s="24" t="str">
        <x:v>EEZ_077</x:v>
      </x:c>
      <x:c r="B15" s="24" t="str">
        <x:v>functional_ppr_difference</x:v>
      </x:c>
      <x:c r="C15" s="24" t="n">
        <x:v>-14178.195304623805</x:v>
      </x:c>
      <x:c r="D15" s="24" t="str">
        <x:v>tonnes_primary_production_equivalent</x:v>
      </x:c>
    </x:row>
    <x:row r="16" ht="18" customHeight="1">
      <x:c r="A16" s="24" t="str">
        <x:v>EEZ_077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EEZ_077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8fb0a2f29c64b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EEZ_077 - Trindade &amp; Martim Vaz Isl. (Brazil)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EEZ_077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raw_data/SAU_downloads/EEZ_077-catch.zip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