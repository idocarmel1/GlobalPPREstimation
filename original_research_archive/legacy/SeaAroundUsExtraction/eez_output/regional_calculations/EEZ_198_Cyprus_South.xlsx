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e31b42838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64002f7bc334e77"/>
    <x:sheet xmlns:r="http://schemas.openxmlformats.org/officeDocument/2006/relationships" name="Commercial" sheetId="2" r:id="R6b740b53ec604589"/>
    <x:sheet xmlns:r="http://schemas.openxmlformats.org/officeDocument/2006/relationships" name="Functional" sheetId="3" r:id="R93f3044869ef499c"/>
    <x:sheet xmlns:r="http://schemas.openxmlformats.org/officeDocument/2006/relationships" name="Missing TL" sheetId="4" r:id="R02592c56984f42c0"/>
    <x:sheet xmlns:r="http://schemas.openxmlformats.org/officeDocument/2006/relationships" name="Validation" sheetId="5" r:id="R5f88f5d40d914dff"/>
    <x:sheet xmlns:r="http://schemas.openxmlformats.org/officeDocument/2006/relationships" name="Metadata" sheetId="6" r:id="R75076be65a8f48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d83fd34844978" /><Relationship Type="http://schemas.openxmlformats.org/officeDocument/2006/relationships/theme" Target="/xl/theme/theme1.xml" Id="R0a363246cb094982" /><Relationship Type="http://schemas.microsoft.com/office/2022/11/relationships/FeaturePropertyBag" Target="/xl/featurePropertyBag/featurePropertyBag.xml" Id="R7f6042cd0bc7404d" /><Relationship Type="http://schemas.openxmlformats.org/officeDocument/2006/relationships/sharedStrings" Target="/xl/sharedStrings.xml" Id="Rc004f06539224c51" /><Relationship Type="http://schemas.openxmlformats.org/officeDocument/2006/relationships/worksheet" Target="/xl/worksheets/sheet1.xml" Id="Rb64002f7bc334e77" /><Relationship Type="http://schemas.openxmlformats.org/officeDocument/2006/relationships/worksheet" Target="/xl/worksheets/sheet2.xml" Id="R6b740b53ec604589" /><Relationship Type="http://schemas.openxmlformats.org/officeDocument/2006/relationships/worksheet" Target="/xl/worksheets/sheet3.xml" Id="R93f3044869ef499c" /><Relationship Type="http://schemas.openxmlformats.org/officeDocument/2006/relationships/worksheet" Target="/xl/worksheets/sheet4.xml" Id="R02592c56984f42c0" /><Relationship Type="http://schemas.openxmlformats.org/officeDocument/2006/relationships/worksheet" Target="/xl/worksheets/sheet5.xml" Id="R5f88f5d40d914dff" /><Relationship Type="http://schemas.openxmlformats.org/officeDocument/2006/relationships/worksheet" Target="/xl/worksheets/sheet6.xml" Id="R75076be65a8f48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98SpeciesTable" displayName="EEZ198SpeciesTable" ref="A1:U91" headerRowCount="1" totalsRowCount="0" totalsRowShown="0">
  <x:autoFilter ref="A1:U9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98CommercialTable" displayName="EEZ198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98FunctionalTable" displayName="EEZ198FunctionalTable" ref="A1:E22" headerRowCount="1" totalsRowCount="0" totalsRowShown="0">
  <x:autoFilter ref="A1:E2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98ValidationTable" displayName="EEZ19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fbfcc287c946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8e4ec12a9c4c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7d8c17076a4c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45c9be20c84d6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EEZ_198</x:v>
      </x:c>
      <x:c r="B2" s="24" t="str">
        <x:v>Cyprus (South)</x:v>
      </x:c>
      <x:c r="C2" s="24" t="str">
        <x:v>EEZ</x:v>
      </x:c>
      <x:c r="D2" s="30" t="n">
        <x:v>2019</x:v>
      </x:c>
      <x:c r="E2" s="24" t="str">
        <x:v>Thunnus alalunga</x:v>
      </x:c>
      <x:c r="F2" s="24" t="str">
        <x:v>Albacore</x:v>
      </x:c>
      <x:c r="G2" s="24" t="str">
        <x:v>Large pelagics (&gt;=90 cm)</x:v>
      </x:c>
      <x:c r="H2" s="24" t="str">
        <x:v>Tuna &amp; billfishes</x:v>
      </x:c>
      <x:c r="I2" s="31" t="n">
        <x:v>617.6767526873</x:v>
      </x:c>
      <x:c r="J2" s="31" t="n">
        <x:v>617.6767526873</x:v>
      </x:c>
      <x:c r="K2" s="31" t="n">
        <x:v>0</x:v>
      </x:c>
      <x:c r="L2" s="31" t="n">
        <x:v>617.6767526873</x:v>
      </x:c>
      <x:c r="M2" s="31" t="n">
        <x:v>0</x:v>
      </x:c>
      <x:c r="N2" s="24" t="str">
        <x:v>thunnus alalunga</x:v>
      </x:c>
      <x:c r="O2" s="32" t="n">
        <x:v>4.3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alalunga</x:v>
      </x:c>
      <x:c r="T2" s="32" t="n">
        <x:f>IF(O2="","",(1/'Metadata'!$B$5)^(O2-1))</x:f>
        <x:v>1995.2623149688789</x:v>
      </x:c>
      <x:c r="U2" s="31" t="n">
        <x:f>IF(T2="","",I2*T2)</x:f>
        <x:v>1232427.147469322</x:v>
      </x:c>
    </x:row>
    <x:row r="3" ht="18" customHeight="1">
      <x:c r="A3" s="24" t="str">
        <x:v>EEZ_198</x:v>
      </x:c>
      <x:c r="B3" s="24" t="str">
        <x:v>Cyprus (South)</x:v>
      </x:c>
      <x:c r="C3" s="24" t="str">
        <x:v>EEZ</x:v>
      </x:c>
      <x:c r="D3" s="30" t="n">
        <x:v>2019</x:v>
      </x:c>
      <x:c r="E3" s="24" t="str">
        <x:v>Tetraodontidae</x:v>
      </x:c>
      <x:c r="F3" s="24" t="str">
        <x:v>Puffers, tobies</x:v>
      </x:c>
      <x:c r="G3" s="24" t="str">
        <x:v>Large reef assoc. fish (&gt;=90 cm)</x:v>
      </x:c>
      <x:c r="H3" s="24" t="str">
        <x:v>Other fishes &amp; inverts</x:v>
      </x:c>
      <x:c r="I3" s="31" t="n">
        <x:v>432.9746675055</x:v>
      </x:c>
      <x:c r="J3" s="31" t="n">
        <x:v>42.953387193699996</x:v>
      </x:c>
      <x:c r="K3" s="31" t="n">
        <x:v>390.0212803118</x:v>
      </x:c>
      <x:c r="L3" s="31" t="n">
        <x:v>39</x:v>
      </x:c>
      <x:c r="M3" s="31" t="n">
        <x:v>393.9746675055</x:v>
      </x:c>
      <x:c r="N3" s="24" t="str">
        <x:v>tetraodontidae</x:v>
      </x:c>
      <x:c r="O3" s="32" t="n">
        <x:v>3.5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Tetraodontidae</x:v>
      </x:c>
      <x:c r="T3" s="32" t="n">
        <x:f>IF(O3="","",(1/'Metadata'!$B$5)^(O3-1))</x:f>
        <x:v>316.22776601683796</x:v>
      </x:c>
      <x:c r="U3" s="31" t="n">
        <x:f>IF(T3="","",I3*T3)</x:f>
        <x:v>136918.61184714746</x:v>
      </x:c>
    </x:row>
    <x:row r="4" ht="18" customHeight="1">
      <x:c r="A4" s="24" t="str">
        <x:v>EEZ_198</x:v>
      </x:c>
      <x:c r="B4" s="24" t="str">
        <x:v>Cyprus (South)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233.6006121236</x:v>
      </x:c>
      <x:c r="J4" s="31" t="n">
        <x:v>223.0099591187</x:v>
      </x:c>
      <x:c r="K4" s="31" t="n">
        <x:v>10.5906530049</x:v>
      </x:c>
      <x:c r="L4" s="31" t="n">
        <x:v>112</x:v>
      </x:c>
      <x:c r="M4" s="31" t="n">
        <x:v>121.6006121236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44511.67900936887</x:v>
      </x:c>
    </x:row>
    <x:row r="5" ht="18" customHeight="1">
      <x:c r="A5" s="24" t="str">
        <x:v>EEZ_198</x:v>
      </x:c>
      <x:c r="B5" s="24" t="str">
        <x:v>Cyprus (South)</x:v>
      </x:c>
      <x:c r="C5" s="24" t="str">
        <x:v>EEZ</x:v>
      </x:c>
      <x:c r="D5" s="30" t="n">
        <x:v>2019</x:v>
      </x:c>
      <x:c r="E5" s="24" t="str">
        <x:v>Spicara smaris</x:v>
      </x:c>
      <x:c r="F5" s="24" t="str">
        <x:v>Picarel</x:v>
      </x:c>
      <x:c r="G5" s="24" t="str">
        <x:v>Small demersals (&lt;30 cm)</x:v>
      </x:c>
      <x:c r="H5" s="24" t="str">
        <x:v>Perch-likes</x:v>
      </x:c>
      <x:c r="I5" s="31" t="n">
        <x:v>120.7577578897</x:v>
      </x:c>
      <x:c r="J5" s="31" t="n">
        <x:v>87.3119355809</x:v>
      </x:c>
      <x:c r="K5" s="31" t="n">
        <x:v>33.445822308800004</x:v>
      </x:c>
      <x:c r="L5" s="31" t="n">
        <x:v>64</x:v>
      </x:c>
      <x:c r="M5" s="31" t="n">
        <x:v>56.7577578897</x:v>
      </x:c>
      <x:c r="N5" s="24" t="str">
        <x:v>spicara smaris</x:v>
      </x:c>
      <x:c r="O5" s="32" t="n">
        <x:v>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Spicara smaris</x:v>
      </x:c>
      <x:c r="T5" s="32" t="n">
        <x:f>IF(O5="","",(1/'Metadata'!$B$5)^(O5-1))</x:f>
        <x:v>100</x:v>
      </x:c>
      <x:c r="U5" s="31" t="n">
        <x:f>IF(T5="","",I5*T5)</x:f>
        <x:v>12075.77578897</x:v>
      </x:c>
    </x:row>
    <x:row r="6" ht="18" customHeight="1">
      <x:c r="A6" s="24" t="str">
        <x:v>EEZ_198</x:v>
      </x:c>
      <x:c r="B6" s="24" t="str">
        <x:v>Cyprus (South)</x:v>
      </x:c>
      <x:c r="C6" s="24" t="str">
        <x:v>EEZ</x:v>
      </x:c>
      <x:c r="D6" s="30" t="n">
        <x:v>2019</x:v>
      </x:c>
      <x:c r="E6" s="24" t="str">
        <x:v>Boops boops</x:v>
      </x:c>
      <x:c r="F6" s="24" t="str">
        <x:v>Bogue</x:v>
      </x:c>
      <x:c r="G6" s="24" t="str">
        <x:v>Medium demersals (30 - 89 cm)</x:v>
      </x:c>
      <x:c r="H6" s="24" t="str">
        <x:v>Perch-likes</x:v>
      </x:c>
      <x:c r="I6" s="31" t="n">
        <x:v>113.26044215619999</x:v>
      </x:c>
      <x:c r="J6" s="31" t="n">
        <x:v>112.01253219389999</x:v>
      </x:c>
      <x:c r="K6" s="31" t="n">
        <x:v>1.2479099623</x:v>
      </x:c>
      <x:c r="L6" s="31" t="n">
        <x:v>85</x:v>
      </x:c>
      <x:c r="M6" s="31" t="n">
        <x:v>28.2604421562</x:v>
      </x:c>
      <x:c r="N6" s="24" t="str">
        <x:v>boops boops</x:v>
      </x:c>
      <x:c r="O6" s="32" t="n">
        <x:v>2.79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Boops boops</x:v>
      </x:c>
      <x:c r="T6" s="32" t="n">
        <x:f>IF(O6="","",(1/'Metadata'!$B$5)^(O6-1))</x:f>
        <x:v>61.65950018614822</x:v>
      </x:c>
      <x:c r="U6" s="31" t="n">
        <x:f>IF(T6="","",I6*T6)</x:f>
        <x:v>6983.582254213443</x:v>
      </x:c>
    </x:row>
    <x:row r="7" ht="18" customHeight="1">
      <x:c r="A7" s="24" t="str">
        <x:v>EEZ_198</x:v>
      </x:c>
      <x:c r="B7" s="24" t="str">
        <x:v>Cyprus (South)</x:v>
      </x:c>
      <x:c r="C7" s="24" t="str">
        <x:v>EEZ</x:v>
      </x:c>
      <x:c r="D7" s="30" t="n">
        <x:v>2019</x:v>
      </x:c>
      <x:c r="E7" s="24" t="str">
        <x:v>Serranus cabrilla</x:v>
      </x:c>
      <x:c r="F7" s="24" t="str">
        <x:v>Comber</x:v>
      </x:c>
      <x:c r="G7" s="24" t="str">
        <x:v>Medium bathydemersals (30 - 89 cm)</x:v>
      </x:c>
      <x:c r="H7" s="24" t="str">
        <x:v>Perch-likes</x:v>
      </x:c>
      <x:c r="I7" s="31" t="n">
        <x:v>86.1129539294</x:v>
      </x:c>
      <x:c r="J7" s="31" t="n">
        <x:v>83.617134642</x:v>
      </x:c>
      <x:c r="K7" s="31" t="n">
        <x:v>2.4958192874</x:v>
      </x:c>
      <x:c r="L7" s="31" t="n">
        <x:v>64</x:v>
      </x:c>
      <x:c r="M7" s="31" t="n">
        <x:v>22.1129539294</x:v>
      </x:c>
      <x:c r="N7" s="24" t="str">
        <x:v>serranus cabrilla</x:v>
      </x:c>
      <x:c r="O7" s="32" t="n">
        <x:v>3.35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Serranus cabrilla</x:v>
      </x:c>
      <x:c r="T7" s="32" t="n">
        <x:f>IF(O7="","",(1/'Metadata'!$B$5)^(O7-1))</x:f>
        <x:v>223.872113856834</x:v>
      </x:c>
      <x:c r="U7" s="31" t="n">
        <x:f>IF(T7="","",I7*T7)</x:f>
        <x:v>19278.28902663094</x:v>
      </x:c>
    </x:row>
    <x:row r="8" ht="18" customHeight="1">
      <x:c r="A8" s="24" t="str">
        <x:v>EEZ_198</x:v>
      </x:c>
      <x:c r="B8" s="24" t="str">
        <x:v>Cyprus (South)</x:v>
      </x:c>
      <x:c r="C8" s="24" t="str">
        <x:v>EEZ</x:v>
      </x:c>
      <x:c r="D8" s="30" t="n">
        <x:v>2019</x:v>
      </x:c>
      <x:c r="E8" s="24" t="str">
        <x:v>Sparisoma cretense</x:v>
      </x:c>
      <x:c r="F8" s="24" t="str">
        <x:v>Old parrotfish</x:v>
      </x:c>
      <x:c r="G8" s="24" t="str">
        <x:v>Medium reef assoc. fish (30 - 89 cm)</x:v>
      </x:c>
      <x:c r="H8" s="24" t="str">
        <x:v>Perch-likes</x:v>
      </x:c>
      <x:c r="I8" s="31" t="n">
        <x:v>67.7122296151</x:v>
      </x:c>
      <x:c r="J8" s="31" t="n">
        <x:v>67.7122296151</x:v>
      </x:c>
      <x:c r="K8" s="31" t="n">
        <x:v>0</x:v>
      </x:c>
      <x:c r="L8" s="31" t="n">
        <x:v>24</x:v>
      </x:c>
      <x:c r="M8" s="31" t="n">
        <x:v>43.7122296151</x:v>
      </x:c>
      <x:c r="N8" s="24" t="str">
        <x:v>sparisoma cretense</x:v>
      </x:c>
      <x:c r="O8" s="32" t="n">
        <x:v>2.86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Sparisoma cretense</x:v>
      </x:c>
      <x:c r="T8" s="32" t="n">
        <x:f>IF(O8="","",(1/'Metadata'!$B$5)^(O8-1))</x:f>
        <x:v>72.44359600749898</x:v>
      </x:c>
      <x:c r="U8" s="31" t="n">
        <x:f>IF(T8="","",I8*T8)</x:f>
        <x:v>4905.317407003313</x:v>
      </x:c>
    </x:row>
    <x:row r="9" ht="18" customHeight="1">
      <x:c r="A9" s="24" t="str">
        <x:v>EEZ_198</x:v>
      </x:c>
      <x:c r="B9" s="24" t="str">
        <x:v>Cyprus (South)</x:v>
      </x:c>
      <x:c r="C9" s="24" t="str">
        <x:v>EEZ</x:v>
      </x:c>
      <x:c r="D9" s="30" t="n">
        <x:v>2019</x:v>
      </x:c>
      <x:c r="E9" s="24" t="str">
        <x:v>Mullus surmuletus</x:v>
      </x:c>
      <x:c r="F9" s="24" t="str">
        <x:v>Surmullet</x:v>
      </x:c>
      <x:c r="G9" s="24" t="str">
        <x:v>Medium demersals (30 - 89 cm)</x:v>
      </x:c>
      <x:c r="H9" s="24" t="str">
        <x:v>Perch-likes</x:v>
      </x:c>
      <x:c r="I9" s="31" t="n">
        <x:v>47.1306866411</x:v>
      </x:c>
      <x:c r="J9" s="31" t="n">
        <x:v>45.8827766788</x:v>
      </x:c>
      <x:c r="K9" s="31" t="n">
        <x:v>1.2479099623</x:v>
      </x:c>
      <x:c r="L9" s="31" t="n">
        <x:v>32</x:v>
      </x:c>
      <x:c r="M9" s="31" t="n">
        <x:v>15.1306866411</x:v>
      </x:c>
      <x:c r="N9" s="24" t="str">
        <x:v>mullus surmuletus</x:v>
      </x:c>
      <x:c r="O9" s="32" t="n">
        <x:v>3.45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Mullus surmuletus</x:v>
      </x:c>
      <x:c r="T9" s="32" t="n">
        <x:f>IF(O9="","",(1/'Metadata'!$B$5)^(O9-1))</x:f>
        <x:v>281.8382931264455</x:v>
      </x:c>
      <x:c r="U9" s="31" t="n">
        <x:f>IF(T9="","",I9*T9)</x:f>
        <x:v>13283.232276804989</x:v>
      </x:c>
    </x:row>
    <x:row r="10" ht="18" customHeight="1">
      <x:c r="A10" s="24" t="str">
        <x:v>EEZ_198</x:v>
      </x:c>
      <x:c r="B10" s="24" t="str">
        <x:v>Cyprus (South)</x:v>
      </x:c>
      <x:c r="C10" s="24" t="str">
        <x:v>EEZ</x:v>
      </x:c>
      <x:c r="D10" s="30" t="n">
        <x:v>2019</x:v>
      </x:c>
      <x:c r="E10" s="24" t="str">
        <x:v>Pagellus erythrinus</x:v>
      </x:c>
      <x:c r="F10" s="24" t="str">
        <x:v>Common pandora</x:v>
      </x:c>
      <x:c r="G10" s="24" t="str">
        <x:v>Medium benthopelagics (30 - 89 cm)</x:v>
      </x:c>
      <x:c r="H10" s="24" t="str">
        <x:v>Perch-likes</x:v>
      </x:c>
      <x:c r="I10" s="31" t="n">
        <x:v>43.7909048209</x:v>
      </x:c>
      <x:c r="J10" s="31" t="n">
        <x:v>23.8243462202</x:v>
      </x:c>
      <x:c r="K10" s="31" t="n">
        <x:v>19.9665586007</x:v>
      </x:c>
      <x:c r="L10" s="31" t="n">
        <x:v>17</x:v>
      </x:c>
      <x:c r="M10" s="31" t="n">
        <x:v>26.7909048209</x:v>
      </x:c>
      <x:c r="N10" s="24" t="str">
        <x:v>pagellus erythrinus</x:v>
      </x:c>
      <x:c r="O10" s="32" t="n">
        <x:v>3.48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Pagellus erythrinus</x:v>
      </x:c>
      <x:c r="T10" s="32" t="n">
        <x:f>IF(O10="","",(1/'Metadata'!$B$5)^(O10-1))</x:f>
        <x:v>301.9951720402016</x:v>
      </x:c>
      <x:c r="U10" s="31" t="n">
        <x:f>IF(T10="","",I10*T10)</x:f>
        <x:v>13224.641835183791</x:v>
      </x:c>
    </x:row>
    <x:row r="11" ht="18" customHeight="1">
      <x:c r="A11" s="24" t="str">
        <x:v>EEZ_198</x:v>
      </x:c>
      <x:c r="B11" s="24" t="str">
        <x:v>Cyprus (South)</x:v>
      </x:c>
      <x:c r="C11" s="24" t="str">
        <x:v>EEZ</x:v>
      </x:c>
      <x:c r="D11" s="30" t="n">
        <x:v>2019</x:v>
      </x:c>
      <x:c r="E11" s="24" t="str">
        <x:v>Spicara maena</x:v>
      </x:c>
      <x:c r="F11" s="24" t="str">
        <x:v>Blotched picarel</x:v>
      </x:c>
      <x:c r="G11" s="24" t="str">
        <x:v>Small demersals (&lt;30 cm)</x:v>
      </x:c>
      <x:c r="H11" s="24" t="str">
        <x:v>Perch-likes</x:v>
      </x:c>
      <x:c r="I11" s="31" t="n">
        <x:v>36.8159723364</x:v>
      </x:c>
      <x:c r="J11" s="31" t="n">
        <x:v>36.8159723364</x:v>
      </x:c>
      <x:c r="K11" s="31" t="n">
        <x:v>0</x:v>
      </x:c>
      <x:c r="L11" s="31" t="n">
        <x:v>30.000000000000004</x:v>
      </x:c>
      <x:c r="M11" s="31" t="n">
        <x:v>6.8159723364</x:v>
      </x:c>
      <x:c r="N11" s="24" t="str">
        <x:v>spicara maena</x:v>
      </x:c>
      <x:c r="O11" s="32" t="n">
        <x:v>4.15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Spicara maena</x:v>
      </x:c>
      <x:c r="T11" s="32" t="n">
        <x:f>IF(O11="","",(1/'Metadata'!$B$5)^(O11-1))</x:f>
        <x:v>1412.5375446227554</x:v>
      </x:c>
      <x:c r="U11" s="31" t="n">
        <x:f>IF(T11="","",I11*T11)</x:f>
        <x:v>52003.943166957746</x:v>
      </x:c>
    </x:row>
    <x:row r="12" ht="18" customHeight="1">
      <x:c r="A12" s="24" t="str">
        <x:v>EEZ_198</x:v>
      </x:c>
      <x:c r="B12" s="24" t="str">
        <x:v>Cyprus (South)</x:v>
      </x:c>
      <x:c r="C12" s="24" t="str">
        <x:v>EEZ</x:v>
      </x:c>
      <x:c r="D12" s="30" t="n">
        <x:v>2019</x:v>
      </x:c>
      <x:c r="E12" s="24" t="str">
        <x:v>Epinephelus marginatus</x:v>
      </x:c>
      <x:c r="F12" s="24" t="str">
        <x:v>Dusky grouper</x:v>
      </x:c>
      <x:c r="G12" s="24" t="str">
        <x:v>Large reef assoc. fish (&gt;=90 cm)</x:v>
      </x:c>
      <x:c r="H12" s="24" t="str">
        <x:v>Perch-likes</x:v>
      </x:c>
      <x:c r="I12" s="31" t="n">
        <x:v>34.9755663722</x:v>
      </x:c>
      <x:c r="J12" s="31" t="n">
        <x:v>34.9755663722</x:v>
      </x:c>
      <x:c r="K12" s="31" t="n">
        <x:v>0</x:v>
      </x:c>
      <x:c r="L12" s="31" t="n">
        <x:v>6</x:v>
      </x:c>
      <x:c r="M12" s="31" t="n">
        <x:v>28.9755663722</x:v>
      </x:c>
      <x:c r="N12" s="24" t="str">
        <x:v>epinephelus marginatus</x:v>
      </x:c>
      <x:c r="O12" s="32" t="n">
        <x:v>4.43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Epinephelus marginatus</x:v>
      </x:c>
      <x:c r="T12" s="32" t="n">
        <x:f>IF(O12="","",(1/'Metadata'!$B$5)^(O12-1))</x:f>
        <x:v>2691.534803926914</x:v>
      </x:c>
      <x:c r="U12" s="31" t="n">
        <x:f>IF(T12="","",I12*T12)</x:f>
        <x:v>94137.95417783209</x:v>
      </x:c>
    </x:row>
    <x:row r="13" ht="18" customHeight="1">
      <x:c r="A13" s="24" t="str">
        <x:v>EEZ_198</x:v>
      </x:c>
      <x:c r="B13" s="24" t="str">
        <x:v>Cyprus (South)</x:v>
      </x:c>
      <x:c r="C13" s="24" t="str">
        <x:v>EEZ</x:v>
      </x:c>
      <x:c r="D13" s="30" t="n">
        <x:v>2019</x:v>
      </x:c>
      <x:c r="E13" s="24" t="str">
        <x:v>Sparidae</x:v>
      </x:c>
      <x:c r="F13" s="24" t="str">
        <x:v>Porgies, seabreams</x:v>
      </x:c>
      <x:c r="G13" s="24" t="str">
        <x:v>Medium benthopelagics (30 - 89 cm)</x:v>
      </x:c>
      <x:c r="H13" s="24" t="str">
        <x:v>Perch-likes</x:v>
      </x:c>
      <x:c r="I13" s="31" t="n">
        <x:v>29.291259920399998</x:v>
      </x:c>
      <x:c r="J13" s="31" t="n">
        <x:v>29.291259920399998</x:v>
      </x:c>
      <x:c r="K13" s="31" t="n">
        <x:v>0</x:v>
      </x:c>
      <x:c r="L13" s="31" t="n">
        <x:v>0</x:v>
      </x:c>
      <x:c r="M13" s="31" t="n">
        <x:v>29.291259920399998</x:v>
      </x:c>
      <x:c r="N13" s="24" t="str">
        <x:v>sparidae</x:v>
      </x:c>
      <x:c r="O13" s="32" t="n">
        <x:v>3.31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Sparidae</x:v>
      </x:c>
      <x:c r="T13" s="32" t="n">
        <x:f>IF(O13="","",(1/'Metadata'!$B$5)^(O13-1))</x:f>
        <x:v>204.17379446695296</x:v>
      </x:c>
      <x:c r="U13" s="31" t="n">
        <x:f>IF(T13="","",I13*T13)</x:f>
        <x:v>5980.507682665846</x:v>
      </x:c>
    </x:row>
    <x:row r="14" ht="18" customHeight="1">
      <x:c r="A14" s="24" t="str">
        <x:v>EEZ_198</x:v>
      </x:c>
      <x:c r="B14" s="24" t="str">
        <x:v>Cyprus (South)</x:v>
      </x:c>
      <x:c r="C14" s="24" t="str">
        <x:v>EEZ</x:v>
      </x:c>
      <x:c r="D14" s="30" t="n">
        <x:v>2019</x:v>
      </x:c>
      <x:c r="E14" s="24" t="str">
        <x:v>Mycteroperca rubra</x:v>
      </x:c>
      <x:c r="F14" s="24" t="str">
        <x:v>Mottled grouper</x:v>
      </x:c>
      <x:c r="G14" s="24" t="str">
        <x:v>Large demersals (&gt;=90 cm)</x:v>
      </x:c>
      <x:c r="H14" s="24" t="str">
        <x:v>Perch-likes</x:v>
      </x:c>
      <x:c r="I14" s="31" t="n">
        <x:v>25.6827178351</x:v>
      </x:c>
      <x:c r="J14" s="31" t="n">
        <x:v>25.6827178351</x:v>
      </x:c>
      <x:c r="K14" s="31" t="n">
        <x:v>0</x:v>
      </x:c>
      <x:c r="L14" s="31" t="n">
        <x:v>0</x:v>
      </x:c>
      <x:c r="M14" s="31" t="n">
        <x:v>25.6827178351</x:v>
      </x:c>
      <x:c r="N14" s="24" t="str">
        <x:v>mycteroperca rubra</x:v>
      </x:c>
      <x:c r="O14" s="32" t="n">
        <x:v>4.13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Mycteroperca rubra</x:v>
      </x:c>
      <x:c r="T14" s="32" t="n">
        <x:f>IF(O14="","",(1/'Metadata'!$B$5)^(O14-1))</x:f>
        <x:v>1348.9628825916532</x:v>
      </x:c>
      <x:c r="U14" s="31" t="n">
        <x:f>IF(T14="","",I14*T14)</x:f>
        <x:v>34645.033083624556</x:v>
      </x:c>
    </x:row>
    <x:row r="15" ht="18" customHeight="1">
      <x:c r="A15" s="24" t="str">
        <x:v>EEZ_198</x:v>
      </x:c>
      <x:c r="B15" s="24" t="str">
        <x:v>Cyprus (South)</x:v>
      </x:c>
      <x:c r="C15" s="24" t="str">
        <x:v>EEZ</x:v>
      </x:c>
      <x:c r="D15" s="30" t="n">
        <x:v>2019</x:v>
      </x:c>
      <x:c r="E15" s="24" t="str">
        <x:v>Sepia officinalis</x:v>
      </x:c>
      <x:c r="F15" s="24" t="str">
        <x:v>Common cuttlefish</x:v>
      </x:c>
      <x:c r="G15" s="24" t="str">
        <x:v>Cephalopods</x:v>
      </x:c>
      <x:c r="H15" s="24" t="str">
        <x:v>Other fishes &amp; inverts</x:v>
      </x:c>
      <x:c r="I15" s="31" t="n">
        <x:v>23.4289220727</x:v>
      </x:c>
      <x:c r="J15" s="31" t="n">
        <x:v>23.4289220727</x:v>
      </x:c>
      <x:c r="K15" s="31" t="n">
        <x:v>0</x:v>
      </x:c>
      <x:c r="L15" s="31" t="n">
        <x:v>13</x:v>
      </x:c>
      <x:c r="M15" s="31" t="n">
        <x:v>10.428922072699999</x:v>
      </x:c>
      <x:c r="N15" s="24" t="str">
        <x:v>sepia officinalis</x:v>
      </x:c>
      <x:c r="O15" s="32" t="n">
        <x:v>4.27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Sepia officinalis</x:v>
      </x:c>
      <x:c r="T15" s="32" t="n">
        <x:f>IF(O15="","",(1/'Metadata'!$B$5)^(O15-1))</x:f>
        <x:v>1862.0871366628655</x:v>
      </x:c>
      <x:c r="U15" s="31" t="n">
        <x:f>IF(T15="","",I15*T15)</x:f>
        <x:v>43626.694417451356</x:v>
      </x:c>
    </x:row>
    <x:row r="16" ht="18" customHeight="1">
      <x:c r="A16" s="24" t="str">
        <x:v>EEZ_198</x:v>
      </x:c>
      <x:c r="B16" s="24" t="str">
        <x:v>Cyprus (South)</x:v>
      </x:c>
      <x:c r="C16" s="24" t="str">
        <x:v>EEZ</x:v>
      </x:c>
      <x:c r="D16" s="30" t="n">
        <x:v>2019</x:v>
      </x:c>
      <x:c r="E16" s="24" t="str">
        <x:v>Seriola dumerili</x:v>
      </x:c>
      <x:c r="F16" s="24" t="str">
        <x:v>Greater amberjack</x:v>
      </x:c>
      <x:c r="G16" s="24" t="str">
        <x:v>Large reef assoc. fish (&gt;=90 cm)</x:v>
      </x:c>
      <x:c r="H16" s="24" t="str">
        <x:v>Perch-likes</x:v>
      </x:c>
      <x:c r="I16" s="31" t="n">
        <x:v>23.0905299795</x:v>
      </x:c>
      <x:c r="J16" s="31" t="n">
        <x:v>23.0905299795</x:v>
      </x:c>
      <x:c r="K16" s="31" t="n">
        <x:v>0</x:v>
      </x:c>
      <x:c r="L16" s="31" t="n">
        <x:v>8</x:v>
      </x:c>
      <x:c r="M16" s="31" t="n">
        <x:v>15.090529979500001</x:v>
      </x:c>
      <x:c r="N16" s="24" t="str">
        <x:v>seriola dumerili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Seriola dumerili</x:v>
      </x:c>
      <x:c r="T16" s="32" t="n">
        <x:f>IF(O16="","",(1/'Metadata'!$B$5)^(O16-1))</x:f>
        <x:v>3162.2776601683795</x:v>
      </x:c>
      <x:c r="U16" s="31" t="n">
        <x:f>IF(T16="","",I16*T16)</x:f>
        <x:v>73018.66711562108</x:v>
      </x:c>
    </x:row>
    <x:row r="17" ht="18" customHeight="1">
      <x:c r="A17" s="24" t="str">
        <x:v>EEZ_198</x:v>
      </x:c>
      <x:c r="B17" s="24" t="str">
        <x:v>Cyprus (South)</x:v>
      </x:c>
      <x:c r="C17" s="24" t="str">
        <x:v>EEZ</x:v>
      </x:c>
      <x:c r="D17" s="30" t="n">
        <x:v>2019</x:v>
      </x:c>
      <x:c r="E17" s="24" t="str">
        <x:v>Sarda sarda</x:v>
      </x:c>
      <x:c r="F17" s="24" t="str">
        <x:v>Atlantic bonito</x:v>
      </x:c>
      <x:c r="G17" s="24" t="str">
        <x:v>Medium pelagics (30 - 89 cm)</x:v>
      </x:c>
      <x:c r="H17" s="24" t="str">
        <x:v>Tuna &amp; billfishes</x:v>
      </x:c>
      <x:c r="I17" s="31" t="n">
        <x:v>21.8830532645</x:v>
      </x:c>
      <x:c r="J17" s="31" t="n">
        <x:v>21.8830532645</x:v>
      </x:c>
      <x:c r="K17" s="31" t="n">
        <x:v>0</x:v>
      </x:c>
      <x:c r="L17" s="31" t="n">
        <x:v>0.0576151959</x:v>
      </x:c>
      <x:c r="M17" s="31" t="n">
        <x:v>21.8254380686</x:v>
      </x:c>
      <x:c r="N17" s="24" t="str">
        <x:v>sarda sarda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Sarda sarda</x:v>
      </x:c>
      <x:c r="T17" s="32" t="n">
        <x:f>IF(O17="","",(1/'Metadata'!$B$5)^(O17-1))</x:f>
        <x:v>3162.2776601683795</x:v>
      </x:c>
      <x:c r="U17" s="31" t="n">
        <x:f>IF(T17="","",I17*T17)</x:f>
        <x:v>69200.29047460307</x:v>
      </x:c>
    </x:row>
    <x:row r="18" ht="18" customHeight="1">
      <x:c r="A18" s="24" t="str">
        <x:v>EEZ_198</x:v>
      </x:c>
      <x:c r="B18" s="24" t="str">
        <x:v>Cyprus (South)</x:v>
      </x:c>
      <x:c r="C18" s="24" t="str">
        <x:v>EEZ</x:v>
      </x:c>
      <x:c r="D18" s="30" t="n">
        <x:v>2019</x:v>
      </x:c>
      <x:c r="E18" s="24" t="str">
        <x:v>Mullus barbatus</x:v>
      </x:c>
      <x:c r="F18" s="24" t="str">
        <x:v>Red mullet</x:v>
      </x:c>
      <x:c r="G18" s="24" t="str">
        <x:v>Medium demersals (30 - 89 cm)</x:v>
      </x:c>
      <x:c r="H18" s="24" t="str">
        <x:v>Perch-likes</x:v>
      </x:c>
      <x:c r="I18" s="31" t="n">
        <x:v>20.3400798758</x:v>
      </x:c>
      <x:c r="J18" s="31" t="n">
        <x:v>19.0921699135</x:v>
      </x:c>
      <x:c r="K18" s="31" t="n">
        <x:v>1.2479099623</x:v>
      </x:c>
      <x:c r="L18" s="31" t="n">
        <x:v>12.9999999999</x:v>
      </x:c>
      <x:c r="M18" s="31" t="n">
        <x:v>7.340079875900001</x:v>
      </x:c>
      <x:c r="N18" s="24" t="str">
        <x:v>mullus barbatus</x:v>
      </x:c>
      <x:c r="O18" s="32" t="n">
        <x:v>3.14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Mullus barbatus</x:v>
      </x:c>
      <x:c r="T18" s="32" t="n">
        <x:f>IF(O18="","",(1/'Metadata'!$B$5)^(O18-1))</x:f>
        <x:v>138.03842646028852</x:v>
      </x:c>
      <x:c r="U18" s="31" t="n">
        <x:f>IF(T18="","",I18*T18)</x:f>
        <x:v>2807.712620132013</x:v>
      </x:c>
    </x:row>
    <x:row r="19" ht="18" customHeight="1">
      <x:c r="A19" s="24" t="str">
        <x:v>EEZ_198</x:v>
      </x:c>
      <x:c r="B19" s="24" t="str">
        <x:v>Cyprus (South)</x:v>
      </x:c>
      <x:c r="C19" s="24" t="str">
        <x:v>EEZ</x:v>
      </x:c>
      <x:c r="D19" s="30" t="n">
        <x:v>2019</x:v>
      </x:c>
      <x:c r="E19" s="24" t="str">
        <x:v>Pagellus acarne</x:v>
      </x:c>
      <x:c r="F19" s="24" t="str">
        <x:v>Axillary seabream</x:v>
      </x:c>
      <x:c r="G19" s="24" t="str">
        <x:v>Medium benthopelagics (30 - 89 cm)</x:v>
      </x:c>
      <x:c r="H19" s="24" t="str">
        <x:v>Perch-likes</x:v>
      </x:c>
      <x:c r="I19" s="31" t="n">
        <x:v>20.3072859002</x:v>
      </x:c>
      <x:c r="J19" s="31" t="n">
        <x:v>20.3072859002</x:v>
      </x:c>
      <x:c r="K19" s="31" t="n">
        <x:v>0</x:v>
      </x:c>
      <x:c r="L19" s="31" t="n">
        <x:v>19</x:v>
      </x:c>
      <x:c r="M19" s="31" t="n">
        <x:v>1.3072859002</x:v>
      </x:c>
      <x:c r="N19" s="24" t="str">
        <x:v>pagellus acarne</x:v>
      </x:c>
      <x:c r="O19" s="32" t="n">
        <x:v>3.81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Pagellus acarne</x:v>
      </x:c>
      <x:c r="T19" s="32" t="n">
        <x:f>IF(O19="","",(1/'Metadata'!$B$5)^(O19-1))</x:f>
        <x:v>645.6542290346556</x:v>
      </x:c>
      <x:c r="U19" s="31" t="n">
        <x:f>IF(T19="","",I19*T19)</x:f>
        <x:v>13111.485021679962</x:v>
      </x:c>
    </x:row>
    <x:row r="20" ht="18" customHeight="1">
      <x:c r="A20" s="24" t="str">
        <x:v>EEZ_198</x:v>
      </x:c>
      <x:c r="B20" s="24" t="str">
        <x:v>Cyprus (South)</x:v>
      </x:c>
      <x:c r="C20" s="24" t="str">
        <x:v>EEZ</x:v>
      </x:c>
      <x:c r="D20" s="30" t="n">
        <x:v>2019</x:v>
      </x:c>
      <x:c r="E20" s="24" t="str">
        <x:v>Xiphias gladius</x:v>
      </x:c>
      <x:c r="F20" s="24" t="str">
        <x:v>Swordfish</x:v>
      </x:c>
      <x:c r="G20" s="24" t="str">
        <x:v>Large pelagics (&gt;=90 cm)</x:v>
      </x:c>
      <x:c r="H20" s="24" t="str">
        <x:v>Tuna &amp; billfishes</x:v>
      </x:c>
      <x:c r="I20" s="31" t="n">
        <x:v>18.8097311832</x:v>
      </x:c>
      <x:c r="J20" s="31" t="n">
        <x:v>18.8097311832</x:v>
      </x:c>
      <x:c r="K20" s="31" t="n">
        <x:v>0</x:v>
      </x:c>
      <x:c r="L20" s="31" t="n">
        <x:v>16.6065701534</x:v>
      </x:c>
      <x:c r="M20" s="31" t="n">
        <x:v>2.2031610298</x:v>
      </x:c>
      <x:c r="N20" s="24" t="str">
        <x:v>xiphias gladius</x:v>
      </x:c>
      <x:c r="O20" s="32" t="n">
        <x:v>4.53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Xiphias gladius</x:v>
      </x:c>
      <x:c r="T20" s="32" t="n">
        <x:f>IF(O20="","",(1/'Metadata'!$B$5)^(O20-1))</x:f>
        <x:v>3388.4415613920273</x:v>
      </x:c>
      <x:c r="U20" s="31" t="n">
        <x:f>IF(T20="","",I20*T20)</x:f>
        <x:v>63735.67489976651</x:v>
      </x:c>
    </x:row>
    <x:row r="21" ht="18" customHeight="1">
      <x:c r="A21" s="24" t="str">
        <x:v>EEZ_198</x:v>
      </x:c>
      <x:c r="B21" s="24" t="str">
        <x:v>Cyprus (South)</x:v>
      </x:c>
      <x:c r="C21" s="24" t="str">
        <x:v>EEZ</x:v>
      </x:c>
      <x:c r="D21" s="30" t="n">
        <x:v>2019</x:v>
      </x:c>
      <x:c r="E21" s="24" t="str">
        <x:v>Thunnus thynnus</x:v>
      </x:c>
      <x:c r="F21" s="24" t="str">
        <x:v>Atlantic bluefin tuna</x:v>
      </x:c>
      <x:c r="G21" s="24" t="str">
        <x:v>Large pelagics (&gt;=90 cm)</x:v>
      </x:c>
      <x:c r="H21" s="24" t="str">
        <x:v>Tuna &amp; billfishes</x:v>
      </x:c>
      <x:c r="I21" s="31" t="n">
        <x:v>16.2353408281</x:v>
      </x:c>
      <x:c r="J21" s="31" t="n">
        <x:v>16.2353408281</x:v>
      </x:c>
      <x:c r="K21" s="31" t="n">
        <x:v>0</x:v>
      </x:c>
      <x:c r="L21" s="31" t="n">
        <x:v>15.8614423593</x:v>
      </x:c>
      <x:c r="M21" s="31" t="n">
        <x:v>0.3738984688</x:v>
      </x:c>
      <x:c r="N21" s="24" t="str">
        <x:v>thunnus thynnus</x:v>
      </x:c>
      <x:c r="O21" s="32" t="n">
        <x:v>4.45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Thunnus thynnus</x:v>
      </x:c>
      <x:c r="T21" s="32" t="n">
        <x:f>IF(O21="","",(1/'Metadata'!$B$5)^(O21-1))</x:f>
        <x:v>2818.382931264455</x:v>
      </x:c>
      <x:c r="U21" s="31" t="n">
        <x:f>IF(T21="","",I21*T21)</x:f>
        <x:v>45757.40747317796</x:v>
      </x:c>
    </x:row>
    <x:row r="22" ht="18" customHeight="1">
      <x:c r="A22" s="24" t="str">
        <x:v>EEZ_198</x:v>
      </x:c>
      <x:c r="B22" s="24" t="str">
        <x:v>Cyprus (South)</x:v>
      </x:c>
      <x:c r="C22" s="24" t="str">
        <x:v>EEZ</x:v>
      </x:c>
      <x:c r="D22" s="30" t="n">
        <x:v>2019</x:v>
      </x:c>
      <x:c r="E22" s="24" t="str">
        <x:v>Scorpaena</x:v>
      </x:c>
      <x:c r="F22" s="24" t="str">
        <x:v>Scorpionfishes</x:v>
      </x:c>
      <x:c r="G22" s="24" t="str">
        <x:v>Large reef assoc. fish (&gt;=90 cm)</x:v>
      </x:c>
      <x:c r="H22" s="24" t="str">
        <x:v>Scorpionfishes</x:v>
      </x:c>
      <x:c r="I22" s="31" t="n">
        <x:v>15.3770795581</x:v>
      </x:c>
      <x:c r="J22" s="31" t="n">
        <x:v>15.3770795581</x:v>
      </x:c>
      <x:c r="K22" s="31" t="n">
        <x:v>0</x:v>
      </x:c>
      <x:c r="L22" s="31" t="n">
        <x:v>14</x:v>
      </x:c>
      <x:c r="M22" s="31" t="n">
        <x:v>1.3770795581</x:v>
      </x:c>
      <x:c r="N22" s="24" t="str">
        <x:v>scorpaena</x:v>
      </x:c>
      <x:c r="O22" s="32" t="n">
        <x:v>3.87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Scorpaena</x:v>
      </x:c>
      <x:c r="T22" s="32" t="n">
        <x:f>IF(O22="","",(1/'Metadata'!$B$5)^(O22-1))</x:f>
        <x:v>741.3102413009177</x:v>
      </x:c>
      <x:c r="U22" s="31" t="n">
        <x:f>IF(T22="","",I22*T22)</x:f>
        <x:v>11399.18655771852</x:v>
      </x:c>
    </x:row>
    <x:row r="23" ht="18" customHeight="1">
      <x:c r="A23" s="24" t="str">
        <x:v>EEZ_198</x:v>
      </x:c>
      <x:c r="B23" s="24" t="str">
        <x:v>Cyprus (South)</x:v>
      </x:c>
      <x:c r="C23" s="24" t="str">
        <x:v>EEZ</x:v>
      </x:c>
      <x:c r="D23" s="30" t="n">
        <x:v>2019</x:v>
      </x:c>
      <x:c r="E23" s="24" t="str">
        <x:v>Diplodus sargus</x:v>
      </x:c>
      <x:c r="F23" s="24" t="str">
        <x:v>White seabream</x:v>
      </x:c>
      <x:c r="G23" s="24" t="str">
        <x:v>Medium demersals (30 - 89 cm)</x:v>
      </x:c>
      <x:c r="H23" s="24" t="str">
        <x:v>Perch-likes</x:v>
      </x:c>
      <x:c r="I23" s="31" t="n">
        <x:v>14.8417593053</x:v>
      </x:c>
      <x:c r="J23" s="31" t="n">
        <x:v>14.8417593053</x:v>
      </x:c>
      <x:c r="K23" s="31" t="n">
        <x:v>0</x:v>
      </x:c>
      <x:c r="L23" s="31" t="n">
        <x:v>11</x:v>
      </x:c>
      <x:c r="M23" s="31" t="n">
        <x:v>3.8417593053</x:v>
      </x:c>
      <x:c r="N23" s="24" t="str">
        <x:v>diplodus sargus</x:v>
      </x:c>
      <x:c r="O23" s="32" t="n">
        <x:v>3.38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Diplodus sargus</x:v>
      </x:c>
      <x:c r="T23" s="32" t="n">
        <x:f>IF(O23="","",(1/'Metadata'!$B$5)^(O23-1))</x:f>
        <x:v>239.88329190194898</x:v>
      </x:c>
      <x:c r="U23" s="31" t="n">
        <x:f>IF(T23="","",I23*T23)</x:f>
        <x:v>3560.2900797717475</x:v>
      </x:c>
    </x:row>
    <x:row r="24" ht="18" customHeight="1">
      <x:c r="A24" s="24" t="str">
        <x:v>EEZ_198</x:v>
      </x:c>
      <x:c r="B24" s="24" t="str">
        <x:v>Cyprus (South)</x:v>
      </x:c>
      <x:c r="C24" s="24" t="str">
        <x:v>EEZ</x:v>
      </x:c>
      <x:c r="D24" s="30" t="n">
        <x:v>2019</x:v>
      </x:c>
      <x:c r="E24" s="24" t="str">
        <x:v>Sparus aurata</x:v>
      </x:c>
      <x:c r="F24" s="24" t="str">
        <x:v>Gilthead seabream</x:v>
      </x:c>
      <x:c r="G24" s="24" t="str">
        <x:v>Medium demersals (30 - 89 cm)</x:v>
      </x:c>
      <x:c r="H24" s="24" t="str">
        <x:v>Perch-likes</x:v>
      </x:c>
      <x:c r="I24" s="31" t="n">
        <x:v>14</x:v>
      </x:c>
      <x:c r="J24" s="31" t="n">
        <x:v>14</x:v>
      </x:c>
      <x:c r="K24" s="31" t="n">
        <x:v>0</x:v>
      </x:c>
      <x:c r="L24" s="31" t="n">
        <x:v>14</x:v>
      </x:c>
      <x:c r="M24" s="31" t="n">
        <x:v>0</x:v>
      </x:c>
      <x:c r="N24" s="24" t="str">
        <x:v>sparus aurata</x:v>
      </x:c>
      <x:c r="O24" s="32" t="n">
        <x:v>3.7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Sparus aurata</x:v>
      </x:c>
      <x:c r="T24" s="32" t="n">
        <x:f>IF(O24="","",(1/'Metadata'!$B$5)^(O24-1))</x:f>
        <x:v>501.18723362727246</x:v>
      </x:c>
      <x:c r="U24" s="31" t="n">
        <x:f>IF(T24="","",I24*T24)</x:f>
        <x:v>7016.621270781814</x:v>
      </x:c>
    </x:row>
    <x:row r="25" ht="18" customHeight="1">
      <x:c r="A25" s="24" t="str">
        <x:v>EEZ_198</x:v>
      </x:c>
      <x:c r="B25" s="24" t="str">
        <x:v>Cyprus (South)</x:v>
      </x:c>
      <x:c r="C25" s="24" t="str">
        <x:v>EEZ</x:v>
      </x:c>
      <x:c r="D25" s="30" t="n">
        <x:v>2019</x:v>
      </x:c>
      <x:c r="E25" s="24" t="str">
        <x:v>Rajidae</x:v>
      </x:c>
      <x:c r="F25" s="24" t="str">
        <x:v>Stingrays</x:v>
      </x:c>
      <x:c r="G25" s="24" t="str">
        <x:v>Large rays (&gt;=90 cm)</x:v>
      </x:c>
      <x:c r="H25" s="24" t="str">
        <x:v>Sharks &amp; rays</x:v>
      </x:c>
      <x:c r="I25" s="31" t="n">
        <x:v>12.9387062865</x:v>
      </x:c>
      <x:c r="J25" s="31" t="n">
        <x:v>12.9387062865</x:v>
      </x:c>
      <x:c r="K25" s="31" t="n">
        <x:v>0</x:v>
      </x:c>
      <x:c r="L25" s="31" t="n">
        <x:v>12</x:v>
      </x:c>
      <x:c r="M25" s="31" t="n">
        <x:v>0.9387062865</x:v>
      </x:c>
      <x:c r="N25" s="24" t="str">
        <x:v>rajidae</x:v>
      </x:c>
      <x:c r="O25" s="32" t="n">
        <x:v>3.82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Rajidae</x:v>
      </x:c>
      <x:c r="T25" s="32" t="n">
        <x:f>IF(O25="","",(1/'Metadata'!$B$5)^(O25-1))</x:f>
        <x:v>660.6934480075957</x:v>
      </x:c>
      <x:c r="U25" s="31" t="n">
        <x:f>IF(T25="","",I25*T25)</x:f>
        <x:v>8548.518469185241</x:v>
      </x:c>
    </x:row>
    <x:row r="26" ht="18" customHeight="1">
      <x:c r="A26" s="24" t="str">
        <x:v>EEZ_198</x:v>
      </x:c>
      <x:c r="B26" s="24" t="str">
        <x:v>Cyprus (South)</x:v>
      </x:c>
      <x:c r="C26" s="24" t="str">
        <x:v>EEZ</x:v>
      </x:c>
      <x:c r="D26" s="30" t="n">
        <x:v>2019</x:v>
      </x:c>
      <x:c r="E26" s="24" t="str">
        <x:v>Dasyatidae</x:v>
      </x:c>
      <x:c r="F26" s="24" t="str">
        <x:v>Whiptail stingrays</x:v>
      </x:c>
      <x:c r="G26" s="24" t="str">
        <x:v>Large rays (&gt;=90 cm)</x:v>
      </x:c>
      <x:c r="H26" s="24" t="str">
        <x:v>Sharks &amp; rays</x:v>
      </x:c>
      <x:c r="I26" s="31" t="n">
        <x:v>12.180412131899999</x:v>
      </x:c>
      <x:c r="J26" s="31" t="n">
        <x:v>0</x:v>
      </x:c>
      <x:c r="K26" s="31" t="n">
        <x:v>12.180412131899999</x:v>
      </x:c>
      <x:c r="L26" s="31" t="n">
        <x:v>0</x:v>
      </x:c>
      <x:c r="M26" s="31" t="n">
        <x:v>12.180412131899999</x:v>
      </x:c>
      <x:c r="N26" s="24" t="str">
        <x:v>dasyatidae</x:v>
      </x:c>
      <x:c r="O26" s="32" t="n">
        <x:v>3.38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Dasyatidae</x:v>
      </x:c>
      <x:c r="T26" s="32" t="n">
        <x:f>IF(O26="","",(1/'Metadata'!$B$5)^(O26-1))</x:f>
        <x:v>239.88329190194898</x:v>
      </x:c>
      <x:c r="U26" s="31" t="n">
        <x:f>IF(T26="","",I26*T26)</x:f>
        <x:v>2921.877358922608</x:v>
      </x:c>
    </x:row>
    <x:row r="27" ht="18" customHeight="1">
      <x:c r="A27" s="24" t="str">
        <x:v>EEZ_198</x:v>
      </x:c>
      <x:c r="B27" s="24" t="str">
        <x:v>Cyprus (South)</x:v>
      </x:c>
      <x:c r="C27" s="24" t="str">
        <x:v>EEZ</x:v>
      </x:c>
      <x:c r="D27" s="30" t="n">
        <x:v>2019</x:v>
      </x:c>
      <x:c r="E27" s="24" t="str">
        <x:v>Lichia amia</x:v>
      </x:c>
      <x:c r="F27" s="24" t="str">
        <x:v>Leerfish</x:v>
      </x:c>
      <x:c r="G27" s="24" t="str">
        <x:v>Large pelagics (&gt;=90 cm)</x:v>
      </x:c>
      <x:c r="H27" s="24" t="str">
        <x:v>Perch-likes</x:v>
      </x:c>
      <x:c r="I27" s="31" t="n">
        <x:v>10.273087134</x:v>
      </x:c>
      <x:c r="J27" s="31" t="n">
        <x:v>10.273087134</x:v>
      </x:c>
      <x:c r="K27" s="31" t="n">
        <x:v>0</x:v>
      </x:c>
      <x:c r="L27" s="31" t="n">
        <x:v>0</x:v>
      </x:c>
      <x:c r="M27" s="31" t="n">
        <x:v>10.273087134</x:v>
      </x:c>
      <x:c r="N27" s="24" t="str">
        <x:v>lichia amia</x:v>
      </x:c>
      <x:c r="O27" s="32" t="n">
        <x:v>4.5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Lichia amia</x:v>
      </x:c>
      <x:c r="T27" s="32" t="n">
        <x:f>IF(O27="","",(1/'Metadata'!$B$5)^(O27-1))</x:f>
        <x:v>3162.2776601683795</x:v>
      </x:c>
      <x:c r="U27" s="31" t="n">
        <x:f>IF(T27="","",I27*T27)</x:f>
        <x:v>32486.353944811406</x:v>
      </x:c>
    </x:row>
    <x:row r="28" ht="18" customHeight="1">
      <x:c r="A28" s="24" t="str">
        <x:v>EEZ_198</x:v>
      </x:c>
      <x:c r="B28" s="24" t="str">
        <x:v>Cyprus (South)</x:v>
      </x:c>
      <x:c r="C28" s="24" t="str">
        <x:v>EEZ</x:v>
      </x:c>
      <x:c r="D28" s="30" t="n">
        <x:v>2019</x:v>
      </x:c>
      <x:c r="E28" s="24" t="str">
        <x:v>Octopodidae</x:v>
      </x:c>
      <x:c r="F28" s="24" t="str">
        <x:v>Octopuses</x:v>
      </x:c>
      <x:c r="G28" s="24" t="str">
        <x:v>Cephalopods</x:v>
      </x:c>
      <x:c r="H28" s="24" t="str">
        <x:v>Other fishes &amp; inverts</x:v>
      </x:c>
      <x:c r="I28" s="31" t="n">
        <x:v>9.4805922594</x:v>
      </x:c>
      <x:c r="J28" s="31" t="n">
        <x:v>9.4805922594</x:v>
      </x:c>
      <x:c r="K28" s="31" t="n">
        <x:v>0</x:v>
      </x:c>
      <x:c r="L28" s="31" t="n">
        <x:v>8</x:v>
      </x:c>
      <x:c r="M28" s="31" t="n">
        <x:v>1.4805922594</x:v>
      </x:c>
      <x:c r="N28" s="24" t="str">
        <x:v>octopodidae</x:v>
      </x:c>
      <x:c r="O28" s="32" t="n">
        <x:v>3.59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Octopodidae</x:v>
      </x:c>
      <x:c r="T28" s="32" t="n">
        <x:f>IF(O28="","",(1/'Metadata'!$B$5)^(O28-1))</x:f>
        <x:v>389.04514499428046</x:v>
      </x:c>
      <x:c r="U28" s="31" t="n">
        <x:f>IF(T28="","",I28*T28)</x:f>
        <x:v>3688.378390189926</x:v>
      </x:c>
    </x:row>
    <x:row r="29" ht="18" customHeight="1">
      <x:c r="A29" s="24" t="str">
        <x:v>EEZ_198</x:v>
      </x:c>
      <x:c r="B29" s="24" t="str">
        <x:v>Cyprus (South)</x:v>
      </x:c>
      <x:c r="C29" s="24" t="str">
        <x:v>EEZ</x:v>
      </x:c>
      <x:c r="D29" s="30" t="n">
        <x:v>2019</x:v>
      </x:c>
      <x:c r="E29" s="24" t="str">
        <x:v>Mola mola</x:v>
      </x:c>
      <x:c r="F29" s="24" t="str">
        <x:v>Ocean sunfish</x:v>
      </x:c>
      <x:c r="G29" s="24" t="str">
        <x:v>Large pelagics (&gt;=90 cm)</x:v>
      </x:c>
      <x:c r="H29" s="24" t="str">
        <x:v>Other fishes &amp; inverts</x:v>
      </x:c>
      <x:c r="I29" s="31" t="n">
        <x:v>7.3082460437000005</x:v>
      </x:c>
      <x:c r="J29" s="31" t="n">
        <x:v>0</x:v>
      </x:c>
      <x:c r="K29" s="31" t="n">
        <x:v>7.3082460437000005</x:v>
      </x:c>
      <x:c r="L29" s="31" t="n">
        <x:v>0</x:v>
      </x:c>
      <x:c r="M29" s="31" t="n">
        <x:v>7.3082460437000005</x:v>
      </x:c>
      <x:c r="N29" s="24" t="str">
        <x:v>mola mola</x:v>
      </x:c>
      <x:c r="O29" s="32" t="n">
        <x:v>3.68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Mola mola</x:v>
      </x:c>
      <x:c r="T29" s="32" t="n">
        <x:f>IF(O29="","",(1/'Metadata'!$B$5)^(O29-1))</x:f>
        <x:v>478.6300923226385</x:v>
      </x:c>
      <x:c r="U29" s="31" t="n">
        <x:f>IF(T29="","",I29*T29)</x:f>
        <x:v>3497.946478612689</x:v>
      </x:c>
    </x:row>
    <x:row r="30" ht="18" customHeight="1">
      <x:c r="A30" s="24" t="str">
        <x:v>EEZ_198</x:v>
      </x:c>
      <x:c r="B30" s="24" t="str">
        <x:v>Cyprus (South)</x:v>
      </x:c>
      <x:c r="C30" s="24" t="str">
        <x:v>EEZ</x:v>
      </x:c>
      <x:c r="D30" s="30" t="n">
        <x:v>2019</x:v>
      </x:c>
      <x:c r="E30" s="24" t="str">
        <x:v>Bolinus brandaris</x:v>
      </x:c>
      <x:c r="F30" s="24" t="str">
        <x:v>Purple dye murex</x:v>
      </x:c>
      <x:c r="G30" s="24" t="str">
        <x:v>Other demersal invertebrates</x:v>
      </x:c>
      <x:c r="H30" s="24" t="str">
        <x:v>Molluscs</x:v>
      </x:c>
      <x:c r="I30" s="31" t="n">
        <x:v>6.2395494135</x:v>
      </x:c>
      <x:c r="J30" s="31" t="n">
        <x:v>0</x:v>
      </x:c>
      <x:c r="K30" s="31" t="n">
        <x:v>6.2395494135</x:v>
      </x:c>
      <x:c r="L30" s="31" t="n">
        <x:v>0</x:v>
      </x:c>
      <x:c r="M30" s="31" t="n">
        <x:v>6.2395494135</x:v>
      </x:c>
      <x:c r="N30" s="24" t="str">
        <x:v>bolinus brandaris</x:v>
      </x:c>
      <x:c r="O30" s="32" t="n">
        <x:v>3.23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Bolinus brandaris</x:v>
      </x:c>
      <x:c r="T30" s="32" t="n">
        <x:f>IF(O30="","",(1/'Metadata'!$B$5)^(O30-1))</x:f>
        <x:v>169.82436524617444</x:v>
      </x:c>
      <x:c r="U30" s="31" t="n">
        <x:f>IF(T30="","",I30*T30)</x:f>
        <x:v>1059.6275185697775</x:v>
      </x:c>
    </x:row>
    <x:row r="31" ht="18" customHeight="1">
      <x:c r="A31" s="24" t="str">
        <x:v>EEZ_198</x:v>
      </x:c>
      <x:c r="B31" s="24" t="str">
        <x:v>Cyprus (South)</x:v>
      </x:c>
      <x:c r="C31" s="24" t="str">
        <x:v>EEZ</x:v>
      </x:c>
      <x:c r="D31" s="30" t="n">
        <x:v>2019</x:v>
      </x:c>
      <x:c r="E31" s="24" t="str">
        <x:v>Trachurus</x:v>
      </x:c>
      <x:c r="F31" s="24" t="str">
        <x:v>Jacks, horse mackerels</x:v>
      </x:c>
      <x:c r="G31" s="24" t="str">
        <x:v>Medium pelagics (30 - 89 cm)</x:v>
      </x:c>
      <x:c r="H31" s="24" t="str">
        <x:v>Perch-likes</x:v>
      </x:c>
      <x:c r="I31" s="31" t="n">
        <x:v>5.8259043975</x:v>
      </x:c>
      <x:c r="J31" s="31" t="n">
        <x:v>5.8259043975</x:v>
      </x:c>
      <x:c r="K31" s="31" t="n">
        <x:v>0</x:v>
      </x:c>
      <x:c r="L31" s="31" t="n">
        <x:v>5</x:v>
      </x:c>
      <x:c r="M31" s="31" t="n">
        <x:v>0.8259043975</x:v>
      </x:c>
      <x:c r="N31" s="24" t="str">
        <x:v>trachurus</x:v>
      </x:c>
      <x:c r="O31" s="32" t="n">
        <x:v>3.69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Trachurus</x:v>
      </x:c>
      <x:c r="T31" s="32" t="n">
        <x:f>IF(O31="","",(1/'Metadata'!$B$5)^(O31-1))</x:f>
        <x:v>489.77881936844614</x:v>
      </x:c>
      <x:c r="U31" s="31" t="n">
        <x:f>IF(T31="","",I31*T31)</x:f>
        <x:v>2853.404577560989</x:v>
      </x:c>
    </x:row>
    <x:row r="32" ht="18" customHeight="1">
      <x:c r="A32" s="24" t="str">
        <x:v>EEZ_198</x:v>
      </x:c>
      <x:c r="B32" s="24" t="str">
        <x:v>Cyprus (South)</x:v>
      </x:c>
      <x:c r="C32" s="24" t="str">
        <x:v>EEZ</x:v>
      </x:c>
      <x:c r="D32" s="30" t="n">
        <x:v>2019</x:v>
      </x:c>
      <x:c r="E32" s="24" t="str">
        <x:v>Pagrus pagrus</x:v>
      </x:c>
      <x:c r="F32" s="24" t="str">
        <x:v>Red porgy</x:v>
      </x:c>
      <x:c r="G32" s="24" t="str">
        <x:v>Medium benthopelagics (30 - 89 cm)</x:v>
      </x:c>
      <x:c r="H32" s="24" t="str">
        <x:v>Perch-likes</x:v>
      </x:c>
      <x:c r="I32" s="31" t="n">
        <x:v>5.762708729400001</x:v>
      </x:c>
      <x:c r="J32" s="31" t="n">
        <x:v>5.762708729400001</x:v>
      </x:c>
      <x:c r="K32" s="31" t="n">
        <x:v>0</x:v>
      </x:c>
      <x:c r="L32" s="31" t="n">
        <x:v>4</x:v>
      </x:c>
      <x:c r="M32" s="31" t="n">
        <x:v>1.7627087294000001</x:v>
      </x:c>
      <x:c r="N32" s="24" t="str">
        <x:v>pagrus pagrus</x:v>
      </x:c>
      <x:c r="O32" s="32" t="n">
        <x:v>3.86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Pagrus pagrus</x:v>
      </x:c>
      <x:c r="T32" s="32" t="n">
        <x:f>IF(O32="","",(1/'Metadata'!$B$5)^(O32-1))</x:f>
        <x:v>724.4359600749899</x:v>
      </x:c>
      <x:c r="U32" s="31" t="n">
        <x:f>IF(T32="","",I32*T32)</x:f>
        <x:v>4174.713431015415</x:v>
      </x:c>
    </x:row>
    <x:row r="33" ht="18" customHeight="1">
      <x:c r="A33" s="24" t="str">
        <x:v>EEZ_198</x:v>
      </x:c>
      <x:c r="B33" s="24" t="str">
        <x:v>Cyprus (South)</x:v>
      </x:c>
      <x:c r="C33" s="24" t="str">
        <x:v>EEZ</x:v>
      </x:c>
      <x:c r="D33" s="30" t="n">
        <x:v>2019</x:v>
      </x:c>
      <x:c r="E33" s="24" t="str">
        <x:v>Triglidae</x:v>
      </x:c>
      <x:c r="F33" s="24" t="str">
        <x:v>Searobins, gurnards</x:v>
      </x:c>
      <x:c r="G33" s="24" t="str">
        <x:v>Medium demersals (30 - 89 cm)</x:v>
      </x:c>
      <x:c r="H33" s="24" t="str">
        <x:v>Scorpionfishes</x:v>
      </x:c>
      <x:c r="I33" s="31" t="n">
        <x:v>4.7664137198</x:v>
      </x:c>
      <x:c r="J33" s="31" t="n">
        <x:v>4.7664137198</x:v>
      </x:c>
      <x:c r="K33" s="31" t="n">
        <x:v>0</x:v>
      </x:c>
      <x:c r="L33" s="31" t="n">
        <x:v>4</x:v>
      </x:c>
      <x:c r="M33" s="31" t="n">
        <x:v>0.7664137198000001</x:v>
      </x:c>
      <x:c r="N33" s="24" t="str">
        <x:v>triglidae</x:v>
      </x:c>
      <x:c r="O33" s="32" t="n">
        <x:v>3.74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Triglidae</x:v>
      </x:c>
      <x:c r="T33" s="32" t="n">
        <x:f>IF(O33="","",(1/'Metadata'!$B$5)^(O33-1))</x:f>
        <x:v>549.5408738576248</x:v>
      </x:c>
      <x:c r="U33" s="31" t="n">
        <x:f>IF(T33="","",I33*T33)</x:f>
        <x:v>2619.339160745864</x:v>
      </x:c>
    </x:row>
    <x:row r="34" ht="18" customHeight="1">
      <x:c r="A34" s="24" t="str">
        <x:v>EEZ_198</x:v>
      </x:c>
      <x:c r="B34" s="24" t="str">
        <x:v>Cyprus (South)</x:v>
      </x:c>
      <x:c r="C34" s="24" t="str">
        <x:v>EEZ</x:v>
      </x:c>
      <x:c r="D34" s="30" t="n">
        <x:v>2019</x:v>
      </x:c>
      <x:c r="E34" s="24" t="str">
        <x:v>Serranus scriba</x:v>
      </x:c>
      <x:c r="F34" s="24" t="str">
        <x:v>Painted comber</x:v>
      </x:c>
      <x:c r="G34" s="24" t="str">
        <x:v>Medium demersals (30 - 89 cm)</x:v>
      </x:c>
      <x:c r="H34" s="24" t="str">
        <x:v>Perch-likes</x:v>
      </x:c>
      <x:c r="I34" s="31" t="n">
        <x:v>4.648060275</x:v>
      </x:c>
      <x:c r="J34" s="31" t="n">
        <x:v>4.648060275</x:v>
      </x:c>
      <x:c r="K34" s="31" t="n">
        <x:v>0</x:v>
      </x:c>
      <x:c r="L34" s="31" t="n">
        <x:v>4</x:v>
      </x:c>
      <x:c r="M34" s="31" t="n">
        <x:v>0.648060275</x:v>
      </x:c>
      <x:c r="N34" s="24" t="str">
        <x:v>serranus scriba</x:v>
      </x:c>
      <x:c r="O34" s="32" t="n">
        <x:v>3.82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Serranus scriba</x:v>
      </x:c>
      <x:c r="T34" s="32" t="n">
        <x:f>IF(O34="","",(1/'Metadata'!$B$5)^(O34-1))</x:f>
        <x:v>660.6934480075957</x:v>
      </x:c>
      <x:c r="U34" s="31" t="n">
        <x:f>IF(T34="","",I34*T34)</x:f>
        <x:v>3070.9429696368834</x:v>
      </x:c>
    </x:row>
    <x:row r="35" ht="18" customHeight="1">
      <x:c r="A35" s="24" t="str">
        <x:v>EEZ_198</x:v>
      </x:c>
      <x:c r="B35" s="24" t="str">
        <x:v>Cyprus (South)</x:v>
      </x:c>
      <x:c r="C35" s="24" t="str">
        <x:v>EEZ</x:v>
      </x:c>
      <x:c r="D35" s="30" t="n">
        <x:v>2019</x:v>
      </x:c>
      <x:c r="E35" s="24" t="str">
        <x:v>Sphyraenidae</x:v>
      </x:c>
      <x:c r="F35" s="24" t="str">
        <x:v>Barracudas</x:v>
      </x:c>
      <x:c r="G35" s="24" t="str">
        <x:v>Medium reef assoc. fish (30 - 89 cm)</x:v>
      </x:c>
      <x:c r="H35" s="24" t="str">
        <x:v>Perch-likes</x:v>
      </x:c>
      <x:c r="I35" s="31" t="n">
        <x:v>4.6316245187</x:v>
      </x:c>
      <x:c r="J35" s="31" t="n">
        <x:v>4.6316245187</x:v>
      </x:c>
      <x:c r="K35" s="31" t="n">
        <x:v>0</x:v>
      </x:c>
      <x:c r="L35" s="31" t="n">
        <x:v>3</x:v>
      </x:c>
      <x:c r="M35" s="31" t="n">
        <x:v>1.6316245187</x:v>
      </x:c>
      <x:c r="N35" s="24" t="str">
        <x:v>sphyraenidae</x:v>
      </x:c>
      <x:c r="O35" s="32" t="n">
        <x:v>4.4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Sphyraenidae</x:v>
      </x:c>
      <x:c r="T35" s="32" t="n">
        <x:f>IF(O35="","",(1/'Metadata'!$B$5)^(O35-1))</x:f>
        <x:v>2511.886431509582</x:v>
      </x:c>
      <x:c r="U35" s="31" t="n">
        <x:f>IF(T35="","",I35*T35)</x:f>
        <x:v>11634.114784369627</x:v>
      </x:c>
    </x:row>
    <x:row r="36" ht="18" customHeight="1">
      <x:c r="A36" s="24" t="str">
        <x:v>EEZ_198</x:v>
      </x:c>
      <x:c r="B36" s="24" t="str">
        <x:v>Cyprus (South)</x:v>
      </x:c>
      <x:c r="C36" s="24" t="str">
        <x:v>EEZ</x:v>
      </x:c>
      <x:c r="D36" s="30" t="n">
        <x:v>2019</x:v>
      </x:c>
      <x:c r="E36" s="24" t="str">
        <x:v>Miscellaneous marine crustaceans</x:v>
      </x:c>
      <x:c r="F36" s="24" t="str">
        <x:v>Marine crabs, shrimps, lobsters nei</x:v>
      </x:c>
      <x:c r="G36" s="24" t="str">
        <x:v>Shrimps</x:v>
      </x:c>
      <x:c r="H36" s="24" t="str">
        <x:v>Crustaceans</x:v>
      </x:c>
      <x:c r="I36" s="31" t="n">
        <x:v>4</x:v>
      </x:c>
      <x:c r="J36" s="31" t="n">
        <x:v>4</x:v>
      </x:c>
      <x:c r="K36" s="31" t="n">
        <x:v>0</x:v>
      </x:c>
      <x:c r="L36" s="31" t="n">
        <x:v>4</x:v>
      </x:c>
      <x:c r="M36" s="31" t="n">
        <x:v>0</x:v>
      </x:c>
      <x:c r="N36" s="24" t="str">
        <x:v>miscellaneous marine crustaceans</x:v>
      </x:c>
      <x:c r="O36" s="32" t="n">
        <x:v>2.7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Miscellaneous marine crustaceans</x:v>
      </x:c>
      <x:c r="T36" s="32" t="n">
        <x:f>IF(O36="","",(1/'Metadata'!$B$5)^(O36-1))</x:f>
        <x:v>50.11872336272725</x:v>
      </x:c>
      <x:c r="U36" s="31" t="n">
        <x:f>IF(T36="","",I36*T36)</x:f>
        <x:v>200.474893450909</x:v>
      </x:c>
    </x:row>
    <x:row r="37" ht="18" customHeight="1">
      <x:c r="A37" s="24" t="str">
        <x:v>EEZ_198</x:v>
      </x:c>
      <x:c r="B37" s="24" t="str">
        <x:v>Cyprus (South)</x:v>
      </x:c>
      <x:c r="C37" s="24" t="str">
        <x:v>EEZ</x:v>
      </x:c>
      <x:c r="D37" s="30" t="n">
        <x:v>2019</x:v>
      </x:c>
      <x:c r="E37" s="24" t="str">
        <x:v>Parapenaeus longirostris</x:v>
      </x:c>
      <x:c r="F37" s="24" t="str">
        <x:v>Deepwater rose shrimp</x:v>
      </x:c>
      <x:c r="G37" s="24" t="str">
        <x:v>Shrimps</x:v>
      </x:c>
      <x:c r="H37" s="24" t="str">
        <x:v>Crustaceans</x:v>
      </x:c>
      <x:c r="I37" s="31" t="n">
        <x:v>3.7733447821</x:v>
      </x:c>
      <x:c r="J37" s="31" t="n">
        <x:v>3.7733447821</x:v>
      </x:c>
      <x:c r="K37" s="31" t="n">
        <x:v>0</x:v>
      </x:c>
      <x:c r="L37" s="31" t="n">
        <x:v>3</x:v>
      </x:c>
      <x:c r="M37" s="31" t="n">
        <x:v>0.7733447821</x:v>
      </x:c>
      <x:c r="N37" s="24" t="str">
        <x:v>parapenaeus longirostris</x:v>
      </x:c>
      <x:c r="O37" s="32" t="n">
        <x:v>3.3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Parapenaeus longirostris</x:v>
      </x:c>
      <x:c r="T37" s="32" t="n">
        <x:f>IF(O37="","",(1/'Metadata'!$B$5)^(O37-1))</x:f>
        <x:v>199.52623149688787</x:v>
      </x:c>
      <x:c r="U37" s="31" t="n">
        <x:f>IF(T37="","",I37*T37)</x:f>
        <x:v>752.8812645108586</x:v>
      </x:c>
    </x:row>
    <x:row r="38" ht="18" customHeight="1">
      <x:c r="A38" s="24" t="str">
        <x:v>EEZ_198</x:v>
      </x:c>
      <x:c r="B38" s="24" t="str">
        <x:v>Cyprus (South)</x:v>
      </x:c>
      <x:c r="C38" s="24" t="str">
        <x:v>EEZ</x:v>
      </x:c>
      <x:c r="D38" s="30" t="n">
        <x:v>2019</x:v>
      </x:c>
      <x:c r="E38" s="24" t="str">
        <x:v>Murex</x:v>
      </x:c>
      <x:c r="F38" s="24" t="str">
        <x:v>Murex shells</x:v>
      </x:c>
      <x:c r="G38" s="24" t="str">
        <x:v>Other demersal invertebrates</x:v>
      </x:c>
      <x:c r="H38" s="24" t="str">
        <x:v>Molluscs</x:v>
      </x:c>
      <x:c r="I38" s="31" t="n">
        <x:v>3.7437301261000004</x:v>
      </x:c>
      <x:c r="J38" s="31" t="n">
        <x:v>0</x:v>
      </x:c>
      <x:c r="K38" s="31" t="n">
        <x:v>3.7437301261000004</x:v>
      </x:c>
      <x:c r="L38" s="31" t="n">
        <x:v>0</x:v>
      </x:c>
      <x:c r="M38" s="31" t="n">
        <x:v>3.7437301261000004</x:v>
      </x:c>
      <x:c r="N38" s="24" t="str">
        <x:v>murex</x:v>
      </x:c>
      <x:c r="O38" s="32" t="n">
        <x:v>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Murex</x:v>
      </x:c>
      <x:c r="T38" s="32" t="n">
        <x:f>IF(O38="","",(1/'Metadata'!$B$5)^(O38-1))</x:f>
        <x:v>10</x:v>
      </x:c>
      <x:c r="U38" s="31" t="n">
        <x:f>IF(T38="","",I38*T38)</x:f>
        <x:v>37.437301261</x:v>
      </x:c>
    </x:row>
    <x:row r="39" ht="18" customHeight="1">
      <x:c r="A39" s="24" t="str">
        <x:v>EEZ_198</x:v>
      </x:c>
      <x:c r="B39" s="24" t="str">
        <x:v>Cyprus (South)</x:v>
      </x:c>
      <x:c r="C39" s="24" t="str">
        <x:v>EEZ</x:v>
      </x:c>
      <x:c r="D39" s="30" t="n">
        <x:v>2019</x:v>
      </x:c>
      <x:c r="E39" s="24" t="str">
        <x:v>Echinoidea</x:v>
      </x:c>
      <x:c r="F39" s="24" t="str">
        <x:v>Sea urchins, sea hedgehogs</x:v>
      </x:c>
      <x:c r="G39" s="24" t="str">
        <x:v>Other demersal invertebrates</x:v>
      </x:c>
      <x:c r="H39" s="24" t="str">
        <x:v>Other fishes &amp; inverts</x:v>
      </x:c>
      <x:c r="I39" s="31" t="n">
        <x:v>3.7437301261</x:v>
      </x:c>
      <x:c r="J39" s="31" t="n">
        <x:v>0</x:v>
      </x:c>
      <x:c r="K39" s="31" t="n">
        <x:v>3.7437301261</x:v>
      </x:c>
      <x:c r="L39" s="31" t="n">
        <x:v>0</x:v>
      </x:c>
      <x:c r="M39" s="31" t="n">
        <x:v>3.7437301261</x:v>
      </x:c>
      <x:c r="N39" s="24" t="str">
        <x:v>echinoidea</x:v>
      </x:c>
      <x:c r="O39" s="32" t="n">
        <x:v>2.51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Echinoidea</x:v>
      </x:c>
      <x:c r="T39" s="32" t="n">
        <x:f>IF(O39="","",(1/'Metadata'!$B$5)^(O39-1))</x:f>
        <x:v>32.35936569296281</x:v>
      </x:c>
      <x:c r="U39" s="31" t="n">
        <x:f>IF(T39="","",I39*T39)</x:f>
        <x:v>121.14473220623168</x:v>
      </x:c>
    </x:row>
    <x:row r="40" ht="18" customHeight="1">
      <x:c r="A40" s="24" t="str">
        <x:v>EEZ_198</x:v>
      </x:c>
      <x:c r="B40" s="24" t="str">
        <x:v>Cyprus (South)</x:v>
      </x:c>
      <x:c r="C40" s="24" t="str">
        <x:v>EEZ</x:v>
      </x:c>
      <x:c r="D40" s="30" t="n">
        <x:v>2019</x:v>
      </x:c>
      <x:c r="E40" s="24" t="str">
        <x:v>Euthynnus alletteratus</x:v>
      </x:c>
      <x:c r="F40" s="24" t="str">
        <x:v>Little tunny </x:v>
      </x:c>
      <x:c r="G40" s="24" t="str">
        <x:v>Large pelagics (&gt;=90 cm)</x:v>
      </x:c>
      <x:c r="H40" s="24" t="str">
        <x:v>Tuna &amp; billfishes</x:v>
      </x:c>
      <x:c r="I40" s="31" t="n">
        <x:v>3.7338410861</x:v>
      </x:c>
      <x:c r="J40" s="31" t="n">
        <x:v>3.7338410861</x:v>
      </x:c>
      <x:c r="K40" s="31" t="n">
        <x:v>0</x:v>
      </x:c>
      <x:c r="L40" s="31" t="n">
        <x:v>2.8752429150000003</x:v>
      </x:c>
      <x:c r="M40" s="31" t="n">
        <x:v>0.8585981711</x:v>
      </x:c>
      <x:c r="N40" s="24" t="str">
        <x:v>euthynnus alletteratus</x:v>
      </x:c>
      <x:c r="O40" s="32" t="n">
        <x:v>4.49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Euthynnus alletteratus</x:v>
      </x:c>
      <x:c r="T40" s="32" t="n">
        <x:f>IF(O40="","",(1/'Metadata'!$B$5)^(O40-1))</x:f>
        <x:v>3090.295432513592</x:v>
      </x:c>
      <x:c r="U40" s="31" t="n">
        <x:f>IF(T40="","",I40*T40)</x:f>
        <x:v>11538.672054106419</x:v>
      </x:c>
    </x:row>
    <x:row r="41" ht="18" customHeight="1">
      <x:c r="A41" s="24" t="str">
        <x:v>EEZ_198</x:v>
      </x:c>
      <x:c r="B41" s="24" t="str">
        <x:v>Cyprus (South)</x:v>
      </x:c>
      <x:c r="C41" s="24" t="str">
        <x:v>EEZ</x:v>
      </x:c>
      <x:c r="D41" s="30" t="n">
        <x:v>2019</x:v>
      </x:c>
      <x:c r="E41" s="24" t="str">
        <x:v>Dicentrarchus labrax</x:v>
      </x:c>
      <x:c r="F41" s="24" t="str">
        <x:v>European seabass</x:v>
      </x:c>
      <x:c r="G41" s="24" t="str">
        <x:v>Large demersals (&gt;=90 cm)</x:v>
      </x:c>
      <x:c r="H41" s="24" t="str">
        <x:v>Perch-likes</x:v>
      </x:c>
      <x:c r="I41" s="31" t="n">
        <x:v>3.6616310301999997</x:v>
      </x:c>
      <x:c r="J41" s="31" t="n">
        <x:v>3.6616310301999997</x:v>
      </x:c>
      <x:c r="K41" s="31" t="n">
        <x:v>0</x:v>
      </x:c>
      <x:c r="L41" s="31" t="n">
        <x:v>3</x:v>
      </x:c>
      <x:c r="M41" s="31" t="n">
        <x:v>0.6616310301999999</x:v>
      </x:c>
      <x:c r="N41" s="24" t="str">
        <x:v>dicentrarchus labrax</x:v>
      </x:c>
      <x:c r="O41" s="32" t="n">
        <x:v>3.79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Dicentrarchus labrax</x:v>
      </x:c>
      <x:c r="T41" s="32" t="n">
        <x:f>IF(O41="","",(1/'Metadata'!$B$5)^(O41-1))</x:f>
        <x:v>616.5950018614822</x:v>
      </x:c>
      <x:c r="U41" s="31" t="n">
        <x:f>IF(T41="","",I41*T41)</x:f>
        <x:v>2257.74339188223</x:v>
      </x:c>
    </x:row>
    <x:row r="42" ht="18" customHeight="1">
      <x:c r="A42" s="24" t="str">
        <x:v>EEZ_198</x:v>
      </x:c>
      <x:c r="B42" s="24" t="str">
        <x:v>Cyprus (South)</x:v>
      </x:c>
      <x:c r="C42" s="24" t="str">
        <x:v>EEZ</x:v>
      </x:c>
      <x:c r="D42" s="30" t="n">
        <x:v>2019</x:v>
      </x:c>
      <x:c r="E42" s="24" t="str">
        <x:v>Lithognathus mormyrus</x:v>
      </x:c>
      <x:c r="F42" s="24" t="str">
        <x:v>Sand steenbras</x:v>
      </x:c>
      <x:c r="G42" s="24" t="str">
        <x:v>Medium benthopelagics (30 - 89 cm)</x:v>
      </x:c>
      <x:c r="H42" s="24" t="str">
        <x:v>Perch-likes</x:v>
      </x:c>
      <x:c r="I42" s="31" t="n">
        <x:v>3.3428715637</x:v>
      </x:c>
      <x:c r="J42" s="31" t="n">
        <x:v>3.3428715637</x:v>
      </x:c>
      <x:c r="K42" s="31" t="n">
        <x:v>0</x:v>
      </x:c>
      <x:c r="L42" s="31" t="n">
        <x:v>1</x:v>
      </x:c>
      <x:c r="M42" s="31" t="n">
        <x:v>2.3428715637</x:v>
      </x:c>
      <x:c r="N42" s="24" t="str">
        <x:v>lithognathus mormyrus</x:v>
      </x:c>
      <x:c r="O42" s="32" t="n">
        <x:v>3.42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Lithognathus mormyrus</x:v>
      </x:c>
      <x:c r="T42" s="32" t="n">
        <x:f>IF(O42="","",(1/'Metadata'!$B$5)^(O42-1))</x:f>
        <x:v>263.02679918953817</x:v>
      </x:c>
      <x:c r="U42" s="31" t="n">
        <x:f>IF(T42="","",I42*T42)</x:f>
        <x:v>879.2648075017374</x:v>
      </x:c>
    </x:row>
    <x:row r="43" ht="18" customHeight="1">
      <x:c r="A43" s="24" t="str">
        <x:v>EEZ_198</x:v>
      </x:c>
      <x:c r="B43" s="24" t="str">
        <x:v>Cyprus (South)</x:v>
      </x:c>
      <x:c r="C43" s="24" t="str">
        <x:v>EEZ</x:v>
      </x:c>
      <x:c r="D43" s="30" t="n">
        <x:v>2019</x:v>
      </x:c>
      <x:c r="E43" s="24" t="str">
        <x:v>Dentex dentex</x:v>
      </x:c>
      <x:c r="F43" s="24" t="str">
        <x:v>Common dentex</x:v>
      </x:c>
      <x:c r="G43" s="24" t="str">
        <x:v>Large benthopelagics (&gt;=90 cm)</x:v>
      </x:c>
      <x:c r="H43" s="24" t="str">
        <x:v>Perch-likes</x:v>
      </x:c>
      <x:c r="I43" s="31" t="n">
        <x:v>3.1357739902</x:v>
      </x:c>
      <x:c r="J43" s="31" t="n">
        <x:v>3.1357739902</x:v>
      </x:c>
      <x:c r="K43" s="31" t="n">
        <x:v>0</x:v>
      </x:c>
      <x:c r="L43" s="31" t="n">
        <x:v>3</x:v>
      </x:c>
      <x:c r="M43" s="31" t="n">
        <x:v>0.1357739902</x:v>
      </x:c>
      <x:c r="N43" s="24" t="str">
        <x:v>dentex dentex</x:v>
      </x:c>
      <x:c r="O43" s="32" t="n">
        <x:v>4.53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Dentex dentex</x:v>
      </x:c>
      <x:c r="T43" s="32" t="n">
        <x:f>IF(O43="","",(1/'Metadata'!$B$5)^(O43-1))</x:f>
        <x:v>3388.4415613920273</x:v>
      </x:c>
      <x:c r="U43" s="31" t="n">
        <x:f>IF(T43="","",I43*T43)</x:f>
        <x:v>10625.386915525796</x:v>
      </x:c>
    </x:row>
    <x:row r="44" ht="18" customHeight="1">
      <x:c r="A44" s="24" t="str">
        <x:v>EEZ_198</x:v>
      </x:c>
      <x:c r="B44" s="24" t="str">
        <x:v>Cyprus (South)</x:v>
      </x:c>
      <x:c r="C44" s="24" t="str">
        <x:v>EEZ</x:v>
      </x:c>
      <x:c r="D44" s="30" t="n">
        <x:v>2019</x:v>
      </x:c>
      <x:c r="E44" s="24" t="str">
        <x:v>Alopias</x:v>
      </x:c>
      <x:c r="F44" s="24" t="str">
        <x:v>Thresher sharks</x:v>
      </x:c>
      <x:c r="G44" s="24" t="str">
        <x:v>Large sharks (&gt;=90 cm)</x:v>
      </x:c>
      <x:c r="H44" s="24" t="str">
        <x:v>Sharks &amp; rays</x:v>
      </x:c>
      <x:c r="I44" s="31" t="n">
        <x:v>3.0451033645</x:v>
      </x:c>
      <x:c r="J44" s="31" t="n">
        <x:v>0</x:v>
      </x:c>
      <x:c r="K44" s="31" t="n">
        <x:v>3.0451033645</x:v>
      </x:c>
      <x:c r="L44" s="31" t="n">
        <x:v>0</x:v>
      </x:c>
      <x:c r="M44" s="31" t="n">
        <x:v>3.0451033645</x:v>
      </x:c>
      <x:c r="N44" s="24" t="str">
        <x:v>alopias</x:v>
      </x:c>
      <x:c r="O44" s="32" t="n">
        <x:v>4.5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Alopias</x:v>
      </x:c>
      <x:c r="T44" s="32" t="n">
        <x:f>IF(O44="","",(1/'Metadata'!$B$5)^(O44-1))</x:f>
        <x:v>3162.2776601683795</x:v>
      </x:c>
      <x:c r="U44" s="31" t="n">
        <x:f>IF(T44="","",I44*T44)</x:f>
        <x:v>9629.46234246192</x:v>
      </x:c>
    </x:row>
    <x:row r="45" ht="18" customHeight="1">
      <x:c r="A45" s="24" t="str">
        <x:v>EEZ_198</x:v>
      </x:c>
      <x:c r="B45" s="24" t="str">
        <x:v>Cyprus (South)</x:v>
      </x:c>
      <x:c r="C45" s="24" t="str">
        <x:v>EEZ</x:v>
      </x:c>
      <x:c r="D45" s="30" t="n">
        <x:v>2019</x:v>
      </x:c>
      <x:c r="E45" s="24" t="str">
        <x:v>Maja squinado</x:v>
      </x:c>
      <x:c r="F45" s="24" t="str">
        <x:v>Spinous spider crab</x:v>
      </x:c>
      <x:c r="G45" s="24" t="str">
        <x:v>Lobsters, crabs</x:v>
      </x:c>
      <x:c r="H45" s="24" t="str">
        <x:v>Crustaceans</x:v>
      </x:c>
      <x:c r="I45" s="31" t="n">
        <x:v>2.4958192875000003</x:v>
      </x:c>
      <x:c r="J45" s="31" t="n">
        <x:v>0</x:v>
      </x:c>
      <x:c r="K45" s="31" t="n">
        <x:v>2.4958192875000003</x:v>
      </x:c>
      <x:c r="L45" s="31" t="n">
        <x:v>0</x:v>
      </x:c>
      <x:c r="M45" s="31" t="n">
        <x:v>2.4958192875000003</x:v>
      </x:c>
      <x:c r="N45" s="24" t="str">
        <x:v>maja squinado</x:v>
      </x:c>
      <x:c r="O45" s="32" t="n">
        <x:v>2.94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Maja squinado</x:v>
      </x:c>
      <x:c r="T45" s="32" t="n">
        <x:f>IF(O45="","",(1/'Metadata'!$B$5)^(O45-1))</x:f>
        <x:v>87.09635899560806</x:v>
      </x:c>
      <x:c r="U45" s="31" t="n">
        <x:f>IF(T45="","",I45*T45)</x:f>
        <x:v>217.37677265226273</x:v>
      </x:c>
    </x:row>
    <x:row r="46" ht="18" customHeight="1">
      <x:c r="A46" s="24" t="str">
        <x:v>EEZ_198</x:v>
      </x:c>
      <x:c r="B46" s="24" t="str">
        <x:v>Cyprus (South)</x:v>
      </x:c>
      <x:c r="C46" s="24" t="str">
        <x:v>EEZ</x:v>
      </x:c>
      <x:c r="D46" s="30" t="n">
        <x:v>2019</x:v>
      </x:c>
      <x:c r="E46" s="24" t="str">
        <x:v>Zeus faber</x:v>
      </x:c>
      <x:c r="F46" s="24" t="str">
        <x:v>John dory</x:v>
      </x:c>
      <x:c r="G46" s="24" t="str">
        <x:v>Medium benthopelagics (30 - 89 cm)</x:v>
      </x:c>
      <x:c r="H46" s="24" t="str">
        <x:v>Other fishes &amp; inverts</x:v>
      </x:c>
      <x:c r="I46" s="31" t="n">
        <x:v>2.4903877605</x:v>
      </x:c>
      <x:c r="J46" s="31" t="n">
        <x:v>2.4903877605</x:v>
      </x:c>
      <x:c r="K46" s="31" t="n">
        <x:v>0</x:v>
      </x:c>
      <x:c r="L46" s="31" t="n">
        <x:v>2</x:v>
      </x:c>
      <x:c r="M46" s="31" t="n">
        <x:v>0.4903877605</x:v>
      </x:c>
      <x:c r="N46" s="24" t="str">
        <x:v>zeus faber</x:v>
      </x:c>
      <x:c r="O46" s="32" t="n">
        <x:v>4.5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Zeus faber</x:v>
      </x:c>
      <x:c r="T46" s="32" t="n">
        <x:f>IF(O46="","",(1/'Metadata'!$B$5)^(O46-1))</x:f>
        <x:v>3162.2776601683795</x:v>
      </x:c>
      <x:c r="U46" s="31" t="n">
        <x:f>IF(T46="","",I46*T46)</x:f>
        <x:v>7875.29758018591</x:v>
      </x:c>
    </x:row>
    <x:row r="47" ht="18" customHeight="1">
      <x:c r="A47" s="24" t="str">
        <x:v>EEZ_198</x:v>
      </x:c>
      <x:c r="B47" s="24" t="str">
        <x:v>Cyprus (South)</x:v>
      </x:c>
      <x:c r="C47" s="24" t="str">
        <x:v>EEZ</x:v>
      </x:c>
      <x:c r="D47" s="30" t="n">
        <x:v>2019</x:v>
      </x:c>
      <x:c r="E47" s="24" t="str">
        <x:v>Ruvettus pretiosus</x:v>
      </x:c>
      <x:c r="F47" s="24" t="str">
        <x:v>Oilfish</x:v>
      </x:c>
      <x:c r="G47" s="24" t="str">
        <x:v>Large benthopelagics (&gt;=90 cm)</x:v>
      </x:c>
      <x:c r="H47" s="24" t="str">
        <x:v>Perch-likes</x:v>
      </x:c>
      <x:c r="I47" s="31" t="n">
        <x:v>2.4047477434</x:v>
      </x:c>
      <x:c r="J47" s="31" t="n">
        <x:v>2.4047477434</x:v>
      </x:c>
      <x:c r="K47" s="31" t="n">
        <x:v>0</x:v>
      </x:c>
      <x:c r="L47" s="31" t="n">
        <x:v>2</x:v>
      </x:c>
      <x:c r="M47" s="31" t="n">
        <x:v>0.4047477434</x:v>
      </x:c>
      <x:c r="N47" s="24" t="str">
        <x:v>ruvettus pretiosus</x:v>
      </x:c>
      <x:c r="O47" s="32" t="n">
        <x:v>4.18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Ruvettus pretiosus</x:v>
      </x:c>
      <x:c r="T47" s="32" t="n">
        <x:f>IF(O47="","",(1/'Metadata'!$B$5)^(O47-1))</x:f>
        <x:v>1513.5612484362073</x:v>
      </x:c>
      <x:c r="U47" s="31" t="n">
        <x:f>IF(T47="","",I47*T47)</x:f>
        <x:v>3639.7329966746565</x:v>
      </x:c>
    </x:row>
    <x:row r="48" ht="18" customHeight="1">
      <x:c r="A48" s="24" t="str">
        <x:v>EEZ_198</x:v>
      </x:c>
      <x:c r="B48" s="24" t="str">
        <x:v>Cyprus (South)</x:v>
      </x:c>
      <x:c r="C48" s="24" t="str">
        <x:v>EEZ</x:v>
      </x:c>
      <x:c r="D48" s="30" t="n">
        <x:v>2019</x:v>
      </x:c>
      <x:c r="E48" s="24" t="str">
        <x:v>Illex coindetii</x:v>
      </x:c>
      <x:c r="F48" s="24" t="str">
        <x:v>Broadtail shortfin squid</x:v>
      </x:c>
      <x:c r="G48" s="24" t="str">
        <x:v>Cephalopods</x:v>
      </x:c>
      <x:c r="H48" s="24" t="str">
        <x:v>Other fishes &amp; inverts</x:v>
      </x:c>
      <x:c r="I48" s="31" t="n">
        <x:v>2.3967379837</x:v>
      </x:c>
      <x:c r="J48" s="31" t="n">
        <x:v>2.3967379837</x:v>
      </x:c>
      <x:c r="K48" s="31" t="n">
        <x:v>0</x:v>
      </x:c>
      <x:c r="L48" s="31" t="n">
        <x:v>2</x:v>
      </x:c>
      <x:c r="M48" s="31" t="n">
        <x:v>0.3967379837</x:v>
      </x:c>
      <x:c r="N48" s="24" t="str">
        <x:v>illex coindetii</x:v>
      </x:c>
      <x:c r="O48" s="32" t="n">
        <x:v>4.11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Illex coindetii</x:v>
      </x:c>
      <x:c r="T48" s="32" t="n">
        <x:f>IF(O48="","",(1/'Metadata'!$B$5)^(O48-1))</x:f>
        <x:v>1288.249551693135</x:v>
      </x:c>
      <x:c r="U48" s="31" t="n">
        <x:f>IF(T48="","",I48*T48)</x:f>
        <x:v>3087.596633027433</x:v>
      </x:c>
    </x:row>
    <x:row r="49" ht="18" customHeight="1">
      <x:c r="A49" s="24" t="str">
        <x:v>EEZ_198</x:v>
      </x:c>
      <x:c r="B49" s="24" t="str">
        <x:v>Cyprus (South)</x:v>
      </x:c>
      <x:c r="C49" s="24" t="str">
        <x:v>EEZ</x:v>
      </x:c>
      <x:c r="D49" s="30" t="n">
        <x:v>2019</x:v>
      </x:c>
      <x:c r="E49" s="24" t="str">
        <x:v>Labridae</x:v>
      </x:c>
      <x:c r="F49" s="24" t="str">
        <x:v>Wrasses, gropers, tuskfishes</x:v>
      </x:c>
      <x:c r="G49" s="24" t="str">
        <x:v>Medium reef assoc. fish (30 - 89 cm)</x:v>
      </x:c>
      <x:c r="H49" s="24" t="str">
        <x:v>Perch-likes</x:v>
      </x:c>
      <x:c r="I49" s="31" t="n">
        <x:v>2.2317155861</x:v>
      </x:c>
      <x:c r="J49" s="31" t="n">
        <x:v>2.2317155861</x:v>
      </x:c>
      <x:c r="K49" s="31" t="n">
        <x:v>0</x:v>
      </x:c>
      <x:c r="L49" s="31" t="n">
        <x:v>1</x:v>
      </x:c>
      <x:c r="M49" s="31" t="n">
        <x:v>1.2317155861000002</x:v>
      </x:c>
      <x:c r="N49" s="24" t="str">
        <x:v>labridae</x:v>
      </x:c>
      <x:c r="O49" s="32" t="n">
        <x:v>3.46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Labridae</x:v>
      </x:c>
      <x:c r="T49" s="32" t="n">
        <x:f>IF(O49="","",(1/'Metadata'!$B$5)^(O49-1))</x:f>
        <x:v>288.40315031266056</x:v>
      </x:c>
      <x:c r="U49" s="31" t="n">
        <x:f>IF(T49="","",I49*T49)</x:f>
        <x:v>643.6338056331057</x:v>
      </x:c>
    </x:row>
    <x:row r="50" ht="18" customHeight="1">
      <x:c r="A50" s="24" t="str">
        <x:v>EEZ_198</x:v>
      </x:c>
      <x:c r="B50" s="24" t="str">
        <x:v>Cyprus (South)</x:v>
      </x:c>
      <x:c r="C50" s="24" t="str">
        <x:v>EEZ</x:v>
      </x:c>
      <x:c r="D50" s="30" t="n">
        <x:v>2019</x:v>
      </x:c>
      <x:c r="E50" s="24" t="str">
        <x:v>Mugilidae</x:v>
      </x:c>
      <x:c r="F50" s="24" t="str">
        <x:v>Mullets, grey mullets</x:v>
      </x:c>
      <x:c r="G50" s="24" t="str">
        <x:v>Medium reef assoc. fish (30 - 89 cm)</x:v>
      </x:c>
      <x:c r="H50" s="24" t="str">
        <x:v>Perch-likes</x:v>
      </x:c>
      <x:c r="I50" s="31" t="n">
        <x:v>2.1758599069</x:v>
      </x:c>
      <x:c r="J50" s="31" t="n">
        <x:v>2.1758599069</x:v>
      </x:c>
      <x:c r="K50" s="31" t="n">
        <x:v>0</x:v>
      </x:c>
      <x:c r="L50" s="31" t="n">
        <x:v>1</x:v>
      </x:c>
      <x:c r="M50" s="31" t="n">
        <x:v>1.1758599069</x:v>
      </x:c>
      <x:c r="N50" s="24" t="str">
        <x:v>mugilidae</x:v>
      </x:c>
      <x:c r="O50" s="32" t="n">
        <x:v>2.53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Mugilidae</x:v>
      </x:c>
      <x:c r="T50" s="32" t="n">
        <x:f>IF(O50="","",(1/'Metadata'!$B$5)^(O50-1))</x:f>
        <x:v>33.88441561392024</x:v>
      </x:c>
      <x:c r="U50" s="31" t="n">
        <x:f>IF(T50="","",I50*T50)</x:f>
        <x:v>73.7277414030654</x:v>
      </x:c>
    </x:row>
    <x:row r="51" ht="18" customHeight="1">
      <x:c r="A51" s="24" t="str">
        <x:v>EEZ_198</x:v>
      </x:c>
      <x:c r="B51" s="24" t="str">
        <x:v>Cyprus (South)</x:v>
      </x:c>
      <x:c r="C51" s="24" t="str">
        <x:v>EEZ</x:v>
      </x:c>
      <x:c r="D51" s="30" t="n">
        <x:v>2019</x:v>
      </x:c>
      <x:c r="E51" s="24" t="str">
        <x:v>Mustelus</x:v>
      </x:c>
      <x:c r="F51" s="24" t="str">
        <x:v>Smoothhounds</x:v>
      </x:c>
      <x:c r="G51" s="24" t="str">
        <x:v>Large sharks (&gt;=90 cm)</x:v>
      </x:c>
      <x:c r="H51" s="24" t="str">
        <x:v>Sharks &amp; rays</x:v>
      </x:c>
      <x:c r="I51" s="31" t="n">
        <x:v>2.077885798</x:v>
      </x:c>
      <x:c r="J51" s="31" t="n">
        <x:v>2.077885798</x:v>
      </x:c>
      <x:c r="K51" s="31" t="n">
        <x:v>0</x:v>
      </x:c>
      <x:c r="L51" s="31" t="n">
        <x:v>2</x:v>
      </x:c>
      <x:c r="M51" s="31" t="n">
        <x:v>0.077885798</x:v>
      </x:c>
      <x:c r="N51" s="24" t="str">
        <x:v>mustelus</x:v>
      </x:c>
      <x:c r="O51" s="32" t="n">
        <x:v>3.73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Mustelus</x:v>
      </x:c>
      <x:c r="T51" s="32" t="n">
        <x:f>IF(O51="","",(1/'Metadata'!$B$5)^(O51-1))</x:f>
        <x:v>537.0317963702527</x:v>
      </x:c>
      <x:c r="U51" s="31" t="n">
        <x:f>IF(T51="","",I51*T51)</x:f>
        <x:v>1115.890742752176</x:v>
      </x:c>
    </x:row>
    <x:row r="52" ht="18" customHeight="1">
      <x:c r="A52" s="24" t="str">
        <x:v>EEZ_198</x:v>
      </x:c>
      <x:c r="B52" s="24" t="str">
        <x:v>Cyprus (South)</x:v>
      </x:c>
      <x:c r="C52" s="24" t="str">
        <x:v>EEZ</x:v>
      </x:c>
      <x:c r="D52" s="30" t="n">
        <x:v>2019</x:v>
      </x:c>
      <x:c r="E52" s="24" t="str">
        <x:v>Auxis</x:v>
      </x:c>
      <x:c r="F52" s="24" t="str">
        <x:v>Bullet and frigate tunas</x:v>
      </x:c>
      <x:c r="G52" s="24" t="str">
        <x:v>Medium pelagics (30 - 89 cm)</x:v>
      </x:c>
      <x:c r="H52" s="24" t="str">
        <x:v>Tuna &amp; billfishes</x:v>
      </x:c>
      <x:c r="I52" s="31" t="n">
        <x:v>2.0177794219000003</x:v>
      </x:c>
      <x:c r="J52" s="31" t="n">
        <x:v>2.0177794219000003</x:v>
      </x:c>
      <x:c r="K52" s="31" t="n">
        <x:v>0</x:v>
      </x:c>
      <x:c r="L52" s="31" t="n">
        <x:v>2</x:v>
      </x:c>
      <x:c r="M52" s="31" t="n">
        <x:v>0.0177794219</x:v>
      </x:c>
      <x:c r="N52" s="24" t="str">
        <x:v>auxis</x:v>
      </x:c>
      <x:c r="O52" s="32" t="n">
        <x:v>4.24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Auxis</x:v>
      </x:c>
      <x:c r="T52" s="32" t="n">
        <x:f>IF(O52="","",(1/'Metadata'!$B$5)^(O52-1))</x:f>
        <x:v>1737.8008287493763</x:v>
      </x:c>
      <x:c r="U52" s="31" t="n">
        <x:f>IF(T52="","",I52*T52)</x:f>
        <x:v>3506.498751611258</x:v>
      </x:c>
    </x:row>
    <x:row r="53" ht="18" customHeight="1">
      <x:c r="A53" s="24" t="str">
        <x:v>EEZ_198</x:v>
      </x:c>
      <x:c r="B53" s="24" t="str">
        <x:v>Cyprus (South)</x:v>
      </x:c>
      <x:c r="C53" s="24" t="str">
        <x:v>EEZ</x:v>
      </x:c>
      <x:c r="D53" s="30" t="n">
        <x:v>2019</x:v>
      </x:c>
      <x:c r="E53" s="24" t="str">
        <x:v>Decapoda</x:v>
      </x:c>
      <x:c r="F53" s="24" t="str">
        <x:v>Crabs, lobsters, shrimps</x:v>
      </x:c>
      <x:c r="G53" s="24" t="str">
        <x:v>Lobsters, crabs</x:v>
      </x:c>
      <x:c r="H53" s="24" t="str">
        <x:v>Crustaceans</x:v>
      </x:c>
      <x:c r="I53" s="31" t="n">
        <x:v>2</x:v>
      </x:c>
      <x:c r="J53" s="31" t="n">
        <x:v>2</x:v>
      </x:c>
      <x:c r="K53" s="31" t="n">
        <x:v>0</x:v>
      </x:c>
      <x:c r="L53" s="31" t="n">
        <x:v>2</x:v>
      </x:c>
      <x:c r="M53" s="31" t="n">
        <x:v>0</x:v>
      </x:c>
      <x:c r="N53" s="24" t="str">
        <x:v>decapoda</x:v>
      </x:c>
      <x:c r="O53" s="32" t="n">
        <x:v>3.43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Decapoda</x:v>
      </x:c>
      <x:c r="T53" s="32" t="n">
        <x:f>IF(O53="","",(1/'Metadata'!$B$5)^(O53-1))</x:f>
        <x:v>269.1534803926917</x:v>
      </x:c>
      <x:c r="U53" s="31" t="n">
        <x:f>IF(T53="","",I53*T53)</x:f>
        <x:v>538.3069607853834</x:v>
      </x:c>
    </x:row>
    <x:row r="54" ht="18" customHeight="1">
      <x:c r="A54" s="24" t="str">
        <x:v>EEZ_198</x:v>
      </x:c>
      <x:c r="B54" s="24" t="str">
        <x:v>Cyprus (South)</x:v>
      </x:c>
      <x:c r="C54" s="24" t="str">
        <x:v>EEZ</x:v>
      </x:c>
      <x:c r="D54" s="30" t="n">
        <x:v>2019</x:v>
      </x:c>
      <x:c r="E54" s="24" t="str">
        <x:v>Perciformes</x:v>
      </x:c>
      <x:c r="F54" s="24" t="str">
        <x:v>Perch-likes</x:v>
      </x:c>
      <x:c r="G54" s="24" t="str">
        <x:v>Medium demersals (30 - 89 cm)</x:v>
      </x:c>
      <x:c r="H54" s="24" t="str">
        <x:v>Perch-likes</x:v>
      </x:c>
      <x:c r="I54" s="31" t="n">
        <x:v>2</x:v>
      </x:c>
      <x:c r="J54" s="31" t="n">
        <x:v>2</x:v>
      </x:c>
      <x:c r="K54" s="31" t="n">
        <x:v>0</x:v>
      </x:c>
      <x:c r="L54" s="31" t="n">
        <x:v>2</x:v>
      </x:c>
      <x:c r="M54" s="31" t="n">
        <x:v>0</x:v>
      </x:c>
      <x:c r="N54" s="24" t="str">
        <x:v>perciformes</x:v>
      </x:c>
      <x:c r="O54" s="32" t="n">
        <x:v>3.53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Perciformes</x:v>
      </x:c>
      <x:c r="T54" s="32" t="n">
        <x:f>IF(O54="","",(1/'Metadata'!$B$5)^(O54-1))</x:f>
        <x:v>338.84415613920237</x:v>
      </x:c>
      <x:c r="U54" s="31" t="n">
        <x:f>IF(T54="","",I54*T54)</x:f>
        <x:v>677.6883122784047</x:v>
      </x:c>
    </x:row>
    <x:row r="55" ht="18" customHeight="1">
      <x:c r="A55" s="24" t="str">
        <x:v>EEZ_198</x:v>
      </x:c>
      <x:c r="B55" s="24" t="str">
        <x:v>Cyprus (South)</x:v>
      </x:c>
      <x:c r="C55" s="24" t="str">
        <x:v>EEZ</x:v>
      </x:c>
      <x:c r="D55" s="30" t="n">
        <x:v>2019</x:v>
      </x:c>
      <x:c r="E55" s="24" t="str">
        <x:v>Oblada melanurus</x:v>
      </x:c>
      <x:c r="F55" s="24" t="str">
        <x:v>Saddled seabream</x:v>
      </x:c>
      <x:c r="G55" s="24" t="str">
        <x:v>Small benthopelagics (&lt;30 cm)</x:v>
      </x:c>
      <x:c r="H55" s="24" t="str">
        <x:v>Perch-likes</x:v>
      </x:c>
      <x:c r="I55" s="31" t="n">
        <x:v>1.6873892391</x:v>
      </x:c>
      <x:c r="J55" s="31" t="n">
        <x:v>1.6873892391</x:v>
      </x:c>
      <x:c r="K55" s="31" t="n">
        <x:v>0</x:v>
      </x:c>
      <x:c r="L55" s="31" t="n">
        <x:v>1</x:v>
      </x:c>
      <x:c r="M55" s="31" t="n">
        <x:v>0.6873892391</x:v>
      </x:c>
      <x:c r="N55" s="24" t="str">
        <x:v>oblada melanurus</x:v>
      </x:c>
      <x:c r="O55" s="32" t="n">
        <x:v>3.38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Oblada melanurus</x:v>
      </x:c>
      <x:c r="T55" s="32" t="n">
        <x:f>IF(O55="","",(1/'Metadata'!$B$5)^(O55-1))</x:f>
        <x:v>239.88329190194898</x:v>
      </x:c>
      <x:c r="U55" s="31" t="n">
        <x:f>IF(T55="","",I55*T55)</x:f>
        <x:v>404.7764853952329</x:v>
      </x:c>
    </x:row>
    <x:row r="56" ht="18" customHeight="1">
      <x:c r="A56" s="24" t="str">
        <x:v>EEZ_198</x:v>
      </x:c>
      <x:c r="B56" s="24" t="str">
        <x:v>Cyprus (South)</x:v>
      </x:c>
      <x:c r="C56" s="24" t="str">
        <x:v>EEZ</x:v>
      </x:c>
      <x:c r="D56" s="30" t="n">
        <x:v>2019</x:v>
      </x:c>
      <x:c r="E56" s="24" t="str">
        <x:v>Epinephelus aeneus</x:v>
      </x:c>
      <x:c r="F56" s="24" t="str">
        <x:v>White grouper</x:v>
      </x:c>
      <x:c r="G56" s="24" t="str">
        <x:v>Large demersals (&gt;=90 cm)</x:v>
      </x:c>
      <x:c r="H56" s="24" t="str">
        <x:v>Perch-likes</x:v>
      </x:c>
      <x:c r="I56" s="31" t="n">
        <x:v>1.5031473628</x:v>
      </x:c>
      <x:c r="J56" s="31" t="n">
        <x:v>1.5031473628</x:v>
      </x:c>
      <x:c r="K56" s="31" t="n">
        <x:v>0</x:v>
      </x:c>
      <x:c r="L56" s="31" t="n">
        <x:v>1</x:v>
      </x:c>
      <x:c r="M56" s="31" t="n">
        <x:v>0.5031473628</x:v>
      </x:c>
      <x:c r="N56" s="24" t="str">
        <x:v>epinephelus aeneus</x:v>
      </x:c>
      <x:c r="O56" s="32" t="n">
        <x:v>4.02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Epinephelus aeneus</x:v>
      </x:c>
      <x:c r="T56" s="32" t="n">
        <x:f>IF(O56="","",(1/'Metadata'!$B$5)^(O56-1))</x:f>
        <x:v>1047.1285480508984</x:v>
      </x:c>
      <x:c r="U56" s="31" t="n">
        <x:f>IF(T56="","",I56*T56)</x:f>
        <x:v>1573.988515515301</x:v>
      </x:c>
    </x:row>
    <x:row r="57" ht="18" customHeight="1">
      <x:c r="A57" s="24" t="str">
        <x:v>EEZ_198</x:v>
      </x:c>
      <x:c r="B57" s="24" t="str">
        <x:v>Cyprus (South)</x:v>
      </x:c>
      <x:c r="C57" s="24" t="str">
        <x:v>EEZ</x:v>
      </x:c>
      <x:c r="D57" s="30" t="n">
        <x:v>2019</x:v>
      </x:c>
      <x:c r="E57" s="24" t="str">
        <x:v>Elasmobranchii</x:v>
      </x:c>
      <x:c r="F57" s="24" t="str">
        <x:v>Sharks, rays, skates</x:v>
      </x:c>
      <x:c r="G57" s="24" t="str">
        <x:v>Large sharks (&gt;=90 cm)</x:v>
      </x:c>
      <x:c r="H57" s="24" t="str">
        <x:v>Sharks &amp; rays</x:v>
      </x:c>
      <x:c r="I57" s="31" t="n">
        <x:v>1.4707092468</x:v>
      </x:c>
      <x:c r="J57" s="31" t="n">
        <x:v>1.4707092468</x:v>
      </x:c>
      <x:c r="K57" s="31" t="n">
        <x:v>0</x:v>
      </x:c>
      <x:c r="L57" s="31" t="n">
        <x:v>0</x:v>
      </x:c>
      <x:c r="M57" s="31" t="n">
        <x:v>1.4707092468</x:v>
      </x:c>
      <x:c r="N57" s="24" t="str">
        <x:v>elasmobranchii</x:v>
      </x:c>
      <x:c r="O57" s="32" t="n">
        <x:v>4.05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Elasmobranchii</x:v>
      </x:c>
      <x:c r="T57" s="32" t="n">
        <x:f>IF(O57="","",(1/'Metadata'!$B$5)^(O57-1))</x:f>
        <x:v>1122.018454301963</x:v>
      </x:c>
      <x:c r="U57" s="31" t="n">
        <x:f>IF(T57="","",I57*T57)</x:f>
        <x:v>1650.1629158221401</x:v>
      </x:c>
    </x:row>
    <x:row r="58" ht="18" customHeight="1">
      <x:c r="A58" s="24" t="str">
        <x:v>EEZ_198</x:v>
      </x:c>
      <x:c r="B58" s="24" t="str">
        <x:v>Cyprus (South)</x:v>
      </x:c>
      <x:c r="C58" s="24" t="str">
        <x:v>EEZ</x:v>
      </x:c>
      <x:c r="D58" s="30" t="n">
        <x:v>2019</x:v>
      </x:c>
      <x:c r="E58" s="24" t="str">
        <x:v>Lophius</x:v>
      </x:c>
      <x:c r="F58" s="24" t="str">
        <x:v>Frogfishes</x:v>
      </x:c>
      <x:c r="G58" s="24" t="str">
        <x:v>Medium bathydemersals (30 - 89 cm)</x:v>
      </x:c>
      <x:c r="H58" s="24" t="str">
        <x:v>Other fishes &amp; inverts</x:v>
      </x:c>
      <x:c r="I58" s="31" t="n">
        <x:v>1.2587631331</x:v>
      </x:c>
      <x:c r="J58" s="31" t="n">
        <x:v>1.2587631331</x:v>
      </x:c>
      <x:c r="K58" s="31" t="n">
        <x:v>0</x:v>
      </x:c>
      <x:c r="L58" s="31" t="n">
        <x:v>1</x:v>
      </x:c>
      <x:c r="M58" s="31" t="n">
        <x:v>0.2587631331</x:v>
      </x:c>
      <x:c r="N58" s="24" t="str">
        <x:v>lophius</x:v>
      </x:c>
      <x:c r="O58" s="32" t="n">
        <x:v>4.46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Lophius</x:v>
      </x:c>
      <x:c r="T58" s="32" t="n">
        <x:f>IF(O58="","",(1/'Metadata'!$B$5)^(O58-1))</x:f>
        <x:v>2884.031503126606</x:v>
      </x:c>
      <x:c r="U58" s="31" t="n">
        <x:f>IF(T58="","",I58*T58)</x:f>
        <x:v>3630.312530834749</x:v>
      </x:c>
    </x:row>
    <x:row r="59" ht="18" customHeight="1">
      <x:c r="A59" s="24" t="str">
        <x:v>EEZ_198</x:v>
      </x:c>
      <x:c r="B59" s="24" t="str">
        <x:v>Cyprus (South)</x:v>
      </x:c>
      <x:c r="C59" s="24" t="str">
        <x:v>EEZ</x:v>
      </x:c>
      <x:c r="D59" s="30" t="n">
        <x:v>2019</x:v>
      </x:c>
      <x:c r="E59" s="24" t="str">
        <x:v>Epinephelus caninus</x:v>
      </x:c>
      <x:c r="F59" s="24" t="str">
        <x:v>Dogtooth grouper</x:v>
      </x:c>
      <x:c r="G59" s="24" t="str">
        <x:v>Large demersals (&gt;=90 cm)</x:v>
      </x:c>
      <x:c r="H59" s="24" t="str">
        <x:v>Perch-likes</x:v>
      </x:c>
      <x:c r="I59" s="31" t="n">
        <x:v>1.2381339357</x:v>
      </x:c>
      <x:c r="J59" s="31" t="n">
        <x:v>1.2381339357</x:v>
      </x:c>
      <x:c r="K59" s="31" t="n">
        <x:v>0</x:v>
      </x:c>
      <x:c r="L59" s="31" t="n">
        <x:v>1</x:v>
      </x:c>
      <x:c r="M59" s="31" t="n">
        <x:v>0.2381339357</x:v>
      </x:c>
      <x:c r="N59" s="24" t="str">
        <x:v>epinephelus caninus</x:v>
      </x:c>
      <x:c r="O59" s="32" t="n">
        <x:v>3.77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Epinephelus caninus</x:v>
      </x:c>
      <x:c r="T59" s="32" t="n">
        <x:f>IF(O59="","",(1/'Metadata'!$B$5)^(O59-1))</x:f>
        <x:v>588.843655355589</x:v>
      </x:c>
      <x:c r="U59" s="31" t="n">
        <x:f>IF(T59="","",I59*T59)</x:f>
        <x:v>729.0673125173898</x:v>
      </x:c>
    </x:row>
    <x:row r="60" ht="18" customHeight="1">
      <x:c r="A60" s="24" t="str">
        <x:v>EEZ_198</x:v>
      </x:c>
      <x:c r="B60" s="24" t="str">
        <x:v>Cyprus (South)</x:v>
      </x:c>
      <x:c r="C60" s="24" t="str">
        <x:v>EEZ</x:v>
      </x:c>
      <x:c r="D60" s="30" t="n">
        <x:v>2019</x:v>
      </x:c>
      <x:c r="E60" s="24" t="str">
        <x:v>Sarpa salpa</x:v>
      </x:c>
      <x:c r="F60" s="24" t="str">
        <x:v>Salema</x:v>
      </x:c>
      <x:c r="G60" s="24" t="str">
        <x:v>Medium benthopelagics (30 - 89 cm)</x:v>
      </x:c>
      <x:c r="H60" s="24" t="str">
        <x:v>Perch-likes</x:v>
      </x:c>
      <x:c r="I60" s="31" t="n">
        <x:v>1.2269950705000001</x:v>
      </x:c>
      <x:c r="J60" s="31" t="n">
        <x:v>1.2269950705000001</x:v>
      </x:c>
      <x:c r="K60" s="31" t="n">
        <x:v>0</x:v>
      </x:c>
      <x:c r="L60" s="31" t="n">
        <x:v>1</x:v>
      </x:c>
      <x:c r="M60" s="31" t="n">
        <x:v>0.2269950705</x:v>
      </x:c>
      <x:c r="N60" s="24" t="str">
        <x:v>sarpa salpa</x:v>
      </x:c>
      <x:c r="O60" s="32" t="n">
        <x:v>2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Sarpa salpa</x:v>
      </x:c>
      <x:c r="T60" s="32" t="n">
        <x:f>IF(O60="","",(1/'Metadata'!$B$5)^(O60-1))</x:f>
        <x:v>10</x:v>
      </x:c>
      <x:c r="U60" s="31" t="n">
        <x:f>IF(T60="","",I60*T60)</x:f>
        <x:v>12.269950705000001</x:v>
      </x:c>
    </x:row>
    <x:row r="61" ht="18" customHeight="1">
      <x:c r="A61" s="24" t="str">
        <x:v>EEZ_198</x:v>
      </x:c>
      <x:c r="B61" s="24" t="str">
        <x:v>Cyprus (South)</x:v>
      </x:c>
      <x:c r="C61" s="24" t="str">
        <x:v>EEZ</x:v>
      </x:c>
      <x:c r="D61" s="30" t="n">
        <x:v>2019</x:v>
      </x:c>
      <x:c r="E61" s="24" t="str">
        <x:v>Penaeidae</x:v>
      </x:c>
      <x:c r="F61" s="24" t="str">
        <x:v>Commercial shrimps and prawns</x:v>
      </x:c>
      <x:c r="G61" s="24" t="str">
        <x:v>Shrimps</x:v>
      </x:c>
      <x:c r="H61" s="24" t="str">
        <x:v>Crustaceans</x:v>
      </x:c>
      <x:c r="I61" s="31" t="n">
        <x:v>1.210009112</x:v>
      </x:c>
      <x:c r="J61" s="31" t="n">
        <x:v>1.210009112</x:v>
      </x:c>
      <x:c r="K61" s="31" t="n">
        <x:v>0</x:v>
      </x:c>
      <x:c r="L61" s="31" t="n">
        <x:v>0</x:v>
      </x:c>
      <x:c r="M61" s="31" t="n">
        <x:v>1.210009112</x:v>
      </x:c>
      <x:c r="N61" s="24" t="str">
        <x:v>penaeidae</x:v>
      </x:c>
      <x:c r="O61" s="32" t="n">
        <x:v>3.31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Penaeidae</x:v>
      </x:c>
      <x:c r="T61" s="32" t="n">
        <x:f>IF(O61="","",(1/'Metadata'!$B$5)^(O61-1))</x:f>
        <x:v>204.17379446695296</x:v>
      </x:c>
      <x:c r="U61" s="31" t="n">
        <x:f>IF(T61="","",I61*T61)</x:f>
        <x:v>247.05215173662828</x:v>
      </x:c>
    </x:row>
    <x:row r="62" ht="18" customHeight="1">
      <x:c r="A62" s="24" t="str">
        <x:v>EEZ_198</x:v>
      </x:c>
      <x:c r="B62" s="24" t="str">
        <x:v>Cyprus (South)</x:v>
      </x:c>
      <x:c r="C62" s="24" t="str">
        <x:v>EEZ</x:v>
      </x:c>
      <x:c r="D62" s="30" t="n">
        <x:v>2019</x:v>
      </x:c>
      <x:c r="E62" s="24" t="str">
        <x:v>Diplodus vulgaris</x:v>
      </x:c>
      <x:c r="F62" s="24" t="str">
        <x:v>Common two-banded seabream</x:v>
      </x:c>
      <x:c r="G62" s="24" t="str">
        <x:v>Medium benthopelagics (30 - 89 cm)</x:v>
      </x:c>
      <x:c r="H62" s="24" t="str">
        <x:v>Perch-likes</x:v>
      </x:c>
      <x:c r="I62" s="31" t="n">
        <x:v>1.1985157944</x:v>
      </x:c>
      <x:c r="J62" s="31" t="n">
        <x:v>1.1985157944</x:v>
      </x:c>
      <x:c r="K62" s="31" t="n">
        <x:v>0</x:v>
      </x:c>
      <x:c r="L62" s="31" t="n">
        <x:v>1</x:v>
      </x:c>
      <x:c r="M62" s="31" t="n">
        <x:v>0.1985157944</x:v>
      </x:c>
      <x:c r="N62" s="24" t="str">
        <x:v>diplodus vulgaris</x:v>
      </x:c>
      <x:c r="O62" s="32" t="n">
        <x:v>3.52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Diplodus vulgaris</x:v>
      </x:c>
      <x:c r="T62" s="32" t="n">
        <x:f>IF(O62="","",(1/'Metadata'!$B$5)^(O62-1))</x:f>
        <x:v>331.1311214825911</x:v>
      </x:c>
      <x:c r="U62" s="31" t="n">
        <x:f>IF(T62="","",I62*T62)</x:f>
        <x:v>396.86587911427057</x:v>
      </x:c>
    </x:row>
    <x:row r="63" ht="18" customHeight="1">
      <x:c r="A63" s="24" t="str">
        <x:v>EEZ_198</x:v>
      </x:c>
      <x:c r="B63" s="24" t="str">
        <x:v>Cyprus (South)</x:v>
      </x:c>
      <x:c r="C63" s="24" t="str">
        <x:v>EEZ</x:v>
      </x:c>
      <x:c r="D63" s="30" t="n">
        <x:v>2019</x:v>
      </x:c>
      <x:c r="E63" s="24" t="str">
        <x:v>Carangidae</x:v>
      </x:c>
      <x:c r="F63" s="24" t="str">
        <x:v>Jacks, pompanos</x:v>
      </x:c>
      <x:c r="G63" s="24" t="str">
        <x:v>Medium pelagics (30 - 89 cm)</x:v>
      </x:c>
      <x:c r="H63" s="24" t="str">
        <x:v>Perch-likes</x:v>
      </x:c>
      <x:c r="I63" s="31" t="n">
        <x:v>1.1316838897000001</x:v>
      </x:c>
      <x:c r="J63" s="31" t="n">
        <x:v>1.1316838897000001</x:v>
      </x:c>
      <x:c r="K63" s="31" t="n">
        <x:v>0</x:v>
      </x:c>
      <x:c r="L63" s="31" t="n">
        <x:v>1</x:v>
      </x:c>
      <x:c r="M63" s="31" t="n">
        <x:v>0.1316838897</x:v>
      </x:c>
      <x:c r="N63" s="24" t="str">
        <x:v>carangidae</x:v>
      </x:c>
      <x:c r="O63" s="32" t="n">
        <x:v>4.05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Carangidae</x:v>
      </x:c>
      <x:c r="T63" s="32" t="n">
        <x:f>IF(O63="","",(1/'Metadata'!$B$5)^(O63-1))</x:f>
        <x:v>1122.018454301963</x:v>
      </x:c>
      <x:c r="U63" s="31" t="n">
        <x:f>IF(T63="","",I63*T63)</x:f>
        <x:v>1269.7702086796273</x:v>
      </x:c>
    </x:row>
    <x:row r="64" ht="18" customHeight="1">
      <x:c r="A64" s="24" t="str">
        <x:v>EEZ_198</x:v>
      </x:c>
      <x:c r="B64" s="24" t="str">
        <x:v>Cyprus (South)</x:v>
      </x:c>
      <x:c r="C64" s="24" t="str">
        <x:v>EEZ</x:v>
      </x:c>
      <x:c r="D64" s="30" t="n">
        <x:v>2019</x:v>
      </x:c>
      <x:c r="E64" s="24" t="str">
        <x:v>Echelus myrus</x:v>
      </x:c>
      <x:c r="F64" s="24" t="str">
        <x:v>Painted eel</x:v>
      </x:c>
      <x:c r="G64" s="24" t="str">
        <x:v>Large demersals (&gt;=90 cm)</x:v>
      </x:c>
      <x:c r="H64" s="24" t="str">
        <x:v>Other fishes &amp; inverts</x:v>
      </x:c>
      <x:c r="I64" s="31" t="n">
        <x:v>1.0580662593999999</x:v>
      </x:c>
      <x:c r="J64" s="31" t="n">
        <x:v>1.0580662593999999</x:v>
      </x:c>
      <x:c r="K64" s="31" t="n">
        <x:v>0</x:v>
      </x:c>
      <x:c r="L64" s="31" t="n">
        <x:v>0</x:v>
      </x:c>
      <x:c r="M64" s="31" t="n">
        <x:v>1.0580662593999999</x:v>
      </x:c>
      <x:c r="N64" s="24" t="str">
        <x:v>echelus myrus</x:v>
      </x:c>
      <x:c r="O64" s="32" t="n">
        <x:v>4.3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Echelus myrus</x:v>
      </x:c>
      <x:c r="T64" s="32" t="n">
        <x:f>IF(O64="","",(1/'Metadata'!$B$5)^(O64-1))</x:f>
        <x:v>1995.2623149688789</x:v>
      </x:c>
      <x:c r="U64" s="31" t="n">
        <x:f>IF(T64="","",I64*T64)</x:f>
        <x:v>2111.119734120906</x:v>
      </x:c>
    </x:row>
    <x:row r="65" ht="18" customHeight="1">
      <x:c r="A65" s="24" t="str">
        <x:v>EEZ_198</x:v>
      </x:c>
      <x:c r="B65" s="24" t="str">
        <x:v>Cyprus (South)</x:v>
      </x:c>
      <x:c r="C65" s="24" t="str">
        <x:v>EEZ</x:v>
      </x:c>
      <x:c r="D65" s="30" t="n">
        <x:v>2019</x:v>
      </x:c>
      <x:c r="E65" s="24" t="str">
        <x:v>Scomber</x:v>
      </x:c>
      <x:c r="F65" s="24" t="str">
        <x:v>Chub mackerels</x:v>
      </x:c>
      <x:c r="G65" s="24" t="str">
        <x:v>Medium pelagics (30 - 89 cm)</x:v>
      </x:c>
      <x:c r="H65" s="24" t="str">
        <x:v>Perch-likes</x:v>
      </x:c>
      <x:c r="I65" s="31" t="n">
        <x:v>1</x:v>
      </x:c>
      <x:c r="J65" s="31" t="n">
        <x:v>1</x:v>
      </x:c>
      <x:c r="K65" s="31" t="n">
        <x:v>0</x:v>
      </x:c>
      <x:c r="L65" s="31" t="n">
        <x:v>1</x:v>
      </x:c>
      <x:c r="M65" s="31" t="n">
        <x:v>0</x:v>
      </x:c>
      <x:c r="N65" s="24" t="str">
        <x:v>scomber</x:v>
      </x:c>
      <x:c r="O65" s="32" t="n">
        <x:v>3.65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Scomber</x:v>
      </x:c>
      <x:c r="T65" s="32" t="n">
        <x:f>IF(O65="","",(1/'Metadata'!$B$5)^(O65-1))</x:f>
        <x:v>446.683592150963</x:v>
      </x:c>
      <x:c r="U65" s="31" t="n">
        <x:f>IF(T65="","",I65*T65)</x:f>
        <x:v>446.683592150963</x:v>
      </x:c>
    </x:row>
    <x:row r="66" ht="18" customHeight="1">
      <x:c r="A66" s="24" t="str">
        <x:v>EEZ_198</x:v>
      </x:c>
      <x:c r="B66" s="24" t="str">
        <x:v>Cyprus (South)</x:v>
      </x:c>
      <x:c r="C66" s="24" t="str">
        <x:v>EEZ</x:v>
      </x:c>
      <x:c r="D66" s="30" t="n">
        <x:v>2019</x:v>
      </x:c>
      <x:c r="E66" s="24" t="str">
        <x:v>Coryphaena hippurus</x:v>
      </x:c>
      <x:c r="F66" s="24" t="str">
        <x:v>Common dolphinfish</x:v>
      </x:c>
      <x:c r="G66" s="24" t="str">
        <x:v>Large pelagics (&gt;=90 cm)</x:v>
      </x:c>
      <x:c r="H66" s="24" t="str">
        <x:v>Perch-likes</x:v>
      </x:c>
      <x:c r="I66" s="31" t="n">
        <x:v>1</x:v>
      </x:c>
      <x:c r="J66" s="31" t="n">
        <x:v>1</x:v>
      </x:c>
      <x:c r="K66" s="31" t="n">
        <x:v>0</x:v>
      </x:c>
      <x:c r="L66" s="31" t="n">
        <x:v>1</x:v>
      </x:c>
      <x:c r="M66" s="31" t="n">
        <x:v>0</x:v>
      </x:c>
      <x:c r="N66" s="24" t="str">
        <x:v>coryphaena hippurus</x:v>
      </x:c>
      <x:c r="O66" s="32" t="n">
        <x:v>4.37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Coryphaena hippurus</x:v>
      </x:c>
      <x:c r="T66" s="32" t="n">
        <x:f>IF(O66="","",(1/'Metadata'!$B$5)^(O66-1))</x:f>
        <x:v>2344.228815319923</x:v>
      </x:c>
      <x:c r="U66" s="31" t="n">
        <x:f>IF(T66="","",I66*T66)</x:f>
        <x:v>2344.228815319923</x:v>
      </x:c>
    </x:row>
    <x:row r="67" ht="18" customHeight="1">
      <x:c r="A67" s="24" t="str">
        <x:v>EEZ_198</x:v>
      </x:c>
      <x:c r="B67" s="24" t="str">
        <x:v>Cyprus (South)</x:v>
      </x:c>
      <x:c r="C67" s="24" t="str">
        <x:v>EEZ</x:v>
      </x:c>
      <x:c r="D67" s="30" t="n">
        <x:v>2019</x:v>
      </x:c>
      <x:c r="E67" s="24" t="str">
        <x:v>Pleuronectiformes</x:v>
      </x:c>
      <x:c r="F67" s="24" t="str">
        <x:v>Flatfishes</x:v>
      </x:c>
      <x:c r="G67" s="24" t="str">
        <x:v>Small to medium flatfishes (&lt;90 cm)</x:v>
      </x:c>
      <x:c r="H67" s="24" t="str">
        <x:v>Flatfishes</x:v>
      </x:c>
      <x:c r="I67" s="31" t="n">
        <x:v>1</x:v>
      </x:c>
      <x:c r="J67" s="31" t="n">
        <x:v>1</x:v>
      </x:c>
      <x:c r="K67" s="31" t="n">
        <x:v>0</x:v>
      </x:c>
      <x:c r="L67" s="31" t="n">
        <x:v>1</x:v>
      </x:c>
      <x:c r="M67" s="31" t="n">
        <x:v>0</x:v>
      </x:c>
      <x:c r="N67" s="24" t="str">
        <x:v>pleuronectiformes</x:v>
      </x:c>
      <x:c r="O67" s="32" t="n">
        <x:v>3.57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Pleuronectiformes</x:v>
      </x:c>
      <x:c r="T67" s="32" t="n">
        <x:f>IF(O67="","",(1/'Metadata'!$B$5)^(O67-1))</x:f>
        <x:v>371.5352290971724</x:v>
      </x:c>
      <x:c r="U67" s="31" t="n">
        <x:f>IF(T67="","",I67*T67)</x:f>
        <x:v>371.5352290971724</x:v>
      </x:c>
    </x:row>
    <x:row r="68" ht="18" customHeight="1">
      <x:c r="A68" s="24" t="str">
        <x:v>EEZ_198</x:v>
      </x:c>
      <x:c r="B68" s="24" t="str">
        <x:v>Cyprus (South)</x:v>
      </x:c>
      <x:c r="C68" s="24" t="str">
        <x:v>EEZ</x:v>
      </x:c>
      <x:c r="D68" s="30" t="n">
        <x:v>2019</x:v>
      </x:c>
      <x:c r="E68" s="24" t="str">
        <x:v>Marine pelagic fishes not identified</x:v>
      </x:c>
      <x:c r="F68" s="24" t="str">
        <x:v>Pelagic fishes</x:v>
      </x:c>
      <x:c r="G68" s="24" t="str">
        <x:v>Medium pelagics (30 - 89 cm)</x:v>
      </x:c>
      <x:c r="H68" s="24" t="str">
        <x:v>Other fishes &amp; inverts</x:v>
      </x:c>
      <x:c r="I68" s="31" t="n">
        <x:v>0.9315500005</x:v>
      </x:c>
      <x:c r="J68" s="31" t="n">
        <x:v>0.9315500005</x:v>
      </x:c>
      <x:c r="K68" s="31" t="n">
        <x:v>0</x:v>
      </x:c>
      <x:c r="L68" s="31" t="n">
        <x:v>0.9315500005</x:v>
      </x:c>
      <x:c r="M68" s="31" t="n">
        <x:v>0</x:v>
      </x:c>
      <x:c r="N68" s="24" t="str">
        <x:v>marine pelagic fishes not identified</x:v>
      </x:c>
      <x:c r="O68" s="32" t="n">
        <x:v>3.35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Marine pelagic fishes not identified</x:v>
      </x:c>
      <x:c r="T68" s="32" t="n">
        <x:f>IF(O68="","",(1/'Metadata'!$B$5)^(O68-1))</x:f>
        <x:v>223.872113856834</x:v>
      </x:c>
      <x:c r="U68" s="31" t="n">
        <x:f>IF(T68="","",I68*T68)</x:f>
        <x:v>208.54806777526977</x:v>
      </x:c>
    </x:row>
    <x:row r="69" ht="18" customHeight="1">
      <x:c r="A69" s="24" t="str">
        <x:v>EEZ_198</x:v>
      </x:c>
      <x:c r="B69" s="24" t="str">
        <x:v>Cyprus (South)</x:v>
      </x:c>
      <x:c r="C69" s="24" t="str">
        <x:v>EEZ</x:v>
      </x:c>
      <x:c r="D69" s="30" t="n">
        <x:v>2019</x:v>
      </x:c>
      <x:c r="E69" s="24" t="str">
        <x:v>Squalus</x:v>
      </x:c>
      <x:c r="F69" s="24" t="str">
        <x:v>Dogfishes</x:v>
      </x:c>
      <x:c r="G69" s="24" t="str">
        <x:v>Large sharks (&gt;=90 cm)</x:v>
      </x:c>
      <x:c r="H69" s="24" t="str">
        <x:v>Sharks &amp; rays</x:v>
      </x:c>
      <x:c r="I69" s="31" t="n">
        <x:v>0.49150485039999997</x:v>
      </x:c>
      <x:c r="J69" s="31" t="n">
        <x:v>0.49150485039999997</x:v>
      </x:c>
      <x:c r="K69" s="31" t="n">
        <x:v>0</x:v>
      </x:c>
      <x:c r="L69" s="31" t="n">
        <x:v>0</x:v>
      </x:c>
      <x:c r="M69" s="31" t="n">
        <x:v>0.49150485039999997</x:v>
      </x:c>
      <x:c r="N69" s="24" t="str">
        <x:v>squalus</x:v>
      </x:c>
      <x:c r="O69" s="32" t="n">
        <x:v>4.23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Squalus</x:v>
      </x:c>
      <x:c r="T69" s="32" t="n">
        <x:f>IF(O69="","",(1/'Metadata'!$B$5)^(O69-1))</x:f>
        <x:v>1698.243652461746</x:v>
      </x:c>
      <x:c r="U69" s="31" t="n">
        <x:f>IF(T69="","",I69*T69)</x:f>
        <x:v>834.69499234596</x:v>
      </x:c>
    </x:row>
    <x:row r="70" ht="18" customHeight="1">
      <x:c r="A70" s="24" t="str">
        <x:v>EEZ_198</x:v>
      </x:c>
      <x:c r="B70" s="24" t="str">
        <x:v>Cyprus (South)</x:v>
      </x:c>
      <x:c r="C70" s="24" t="str">
        <x:v>EEZ</x:v>
      </x:c>
      <x:c r="D70" s="30" t="n">
        <x:v>2019</x:v>
      </x:c>
      <x:c r="E70" s="24" t="str">
        <x:v>Clupeidae</x:v>
      </x:c>
      <x:c r="F70" s="24" t="str">
        <x:v>Herrings, sardines, menhadens</x:v>
      </x:c>
      <x:c r="G70" s="24" t="str">
        <x:v>Small pelagics (&lt;30 cm)</x:v>
      </x:c>
      <x:c r="H70" s="24" t="str">
        <x:v>Herring-likes</x:v>
      </x:c>
      <x:c r="I70" s="31" t="n">
        <x:v>0.4673147882</x:v>
      </x:c>
      <x:c r="J70" s="31" t="n">
        <x:v>0.4673147882</x:v>
      </x:c>
      <x:c r="K70" s="31" t="n">
        <x:v>0</x:v>
      </x:c>
      <x:c r="L70" s="31" t="n">
        <x:v>0</x:v>
      </x:c>
      <x:c r="M70" s="31" t="n">
        <x:v>0.4673147882</x:v>
      </x:c>
      <x:c r="N70" s="24" t="str">
        <x:v>clupeidae</x:v>
      </x:c>
      <x:c r="O70" s="32" t="n">
        <x:v>3.16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Clupeidae</x:v>
      </x:c>
      <x:c r="T70" s="32" t="n">
        <x:f>IF(O70="","",(1/'Metadata'!$B$5)^(O70-1))</x:f>
        <x:v>144.5439770745928</x:v>
      </x:c>
      <x:c r="U70" s="31" t="n">
        <x:f>IF(T70="","",I70*T70)</x:f>
        <x:v>67.54753803219899</x:v>
      </x:c>
    </x:row>
    <x:row r="71" ht="18" customHeight="1">
      <x:c r="A71" s="24" t="str">
        <x:v>EEZ_198</x:v>
      </x:c>
      <x:c r="B71" s="24" t="str">
        <x:v>Cyprus (South)</x:v>
      </x:c>
      <x:c r="C71" s="24" t="str">
        <x:v>EEZ</x:v>
      </x:c>
      <x:c r="D71" s="30" t="n">
        <x:v>2019</x:v>
      </x:c>
      <x:c r="E71" s="24" t="str">
        <x:v>Engraulis encrasicolus</x:v>
      </x:c>
      <x:c r="F71" s="24" t="str">
        <x:v>European anchovy</x:v>
      </x:c>
      <x:c r="G71" s="24" t="str">
        <x:v>Small pelagics (&lt;30 cm)</x:v>
      </x:c>
      <x:c r="H71" s="24" t="str">
        <x:v>Anchovies</x:v>
      </x:c>
      <x:c r="I71" s="31" t="n">
        <x:v>0.18474450209999999</x:v>
      </x:c>
      <x:c r="J71" s="31" t="n">
        <x:v>0.18474450209999999</x:v>
      </x:c>
      <x:c r="K71" s="31" t="n">
        <x:v>0</x:v>
      </x:c>
      <x:c r="L71" s="31" t="n">
        <x:v>0</x:v>
      </x:c>
      <x:c r="M71" s="31" t="n">
        <x:v>0.18474450209999999</x:v>
      </x:c>
      <x:c r="N71" s="24" t="str">
        <x:v>engraulis encrasicolus</x:v>
      </x:c>
      <x:c r="O71" s="32" t="n">
        <x:v>3.11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Engraulis encrasicolus</x:v>
      </x:c>
      <x:c r="T71" s="32" t="n">
        <x:f>IF(O71="","",(1/'Metadata'!$B$5)^(O71-1))</x:f>
        <x:v>128.82495516931337</x:v>
      </x:c>
      <x:c r="U71" s="31" t="n">
        <x:f>IF(T71="","",I71*T71)</x:f>
        <x:v>23.79970220080962</x:v>
      </x:c>
    </x:row>
    <x:row r="72" ht="18" customHeight="1">
      <x:c r="A72" s="24" t="str">
        <x:v>EEZ_198</x:v>
      </x:c>
      <x:c r="B72" s="24" t="str">
        <x:v>Cyprus (South)</x:v>
      </x:c>
      <x:c r="C72" s="24" t="str">
        <x:v>EEZ</x:v>
      </x:c>
      <x:c r="D72" s="30" t="n">
        <x:v>2019</x:v>
      </x:c>
      <x:c r="E72" s="24" t="str">
        <x:v>Conger conger</x:v>
      </x:c>
      <x:c r="F72" s="24" t="str">
        <x:v>European conger</x:v>
      </x:c>
      <x:c r="G72" s="24" t="str">
        <x:v>Large demersals (&gt;=90 cm)</x:v>
      </x:c>
      <x:c r="H72" s="24" t="str">
        <x:v>Other fishes &amp; inverts</x:v>
      </x:c>
      <x:c r="I72" s="31" t="n">
        <x:v>0.17304374819999999</x:v>
      </x:c>
      <x:c r="J72" s="31" t="n">
        <x:v>0.17304374819999999</x:v>
      </x:c>
      <x:c r="K72" s="31" t="n">
        <x:v>0</x:v>
      </x:c>
      <x:c r="L72" s="31" t="n">
        <x:v>0</x:v>
      </x:c>
      <x:c r="M72" s="31" t="n">
        <x:v>0.17304374819999999</x:v>
      </x:c>
      <x:c r="N72" s="24" t="str">
        <x:v>conger conger</x:v>
      </x:c>
      <x:c r="O72" s="32" t="n">
        <x:v>4.31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Conger conger</x:v>
      </x:c>
      <x:c r="T72" s="32" t="n">
        <x:f>IF(O72="","",(1/'Metadata'!$B$5)^(O72-1))</x:f>
        <x:v>2041.7379446695275</x:v>
      </x:c>
      <x:c r="U72" s="31" t="n">
        <x:f>IF(T72="","",I72*T72)</x:f>
        <x:v>353.3099867877792</x:v>
      </x:c>
    </x:row>
    <x:row r="73" ht="18" customHeight="1">
      <x:c r="A73" s="24" t="str">
        <x:v>EEZ_198</x:v>
      </x:c>
      <x:c r="B73" s="24" t="str">
        <x:v>Cyprus (South)</x:v>
      </x:c>
      <x:c r="C73" s="24" t="str">
        <x:v>EEZ</x:v>
      </x:c>
      <x:c r="D73" s="30" t="n">
        <x:v>2019</x:v>
      </x:c>
      <x:c r="E73" s="24" t="str">
        <x:v>Scombridae</x:v>
      </x:c>
      <x:c r="F73" s="24" t="str">
        <x:v>Mackerels, tunas, bonitos</x:v>
      </x:c>
      <x:c r="G73" s="24" t="str">
        <x:v>Medium pelagics (30 - 89 cm)</x:v>
      </x:c>
      <x:c r="H73" s="24" t="str">
        <x:v>Perch-likes</x:v>
      </x:c>
      <x:c r="I73" s="31" t="n">
        <x:v>0.1614007617</x:v>
      </x:c>
      <x:c r="J73" s="31" t="n">
        <x:v>0.1614007617</x:v>
      </x:c>
      <x:c r="K73" s="31" t="n">
        <x:v>0</x:v>
      </x:c>
      <x:c r="L73" s="31" t="n">
        <x:v>0</x:v>
      </x:c>
      <x:c r="M73" s="31" t="n">
        <x:v>0.1614007617</x:v>
      </x:c>
      <x:c r="N73" s="24" t="str">
        <x:v>scombridae</x:v>
      </x:c>
      <x:c r="O73" s="32" t="n">
        <x:v>4.26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Scombridae</x:v>
      </x:c>
      <x:c r="T73" s="32" t="n">
        <x:f>IF(O73="","",(1/'Metadata'!$B$5)^(O73-1))</x:f>
        <x:v>1819.7008586099826</x:v>
      </x:c>
      <x:c r="U73" s="31" t="n">
        <x:f>IF(T73="","",I73*T73)</x:f>
        <x:v>293.7011046457952</x:v>
      </x:c>
    </x:row>
    <x:row r="74" ht="18" customHeight="1">
      <x:c r="A74" s="24" t="str">
        <x:v>EEZ_198</x:v>
      </x:c>
      <x:c r="B74" s="24" t="str">
        <x:v>Cyprus (South)</x:v>
      </x:c>
      <x:c r="C74" s="24" t="str">
        <x:v>EEZ</x:v>
      </x:c>
      <x:c r="D74" s="30" t="n">
        <x:v>2019</x:v>
      </x:c>
      <x:c r="E74" s="24" t="str">
        <x:v>Prionace glauca</x:v>
      </x:c>
      <x:c r="F74" s="24" t="str">
        <x:v>Blue shark</x:v>
      </x:c>
      <x:c r="G74" s="24" t="str">
        <x:v>Large sharks (&gt;=90 cm)</x:v>
      </x:c>
      <x:c r="H74" s="24" t="str">
        <x:v>Sharks &amp; rays</x:v>
      </x:c>
      <x:c r="I74" s="31" t="n">
        <x:v>0.1565436901</x:v>
      </x:c>
      <x:c r="J74" s="31" t="n">
        <x:v>0.1565436901</x:v>
      </x:c>
      <x:c r="K74" s="31" t="n">
        <x:v>0</x:v>
      </x:c>
      <x:c r="L74" s="31" t="n">
        <x:v>0.004142922</x:v>
      </x:c>
      <x:c r="M74" s="31" t="n">
        <x:v>0.1524007681</x:v>
      </x:c>
      <x:c r="N74" s="24" t="str">
        <x:v>prionace glauca</x:v>
      </x:c>
      <x:c r="O74" s="32" t="n">
        <x:v>4.35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Prionace glauca</x:v>
      </x:c>
      <x:c r="T74" s="32" t="n">
        <x:f>IF(O74="","",(1/'Metadata'!$B$5)^(O74-1))</x:f>
        <x:v>2238.7211385683377</x:v>
      </x:c>
      <x:c r="U74" s="31" t="n">
        <x:f>IF(T74="","",I74*T74)</x:f>
        <x:v>350.457668136361</x:v>
      </x:c>
    </x:row>
    <x:row r="75" ht="18" customHeight="1">
      <x:c r="A75" s="24" t="str">
        <x:v>EEZ_198</x:v>
      </x:c>
      <x:c r="B75" s="24" t="str">
        <x:v>Cyprus (South)</x:v>
      </x:c>
      <x:c r="C75" s="24" t="str">
        <x:v>EEZ</x:v>
      </x:c>
      <x:c r="D75" s="30" t="n">
        <x:v>2019</x:v>
      </x:c>
      <x:c r="E75" s="24" t="str">
        <x:v>Plesionika martia</x:v>
      </x:c>
      <x:c r="F75" s="24" t="str">
        <x:v>Golden shrimp</x:v>
      </x:c>
      <x:c r="G75" s="24" t="str">
        <x:v>Shrimps</x:v>
      </x:c>
      <x:c r="H75" s="24" t="str">
        <x:v>Crustaceans</x:v>
      </x:c>
      <x:c r="I75" s="31" t="n">
        <x:v>0.1524007681</x:v>
      </x:c>
      <x:c r="J75" s="31" t="n">
        <x:v>0.1524007681</x:v>
      </x:c>
      <x:c r="K75" s="31" t="n">
        <x:v>0</x:v>
      </x:c>
      <x:c r="L75" s="31" t="n">
        <x:v>0</x:v>
      </x:c>
      <x:c r="M75" s="31" t="n">
        <x:v>0.1524007681</x:v>
      </x:c>
      <x:c r="N75" s="24" t="str">
        <x:v>plesionika martia</x:v>
      </x:c>
      <x:c r="O75" s="32" t="n">
        <x:v>3.13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Plesionika martia</x:v>
      </x:c>
      <x:c r="T75" s="32" t="n">
        <x:f>IF(O75="","",(1/'Metadata'!$B$5)^(O75-1))</x:f>
        <x:v>134.89628825916532</x:v>
      </x:c>
      <x:c r="U75" s="31" t="n">
        <x:f>IF(T75="","",I75*T75)</x:f>
        <x:v>20.558297944535806</x:v>
      </x:c>
    </x:row>
    <x:row r="76" ht="18" customHeight="1">
      <x:c r="A76" s="24" t="str">
        <x:v>EEZ_198</x:v>
      </x:c>
      <x:c r="B76" s="24" t="str">
        <x:v>Cyprus (South)</x:v>
      </x:c>
      <x:c r="C76" s="24" t="str">
        <x:v>EEZ</x:v>
      </x:c>
      <x:c r="D76" s="30" t="n">
        <x:v>2019</x:v>
      </x:c>
      <x:c r="E76" s="24" t="str">
        <x:v>Serranidae</x:v>
      </x:c>
      <x:c r="F76" s="24" t="str">
        <x:v>Basses, groupers, hinds</x:v>
      </x:c>
      <x:c r="G76" s="24" t="str">
        <x:v>Medium reef assoc. fish (30 - 89 cm)</x:v>
      </x:c>
      <x:c r="H76" s="24" t="str">
        <x:v>Perch-likes</x:v>
      </x:c>
      <x:c r="I76" s="31" t="n">
        <x:v>0.1380330267</x:v>
      </x:c>
      <x:c r="J76" s="31" t="n">
        <x:v>0.1380330267</x:v>
      </x:c>
      <x:c r="K76" s="31" t="n">
        <x:v>0</x:v>
      </x:c>
      <x:c r="L76" s="31" t="n">
        <x:v>0</x:v>
      </x:c>
      <x:c r="M76" s="31" t="n">
        <x:v>0.1380330267</x:v>
      </x:c>
      <x:c r="N76" s="24" t="str">
        <x:v>serranidae</x:v>
      </x:c>
      <x:c r="O76" s="32" t="n">
        <x:v>3.98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Serranidae</x:v>
      </x:c>
      <x:c r="T76" s="32" t="n">
        <x:f>IF(O76="","",(1/'Metadata'!$B$5)^(O76-1))</x:f>
        <x:v>954.992586021436</x:v>
      </x:c>
      <x:c r="U76" s="31" t="n">
        <x:f>IF(T76="","",I76*T76)</x:f>
        <x:v>131.82051712459892</x:v>
      </x:c>
    </x:row>
    <x:row r="77" ht="18" customHeight="1">
      <x:c r="A77" s="24" t="str">
        <x:v>EEZ_198</x:v>
      </x:c>
      <x:c r="B77" s="24" t="str">
        <x:v>Cyprus (South)</x:v>
      </x:c>
      <x:c r="C77" s="24" t="str">
        <x:v>EEZ</x:v>
      </x:c>
      <x:c r="D77" s="30" t="n">
        <x:v>2019</x:v>
      </x:c>
      <x:c r="E77" s="24" t="str">
        <x:v>Anguilla anguilla</x:v>
      </x:c>
      <x:c r="F77" s="24" t="str">
        <x:v>European eel</x:v>
      </x:c>
      <x:c r="G77" s="24" t="str">
        <x:v>Large demersals (&gt;=90 cm)</x:v>
      </x:c>
      <x:c r="H77" s="24" t="str">
        <x:v>Other fishes &amp; inverts</x:v>
      </x:c>
      <x:c r="I77" s="31" t="n">
        <x:v>0.1289535353</x:v>
      </x:c>
      <x:c r="J77" s="31" t="n">
        <x:v>0.1289535353</x:v>
      </x:c>
      <x:c r="K77" s="31" t="n">
        <x:v>0</x:v>
      </x:c>
      <x:c r="L77" s="31" t="n">
        <x:v>0</x:v>
      </x:c>
      <x:c r="M77" s="31" t="n">
        <x:v>0.1289535353</x:v>
      </x:c>
      <x:c r="N77" s="24" t="str">
        <x:v>anguilla anguilla</x:v>
      </x:c>
      <x:c r="O77" s="32" t="n">
        <x:v>3.55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Anguilla anguilla</x:v>
      </x:c>
      <x:c r="T77" s="32" t="n">
        <x:f>IF(O77="","",(1/'Metadata'!$B$5)^(O77-1))</x:f>
        <x:v>354.8133892335753</x:v>
      </x:c>
      <x:c r="U77" s="31" t="n">
        <x:f>IF(T77="","",I77*T77)</x:f>
        <x:v>45.7544409134445</x:v>
      </x:c>
    </x:row>
    <x:row r="78" ht="18" customHeight="1">
      <x:c r="A78" s="24" t="str">
        <x:v>EEZ_198</x:v>
      </x:c>
      <x:c r="B78" s="24" t="str">
        <x:v>Cyprus (South)</x:v>
      </x:c>
      <x:c r="C78" s="24" t="str">
        <x:v>EEZ</x:v>
      </x:c>
      <x:c r="D78" s="30" t="n">
        <x:v>2019</x:v>
      </x:c>
      <x:c r="E78" s="24" t="str">
        <x:v>Serranus</x:v>
      </x:c>
      <x:c r="F78" s="24" t="str">
        <x:v>Groupers</x:v>
      </x:c>
      <x:c r="G78" s="24" t="str">
        <x:v>Small reef assoc. fish (&lt;30 cm)</x:v>
      </x:c>
      <x:c r="H78" s="24" t="str">
        <x:v>Perch-likes</x:v>
      </x:c>
      <x:c r="I78" s="31" t="n">
        <x:v>0.1287932922</x:v>
      </x:c>
      <x:c r="J78" s="31" t="n">
        <x:v>0.1287932922</x:v>
      </x:c>
      <x:c r="K78" s="31" t="n">
        <x:v>0</x:v>
      </x:c>
      <x:c r="L78" s="31" t="n">
        <x:v>0</x:v>
      </x:c>
      <x:c r="M78" s="31" t="n">
        <x:v>0.1287932922</x:v>
      </x:c>
      <x:c r="N78" s="24" t="str">
        <x:v>serranus</x:v>
      </x:c>
      <x:c r="O78" s="32" t="n">
        <x:v>3.73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Serranus</x:v>
      </x:c>
      <x:c r="T78" s="32" t="n">
        <x:f>IF(O78="","",(1/'Metadata'!$B$5)^(O78-1))</x:f>
        <x:v>537.0317963702527</x:v>
      </x:c>
      <x:c r="U78" s="31" t="n">
        <x:f>IF(T78="","",I78*T78)</x:f>
        <x:v>69.16609307060484</x:v>
      </x:c>
    </x:row>
    <x:row r="79" ht="18" customHeight="1">
      <x:c r="A79" s="24" t="str">
        <x:v>EEZ_198</x:v>
      </x:c>
      <x:c r="B79" s="24" t="str">
        <x:v>Cyprus (South)</x:v>
      </x:c>
      <x:c r="C79" s="24" t="str">
        <x:v>EEZ</x:v>
      </x:c>
      <x:c r="D79" s="30" t="n">
        <x:v>2019</x:v>
      </x:c>
      <x:c r="E79" s="24" t="str">
        <x:v>Muraena helena</x:v>
      </x:c>
      <x:c r="F79" s="24" t="str">
        <x:v>Mediterranean moray</x:v>
      </x:c>
      <x:c r="G79" s="24" t="str">
        <x:v>Large reef assoc. fish (&gt;=90 cm)</x:v>
      </x:c>
      <x:c r="H79" s="24" t="str">
        <x:v>Other fishes &amp; inverts</x:v>
      </x:c>
      <x:c r="I79" s="31" t="n">
        <x:v>0.093996991</x:v>
      </x:c>
      <x:c r="J79" s="31" t="n">
        <x:v>0.093996991</x:v>
      </x:c>
      <x:c r="K79" s="31" t="n">
        <x:v>0</x:v>
      </x:c>
      <x:c r="L79" s="31" t="n">
        <x:v>0</x:v>
      </x:c>
      <x:c r="M79" s="31" t="n">
        <x:v>0.093996991</x:v>
      </x:c>
      <x:c r="N79" s="24" t="str">
        <x:v>muraena helena</x:v>
      </x:c>
      <x:c r="O79" s="32" t="n">
        <x:v>4.18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Muraena helena</x:v>
      </x:c>
      <x:c r="T79" s="32" t="n">
        <x:f>IF(O79="","",(1/'Metadata'!$B$5)^(O79-1))</x:f>
        <x:v>1513.5612484362073</x:v>
      </x:c>
      <x:c r="U79" s="31" t="n">
        <x:f>IF(T79="","",I79*T79)</x:f>
        <x:v>142.27020304720693</x:v>
      </x:c>
    </x:row>
    <x:row r="80" ht="18" customHeight="1">
      <x:c r="A80" s="24" t="str">
        <x:v>EEZ_198</x:v>
      </x:c>
      <x:c r="B80" s="24" t="str">
        <x:v>Cyprus (South)</x:v>
      </x:c>
      <x:c r="C80" s="24" t="str">
        <x:v>EEZ</x:v>
      </x:c>
      <x:c r="D80" s="30" t="n">
        <x:v>2019</x:v>
      </x:c>
      <x:c r="E80" s="24" t="str">
        <x:v>Tetrapturus belone</x:v>
      </x:c>
      <x:c r="F80" s="24" t="str">
        <x:v>Mediterranean spearfish</x:v>
      </x:c>
      <x:c r="G80" s="24" t="str">
        <x:v>Large pelagics (&gt;=90 cm)</x:v>
      </x:c>
      <x:c r="H80" s="24" t="str">
        <x:v>Tuna &amp; billfishes</x:v>
      </x:c>
      <x:c r="I80" s="31" t="n">
        <x:v>0.090714168</x:v>
      </x:c>
      <x:c r="J80" s="31" t="n">
        <x:v>0.090714168</x:v>
      </x:c>
      <x:c r="K80" s="31" t="n">
        <x:v>0</x:v>
      </x:c>
      <x:c r="L80" s="31" t="n">
        <x:v>0</x:v>
      </x:c>
      <x:c r="M80" s="31" t="n">
        <x:v>0.090714168</x:v>
      </x:c>
      <x:c r="N80" s="24" t="str">
        <x:v>tetrapturus belone</x:v>
      </x:c>
      <x:c r="O80" s="32" t="n">
        <x:v>4.5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Tetrapturus belone</x:v>
      </x:c>
      <x:c r="T80" s="32" t="n">
        <x:f>IF(O80="","",(1/'Metadata'!$B$5)^(O80-1))</x:f>
        <x:v>3162.2776601683795</x:v>
      </x:c>
      <x:c r="U80" s="31" t="n">
        <x:f>IF(T80="","",I80*T80)</x:f>
        <x:v>286.8633869271613</x:v>
      </x:c>
    </x:row>
    <x:row r="81" ht="18" customHeight="1">
      <x:c r="A81" s="24" t="str">
        <x:v>EEZ_198</x:v>
      </x:c>
      <x:c r="B81" s="24" t="str">
        <x:v>Cyprus (South)</x:v>
      </x:c>
      <x:c r="C81" s="24" t="str">
        <x:v>EEZ</x:v>
      </x:c>
      <x:c r="D81" s="30" t="n">
        <x:v>2019</x:v>
      </x:c>
      <x:c r="E81" s="24" t="str">
        <x:v>Soleidae</x:v>
      </x:c>
      <x:c r="F81" s="24" t="str">
        <x:v>Soles</x:v>
      </x:c>
      <x:c r="G81" s="24" t="str">
        <x:v>Small to medium flatfishes (&lt;90 cm)</x:v>
      </x:c>
      <x:c r="H81" s="24" t="str">
        <x:v>Flatfishes</x:v>
      </x:c>
      <x:c r="I81" s="31" t="n">
        <x:v>0.077885798</x:v>
      </x:c>
      <x:c r="J81" s="31" t="n">
        <x:v>0.077885798</x:v>
      </x:c>
      <x:c r="K81" s="31" t="n">
        <x:v>0</x:v>
      </x:c>
      <x:c r="L81" s="31" t="n">
        <x:v>0</x:v>
      </x:c>
      <x:c r="M81" s="31" t="n">
        <x:v>0.077885798</x:v>
      </x:c>
      <x:c r="N81" s="24" t="str">
        <x:v>soleidae</x:v>
      </x:c>
      <x:c r="O81" s="32" t="n">
        <x:v>3.15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Soleidae</x:v>
      </x:c>
      <x:c r="T81" s="32" t="n">
        <x:f>IF(O81="","",(1/'Metadata'!$B$5)^(O81-1))</x:f>
        <x:v>141.2537544622754</x:v>
      </x:c>
      <x:c r="U81" s="31" t="n">
        <x:f>IF(T81="","",I81*T81)</x:f>
        <x:v>11.001661386790381</x:v>
      </x:c>
    </x:row>
    <x:row r="82" ht="18" customHeight="1">
      <x:c r="A82" s="24" t="str">
        <x:v>EEZ_198</x:v>
      </x:c>
      <x:c r="B82" s="24" t="str">
        <x:v>Cyprus (South)</x:v>
      </x:c>
      <x:c r="C82" s="24" t="str">
        <x:v>EEZ</x:v>
      </x:c>
      <x:c r="D82" s="30" t="n">
        <x:v>2019</x:v>
      </x:c>
      <x:c r="E82" s="24" t="str">
        <x:v>Sciaena umbra</x:v>
      </x:c>
      <x:c r="F82" s="24" t="str">
        <x:v>Brown meagre</x:v>
      </x:c>
      <x:c r="G82" s="24" t="str">
        <x:v>Medium demersals (30 - 89 cm)</x:v>
      </x:c>
      <x:c r="H82" s="24" t="str">
        <x:v>Perch-likes</x:v>
      </x:c>
      <x:c r="I82" s="31" t="n">
        <x:v>0.0369437591</x:v>
      </x:c>
      <x:c r="J82" s="31" t="n">
        <x:v>0.0369437591</x:v>
      </x:c>
      <x:c r="K82" s="31" t="n">
        <x:v>0</x:v>
      </x:c>
      <x:c r="L82" s="31" t="n">
        <x:v>0</x:v>
      </x:c>
      <x:c r="M82" s="31" t="n">
        <x:v>0.0369437591</x:v>
      </x:c>
      <x:c r="N82" s="24" t="str">
        <x:v>sciaena umbra</x:v>
      </x:c>
      <x:c r="O82" s="32" t="n">
        <x:v>3.75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Sciaena umbra</x:v>
      </x:c>
      <x:c r="T82" s="32" t="n">
        <x:f>IF(O82="","",(1/'Metadata'!$B$5)^(O82-1))</x:f>
        <x:v>562.341325190349</x:v>
      </x:c>
      <x:c r="U82" s="31" t="n">
        <x:f>IF(T82="","",I82*T82)</x:f>
        <x:v>20.775002449807015</x:v>
      </x:c>
    </x:row>
    <x:row r="83" ht="18" customHeight="1">
      <x:c r="A83" s="24" t="str">
        <x:v>EEZ_198</x:v>
      </x:c>
      <x:c r="B83" s="24" t="str">
        <x:v>Cyprus (South)</x:v>
      </x:c>
      <x:c r="C83" s="24" t="str">
        <x:v>EEZ</x:v>
      </x:c>
      <x:c r="D83" s="30" t="n">
        <x:v>2019</x:v>
      </x:c>
      <x:c r="E83" s="24" t="str">
        <x:v>Umbrina cirrosa</x:v>
      </x:c>
      <x:c r="F83" s="24" t="str">
        <x:v>Shi drum</x:v>
      </x:c>
      <x:c r="G83" s="24" t="str">
        <x:v>Medium demersals (30 - 89 cm)</x:v>
      </x:c>
      <x:c r="H83" s="24" t="str">
        <x:v>Perch-likes</x:v>
      </x:c>
      <x:c r="I83" s="31" t="n">
        <x:v>0.0363839379</x:v>
      </x:c>
      <x:c r="J83" s="31" t="n">
        <x:v>0.0363839379</x:v>
      </x:c>
      <x:c r="K83" s="31" t="n">
        <x:v>0</x:v>
      </x:c>
      <x:c r="L83" s="31" t="n">
        <x:v>0</x:v>
      </x:c>
      <x:c r="M83" s="31" t="n">
        <x:v>0.0363839379</x:v>
      </x:c>
      <x:c r="N83" s="24" t="str">
        <x:v>umbrina cirrosa</x:v>
      </x:c>
      <x:c r="O83" s="32" t="n">
        <x:v>3.46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Umbrina cirrosa</x:v>
      </x:c>
      <x:c r="T83" s="32" t="n">
        <x:f>IF(O83="","",(1/'Metadata'!$B$5)^(O83-1))</x:f>
        <x:v>288.40315031266056</x:v>
      </x:c>
      <x:c r="U83" s="31" t="n">
        <x:f>IF(T83="","",I83*T83)</x:f>
        <x:v>10.493242311140207</x:v>
      </x:c>
    </x:row>
    <x:row r="84" ht="18" customHeight="1">
      <x:c r="A84" s="24" t="str">
        <x:v>EEZ_198</x:v>
      </x:c>
      <x:c r="B84" s="24" t="str">
        <x:v>Cyprus (South)</x:v>
      </x:c>
      <x:c r="C84" s="24" t="str">
        <x:v>EEZ</x:v>
      </x:c>
      <x:c r="D84" s="30" t="n">
        <x:v>2019</x:v>
      </x:c>
      <x:c r="E84" s="24" t="str">
        <x:v>Spondyliosoma cantharus</x:v>
      </x:c>
      <x:c r="F84" s="24" t="str">
        <x:v>Black seabream</x:v>
      </x:c>
      <x:c r="G84" s="24" t="str">
        <x:v>Medium benthopelagics (30 - 89 cm)</x:v>
      </x:c>
      <x:c r="H84" s="24" t="str">
        <x:v>Perch-likes</x:v>
      </x:c>
      <x:c r="I84" s="31" t="n">
        <x:v>0.0363839379</x:v>
      </x:c>
      <x:c r="J84" s="31" t="n">
        <x:v>0.0363839379</x:v>
      </x:c>
      <x:c r="K84" s="31" t="n">
        <x:v>0</x:v>
      </x:c>
      <x:c r="L84" s="31" t="n">
        <x:v>0</x:v>
      </x:c>
      <x:c r="M84" s="31" t="n">
        <x:v>0.0363839379</x:v>
      </x:c>
      <x:c r="N84" s="24" t="str">
        <x:v>spondyliosoma cantharus</x:v>
      </x:c>
      <x:c r="O84" s="32" t="n">
        <x:v>3.34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Spondyliosoma cantharus</x:v>
      </x:c>
      <x:c r="T84" s="32" t="n">
        <x:f>IF(O84="","",(1/'Metadata'!$B$5)^(O84-1))</x:f>
        <x:v>218.77616239495518</x:v>
      </x:c>
      <x:c r="U84" s="31" t="n">
        <x:f>IF(T84="","",I84*T84)</x:f>
        <x:v>7.9599383065783655</x:v>
      </x:c>
    </x:row>
    <x:row r="85" ht="18" customHeight="1">
      <x:c r="A85" s="24" t="str">
        <x:v>EEZ_198</x:v>
      </x:c>
      <x:c r="B85" s="24" t="str">
        <x:v>Cyprus (South)</x:v>
      </x:c>
      <x:c r="C85" s="24" t="str">
        <x:v>EEZ</x:v>
      </x:c>
      <x:c r="D85" s="30" t="n">
        <x:v>2019</x:v>
      </x:c>
      <x:c r="E85" s="24" t="str">
        <x:v>Mullus</x:v>
      </x:c>
      <x:c r="F85" s="24" t="str">
        <x:v>Atlantic goatfishes</x:v>
      </x:c>
      <x:c r="G85" s="24" t="str">
        <x:v>Medium demersals (30 - 89 cm)</x:v>
      </x:c>
      <x:c r="H85" s="24" t="str">
        <x:v>Perch-likes</x:v>
      </x:c>
      <x:c r="I85" s="31" t="n">
        <x:v>0.0322383838</x:v>
      </x:c>
      <x:c r="J85" s="31" t="n">
        <x:v>0.0322383838</x:v>
      </x:c>
      <x:c r="K85" s="31" t="n">
        <x:v>0</x:v>
      </x:c>
      <x:c r="L85" s="31" t="n">
        <x:v>0</x:v>
      </x:c>
      <x:c r="M85" s="31" t="n">
        <x:v>0.0322383838</x:v>
      </x:c>
      <x:c r="N85" s="24" t="str">
        <x:v>mullus</x:v>
      </x:c>
      <x:c r="O85" s="32" t="n">
        <x:v>3.29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Mullus</x:v>
      </x:c>
      <x:c r="T85" s="32" t="n">
        <x:f>IF(O85="","",(1/'Metadata'!$B$5)^(O85-1))</x:f>
        <x:v>194.98445997580455</x:v>
      </x:c>
      <x:c r="U85" s="31" t="n">
        <x:f>IF(T85="","",I85*T85)</x:f>
        <x:v>6.285983855735726</x:v>
      </x:c>
    </x:row>
    <x:row r="86" ht="18" customHeight="1">
      <x:c r="A86" s="24" t="str">
        <x:v>EEZ_198</x:v>
      </x:c>
      <x:c r="B86" s="24" t="str">
        <x:v>Cyprus (South)</x:v>
      </x:c>
      <x:c r="C86" s="24" t="str">
        <x:v>EEZ</x:v>
      </x:c>
      <x:c r="D86" s="30" t="n">
        <x:v>2019</x:v>
      </x:c>
      <x:c r="E86" s="24" t="str">
        <x:v>Diplodus annularis</x:v>
      </x:c>
      <x:c r="F86" s="24" t="str">
        <x:v>Annular seabream</x:v>
      </x:c>
      <x:c r="G86" s="24" t="str">
        <x:v>Small benthopelagics (&lt;30 cm)</x:v>
      </x:c>
      <x:c r="H86" s="24" t="str">
        <x:v>Perch-likes</x:v>
      </x:c>
      <x:c r="I86" s="31" t="n">
        <x:v>0.0215524644</x:v>
      </x:c>
      <x:c r="J86" s="31" t="n">
        <x:v>0.0215524644</x:v>
      </x:c>
      <x:c r="K86" s="31" t="n">
        <x:v>0</x:v>
      </x:c>
      <x:c r="L86" s="31" t="n">
        <x:v>0</x:v>
      </x:c>
      <x:c r="M86" s="31" t="n">
        <x:v>0.0215524644</x:v>
      </x:c>
      <x:c r="N86" s="24" t="str">
        <x:v>diplodus annularis</x:v>
      </x:c>
      <x:c r="O86" s="32" t="n">
        <x:v>3.64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Diplodus annularis</x:v>
      </x:c>
      <x:c r="T86" s="32" t="n">
        <x:f>IF(O86="","",(1/'Metadata'!$B$5)^(O86-1))</x:f>
        <x:v>436.5158322401661</x:v>
      </x:c>
      <x:c r="U86" s="31" t="n">
        <x:f>IF(T86="","",I86*T86)</x:f>
        <x:v>9.407991934392552</x:v>
      </x:c>
    </x:row>
    <x:row r="87" ht="18" customHeight="1">
      <x:c r="A87" s="24" t="str">
        <x:v>EEZ_198</x:v>
      </x:c>
      <x:c r="B87" s="24" t="str">
        <x:v>Cyprus (South)</x:v>
      </x:c>
      <x:c r="C87" s="24" t="str">
        <x:v>EEZ</x:v>
      </x:c>
      <x:c r="D87" s="30" t="n">
        <x:v>2019</x:v>
      </x:c>
      <x:c r="E87" s="24" t="str">
        <x:v>Polyprion americanus</x:v>
      </x:c>
      <x:c r="F87" s="24" t="str">
        <x:v>Wreckfish</x:v>
      </x:c>
      <x:c r="G87" s="24" t="str">
        <x:v>Large bathydemersals (&gt;=90 cm)</x:v>
      </x:c>
      <x:c r="H87" s="24" t="str">
        <x:v>Perch-likes</x:v>
      </x:c>
      <x:c r="I87" s="31" t="n">
        <x:v>0.0208890195</x:v>
      </x:c>
      <x:c r="J87" s="31" t="n">
        <x:v>0.0208890195</x:v>
      </x:c>
      <x:c r="K87" s="31" t="n">
        <x:v>0</x:v>
      </x:c>
      <x:c r="L87" s="31" t="n">
        <x:v>0</x:v>
      </x:c>
      <x:c r="M87" s="31" t="n">
        <x:v>0.0208890195</x:v>
      </x:c>
      <x:c r="N87" s="24" t="str">
        <x:v>polyprion americanus</x:v>
      </x:c>
      <x:c r="O87" s="32" t="n">
        <x:v>4.14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Polyprion americanus</x:v>
      </x:c>
      <x:c r="T87" s="32" t="n">
        <x:f>IF(O87="","",(1/'Metadata'!$B$5)^(O87-1))</x:f>
        <x:v>1380.3842646028838</x:v>
      </x:c>
      <x:c r="U87" s="31" t="n">
        <x:f>IF(T87="","",I87*T87)</x:f>
        <x:v>28.834873820782803</x:v>
      </x:c>
    </x:row>
    <x:row r="88" ht="18" customHeight="1">
      <x:c r="A88" s="24" t="str">
        <x:v>EEZ_198</x:v>
      </x:c>
      <x:c r="B88" s="24" t="str">
        <x:v>Cyprus (South)</x:v>
      </x:c>
      <x:c r="C88" s="24" t="str">
        <x:v>EEZ</x:v>
      </x:c>
      <x:c r="D88" s="30" t="n">
        <x:v>2019</x:v>
      </x:c>
      <x:c r="E88" s="24" t="str">
        <x:v>Scyllarides latus</x:v>
      </x:c>
      <x:c r="F88" s="24" t="str">
        <x:v>Mediterranean slipper lobster</x:v>
      </x:c>
      <x:c r="G88" s="24" t="str">
        <x:v>Lobsters, crabs</x:v>
      </x:c>
      <x:c r="H88" s="24" t="str">
        <x:v>Crustaceans</x:v>
      </x:c>
      <x:c r="I88" s="31" t="n">
        <x:v>0.0187617943</x:v>
      </x:c>
      <x:c r="J88" s="31" t="n">
        <x:v>0.0187617943</x:v>
      </x:c>
      <x:c r="K88" s="31" t="n">
        <x:v>0</x:v>
      </x:c>
      <x:c r="L88" s="31" t="n">
        <x:v>0</x:v>
      </x:c>
      <x:c r="M88" s="31" t="n">
        <x:v>0.0187617943</x:v>
      </x:c>
      <x:c r="N88" s="24" t="str">
        <x:v>scyllarides latus</x:v>
      </x:c>
      <x:c r="O88" s="32" t="n">
        <x:v>3.37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Scyllarides latus</x:v>
      </x:c>
      <x:c r="T88" s="32" t="n">
        <x:f>IF(O88="","",(1/'Metadata'!$B$5)^(O88-1))</x:f>
        <x:v>234.42288153199226</x:v>
      </x:c>
      <x:c r="U88" s="31" t="n">
        <x:f>IF(T88="","",I88*T88)</x:f>
        <x:v>4.398193882516507</x:v>
      </x:c>
    </x:row>
    <x:row r="89" ht="18" customHeight="1">
      <x:c r="A89" s="24" t="str">
        <x:v>EEZ_198</x:v>
      </x:c>
      <x:c r="B89" s="24" t="str">
        <x:v>Cyprus (South)</x:v>
      </x:c>
      <x:c r="C89" s="24" t="str">
        <x:v>EEZ</x:v>
      </x:c>
      <x:c r="D89" s="30" t="n">
        <x:v>2019</x:v>
      </x:c>
      <x:c r="E89" s="24" t="str">
        <x:v>Pagellus bogaraveo</x:v>
      </x:c>
      <x:c r="F89" s="24" t="str">
        <x:v>Blackspot seabream</x:v>
      </x:c>
      <x:c r="G89" s="24" t="str">
        <x:v>Medium benthopelagics (30 - 89 cm)</x:v>
      </x:c>
      <x:c r="H89" s="24" t="str">
        <x:v>Perch-likes</x:v>
      </x:c>
      <x:c r="I89" s="31" t="n">
        <x:v>0.0111591855</x:v>
      </x:c>
      <x:c r="J89" s="31" t="n">
        <x:v>0.0111591855</x:v>
      </x:c>
      <x:c r="K89" s="31" t="n">
        <x:v>0</x:v>
      </x:c>
      <x:c r="L89" s="31" t="n">
        <x:v>0</x:v>
      </x:c>
      <x:c r="M89" s="31" t="n">
        <x:v>0.0111591855</x:v>
      </x:c>
      <x:c r="N89" s="24" t="str">
        <x:v>pagellus bogaraveo</x:v>
      </x:c>
      <x:c r="O89" s="32" t="n">
        <x:v>4.21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Pagellus bogaraveo</x:v>
      </x:c>
      <x:c r="T89" s="32" t="n">
        <x:f>IF(O89="","",(1/'Metadata'!$B$5)^(O89-1))</x:f>
        <x:v>1621.8100973589299</x:v>
      </x:c>
      <x:c r="U89" s="31" t="n">
        <x:f>IF(T89="","",I89*T89)</x:f>
        <x:v>18.09807972220136</x:v>
      </x:c>
    </x:row>
    <x:row r="90" ht="18" customHeight="1">
      <x:c r="A90" s="24" t="str">
        <x:v>EEZ_198</x:v>
      </x:c>
      <x:c r="B90" s="24" t="str">
        <x:v>Cyprus (South)</x:v>
      </x:c>
      <x:c r="C90" s="24" t="str">
        <x:v>EEZ</x:v>
      </x:c>
      <x:c r="D90" s="30" t="n">
        <x:v>2019</x:v>
      </x:c>
      <x:c r="E90" s="24" t="str">
        <x:v>Belone belone</x:v>
      </x:c>
      <x:c r="F90" s="24" t="str">
        <x:v>Garfish</x:v>
      </x:c>
      <x:c r="G90" s="24" t="str">
        <x:v>Medium pelagics (30 - 89 cm)</x:v>
      </x:c>
      <x:c r="H90" s="24" t="str">
        <x:v>Other fishes &amp; inverts</x:v>
      </x:c>
      <x:c r="I90" s="31" t="n">
        <x:v>0.0060864257</x:v>
      </x:c>
      <x:c r="J90" s="31" t="n">
        <x:v>0.0060864257</x:v>
      </x:c>
      <x:c r="K90" s="31" t="n">
        <x:v>0</x:v>
      </x:c>
      <x:c r="L90" s="31" t="n">
        <x:v>0</x:v>
      </x:c>
      <x:c r="M90" s="31" t="n">
        <x:v>0.0060864257</x:v>
      </x:c>
      <x:c r="N90" s="24" t="str">
        <x:v>belone belone</x:v>
      </x:c>
      <x:c r="O90" s="32" t="n">
        <x:v>4.16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Belone belone</x:v>
      </x:c>
      <x:c r="T90" s="32" t="n">
        <x:f>IF(O90="","",(1/'Metadata'!$B$5)^(O90-1))</x:f>
        <x:v>1445.439770745928</x:v>
      </x:c>
      <x:c r="U90" s="31" t="n">
        <x:f>IF(T90="","",I90*T90)</x:f>
        <x:v>8.797561768470125</x:v>
      </x:c>
    </x:row>
    <x:row r="91" ht="18" customHeight="1">
      <x:c r="A91" s="24" t="str">
        <x:v>EEZ_198</x:v>
      </x:c>
      <x:c r="B91" s="24" t="str">
        <x:v>Cyprus (South)</x:v>
      </x:c>
      <x:c r="C91" s="24" t="str">
        <x:v>EEZ</x:v>
      </x:c>
      <x:c r="D91" s="30" t="n">
        <x:v>2019</x:v>
      </x:c>
      <x:c r="E91" s="24" t="str">
        <x:v>Spicara</x:v>
      </x:c>
      <x:c r="F91" s="24" t="str">
        <x:v>Picarels</x:v>
      </x:c>
      <x:c r="G91" s="24" t="str">
        <x:v>Small demersals (&lt;30 cm)</x:v>
      </x:c>
      <x:c r="H91" s="24" t="str">
        <x:v>Perch-likes</x:v>
      </x:c>
      <x:c r="I91" s="31" t="n">
        <x:v>0.0053881161</x:v>
      </x:c>
      <x:c r="J91" s="31" t="n">
        <x:v>0.0053881161</x:v>
      </x:c>
      <x:c r="K91" s="31" t="n">
        <x:v>0</x:v>
      </x:c>
      <x:c r="L91" s="31" t="n">
        <x:v>0</x:v>
      </x:c>
      <x:c r="M91" s="31" t="n">
        <x:v>0.0053881161</x:v>
      </x:c>
      <x:c r="N91" s="24" t="str">
        <x:v>spicara</x:v>
      </x:c>
      <x:c r="O91" s="32" t="n">
        <x:v>3.58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Spicara</x:v>
      </x:c>
      <x:c r="T91" s="32" t="n">
        <x:f>IF(O91="","",(1/'Metadata'!$B$5)^(O91-1))</x:f>
        <x:v>380.1893963205613</x:v>
      </x:c>
      <x:c r="U91" s="31" t="n">
        <x:f>IF(T91="","",I91*T91)</x:f>
        <x:v>2.048504607364097</x:v>
      </x:c>
    </x:row>
  </x:sheetData>
  <x:conditionalFormatting sqref="R2:R9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7fbfcc287c9466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0.18474450209999999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23.79970220080962</x:v>
      </x:c>
    </x:row>
    <x:row r="3" ht="18" customHeight="1">
      <x:c r="A3" s="24" t="str">
        <x:v>Crustaceans</x:v>
      </x:c>
      <x:c r="B3" s="31" t="n">
        <x:v>13.650335744</x:v>
      </x:c>
      <x:c r="C3" s="32" t="n">
        <x:v>3.0764897717847672</x:v>
      </x:c>
      <x:c r="D3" s="32" t="n">
        <x:f>IF(C3="","",(1/'Metadata'!$B$5)^(C3-1))</x:f>
        <x:v>119.2586178527368</x:v>
      </x:c>
      <x:c r="E3" s="31" t="n">
        <x:f>IF(B3=0,"",B3*D3)</x:f>
        <x:v>1627.9201740552496</x:v>
      </x:c>
    </x:row>
    <x:row r="4" ht="18" customHeight="1">
      <x:c r="A4" s="24" t="str">
        <x:v>Flatfishes</x:v>
      </x:c>
      <x:c r="B4" s="31" t="n">
        <x:v>1.077885798</x:v>
      </x:c>
      <x:c r="C4" s="32" t="n">
        <x:v>3.539651668831061</x:v>
      </x:c>
      <x:c r="D4" s="32" t="n">
        <x:f>IF(C4="","",(1/'Metadata'!$B$5)^(C4-1))</x:f>
        <x:v>346.45885744507626</x:v>
      </x:c>
      <x:c r="E4" s="31" t="n">
        <x:f>IF(B4=0,"",B4*D4)</x:f>
        <x:v>373.44308203135427</x:v>
      </x:c>
    </x:row>
    <x:row r="5" ht="18" customHeight="1">
      <x:c r="A5" s="24" t="str">
        <x:v>Herring-likes</x:v>
      </x:c>
      <x:c r="B5" s="31" t="n">
        <x:v>0.4673147882</x:v>
      </x:c>
      <x:c r="C5" s="32" t="n">
        <x:v>3.16</x:v>
      </x:c>
      <x:c r="D5" s="32" t="n">
        <x:f>IF(C5="","",(1/'Metadata'!$B$5)^(C5-1))</x:f>
        <x:v>144.5439770745928</x:v>
      </x:c>
      <x:c r="E5" s="31" t="n">
        <x:f>IF(B5=0,"",B5*D5)</x:f>
        <x:v>67.54753803219899</x:v>
      </x:c>
    </x:row>
    <x:row r="6" ht="18" customHeight="1">
      <x:c r="A6" s="24" t="str">
        <x:v>Molluscs</x:v>
      </x:c>
      <x:c r="B6" s="31" t="n">
        <x:v>9.9832795396</x:v>
      </x:c>
      <x:c r="C6" s="32" t="n">
        <x:v>2.7687499631922057</x:v>
      </x:c>
      <x:c r="D6" s="32" t="n">
        <x:f>IF(C6="","",(1/'Metadata'!$B$5)^(C6-1))</x:f>
        <x:v>58.71512140296415</x:v>
      </x:c>
      <x:c r="E6" s="31" t="n">
        <x:f>IF(B6=0,"",B6*D6)</x:f>
        <x:v>586.1694701673421</x:v>
      </x:c>
    </x:row>
    <x:row r="7" ht="18" customHeight="1">
      <x:c r="A7" s="24" t="str">
        <x:v>Other fishes &amp; inverts</x:v>
      </x:c>
      <x:c r="B7" s="31" t="n">
        <x:v>719.0743559684001</x:v>
      </x:c>
      <x:c r="C7" s="32" t="n">
        <x:v>3.4599383005216233</x:v>
      </x:c>
      <x:c r="D7" s="32" t="n">
        <x:f>IF(C7="","",(1/'Metadata'!$B$5)^(C7-1))</x:f>
        <x:v>288.362180277965</x:v>
      </x:c>
      <x:c r="E7" s="31" t="n">
        <x:f>IF(B7=0,"",B7*D7)</x:f>
        <x:v>207353.8490690214</x:v>
      </x:c>
    </x:row>
    <x:row r="8" ht="18" customHeight="1">
      <x:c r="A8" s="24" t="str">
        <x:v>Perch-likes</x:v>
      </x:c>
      <x:c r="B8" s="31" t="n">
        <x:v>758.8191626294</x:v>
      </x:c>
      <x:c r="C8" s="32" t="n">
        <x:v>3.385985719270885</x:v>
      </x:c>
      <x:c r="D8" s="32" t="n">
        <x:f>IF(C8="","",(1/'Metadata'!$B$5)^(C8-1))</x:f>
        <x:v>243.21240332118285</x:v>
      </x:c>
      <x:c r="E8" s="31" t="n">
        <x:f>IF(B8=0,"",B8*D8)</x:f>
        <x:v>184554.23222926387</x:v>
      </x:c>
    </x:row>
    <x:row r="9" ht="18" customHeight="1">
      <x:c r="A9" s="24" t="str">
        <x:v>Scorpionfishes</x:v>
      </x:c>
      <x:c r="B9" s="31" t="n">
        <x:v>20.1434932779</x:v>
      </x:c>
      <x:c r="C9" s="32" t="n">
        <x:v>3.8392390105814562</x:v>
      </x:c>
      <x:c r="D9" s="32" t="n">
        <x:f>IF(C9="","",(1/'Metadata'!$B$5)^(C9-1))</x:f>
        <x:v>690.6197764816461</x:v>
      </x:c>
      <x:c r="E9" s="31" t="n">
        <x:f>IF(B9=0,"",B9*D9)</x:f>
        <x:v>13911.494825142838</x:v>
      </x:c>
    </x:row>
    <x:row r="10" ht="18" customHeight="1">
      <x:c r="A10" s="24" t="str">
        <x:v>Sharks &amp; rays</x:v>
      </x:c>
      <x:c r="B10" s="31" t="n">
        <x:v>32.3608653682</x:v>
      </x:c>
      <x:c r="C10" s="32" t="n">
        <x:v>3.7318388068936335</x:v>
      </x:c>
      <x:c r="D10" s="32" t="n">
        <x:f>IF(C10="","",(1/'Metadata'!$B$5)^(C10-1))</x:f>
        <x:v>539.3104144542236</x:v>
      </x:c>
      <x:c r="E10" s="31" t="n">
        <x:f>IF(B10=0,"",B10*D10)</x:f>
        <x:v>17452.551713821274</x:v>
      </x:c>
    </x:row>
    <x:row r="11" ht="18" customHeight="1">
      <x:c r="A11" s="24" t="str">
        <x:v>Tuna &amp; billfishes</x:v>
      </x:c>
      <x:c r="B11" s="31" t="n">
        <x:v>680.4472126390999</x:v>
      </x:c>
      <x:c r="C11" s="32" t="n">
        <x:v>4.3172602012408055</x:v>
      </x:c>
      <x:c r="D11" s="32" t="n">
        <x:f>IF(C11="","",(1/'Metadata'!$B$5)^(C11-1))</x:f>
        <x:v>2076.157044282365</x:v>
      </x:c>
      <x:c r="E11" s="31" t="n">
        <x:f>IF(B11=0,"",B11*D11)</x:f>
        <x:v>1412715.2737829676</x:v>
      </x:c>
    </x:row>
  </x:sheetData>
  <x:pageMargins left="0.7" right="0.7" top="0.75" bottom="0.75" header="0.3" footer="0.3"/>
  <x:tableParts count="1">
    <x:tablePart xmlns:r="http://schemas.openxmlformats.org/officeDocument/2006/relationships" r:id="R908e4ec12a9c4c7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35.3062523158</x:v>
      </x:c>
      <x:c r="C2" s="32" t="n">
        <x:v>4.076541890861427</x:v>
      </x:c>
      <x:c r="D2" s="32" t="n">
        <x:f>IF(C2="","",(1/'Metadata'!$B$5)^(C2-1))</x:f>
        <x:v>1192.729307723935</x:v>
      </x:c>
      <x:c r="E2" s="31" t="n">
        <x:f>IF(B2=0,"",B2*D2)</x:f>
        <x:v>42110.80188295072</x:v>
      </x:c>
    </x:row>
    <x:row r="3" ht="18" customHeight="1">
      <x:c r="A3" s="24" t="str">
        <x:v>Large bathydemersals (&gt;=90 cm)</x:v>
      </x:c>
      <x:c r="B3" s="31" t="n">
        <x:v>0.0208890195</x:v>
      </x:c>
      <x:c r="C3" s="32" t="n">
        <x:v>4.14</x:v>
      </x:c>
      <x:c r="D3" s="32" t="n">
        <x:f>IF(C3="","",(1/'Metadata'!$B$5)^(C3-1))</x:f>
        <x:v>1380.3842646028838</x:v>
      </x:c>
      <x:c r="E3" s="31" t="n">
        <x:f>IF(B3=0,"",B3*D3)</x:f>
        <x:v>28.834873820782803</x:v>
      </x:c>
    </x:row>
    <x:row r="4" ht="18" customHeight="1">
      <x:c r="A4" s="24" t="str">
        <x:v>Large benthopelagics (&gt;=90 cm)</x:v>
      </x:c>
      <x:c r="B4" s="31" t="n">
        <x:v>5.5405217336</x:v>
      </x:c>
      <x:c r="C4" s="32" t="n">
        <x:v>4.378089809830396</x:v>
      </x:c>
      <x:c r="D4" s="32" t="n">
        <x:f>IF(C4="","",(1/'Metadata'!$B$5)^(C4-1))</x:f>
        <x:v>2388.3051208739616</x:v>
      </x:c>
      <x:c r="E4" s="31" t="n">
        <x:f>IF(B4=0,"",B4*D4)</x:f>
        <x:v>13232.45642867036</x:v>
      </x:c>
    </x:row>
    <x:row r="5" ht="18" customHeight="1">
      <x:c r="A5" s="24" t="str">
        <x:v>Large demersals (&gt;=90 cm)</x:v>
      </x:c>
      <x:c r="B5" s="31" t="n">
        <x:v>33.4456937067</x:v>
      </x:c>
      <x:c r="C5" s="32" t="n">
        <x:v>4.078579243001814</x:v>
      </x:c>
      <x:c r="D5" s="32" t="n">
        <x:f>IF(C5="","",(1/'Metadata'!$B$5)^(C5-1))</x:f>
        <x:v>1198.3377564495459</x:v>
      </x:c>
      <x:c r="E5" s="31" t="n">
        <x:f>IF(B5=0,"",B5*D5)</x:f>
        <x:v>40079.23755938557</x:v>
      </x:c>
    </x:row>
    <x:row r="6" ht="18" customHeight="1">
      <x:c r="A6" s="24" t="str">
        <x:v>Large pelagics (&gt;=90 cm)</x:v>
      </x:c>
      <x:c r="B6" s="31" t="n">
        <x:v>675.1277131304</x:v>
      </x:c>
      <x:c r="C6" s="32" t="n">
        <x:v>4.3075283782863085</x:v>
      </x:c>
      <x:c r="D6" s="32" t="n">
        <x:f>IF(C6="","",(1/'Metadata'!$B$5)^(C6-1))</x:f>
        <x:v>2030.1511725443856</x:v>
      </x:c>
      <x:c r="E6" s="31" t="n">
        <x:f>IF(B6=0,"",B6*D6)</x:f>
        <x:v>1370611.3184288912</x:v>
      </x:c>
    </x:row>
    <x:row r="7" ht="18" customHeight="1">
      <x:c r="A7" s="24" t="str">
        <x:v>Large rays (&gt;=90 cm)</x:v>
      </x:c>
      <x:c r="B7" s="31" t="n">
        <x:v>25.1191184184</x:v>
      </x:c>
      <x:c r="C7" s="32" t="n">
        <x:v>3.6066413443033016</x:v>
      </x:c>
      <x:c r="D7" s="32" t="n">
        <x:f>IF(C7="","",(1/'Metadata'!$B$5)^(C7-1))</x:f>
        <x:v>404.24191658362923</x:v>
      </x:c>
      <x:c r="E7" s="31" t="n">
        <x:f>IF(B7=0,"",B7*D7)</x:f>
        <x:v>10154.200572345157</x:v>
      </x:c>
    </x:row>
    <x:row r="8" ht="18" customHeight="1">
      <x:c r="A8" s="24" t="str">
        <x:v>Large reef assoc. fish (&gt;=90 cm)</x:v>
      </x:c>
      <x:c r="B8" s="31" t="n">
        <x:v>506.51184040629994</x:v>
      </x:c>
      <x:c r="C8" s="32" t="n">
        <x:v>3.621164480669976</x:v>
      </x:c>
      <x:c r="D8" s="32" t="n">
        <x:f>IF(C8="","",(1/'Metadata'!$B$5)^(C8-1))</x:f>
        <x:v>417.9886418200083</x:v>
      </x:c>
      <x:c r="E8" s="31" t="n">
        <x:f>IF(B8=0,"",B8*D8)</x:f>
        <x:v>211716.1962371821</x:v>
      </x:c>
    </x:row>
    <x:row r="9" ht="18" customHeight="1">
      <x:c r="A9" s="24" t="str">
        <x:v>Large sharks (&gt;=90 cm)</x:v>
      </x:c>
      <x:c r="B9" s="31" t="n">
        <x:v>7.2417469498</x:v>
      </x:c>
      <x:c r="C9" s="32" t="n">
        <x:v>4.1661055536178635</x:v>
      </x:c>
      <x:c r="D9" s="32" t="n">
        <x:f>IF(C9="","",(1/'Metadata'!$B$5)^(C9-1))</x:f>
        <x:v>1465.9040800600524</x:v>
      </x:c>
      <x:c r="E9" s="31" t="n">
        <x:f>IF(B9=0,"",B9*D9)</x:f>
        <x:v>10615.70640047426</x:v>
      </x:c>
    </x:row>
    <x:row r="10" ht="18" customHeight="1">
      <x:c r="A10" s="24" t="str">
        <x:v>Lobsters, crabs</x:v>
      </x:c>
      <x:c r="B10" s="31" t="n">
        <x:v>4.514581081799999</x:v>
      </x:c>
      <x:c r="C10" s="32" t="n">
        <x:v>3.1588614078795216</x:v>
      </x:c>
      <x:c r="D10" s="32" t="n">
        <x:f>IF(C10="","",(1/'Metadata'!$B$5)^(C10-1))</x:f>
        <x:v>144.16552168797023</x:v>
      </x:c>
      <x:c r="E10" s="31" t="n">
        <x:f>IF(B10=0,"",B10*D10)</x:f>
        <x:v>650.8469368603379</x:v>
      </x:c>
    </x:row>
    <x:row r="11" ht="18" customHeight="1">
      <x:c r="A11" s="24" t="str">
        <x:v>Medium bathydemersals (30 - 89 cm)</x:v>
      </x:c>
      <x:c r="B11" s="31" t="n">
        <x:v>87.37171706250001</x:v>
      </x:c>
      <x:c r="C11" s="32" t="n">
        <x:v>3.3659917548231477</x:v>
      </x:c>
      <x:c r="D11" s="32" t="n">
        <x:f>IF(C11="","",(1/'Metadata'!$B$5)^(C11-1))</x:f>
        <x:v>232.26926991035845</x:v>
      </x:c>
      <x:c r="E11" s="31" t="n">
        <x:f>IF(B11=0,"",B11*D11)</x:f>
        <x:v>20293.764932921284</x:v>
      </x:c>
    </x:row>
    <x:row r="12" ht="18" customHeight="1">
      <x:c r="A12" s="24" t="str">
        <x:v>Medium benthopelagics (30 - 89 cm)</x:v>
      </x:c>
      <x:c r="B12" s="31" t="n">
        <x:v>107.45847268340002</x:v>
      </x:c>
      <x:c r="C12" s="32" t="n">
        <x:v>3.5217499241257686</x:v>
      </x:c>
      <x:c r="D12" s="32" t="n">
        <x:f>IF(C12="","",(1/'Metadata'!$B$5)^(C12-1))</x:f>
        <x:v>332.4680560833266</x:v>
      </x:c>
      <x:c r="E12" s="31" t="n">
        <x:f>IF(B12=0,"",B12*D12)</x:f>
        <x:v>35726.50952273326</x:v>
      </x:c>
    </x:row>
    <x:row r="13" ht="18" customHeight="1">
      <x:c r="A13" s="24" t="str">
        <x:v>Medium demersals (30 - 89 cm)</x:v>
      </x:c>
      <x:c r="B13" s="31" t="n">
        <x:v>454.69362017759994</x:v>
      </x:c>
      <x:c r="C13" s="32" t="n">
        <x:v>3.1969944428825583</x:v>
      </x:c>
      <x:c r="D13" s="32" t="n">
        <x:f>IF(C13="","",(1/'Metadata'!$B$5)^(C13-1))</x:f>
        <x:v>157.39627243262157</x:v>
      </x:c>
      <x:c r="E13" s="31" t="n">
        <x:f>IF(B13=0,"",B13*D13)</x:f>
        <x:v>71567.08091484848</x:v>
      </x:c>
    </x:row>
    <x:row r="14" ht="18" customHeight="1">
      <x:c r="A14" s="24" t="str">
        <x:v>Medium pelagics (30 - 89 cm)</x:v>
      </x:c>
      <x:c r="B14" s="31" t="n">
        <x:v>32.9574581615</x:v>
      </x:c>
      <x:c r="C14" s="32" t="n">
        <x:v>4.265911831174911</x:v>
      </x:c>
      <x:c r="D14" s="32" t="n">
        <x:f>IF(C14="","",(1/'Metadata'!$B$5)^(C14-1))</x:f>
        <x:v>1844.6408891380797</x:v>
      </x:c>
      <x:c r="E14" s="31" t="n">
        <x:f>IF(B14=0,"",B14*D14)</x:f>
        <x:v>60794.674926760425</x:v>
      </x:c>
    </x:row>
    <x:row r="15" ht="18" customHeight="1">
      <x:c r="A15" s="24" t="str">
        <x:v>Medium reef assoc. fish (30 - 89 cm)</x:v>
      </x:c>
      <x:c r="B15" s="31" t="n">
        <x:v>76.88946265349999</x:v>
      </x:c>
      <x:c r="C15" s="32" t="n">
        <x:v>2.9628527714743376</x:v>
      </x:c>
      <x:c r="D15" s="32" t="n">
        <x:f>IF(C15="","",(1/'Metadata'!$B$5)^(C15-1))</x:f>
        <x:v>91.80213287957677</x:v>
      </x:c>
      <x:c r="E15" s="31" t="n">
        <x:f>IF(B15=0,"",B15*D15)</x:f>
        <x:v>7058.616667555862</x:v>
      </x:c>
    </x:row>
    <x:row r="16" ht="18" customHeight="1">
      <x:c r="A16" s="24" t="str">
        <x:v>Other demersal invertebrates</x:v>
      </x:c>
      <x:c r="B16" s="31" t="n">
        <x:v>13.727009665699999</x:v>
      </x:c>
      <x:c r="C16" s="32" t="n">
        <x:v>2.6981817873169884</x:v>
      </x:c>
      <x:c r="D16" s="32" t="n">
        <x:f>IF(C16="","",(1/'Metadata'!$B$5)^(C16-1))</x:f>
        <x:v>49.90933546218537</x:v>
      </x:c>
      <x:c r="E16" s="31" t="n">
        <x:f>IF(B16=0,"",B16*D16)</x:f>
        <x:v>685.1059302980823</x:v>
      </x:c>
    </x:row>
    <x:row r="17" ht="18" customHeight="1">
      <x:c r="A17" s="24" t="str">
        <x:v>Shrimps</x:v>
      </x:c>
      <x:c r="B17" s="31" t="n">
        <x:v>9.1357546622</x:v>
      </x:c>
      <x:c r="C17" s="32" t="n">
        <x:v>3.0357844941431775</x:v>
      </x:c>
      <x:c r="D17" s="32" t="n">
        <x:f>IF(C17="","",(1/'Metadata'!$B$5)^(C17-1))</x:f>
        <x:v>108.58866506069954</x:v>
      </x:c>
      <x:c r="E17" s="31" t="n">
        <x:f>IF(B17=0,"",B17*D17)</x:f>
        <x:v>992.0394030903601</x:v>
      </x:c>
    </x:row>
    <x:row r="18" ht="18" customHeight="1">
      <x:c r="A18" s="24" t="str">
        <x:v>Small benthopelagics (&lt;30 cm)</x:v>
      </x:c>
      <x:c r="B18" s="31" t="n">
        <x:v>1.7089417035</x:v>
      </x:c>
      <x:c r="C18" s="32" t="n">
        <x:v>3.3832790122287513</x:v>
      </x:c>
      <x:c r="D18" s="32" t="n">
        <x:f>IF(C18="","",(1/'Metadata'!$B$5)^(C18-1))</x:f>
        <x:v>241.70131443924828</x:v>
      </x:c>
      <x:c r="E18" s="31" t="n">
        <x:f>IF(B18=0,"",B18*D18)</x:f>
        <x:v>413.0534560359981</x:v>
      </x:c>
    </x:row>
    <x:row r="19" ht="18" customHeight="1">
      <x:c r="A19" s="24" t="str">
        <x:v>Small demersals (&lt;30 cm)</x:v>
      </x:c>
      <x:c r="B19" s="31" t="n">
        <x:v>157.5791183422</x:v>
      </x:c>
      <x:c r="C19" s="32" t="n">
        <x:v>3.2686998997052963</x:v>
      </x:c>
      <x:c r="D19" s="32" t="n">
        <x:f>IF(C19="","",(1/'Metadata'!$B$5)^(C19-1))</x:f>
        <x:v>185.6521143641865</x:v>
      </x:c>
      <x:c r="E19" s="31" t="n">
        <x:f>IF(B19=0,"",B19*D19)</x:f>
        <x:v>29254.89649987379</x:v>
      </x:c>
    </x:row>
    <x:row r="20" ht="18" customHeight="1">
      <x:c r="A20" s="24" t="str">
        <x:v>Small pelagics (&lt;30 cm)</x:v>
      </x:c>
      <x:c r="B20" s="31" t="n">
        <x:v>0.6520592903</x:v>
      </x:c>
      <x:c r="C20" s="32" t="n">
        <x:v>3.145833765054172</x:v>
      </x:c>
      <x:c r="D20" s="32" t="n">
        <x:f>IF(C20="","",(1/'Metadata'!$B$5)^(C20-1))</x:f>
        <x:v>139.90517048974817</x:v>
      </x:c>
      <x:c r="E20" s="31" t="n">
        <x:f>IF(B20=0,"",B20*D20)</x:f>
        <x:v>91.2264661788457</x:v>
      </x:c>
    </x:row>
    <x:row r="21" ht="18" customHeight="1">
      <x:c r="A21" s="24" t="str">
        <x:v>Small reef assoc. fish (&lt;30 cm)</x:v>
      </x:c>
      <x:c r="B21" s="31" t="n">
        <x:v>0.1287932922</x:v>
      </x:c>
      <x:c r="C21" s="32" t="n">
        <x:v>3.73</x:v>
      </x:c>
      <x:c r="D21" s="32" t="n">
        <x:f>IF(C21="","",(1/'Metadata'!$B$5)^(C21-1))</x:f>
        <x:v>537.0317963702527</x:v>
      </x:c>
      <x:c r="E21" s="31" t="n">
        <x:f>IF(B21=0,"",B21*D21)</x:f>
        <x:v>69.16609307060484</x:v>
      </x:c>
    </x:row>
    <x:row r="22" ht="18" customHeight="1">
      <x:c r="A22" s="24" t="str">
        <x:v>Small to medium flatfishes (&lt;90 cm)</x:v>
      </x:c>
      <x:c r="B22" s="31" t="n">
        <x:v>1.077885798</x:v>
      </x:c>
      <x:c r="C22" s="32" t="n">
        <x:v>3.539651668831061</x:v>
      </x:c>
      <x:c r="D22" s="32" t="n">
        <x:f>IF(C22="","",(1/'Metadata'!$B$5)^(C22-1))</x:f>
        <x:v>346.45885744507626</x:v>
      </x:c>
      <x:c r="E22" s="31" t="n">
        <x:f>IF(B22=0,"",B22*D22)</x:f>
        <x:v>373.44308203135427</x:v>
      </x:c>
    </x:row>
  </x:sheetData>
  <x:pageMargins left="0.7" right="0.7" top="0.75" bottom="0.75" header="0.3" footer="0.3"/>
  <x:tableParts count="1">
    <x:tablePart xmlns:r="http://schemas.openxmlformats.org/officeDocument/2006/relationships" r:id="Rd87d8c17076a4c3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EEZ_198</x:v>
      </x:c>
      <x:c r="B2" s="24" t="str">
        <x:v>raw_filtered_tonnes</x:v>
      </x:c>
      <x:c r="C2" s="24" t="n">
        <x:v>2236.2086502549</x:v>
      </x:c>
      <x:c r="D2" s="24" t="str">
        <x:v>tonnes</x:v>
      </x:c>
    </x:row>
    <x:row r="3" ht="18" customHeight="1">
      <x:c r="A3" s="24" t="str">
        <x:v>EEZ_198</x:v>
      </x:c>
      <x:c r="B3" s="24" t="str">
        <x:v>species_catch_tonnes</x:v>
      </x:c>
      <x:c r="C3" s="24" t="n">
        <x:v>2236.2086502548996</x:v>
      </x:c>
      <x:c r="D3" s="24" t="str">
        <x:v>tonnes</x:v>
      </x:c>
    </x:row>
    <x:row r="4" ht="18" customHeight="1">
      <x:c r="A4" s="24" t="str">
        <x:v>EEZ_198</x:v>
      </x:c>
      <x:c r="B4" s="24" t="str">
        <x:v>catch_difference_tonnes</x:v>
      </x:c>
      <x:c r="C4" s="24" t="n">
        <x:v>-4.547473508864641e-13</x:v>
      </x:c>
      <x:c r="D4" s="24" t="str">
        <x:v>tonnes</x:v>
      </x:c>
    </x:row>
    <x:row r="5" ht="18" customHeight="1">
      <x:c r="A5" s="24" t="str">
        <x:v>EEZ_198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EEZ_198</x:v>
      </x:c>
      <x:c r="B6" s="24" t="str">
        <x:v>matched_catch_tonnes</x:v>
      </x:c>
      <x:c r="C6" s="24" t="n">
        <x:v>2236.2086502548996</x:v>
      </x:c>
      <x:c r="D6" s="24" t="str">
        <x:v>tonnes</x:v>
      </x:c>
    </x:row>
    <x:row r="7" ht="18" customHeight="1">
      <x:c r="A7" s="24" t="str">
        <x:v>EEZ_198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EEZ_198</x:v>
      </x:c>
      <x:c r="B8" s="24" t="str">
        <x:v>taxa_count</x:v>
      </x:c>
      <x:c r="C8" s="24" t="n">
        <x:v>90</x:v>
      </x:c>
      <x:c r="D8" s="24" t="str">
        <x:v>count</x:v>
      </x:c>
    </x:row>
    <x:row r="9" ht="18" customHeight="1">
      <x:c r="A9" s="24" t="str">
        <x:v>EEZ_198</x:v>
      </x:c>
      <x:c r="B9" s="24" t="str">
        <x:v>matched_taxa_count</x:v>
      </x:c>
      <x:c r="C9" s="24" t="n">
        <x:v>90</x:v>
      </x:c>
      <x:c r="D9" s="24" t="str">
        <x:v>count</x:v>
      </x:c>
    </x:row>
    <x:row r="10" ht="18" customHeight="1">
      <x:c r="A10" s="24" t="str">
        <x:v>EEZ_198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EEZ_198</x:v>
      </x:c>
      <x:c r="B11" s="24" t="str">
        <x:v>species_ppr</x:v>
      </x:c>
      <x:c r="C11" s="24" t="n">
        <x:v>2155727.606393967</x:v>
      </x:c>
      <x:c r="D11" s="24" t="str">
        <x:v>tonnes_primary_production_equivalent</x:v>
      </x:c>
    </x:row>
    <x:row r="12" ht="18" customHeight="1">
      <x:c r="A12" s="24" t="str">
        <x:v>EEZ_198</x:v>
      </x:c>
      <x:c r="B12" s="24" t="str">
        <x:v>commercial_ppr</x:v>
      </x:c>
      <x:c r="C12" s="24" t="n">
        <x:v>1838666.2815867038</x:v>
      </x:c>
      <x:c r="D12" s="24" t="str">
        <x:v>tonnes_primary_production_equivalent</x:v>
      </x:c>
    </x:row>
    <x:row r="13" ht="18" customHeight="1">
      <x:c r="A13" s="24" t="str">
        <x:v>EEZ_198</x:v>
      </x:c>
      <x:c r="B13" s="24" t="str">
        <x:v>functional_ppr</x:v>
      </x:c>
      <x:c r="C13" s="24" t="n">
        <x:v>1926519.177215979</x:v>
      </x:c>
      <x:c r="D13" s="24" t="str">
        <x:v>tonnes_primary_production_equivalent</x:v>
      </x:c>
    </x:row>
    <x:row r="14" ht="18" customHeight="1">
      <x:c r="A14" s="24" t="str">
        <x:v>EEZ_198</x:v>
      </x:c>
      <x:c r="B14" s="24" t="str">
        <x:v>commercial_ppr_difference</x:v>
      </x:c>
      <x:c r="C14" s="24" t="n">
        <x:v>-317061.324807263</x:v>
      </x:c>
      <x:c r="D14" s="24" t="str">
        <x:v>tonnes_primary_production_equivalent</x:v>
      </x:c>
    </x:row>
    <x:row r="15" ht="18" customHeight="1">
      <x:c r="A15" s="24" t="str">
        <x:v>EEZ_198</x:v>
      </x:c>
      <x:c r="B15" s="24" t="str">
        <x:v>functional_ppr_difference</x:v>
      </x:c>
      <x:c r="C15" s="24" t="n">
        <x:v>-229208.42917798785</x:v>
      </x:c>
      <x:c r="D15" s="24" t="str">
        <x:v>tonnes_primary_production_equivalent</x:v>
      </x:c>
    </x:row>
    <x:row r="16" ht="18" customHeight="1">
      <x:c r="A16" s="24" t="str">
        <x:v>EEZ_198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EEZ_198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b45c9be20c84d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EEZ_198 - Cyprus (South)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EEZ_198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raw_data/SAU_downloads/EEZ_198-catch.zip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