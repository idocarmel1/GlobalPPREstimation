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9e6f4850334c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838f5f9c3d947b1"/>
    <x:sheet xmlns:r="http://schemas.openxmlformats.org/officeDocument/2006/relationships" name="Commercial" sheetId="2" r:id="Re578c826057e4b1d"/>
    <x:sheet xmlns:r="http://schemas.openxmlformats.org/officeDocument/2006/relationships" name="Functional" sheetId="3" r:id="Rb1ded8982ef04f80"/>
    <x:sheet xmlns:r="http://schemas.openxmlformats.org/officeDocument/2006/relationships" name="Missing TL" sheetId="4" r:id="Rcebd33e329304b9e"/>
    <x:sheet xmlns:r="http://schemas.openxmlformats.org/officeDocument/2006/relationships" name="Validation" sheetId="5" r:id="Rbe80736f88624d77"/>
    <x:sheet xmlns:r="http://schemas.openxmlformats.org/officeDocument/2006/relationships" name="Metadata" sheetId="6" r:id="R8019f642fe1c42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a4b6be374a460a" /><Relationship Type="http://schemas.openxmlformats.org/officeDocument/2006/relationships/theme" Target="/xl/theme/theme1.xml" Id="R7e40e5dd31f0456e" /><Relationship Type="http://schemas.microsoft.com/office/2022/11/relationships/FeaturePropertyBag" Target="/xl/featurePropertyBag/featurePropertyBag.xml" Id="Rcf4368a1c8d0411d" /><Relationship Type="http://schemas.openxmlformats.org/officeDocument/2006/relationships/sharedStrings" Target="/xl/sharedStrings.xml" Id="R86f1ed43ba66422a" /><Relationship Type="http://schemas.openxmlformats.org/officeDocument/2006/relationships/worksheet" Target="/xl/worksheets/sheet1.xml" Id="Ra838f5f9c3d947b1" /><Relationship Type="http://schemas.openxmlformats.org/officeDocument/2006/relationships/worksheet" Target="/xl/worksheets/sheet2.xml" Id="Re578c826057e4b1d" /><Relationship Type="http://schemas.openxmlformats.org/officeDocument/2006/relationships/worksheet" Target="/xl/worksheets/sheet3.xml" Id="Rb1ded8982ef04f80" /><Relationship Type="http://schemas.openxmlformats.org/officeDocument/2006/relationships/worksheet" Target="/xl/worksheets/sheet4.xml" Id="Rcebd33e329304b9e" /><Relationship Type="http://schemas.openxmlformats.org/officeDocument/2006/relationships/worksheet" Target="/xl/worksheets/sheet5.xml" Id="Rbe80736f88624d77" /><Relationship Type="http://schemas.openxmlformats.org/officeDocument/2006/relationships/worksheet" Target="/xl/worksheets/sheet6.xml" Id="R8019f642fe1c42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37SpeciesTable" displayName="EEZ037SpeciesTable" ref="A1:U2" headerRowCount="1" totalsRowCount="0" totalsRowShown="0">
  <x:autoFilter ref="A1:U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37CommercialTable" displayName="EEZ037CommercialTable" ref="A1:E2" headerRowCount="1" totalsRowCount="0" totalsRowShown="0">
  <x:autoFilter ref="A1:E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37FunctionalTable" displayName="EEZ037FunctionalTable" ref="A1:E2" headerRowCount="1" totalsRowCount="0" totalsRowShown="0">
  <x:autoFilter ref="A1:E2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37ValidationTable" displayName="EEZ037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5c8343ed964a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75e39bccf9f4d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f92a89a4b5c43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0c055111234d5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EEZ_037</x:v>
      </x:c>
      <x:c r="B2" s="24" t="str">
        <x:v>Macquarie Isl. (Australia)</x:v>
      </x:c>
      <x:c r="C2" s="24" t="str">
        <x:v>EEZ</x:v>
      </x:c>
      <x:c r="D2" s="30" t="n">
        <x:v>2019</x:v>
      </x:c>
      <x:c r="E2" s="24" t="str">
        <x:v>Dissostichus eleginoides</x:v>
      </x:c>
      <x:c r="F2" s="24" t="str">
        <x:v>Patagonian toothfish</x:v>
      </x:c>
      <x:c r="G2" s="24" t="str">
        <x:v>Large bathydemersals (&gt;=90 cm)</x:v>
      </x:c>
      <x:c r="H2" s="24" t="str">
        <x:v>Perch-likes</x:v>
      </x:c>
      <x:c r="I2" s="31" t="n">
        <x:v>434.33</x:v>
      </x:c>
      <x:c r="J2" s="31" t="n">
        <x:v>434.33</x:v>
      </x:c>
      <x:c r="K2" s="31" t="n">
        <x:v>0</x:v>
      </x:c>
      <x:c r="L2" s="31" t="n">
        <x:v>434.33</x:v>
      </x:c>
      <x:c r="M2" s="31" t="n">
        <x:v>0</x:v>
      </x:c>
      <x:c r="N2" s="24" t="str">
        <x:v>dissostichus eleginoides</x:v>
      </x:c>
      <x:c r="O2" s="32" t="n">
        <x:v>3.96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Dissostichus eleginoides</x:v>
      </x:c>
      <x:c r="T2" s="32" t="n">
        <x:f>IF(O2="","",(1/'Metadata'!$B$5)^(O2-1))</x:f>
        <x:v>912.0108393559096</x:v>
      </x:c>
      <x:c r="U2" s="31" t="n">
        <x:f>IF(T2="","",I2*T2)</x:f>
        <x:v>396113.66785745224</x:v>
      </x:c>
    </x:row>
  </x:sheetData>
  <x:conditionalFormatting sqref="R2:R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85c8343ed964ac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Perch-likes</x:v>
      </x:c>
      <x:c r="B2" s="31" t="n">
        <x:v>434.33</x:v>
      </x:c>
      <x:c r="C2" s="32" t="n">
        <x:v>3.96</x:v>
      </x:c>
      <x:c r="D2" s="32" t="n">
        <x:f>IF(C2="","",(1/'Metadata'!$B$5)^(C2-1))</x:f>
        <x:v>912.0108393559096</x:v>
      </x:c>
      <x:c r="E2" s="31" t="n">
        <x:f>IF(B2=0,"",B2*D2)</x:f>
        <x:v>396113.66785745224</x:v>
      </x:c>
    </x:row>
  </x:sheetData>
  <x:pageMargins left="0.7" right="0.7" top="0.75" bottom="0.75" header="0.3" footer="0.3"/>
  <x:tableParts count="1">
    <x:tablePart xmlns:r="http://schemas.openxmlformats.org/officeDocument/2006/relationships" r:id="R275e39bccf9f4d4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bathydemersals (&gt;=90 cm)</x:v>
      </x:c>
      <x:c r="B2" s="31" t="n">
        <x:v>434.33</x:v>
      </x:c>
      <x:c r="C2" s="32" t="n">
        <x:v>3.96</x:v>
      </x:c>
      <x:c r="D2" s="32" t="n">
        <x:f>IF(C2="","",(1/'Metadata'!$B$5)^(C2-1))</x:f>
        <x:v>912.0108393559096</x:v>
      </x:c>
      <x:c r="E2" s="31" t="n">
        <x:f>IF(B2=0,"",B2*D2)</x:f>
        <x:v>396113.66785745224</x:v>
      </x:c>
    </x:row>
  </x:sheetData>
  <x:pageMargins left="0.7" right="0.7" top="0.75" bottom="0.75" header="0.3" footer="0.3"/>
  <x:tableParts count="1">
    <x:tablePart xmlns:r="http://schemas.openxmlformats.org/officeDocument/2006/relationships" r:id="R4f92a89a4b5c434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EEZ_037</x:v>
      </x:c>
      <x:c r="B2" s="24" t="str">
        <x:v>raw_filtered_tonnes</x:v>
      </x:c>
      <x:c r="C2" s="24" t="n">
        <x:v>434.33</x:v>
      </x:c>
      <x:c r="D2" s="24" t="str">
        <x:v>tonnes</x:v>
      </x:c>
    </x:row>
    <x:row r="3" ht="18" customHeight="1">
      <x:c r="A3" s="24" t="str">
        <x:v>EEZ_037</x:v>
      </x:c>
      <x:c r="B3" s="24" t="str">
        <x:v>species_catch_tonnes</x:v>
      </x:c>
      <x:c r="C3" s="24" t="n">
        <x:v>434.33</x:v>
      </x:c>
      <x:c r="D3" s="24" t="str">
        <x:v>tonnes</x:v>
      </x:c>
    </x:row>
    <x:row r="4" ht="18" customHeight="1">
      <x:c r="A4" s="24" t="str">
        <x:v>EEZ_037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EEZ_037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EEZ_037</x:v>
      </x:c>
      <x:c r="B6" s="24" t="str">
        <x:v>matched_catch_tonnes</x:v>
      </x:c>
      <x:c r="C6" s="24" t="n">
        <x:v>434.33</x:v>
      </x:c>
      <x:c r="D6" s="24" t="str">
        <x:v>tonnes</x:v>
      </x:c>
    </x:row>
    <x:row r="7" ht="18" customHeight="1">
      <x:c r="A7" s="24" t="str">
        <x:v>EEZ_037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EEZ_037</x:v>
      </x:c>
      <x:c r="B8" s="24" t="str">
        <x:v>taxa_count</x:v>
      </x:c>
      <x:c r="C8" s="24" t="n">
        <x:v>1</x:v>
      </x:c>
      <x:c r="D8" s="24" t="str">
        <x:v>count</x:v>
      </x:c>
    </x:row>
    <x:row r="9" ht="18" customHeight="1">
      <x:c r="A9" s="24" t="str">
        <x:v>EEZ_037</x:v>
      </x:c>
      <x:c r="B9" s="24" t="str">
        <x:v>matched_taxa_count</x:v>
      </x:c>
      <x:c r="C9" s="24" t="n">
        <x:v>1</x:v>
      </x:c>
      <x:c r="D9" s="24" t="str">
        <x:v>count</x:v>
      </x:c>
    </x:row>
    <x:row r="10" ht="18" customHeight="1">
      <x:c r="A10" s="24" t="str">
        <x:v>EEZ_037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EEZ_037</x:v>
      </x:c>
      <x:c r="B11" s="24" t="str">
        <x:v>species_ppr</x:v>
      </x:c>
      <x:c r="C11" s="24" t="n">
        <x:v>396113.66785745224</x:v>
      </x:c>
      <x:c r="D11" s="24" t="str">
        <x:v>tonnes_primary_production_equivalent</x:v>
      </x:c>
    </x:row>
    <x:row r="12" ht="18" customHeight="1">
      <x:c r="A12" s="24" t="str">
        <x:v>EEZ_037</x:v>
      </x:c>
      <x:c r="B12" s="24" t="str">
        <x:v>commercial_ppr</x:v>
      </x:c>
      <x:c r="C12" s="24" t="n">
        <x:v>396113.66785745224</x:v>
      </x:c>
      <x:c r="D12" s="24" t="str">
        <x:v>tonnes_primary_production_equivalent</x:v>
      </x:c>
    </x:row>
    <x:row r="13" ht="18" customHeight="1">
      <x:c r="A13" s="24" t="str">
        <x:v>EEZ_037</x:v>
      </x:c>
      <x:c r="B13" s="24" t="str">
        <x:v>functional_ppr</x:v>
      </x:c>
      <x:c r="C13" s="24" t="n">
        <x:v>396113.66785745224</x:v>
      </x:c>
      <x:c r="D13" s="24" t="str">
        <x:v>tonnes_primary_production_equivalent</x:v>
      </x:c>
    </x:row>
    <x:row r="14" ht="18" customHeight="1">
      <x:c r="A14" s="24" t="str">
        <x:v>EEZ_037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EEZ_037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EEZ_037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EEZ_037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f80c055111234d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EEZ_037 - Macquarie Isl. (Australia)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EEZ_037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raw_data/SAU_downloads/EEZ_037-catch.zip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