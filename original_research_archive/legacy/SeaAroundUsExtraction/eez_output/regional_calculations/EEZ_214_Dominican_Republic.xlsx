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121f07f52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0dc15c705424897"/>
    <x:sheet xmlns:r="http://schemas.openxmlformats.org/officeDocument/2006/relationships" name="Commercial" sheetId="2" r:id="R73e3a8c757174dd5"/>
    <x:sheet xmlns:r="http://schemas.openxmlformats.org/officeDocument/2006/relationships" name="Functional" sheetId="3" r:id="Rf8f0abe7e18849b6"/>
    <x:sheet xmlns:r="http://schemas.openxmlformats.org/officeDocument/2006/relationships" name="Missing TL" sheetId="4" r:id="Rbfa975c192dc4ce1"/>
    <x:sheet xmlns:r="http://schemas.openxmlformats.org/officeDocument/2006/relationships" name="Validation" sheetId="5" r:id="Rc9481b642ea84219"/>
    <x:sheet xmlns:r="http://schemas.openxmlformats.org/officeDocument/2006/relationships" name="Metadata" sheetId="6" r:id="R9c804dd63bcb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bedea595d249a1" /><Relationship Type="http://schemas.openxmlformats.org/officeDocument/2006/relationships/theme" Target="/xl/theme/theme1.xml" Id="R3ffbcddf438c4116" /><Relationship Type="http://schemas.microsoft.com/office/2022/11/relationships/FeaturePropertyBag" Target="/xl/featurePropertyBag/featurePropertyBag.xml" Id="R2a2a89091d244b48" /><Relationship Type="http://schemas.openxmlformats.org/officeDocument/2006/relationships/sharedStrings" Target="/xl/sharedStrings.xml" Id="Rfa882b041daf4016" /><Relationship Type="http://schemas.openxmlformats.org/officeDocument/2006/relationships/worksheet" Target="/xl/worksheets/sheet1.xml" Id="Rb0dc15c705424897" /><Relationship Type="http://schemas.openxmlformats.org/officeDocument/2006/relationships/worksheet" Target="/xl/worksheets/sheet2.xml" Id="R73e3a8c757174dd5" /><Relationship Type="http://schemas.openxmlformats.org/officeDocument/2006/relationships/worksheet" Target="/xl/worksheets/sheet3.xml" Id="Rf8f0abe7e18849b6" /><Relationship Type="http://schemas.openxmlformats.org/officeDocument/2006/relationships/worksheet" Target="/xl/worksheets/sheet4.xml" Id="Rbfa975c192dc4ce1" /><Relationship Type="http://schemas.openxmlformats.org/officeDocument/2006/relationships/worksheet" Target="/xl/worksheets/sheet5.xml" Id="Rc9481b642ea84219" /><Relationship Type="http://schemas.openxmlformats.org/officeDocument/2006/relationships/worksheet" Target="/xl/worksheets/sheet6.xml" Id="R9c804dd63bcb44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4SpeciesTable" displayName="EEZ214SpeciesTable" ref="A1:U81" headerRowCount="1" totalsRowCount="0" totalsRowShown="0">
  <x:autoFilter ref="A1:U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4CommercialTable" displayName="EEZ214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4FunctionalTable" displayName="EEZ214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4ValidationTable" displayName="EEZ21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c47f8b06a04c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71d66683c443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3ad0106b9948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daf8ddc90b45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EEZ_214</x:v>
      </x:c>
      <x:c r="B2" s="24" t="str">
        <x:v>Dominican Republic</x:v>
      </x:c>
      <x:c r="C2" s="24" t="str">
        <x:v>EEZ</x:v>
      </x:c>
      <x:c r="D2" s="30" t="n">
        <x:v>2019</x:v>
      </x:c>
      <x:c r="E2" s="24" t="str">
        <x:v>Lutjanidae</x:v>
      </x:c>
      <x:c r="F2" s="24" t="str">
        <x:v>Snappers</x:v>
      </x:c>
      <x:c r="G2" s="24" t="str">
        <x:v>Medium reef assoc. fish (30 - 89 cm)</x:v>
      </x:c>
      <x:c r="H2" s="24" t="str">
        <x:v>Perch-likes</x:v>
      </x:c>
      <x:c r="I2" s="31" t="n">
        <x:v>8291.66737926</x:v>
      </x:c>
      <x:c r="J2" s="31" t="n">
        <x:v>8291.66737926</x:v>
      </x:c>
      <x:c r="K2" s="31" t="n">
        <x:v>0</x:v>
      </x:c>
      <x:c r="L2" s="31" t="n">
        <x:v>2255.89327926</x:v>
      </x:c>
      <x:c r="M2" s="31" t="n">
        <x:v>6035.7741</x:v>
      </x:c>
      <x:c r="N2" s="24" t="str">
        <x:v>lutjanidae</x:v>
      </x:c>
      <x:c r="O2" s="32" t="n">
        <x:v>4.02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Lutjanidae</x:v>
      </x:c>
      <x:c r="T2" s="32" t="n">
        <x:f>IF(O2="","",(1/'Metadata'!$B$5)^(O2-1))</x:f>
        <x:v>1047.1285480508984</x:v>
      </x:c>
      <x:c r="U2" s="31" t="n">
        <x:f>IF(T2="","",I2*T2)</x:f>
        <x:v>8682441.62376552</x:v>
      </x:c>
    </x:row>
    <x:row r="3" ht="18" customHeight="1">
      <x:c r="A3" s="24" t="str">
        <x:v>EEZ_214</x:v>
      </x:c>
      <x:c r="B3" s="24" t="str">
        <x:v>Dominican Republic</x:v>
      </x:c>
      <x:c r="C3" s="24" t="str">
        <x:v>EEZ</x:v>
      </x:c>
      <x:c r="D3" s="30" t="n">
        <x:v>2019</x:v>
      </x:c>
      <x:c r="E3" s="24" t="str">
        <x:v>Haemulidae</x:v>
      </x:c>
      <x:c r="F3" s="24" t="str">
        <x:v>Grunts, sweetlips, bonnetmouths</x:v>
      </x:c>
      <x:c r="G3" s="24" t="str">
        <x:v>Medium demersals (30 - 89 cm)</x:v>
      </x:c>
      <x:c r="H3" s="24" t="str">
        <x:v>Perch-likes</x:v>
      </x:c>
      <x:c r="I3" s="31" t="n">
        <x:v>7951.3738553</x:v>
      </x:c>
      <x:c r="J3" s="31" t="n">
        <x:v>7951.3738553</x:v>
      </x:c>
      <x:c r="K3" s="31" t="n">
        <x:v>0</x:v>
      </x:c>
      <x:c r="L3" s="31" t="n">
        <x:v>651.3470553</x:v>
      </x:c>
      <x:c r="M3" s="31" t="n">
        <x:v>7300.0268</x:v>
      </x:c>
      <x:c r="N3" s="24" t="str">
        <x:v>haemulidae</x:v>
      </x:c>
      <x:c r="O3" s="32" t="n">
        <x:v>3.36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Haemulidae</x:v>
      </x:c>
      <x:c r="T3" s="32" t="n">
        <x:f>IF(O3="","",(1/'Metadata'!$B$5)^(O3-1))</x:f>
        <x:v>229.08676527677724</x:v>
      </x:c>
      <x:c r="U3" s="31" t="n">
        <x:f>IF(T3="","",I3*T3)</x:f>
        <x:v>1821554.5160170144</x:v>
      </x:c>
    </x:row>
    <x:row r="4" ht="18" customHeight="1">
      <x:c r="A4" s="24" t="str">
        <x:v>EEZ_214</x:v>
      </x:c>
      <x:c r="B4" s="24" t="str">
        <x:v>Dominican Republic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7510.4707445839995</x:v>
      </x:c>
      <x:c r="J4" s="31" t="n">
        <x:v>7510.4707445839995</x:v>
      </x:c>
      <x:c r="K4" s="31" t="n">
        <x:v>0</x:v>
      </x:c>
      <x:c r="L4" s="31" t="n">
        <x:v>3715.9202794999997</x:v>
      </x:c>
      <x:c r="M4" s="31" t="n">
        <x:v>3794.550465084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1431090.6977216986</x:v>
      </x:c>
    </x:row>
    <x:row r="5" ht="18" customHeight="1">
      <x:c r="A5" s="24" t="str">
        <x:v>EEZ_214</x:v>
      </x:c>
      <x:c r="B5" s="24" t="str">
        <x:v>Dominican Republic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3474.142775329</x:v>
      </x:c>
      <x:c r="J5" s="31" t="n">
        <x:v>3474.142775329</x:v>
      </x:c>
      <x:c r="K5" s="31" t="n">
        <x:v>0</x:v>
      </x:c>
      <x:c r="L5" s="31" t="n">
        <x:v>935.722495329</x:v>
      </x:c>
      <x:c r="M5" s="31" t="n">
        <x:v>2538.4202800000003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3898052.3067989764</x:v>
      </x:c>
    </x:row>
    <x:row r="6" ht="18" customHeight="1">
      <x:c r="A6" s="24" t="str">
        <x:v>EEZ_214</x:v>
      </x:c>
      <x:c r="B6" s="24" t="str">
        <x:v>Dominican Republic</x:v>
      </x:c>
      <x:c r="C6" s="24" t="str">
        <x:v>EEZ</x:v>
      </x:c>
      <x:c r="D6" s="30" t="n">
        <x:v>2019</x:v>
      </x:c>
      <x:c r="E6" s="24" t="str">
        <x:v>Palinuridae</x:v>
      </x:c>
      <x:c r="F6" s="24" t="str">
        <x:v>Spiny lobsters</x:v>
      </x:c>
      <x:c r="G6" s="24" t="str">
        <x:v>Lobsters, crabs</x:v>
      </x:c>
      <x:c r="H6" s="24" t="str">
        <x:v>Crustaceans</x:v>
      </x:c>
      <x:c r="I6" s="31" t="n">
        <x:v>3206.6756876</x:v>
      </x:c>
      <x:c r="J6" s="31" t="n">
        <x:v>3206.6756876</x:v>
      </x:c>
      <x:c r="K6" s="31" t="n">
        <x:v>0</x:v>
      </x:c>
      <x:c r="L6" s="31" t="n">
        <x:v>2251.2846576</x:v>
      </x:c>
      <x:c r="M6" s="31" t="n">
        <x:v>955.39103</x:v>
      </x:c>
      <x:c r="N6" s="24" t="str">
        <x:v>palinuridae</x:v>
      </x:c>
      <x:c r="O6" s="32" t="n">
        <x:v>3.14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Palinuridae</x:v>
      </x:c>
      <x:c r="T6" s="32" t="n">
        <x:f>IF(O6="","",(1/'Metadata'!$B$5)^(O6-1))</x:f>
        <x:v>138.03842646028852</x:v>
      </x:c>
      <x:c r="U6" s="31" t="n">
        <x:f>IF(T6="","",I6*T6)</x:f>
        <x:v>442644.4660847677</x:v>
      </x:c>
    </x:row>
    <x:row r="7" ht="18" customHeight="1">
      <x:c r="A7" s="24" t="str">
        <x:v>EEZ_214</x:v>
      </x:c>
      <x:c r="B7" s="24" t="str">
        <x:v>Dominican Republic</x:v>
      </x:c>
      <x:c r="C7" s="24" t="str">
        <x:v>EEZ</x:v>
      </x:c>
      <x:c r="D7" s="30" t="n">
        <x:v>2019</x:v>
      </x:c>
      <x:c r="E7" s="24" t="str">
        <x:v>Scombridae</x:v>
      </x:c>
      <x:c r="F7" s="24" t="str">
        <x:v>Mackerels, tunas, bonitos</x:v>
      </x:c>
      <x:c r="G7" s="24" t="str">
        <x:v>Medium pelagics (30 - 89 cm)</x:v>
      </x:c>
      <x:c r="H7" s="24" t="str">
        <x:v>Perch-likes</x:v>
      </x:c>
      <x:c r="I7" s="31" t="n">
        <x:v>2888.904235904</x:v>
      </x:c>
      <x:c r="J7" s="31" t="n">
        <x:v>2888.904235904</x:v>
      </x:c>
      <x:c r="K7" s="31" t="n">
        <x:v>0</x:v>
      </x:c>
      <x:c r="L7" s="31" t="n">
        <x:v>140.968395904</x:v>
      </x:c>
      <x:c r="M7" s="31" t="n">
        <x:v>2747.93584</x:v>
      </x:c>
      <x:c r="N7" s="24" t="str">
        <x:v>scombridae</x:v>
      </x:c>
      <x:c r="O7" s="32" t="n">
        <x:v>4.26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Scombridae</x:v>
      </x:c>
      <x:c r="T7" s="32" t="n">
        <x:f>IF(O7="","",(1/'Metadata'!$B$5)^(O7-1))</x:f>
        <x:v>1819.7008586099826</x:v>
      </x:c>
      <x:c r="U7" s="31" t="n">
        <x:f>IF(T7="","",I7*T7)</x:f>
        <x:v>5256941.518516525</x:v>
      </x:c>
    </x:row>
    <x:row r="8" ht="18" customHeight="1">
      <x:c r="A8" s="24" t="str">
        <x:v>EEZ_214</x:v>
      </x:c>
      <x:c r="B8" s="24" t="str">
        <x:v>Dominican Republic</x:v>
      </x:c>
      <x:c r="C8" s="24" t="str">
        <x:v>EEZ</x:v>
      </x:c>
      <x:c r="D8" s="30" t="n">
        <x:v>2019</x:v>
      </x:c>
      <x:c r="E8" s="24" t="str">
        <x:v>Aliger gigas</x:v>
      </x:c>
      <x:c r="F8" s="24" t="str">
        <x:v>Pink conch</x:v>
      </x:c>
      <x:c r="G8" s="24" t="str">
        <x:v>Other demersal invertebrates</x:v>
      </x:c>
      <x:c r="H8" s="24" t="str">
        <x:v>Molluscs</x:v>
      </x:c>
      <x:c r="I8" s="31" t="n">
        <x:v>2184.246203</x:v>
      </x:c>
      <x:c r="J8" s="31" t="n">
        <x:v>2184.246203</x:v>
      </x:c>
      <x:c r="K8" s="31" t="n">
        <x:v>0</x:v>
      </x:c>
      <x:c r="L8" s="31" t="n">
        <x:v>1434.195703</x:v>
      </x:c>
      <x:c r="M8" s="31" t="n">
        <x:v>750.0505</x:v>
      </x:c>
      <x:c r="N8" s="24" t="str">
        <x:v>aliger gigas</x:v>
      </x:c>
      <x:c r="O8" s="32" t="n">
        <x:v>2.19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Aliger gigas</x:v>
      </x:c>
      <x:c r="T8" s="32" t="n">
        <x:f>IF(O8="","",(1/'Metadata'!$B$5)^(O8-1))</x:f>
        <x:v>15.488166189124811</x:v>
      </x:c>
      <x:c r="U8" s="31" t="n">
        <x:f>IF(T8="","",I8*T8)</x:f>
        <x:v>33829.96819002885</x:v>
      </x:c>
    </x:row>
    <x:row r="9" ht="18" customHeight="1">
      <x:c r="A9" s="24" t="str">
        <x:v>EEZ_214</x:v>
      </x:c>
      <x:c r="B9" s="24" t="str">
        <x:v>Dominican Republic</x:v>
      </x:c>
      <x:c r="C9" s="24" t="str">
        <x:v>EEZ</x:v>
      </x:c>
      <x:c r="D9" s="30" t="n">
        <x:v>2019</x:v>
      </x:c>
      <x:c r="E9" s="24" t="str">
        <x:v>Sparidae</x:v>
      </x:c>
      <x:c r="F9" s="24" t="str">
        <x:v>Porgies, seabreams</x:v>
      </x:c>
      <x:c r="G9" s="24" t="str">
        <x:v>Medium benthopelagics (30 - 89 cm)</x:v>
      </x:c>
      <x:c r="H9" s="24" t="str">
        <x:v>Perch-likes</x:v>
      </x:c>
      <x:c r="I9" s="31" t="n">
        <x:v>1798.83073</x:v>
      </x:c>
      <x:c r="J9" s="31" t="n">
        <x:v>1798.83073</x:v>
      </x:c>
      <x:c r="K9" s="31" t="n">
        <x:v>0</x:v>
      </x:c>
      <x:c r="L9" s="31" t="n">
        <x:v>0</x:v>
      </x:c>
      <x:c r="M9" s="31" t="n">
        <x:v>1798.83073</x:v>
      </x:c>
      <x:c r="N9" s="24" t="str">
        <x:v>sparidae</x:v>
      </x:c>
      <x:c r="O9" s="32" t="n">
        <x:v>3.31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Sparidae</x:v>
      </x:c>
      <x:c r="T9" s="32" t="n">
        <x:f>IF(O9="","",(1/'Metadata'!$B$5)^(O9-1))</x:f>
        <x:v>204.17379446695296</x:v>
      </x:c>
      <x:c r="U9" s="31" t="n">
        <x:f>IF(T9="","",I9*T9)</x:f>
        <x:v>367274.0957478589</x:v>
      </x:c>
    </x:row>
    <x:row r="10" ht="18" customHeight="1">
      <x:c r="A10" s="24" t="str">
        <x:v>EEZ_214</x:v>
      </x:c>
      <x:c r="B10" s="24" t="str">
        <x:v>Dominican Republic</x:v>
      </x:c>
      <x:c r="C10" s="24" t="str">
        <x:v>EEZ</x:v>
      </x:c>
      <x:c r="D10" s="30" t="n">
        <x:v>2019</x:v>
      </x:c>
      <x:c r="E10" s="24" t="str">
        <x:v>Diodontidae</x:v>
      </x:c>
      <x:c r="F10" s="24" t="str">
        <x:v>Porcupine-, burrfishes</x:v>
      </x:c>
      <x:c r="G10" s="24" t="str">
        <x:v>Medium reef assoc. fish (30 - 89 cm)</x:v>
      </x:c>
      <x:c r="H10" s="24" t="str">
        <x:v>Other fishes &amp; inverts</x:v>
      </x:c>
      <x:c r="I10" s="31" t="n">
        <x:v>1796.18575971</x:v>
      </x:c>
      <x:c r="J10" s="31" t="n">
        <x:v>1796.18575971</x:v>
      </x:c>
      <x:c r="K10" s="31" t="n">
        <x:v>0</x:v>
      </x:c>
      <x:c r="L10" s="31" t="n">
        <x:v>850.77263771</x:v>
      </x:c>
      <x:c r="M10" s="31" t="n">
        <x:v>945.413122</x:v>
      </x:c>
      <x:c r="N10" s="24" t="str">
        <x:v>diodontidae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Diodontidae</x:v>
      </x:c>
      <x:c r="T10" s="32" t="n">
        <x:f>IF(O10="","",(1/'Metadata'!$B$5)^(O10-1))</x:f>
        <x:v>229.08676527677724</x:v>
      </x:c>
      <x:c r="U10" s="31" t="n">
        <x:f>IF(T10="","",I10*T10)</x:f>
        <x:v>411482.3855281746</x:v>
      </x:c>
    </x:row>
    <x:row r="11" ht="18" customHeight="1">
      <x:c r="A11" s="24" t="str">
        <x:v>EEZ_214</x:v>
      </x:c>
      <x:c r="B11" s="24" t="str">
        <x:v>Dominican Republic</x:v>
      </x:c>
      <x:c r="C11" s="24" t="str">
        <x:v>EEZ</x:v>
      </x:c>
      <x:c r="D11" s="30" t="n">
        <x:v>2019</x:v>
      </x:c>
      <x:c r="E11" s="24" t="str">
        <x:v>Panulirus argus</x:v>
      </x:c>
      <x:c r="F11" s="24" t="str">
        <x:v>Caribbean spiny lobster</x:v>
      </x:c>
      <x:c r="G11" s="24" t="str">
        <x:v>Lobsters, crabs</x:v>
      </x:c>
      <x:c r="H11" s="24" t="str">
        <x:v>Crustaceans</x:v>
      </x:c>
      <x:c r="I11" s="31" t="n">
        <x:v>1485.1406639</x:v>
      </x:c>
      <x:c r="J11" s="31" t="n">
        <x:v>1485.1406639</x:v>
      </x:c>
      <x:c r="K11" s="31" t="n">
        <x:v>0</x:v>
      </x:c>
      <x:c r="L11" s="31" t="n">
        <x:v>1485.1406639</x:v>
      </x:c>
      <x:c r="M11" s="31" t="n">
        <x:v>0</x:v>
      </x:c>
      <x:c r="N11" s="24" t="str">
        <x:v>panulirus argus</x:v>
      </x:c>
      <x:c r="O11" s="32" t="n">
        <x:v>3.2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Panulirus argus</x:v>
      </x:c>
      <x:c r="T11" s="32" t="n">
        <x:f>IF(O11="","",(1/'Metadata'!$B$5)^(O11-1))</x:f>
        <x:v>158.48931924611142</x:v>
      </x:c>
      <x:c r="U11" s="31" t="n">
        <x:f>IF(T11="","",I11*T11)</x:f>
        <x:v>235378.93280622896</x:v>
      </x:c>
    </x:row>
    <x:row r="12" ht="18" customHeight="1">
      <x:c r="A12" s="24" t="str">
        <x:v>EEZ_214</x:v>
      </x:c>
      <x:c r="B12" s="24" t="str">
        <x:v>Dominican Republic</x:v>
      </x:c>
      <x:c r="C12" s="24" t="str">
        <x:v>EEZ</x:v>
      </x:c>
      <x:c r="D12" s="30" t="n">
        <x:v>2019</x:v>
      </x:c>
      <x:c r="E12" s="24" t="str">
        <x:v>Carcharhinidae</x:v>
      </x:c>
      <x:c r="F12" s="24" t="str">
        <x:v>Requiem sharks</x:v>
      </x:c>
      <x:c r="G12" s="24" t="str">
        <x:v>Large sharks (&gt;=90 cm)</x:v>
      </x:c>
      <x:c r="H12" s="24" t="str">
        <x:v>Sharks &amp; rays</x:v>
      </x:c>
      <x:c r="I12" s="31" t="n">
        <x:v>1256.6398414</x:v>
      </x:c>
      <x:c r="J12" s="31" t="n">
        <x:v>1256.6398414</x:v>
      </x:c>
      <x:c r="K12" s="31" t="n">
        <x:v>0</x:v>
      </x:c>
      <x:c r="L12" s="31" t="n">
        <x:v>594.6576914</x:v>
      </x:c>
      <x:c r="M12" s="31" t="n">
        <x:v>661.98215</x:v>
      </x:c>
      <x:c r="N12" s="24" t="str">
        <x:v>carcharhinidae</x:v>
      </x:c>
      <x:c r="O12" s="32" t="n">
        <x:v>4.24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Carcharhinidae</x:v>
      </x:c>
      <x:c r="T12" s="32" t="n">
        <x:f>IF(O12="","",(1/'Metadata'!$B$5)^(O12-1))</x:f>
        <x:v>1737.8008287493763</x:v>
      </x:c>
      <x:c r="U12" s="31" t="n">
        <x:f>IF(T12="","",I12*T12)</x:f>
        <x:v>2183789.7578244046</x:v>
      </x:c>
    </x:row>
    <x:row r="13" ht="18" customHeight="1">
      <x:c r="A13" s="24" t="str">
        <x:v>EEZ_214</x:v>
      </x:c>
      <x:c r="B13" s="24" t="str">
        <x:v>Dominican Republic</x:v>
      </x:c>
      <x:c r="C13" s="24" t="str">
        <x:v>EEZ</x:v>
      </x:c>
      <x:c r="D13" s="30" t="n">
        <x:v>2019</x:v>
      </x:c>
      <x:c r="E13" s="24" t="str">
        <x:v>Ginglymostoma cirratum</x:v>
      </x:c>
      <x:c r="F13" s="24" t="str">
        <x:v>Nurse shark</x:v>
      </x:c>
      <x:c r="G13" s="24" t="str">
        <x:v>Large sharks (&gt;=90 cm)</x:v>
      </x:c>
      <x:c r="H13" s="24" t="str">
        <x:v>Sharks &amp; rays</x:v>
      </x:c>
      <x:c r="I13" s="31" t="n">
        <x:v>1171.424458156</x:v>
      </x:c>
      <x:c r="J13" s="31" t="n">
        <x:v>1171.424458156</x:v>
      </x:c>
      <x:c r="K13" s="31" t="n">
        <x:v>0</x:v>
      </x:c>
      <x:c r="L13" s="31" t="n">
        <x:v>2.049858156</x:v>
      </x:c>
      <x:c r="M13" s="31" t="n">
        <x:v>1169.3746</x:v>
      </x:c>
      <x:c r="N13" s="24" t="str">
        <x:v>ginglymostoma cirratum</x:v>
      </x:c>
      <x:c r="O13" s="32" t="n">
        <x:v>4.15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Ginglymostoma cirratum</x:v>
      </x:c>
      <x:c r="T13" s="32" t="n">
        <x:f>IF(O13="","",(1/'Metadata'!$B$5)^(O13-1))</x:f>
        <x:v>1412.5375446227554</x:v>
      </x:c>
      <x:c r="U13" s="31" t="n">
        <x:f>IF(T13="","",I13*T13)</x:f>
        <x:v>1654681.0278347176</x:v>
      </x:c>
    </x:row>
    <x:row r="14" ht="18" customHeight="1">
      <x:c r="A14" s="24" t="str">
        <x:v>EEZ_214</x:v>
      </x:c>
      <x:c r="B14" s="24" t="str">
        <x:v>Dominican Republic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1019.512563</x:v>
      </x:c>
      <x:c r="J14" s="31" t="n">
        <x:v>1019.512563</x:v>
      </x:c>
      <x:c r="K14" s="31" t="n">
        <x:v>0</x:v>
      </x:c>
      <x:c r="L14" s="31" t="n">
        <x:v>232.897163</x:v>
      </x:c>
      <x:c r="M14" s="31" t="n">
        <x:v>786.6153999999999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973626.9390207122</x:v>
      </x:c>
    </x:row>
    <x:row r="15" ht="18" customHeight="1">
      <x:c r="A15" s="24" t="str">
        <x:v>EEZ_214</x:v>
      </x:c>
      <x:c r="B15" s="24" t="str">
        <x:v>Dominican Republic</x:v>
      </x:c>
      <x:c r="C15" s="24" t="str">
        <x:v>EEZ</x:v>
      </x:c>
      <x:c r="D15" s="30" t="n">
        <x:v>2019</x:v>
      </x:c>
      <x:c r="E15" s="24" t="str">
        <x:v>Ostraciidae</x:v>
      </x:c>
      <x:c r="F15" s="24" t="str">
        <x:v>Box-, cow-, trunkfishes</x:v>
      </x:c>
      <x:c r="G15" s="24" t="str">
        <x:v>Medium reef assoc. fish (30 - 89 cm)</x:v>
      </x:c>
      <x:c r="H15" s="24" t="str">
        <x:v>Other fishes &amp; inverts</x:v>
      </x:c>
      <x:c r="I15" s="31" t="n">
        <x:v>895.68161665</x:v>
      </x:c>
      <x:c r="J15" s="31" t="n">
        <x:v>895.68161665</x:v>
      </x:c>
      <x:c r="K15" s="31" t="n">
        <x:v>0</x:v>
      </x:c>
      <x:c r="L15" s="31" t="n">
        <x:v>10.603982649999999</x:v>
      </x:c>
      <x:c r="M15" s="31" t="n">
        <x:v>885.077634</x:v>
      </x:c>
      <x:c r="N15" s="24" t="str">
        <x:v>ostraciidae</x:v>
      </x:c>
      <x:c r="O15" s="32" t="n">
        <x:v>2.83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Ostraciidae</x:v>
      </x:c>
      <x:c r="T15" s="32" t="n">
        <x:f>IF(O15="","",(1/'Metadata'!$B$5)^(O15-1))</x:f>
        <x:v>67.60829753919819</x:v>
      </x:c>
      <x:c r="U15" s="31" t="n">
        <x:f>IF(T15="","",I15*T15)</x:f>
        <x:v>60555.509238863255</x:v>
      </x:c>
    </x:row>
    <x:row r="16" ht="18" customHeight="1">
      <x:c r="A16" s="24" t="str">
        <x:v>EEZ_214</x:v>
      </x:c>
      <x:c r="B16" s="24" t="str">
        <x:v>Dominican Republic</x:v>
      </x:c>
      <x:c r="C16" s="24" t="str">
        <x:v>EEZ</x:v>
      </x:c>
      <x:c r="D16" s="30" t="n">
        <x:v>2019</x:v>
      </x:c>
      <x:c r="E16" s="24" t="str">
        <x:v>Sphyraenidae</x:v>
      </x:c>
      <x:c r="F16" s="24" t="str">
        <x:v>Barracudas</x:v>
      </x:c>
      <x:c r="G16" s="24" t="str">
        <x:v>Medium reef assoc. fish (30 - 89 cm)</x:v>
      </x:c>
      <x:c r="H16" s="24" t="str">
        <x:v>Perch-likes</x:v>
      </x:c>
      <x:c r="I16" s="31" t="n">
        <x:v>821.252885054</x:v>
      </x:c>
      <x:c r="J16" s="31" t="n">
        <x:v>821.252885054</x:v>
      </x:c>
      <x:c r="K16" s="31" t="n">
        <x:v>0</x:v>
      </x:c>
      <x:c r="L16" s="31" t="n">
        <x:v>15.085955054000001</x:v>
      </x:c>
      <x:c r="M16" s="31" t="n">
        <x:v>806.1669300000001</x:v>
      </x:c>
      <x:c r="N16" s="24" t="str">
        <x:v>sphyraenidae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Sphyraenidae</x:v>
      </x:c>
      <x:c r="T16" s="32" t="n">
        <x:f>IF(O16="","",(1/'Metadata'!$B$5)^(O16-1))</x:f>
        <x:v>2511.886431509582</x:v>
      </x:c>
      <x:c r="U16" s="31" t="n">
        <x:f>IF(T16="","",I16*T16)</x:f>
        <x:v>2062893.978805241</x:v>
      </x:c>
    </x:row>
    <x:row r="17" ht="18" customHeight="1">
      <x:c r="A17" s="24" t="str">
        <x:v>EEZ_214</x:v>
      </x:c>
      <x:c r="B17" s="24" t="str">
        <x:v>Dominican Republic</x:v>
      </x:c>
      <x:c r="C17" s="24" t="str">
        <x:v>EEZ</x:v>
      </x:c>
      <x:c r="D17" s="30" t="n">
        <x:v>2019</x:v>
      </x:c>
      <x:c r="E17" s="24" t="str">
        <x:v>Holocentridae</x:v>
      </x:c>
      <x:c r="F17" s="24" t="str">
        <x:v>Squirrel-, soldierfishes</x:v>
      </x:c>
      <x:c r="G17" s="24" t="str">
        <x:v>Small reef assoc. fish (&lt;30 cm)</x:v>
      </x:c>
      <x:c r="H17" s="24" t="str">
        <x:v>Other fishes &amp; inverts</x:v>
      </x:c>
      <x:c r="I17" s="31" t="n">
        <x:v>697.877191</x:v>
      </x:c>
      <x:c r="J17" s="31" t="n">
        <x:v>697.877191</x:v>
      </x:c>
      <x:c r="K17" s="31" t="n">
        <x:v>0</x:v>
      </x:c>
      <x:c r="L17" s="31" t="n">
        <x:v>5</x:v>
      </x:c>
      <x:c r="M17" s="31" t="n">
        <x:v>692.877191</x:v>
      </x:c>
      <x:c r="N17" s="24" t="str">
        <x:v>holocentridae</x:v>
      </x:c>
      <x:c r="O17" s="32" t="n">
        <x:v>3.49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Holocentridae</x:v>
      </x:c>
      <x:c r="T17" s="32" t="n">
        <x:f>IF(O17="","",(1/'Metadata'!$B$5)^(O17-1))</x:f>
        <x:v>309.0295432513592</x:v>
      </x:c>
      <x:c r="U17" s="31" t="n">
        <x:f>IF(T17="","",I17*T17)</x:f>
        <x:v>215664.66958027158</x:v>
      </x:c>
    </x:row>
    <x:row r="18" ht="18" customHeight="1">
      <x:c r="A18" s="24" t="str">
        <x:v>EEZ_214</x:v>
      </x:c>
      <x:c r="B18" s="24" t="str">
        <x:v>Dominican Republic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614.390206724</x:v>
      </x:c>
      <x:c r="J18" s="31" t="n">
        <x:v>614.390206724</x:v>
      </x:c>
      <x:c r="K18" s="31" t="n">
        <x:v>0</x:v>
      </x:c>
      <x:c r="L18" s="31" t="n">
        <x:v>579.3353667240001</x:v>
      </x:c>
      <x:c r="M18" s="31" t="n">
        <x:v>35.05484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1440271.226452765</x:v>
      </x:c>
    </x:row>
    <x:row r="19" ht="18" customHeight="1">
      <x:c r="A19" s="24" t="str">
        <x:v>EEZ_214</x:v>
      </x:c>
      <x:c r="B19" s="24" t="str">
        <x:v>Dominican Republic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503.63204184</x:v>
      </x:c>
      <x:c r="J19" s="31" t="n">
        <x:v>503.63204184</x:v>
      </x:c>
      <x:c r="K19" s="31" t="n">
        <x:v>0</x:v>
      </x:c>
      <x:c r="L19" s="31" t="n">
        <x:v>17.95014184</x:v>
      </x:c>
      <x:c r="M19" s="31" t="n">
        <x:v>485.6819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565084.4451222584</x:v>
      </x:c>
    </x:row>
    <x:row r="20" ht="18" customHeight="1">
      <x:c r="A20" s="24" t="str">
        <x:v>EEZ_214</x:v>
      </x:c>
      <x:c r="B20" s="24" t="str">
        <x:v>Dominican Republic</x:v>
      </x:c>
      <x:c r="C20" s="24" t="str">
        <x:v>EEZ</x:v>
      </x:c>
      <x:c r="D20" s="30" t="n">
        <x:v>2019</x:v>
      </x:c>
      <x:c r="E20" s="24" t="str">
        <x:v>Balistidae</x:v>
      </x:c>
      <x:c r="F20" s="24" t="str">
        <x:v>Triggerfishes</x:v>
      </x:c>
      <x:c r="G20" s="24" t="str">
        <x:v>Medium reef assoc. fish (30 - 89 cm)</x:v>
      </x:c>
      <x:c r="H20" s="24" t="str">
        <x:v>Other fishes &amp; inverts</x:v>
      </x:c>
      <x:c r="I20" s="31" t="n">
        <x:v>461.04642</x:v>
      </x:c>
      <x:c r="J20" s="31" t="n">
        <x:v>461.04642</x:v>
      </x:c>
      <x:c r="K20" s="31" t="n">
        <x:v>0</x:v>
      </x:c>
      <x:c r="L20" s="31" t="n">
        <x:v>5</x:v>
      </x:c>
      <x:c r="M20" s="31" t="n">
        <x:v>456.04642</x:v>
      </x:c>
      <x:c r="N20" s="24" t="str">
        <x:v>balistidae</x:v>
      </x:c>
      <x:c r="O20" s="32" t="n">
        <x:v>3.25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Balistidae</x:v>
      </x:c>
      <x:c r="T20" s="32" t="n">
        <x:f>IF(O20="","",(1/'Metadata'!$B$5)^(O20-1))</x:f>
        <x:v>177.82794100389228</x:v>
      </x:c>
      <x:c r="U20" s="31" t="n">
        <x:f>IF(T20="","",I20*T20)</x:f>
        <x:v>81986.93557581575</x:v>
      </x:c>
    </x:row>
    <x:row r="21" ht="18" customHeight="1">
      <x:c r="A21" s="24" t="str">
        <x:v>EEZ_214</x:v>
      </x:c>
      <x:c r="B21" s="24" t="str">
        <x:v>Dominican Republic</x:v>
      </x:c>
      <x:c r="C21" s="24" t="str">
        <x:v>EEZ</x:v>
      </x:c>
      <x:c r="D21" s="30" t="n">
        <x:v>2019</x:v>
      </x:c>
      <x:c r="E21" s="24" t="str">
        <x:v>Monacanthidae</x:v>
      </x:c>
      <x:c r="F21" s="24" t="str">
        <x:v>Filefishes</x:v>
      </x:c>
      <x:c r="G21" s="24" t="str">
        <x:v>Medium reef assoc. fish (30 - 89 cm)</x:v>
      </x:c>
      <x:c r="H21" s="24" t="str">
        <x:v>Other fishes &amp; inverts</x:v>
      </x:c>
      <x:c r="I21" s="31" t="n">
        <x:v>404.364338439</x:v>
      </x:c>
      <x:c r="J21" s="31" t="n">
        <x:v>404.364338439</x:v>
      </x:c>
      <x:c r="K21" s="31" t="n">
        <x:v>0</x:v>
      </x:c>
      <x:c r="L21" s="31" t="n">
        <x:v>191.350247239</x:v>
      </x:c>
      <x:c r="M21" s="31" t="n">
        <x:v>213.0140912</x:v>
      </x:c>
      <x:c r="N21" s="24" t="str">
        <x:v>monacanthidae</x:v>
      </x:c>
      <x:c r="O21" s="32" t="n">
        <x:v>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Monacanthidae</x:v>
      </x:c>
      <x:c r="T21" s="32" t="n">
        <x:f>IF(O21="","",(1/'Metadata'!$B$5)^(O21-1))</x:f>
        <x:v>100</x:v>
      </x:c>
      <x:c r="U21" s="31" t="n">
        <x:f>IF(T21="","",I21*T21)</x:f>
        <x:v>40436.4338439</x:v>
      </x:c>
    </x:row>
    <x:row r="22" ht="18" customHeight="1">
      <x:c r="A22" s="24" t="str">
        <x:v>EEZ_214</x:v>
      </x:c>
      <x:c r="B22" s="24" t="str">
        <x:v>Dominican Republic</x:v>
      </x:c>
      <x:c r="C22" s="24" t="str">
        <x:v>EEZ</x:v>
      </x:c>
      <x:c r="D22" s="30" t="n">
        <x:v>2019</x:v>
      </x:c>
      <x:c r="E22" s="24" t="str">
        <x:v>Cyprinus carpio</x:v>
      </x:c>
      <x:c r="F22" s="24" t="str">
        <x:v>Common carp</x:v>
      </x:c>
      <x:c r="G22" s="24" t="str">
        <x:v>Large benthopelagics (&gt;=90 cm)</x:v>
      </x:c>
      <x:c r="H22" s="24" t="str">
        <x:v>Other fishes &amp; inverts</x:v>
      </x:c>
      <x:c r="I22" s="31" t="n">
        <x:v>391.922366898</x:v>
      </x:c>
      <x:c r="J22" s="31" t="n">
        <x:v>391.922366898</x:v>
      </x:c>
      <x:c r="K22" s="31" t="n">
        <x:v>0</x:v>
      </x:c>
      <x:c r="L22" s="31" t="n">
        <x:v>185.462547298</x:v>
      </x:c>
      <x:c r="M22" s="31" t="n">
        <x:v>206.4598196</x:v>
      </x:c>
      <x:c r="N22" s="24" t="str">
        <x:v>cyprinus carpio</x:v>
      </x:c>
      <x:c r="O22" s="32" t="n">
        <x:v>3.06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Cyprinus carpio</x:v>
      </x:c>
      <x:c r="T22" s="32" t="n">
        <x:f>IF(O22="","",(1/'Metadata'!$B$5)^(O22-1))</x:f>
        <x:v>114.81536214968828</x:v>
      </x:c>
      <x:c r="U22" s="31" t="n">
        <x:f>IF(T22="","",I22*T22)</x:f>
        <x:v>44998.70848995687</x:v>
      </x:c>
    </x:row>
    <x:row r="23" ht="18" customHeight="1">
      <x:c r="A23" s="24" t="str">
        <x:v>EEZ_214</x:v>
      </x:c>
      <x:c r="B23" s="24" t="str">
        <x:v>Dominican Republic</x:v>
      </x:c>
      <x:c r="C23" s="24" t="str">
        <x:v>EEZ</x:v>
      </x:c>
      <x:c r="D23" s="30" t="n">
        <x:v>2019</x:v>
      </x:c>
      <x:c r="E23" s="24" t="str">
        <x:v>Clupeidae</x:v>
      </x:c>
      <x:c r="F23" s="24" t="str">
        <x:v>Herrings, sardines, menhadens</x:v>
      </x:c>
      <x:c r="G23" s="24" t="str">
        <x:v>Small pelagics (&lt;30 cm)</x:v>
      </x:c>
      <x:c r="H23" s="24" t="str">
        <x:v>Herring-likes</x:v>
      </x:c>
      <x:c r="I23" s="31" t="n">
        <x:v>351.10180774</x:v>
      </x:c>
      <x:c r="J23" s="31" t="n">
        <x:v>351.10180774</x:v>
      </x:c>
      <x:c r="K23" s="31" t="n">
        <x:v>0</x:v>
      </x:c>
      <x:c r="L23" s="31" t="n">
        <x:v>31.63346774</x:v>
      </x:c>
      <x:c r="M23" s="31" t="n">
        <x:v>319.46834</x:v>
      </x:c>
      <x:c r="N23" s="24" t="str">
        <x:v>clupeidae</x:v>
      </x:c>
      <x:c r="O23" s="32" t="n">
        <x:v>3.16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Clupeidae</x:v>
      </x:c>
      <x:c r="T23" s="32" t="n">
        <x:f>IF(O23="","",(1/'Metadata'!$B$5)^(O23-1))</x:f>
        <x:v>144.5439770745928</x:v>
      </x:c>
      <x:c r="U23" s="31" t="n">
        <x:f>IF(T23="","",I23*T23)</x:f>
        <x:v>50749.651648818646</x:v>
      </x:c>
    </x:row>
    <x:row r="24" ht="18" customHeight="1">
      <x:c r="A24" s="24" t="str">
        <x:v>EEZ_214</x:v>
      </x:c>
      <x:c r="B24" s="24" t="str">
        <x:v>Dominican Republic</x:v>
      </x:c>
      <x:c r="C24" s="24" t="str">
        <x:v>EEZ</x:v>
      </x:c>
      <x:c r="D24" s="30" t="n">
        <x:v>2019</x:v>
      </x:c>
      <x:c r="E24" s="24" t="str">
        <x:v>Muraenidae</x:v>
      </x:c>
      <x:c r="F24" s="24" t="str">
        <x:v>Moray eels</x:v>
      </x:c>
      <x:c r="G24" s="24" t="str">
        <x:v>Large reef assoc. fish (&gt;=90 cm)</x:v>
      </x:c>
      <x:c r="H24" s="24" t="str">
        <x:v>Other fishes &amp; inverts</x:v>
      </x:c>
      <x:c r="I24" s="31" t="n">
        <x:v>348.375357326</x:v>
      </x:c>
      <x:c r="J24" s="31" t="n">
        <x:v>348.375357326</x:v>
      </x:c>
      <x:c r="K24" s="31" t="n">
        <x:v>0</x:v>
      </x:c>
      <x:c r="L24" s="31" t="n">
        <x:v>164.85559762600002</x:v>
      </x:c>
      <x:c r="M24" s="31" t="n">
        <x:v>183.5197597</x:v>
      </x:c>
      <x:c r="N24" s="24" t="str">
        <x:v>muraenidae</x:v>
      </x:c>
      <x:c r="O24" s="32" t="n">
        <x:v>4.07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Muraenidae</x:v>
      </x:c>
      <x:c r="T24" s="32" t="n">
        <x:f>IF(O24="","",(1/'Metadata'!$B$5)^(O24-1))</x:f>
        <x:v>1174.8975549395302</x:v>
      </x:c>
      <x:c r="U24" s="31" t="n">
        <x:f>IF(T24="","",I24*T24)</x:f>
        <x:v>409305.35552350257</x:v>
      </x:c>
    </x:row>
    <x:row r="25" ht="18" customHeight="1">
      <x:c r="A25" s="24" t="str">
        <x:v>EEZ_214</x:v>
      </x:c>
      <x:c r="B25" s="24" t="str">
        <x:v>Dominican Republic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306.35865</x:v>
      </x:c>
      <x:c r="J25" s="31" t="n">
        <x:v>306.35865</x:v>
      </x:c>
      <x:c r="K25" s="31" t="n">
        <x:v>0</x:v>
      </x:c>
      <x:c r="L25" s="31" t="n">
        <x:v>0</x:v>
      </x:c>
      <x:c r="M25" s="31" t="n">
        <x:v>306.35865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88354.79978553377</x:v>
      </x:c>
    </x:row>
    <x:row r="26" ht="18" customHeight="1">
      <x:c r="A26" s="24" t="str">
        <x:v>EEZ_214</x:v>
      </x:c>
      <x:c r="B26" s="24" t="str">
        <x:v>Dominican Republic</x:v>
      </x:c>
      <x:c r="C26" s="24" t="str">
        <x:v>EEZ</x:v>
      </x:c>
      <x:c r="D26" s="30" t="n">
        <x:v>2019</x:v>
      </x:c>
      <x:c r="E26" s="24" t="str">
        <x:v>Pomacentridae</x:v>
      </x:c>
      <x:c r="F26" s="24" t="str">
        <x:v>Damselfishes</x:v>
      </x:c>
      <x:c r="G26" s="24" t="str">
        <x:v>Small reef assoc. fish (&lt;30 cm)</x:v>
      </x:c>
      <x:c r="H26" s="24" t="str">
        <x:v>Perch-likes</x:v>
      </x:c>
      <x:c r="I26" s="31" t="n">
        <x:v>261.281542912</x:v>
      </x:c>
      <x:c r="J26" s="31" t="n">
        <x:v>261.281542912</x:v>
      </x:c>
      <x:c r="K26" s="31" t="n">
        <x:v>0</x:v>
      </x:c>
      <x:c r="L26" s="31" t="n">
        <x:v>123.641698212</x:v>
      </x:c>
      <x:c r="M26" s="31" t="n">
        <x:v>137.6398447</x:v>
      </x:c>
      <x:c r="N26" s="24" t="str">
        <x:v>pomacentridae</x:v>
      </x:c>
      <x:c r="O26" s="32" t="n">
        <x:v>2.57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Pomacentridae</x:v>
      </x:c>
      <x:c r="T26" s="32" t="n">
        <x:f>IF(O26="","",(1/'Metadata'!$B$5)^(O26-1))</x:f>
        <x:v>37.15352290971724</x:v>
      </x:c>
      <x:c r="U26" s="31" t="n">
        <x:f>IF(T26="","",I26*T26)</x:f>
        <x:v>9707.52979046726</x:v>
      </x:c>
    </x:row>
    <x:row r="27" ht="18" customHeight="1">
      <x:c r="A27" s="24" t="str">
        <x:v>EEZ_214</x:v>
      </x:c>
      <x:c r="B27" s="24" t="str">
        <x:v>Dominican Republic</x:v>
      </x:c>
      <x:c r="C27" s="24" t="str">
        <x:v>EEZ</x:v>
      </x:c>
      <x:c r="D27" s="30" t="n">
        <x:v>2019</x:v>
      </x:c>
      <x:c r="E27" s="24" t="str">
        <x:v>Sphyrnidae</x:v>
      </x:c>
      <x:c r="F27" s="24" t="str">
        <x:v>Hammer, bonnet, scoophead sharks</x:v>
      </x:c>
      <x:c r="G27" s="24" t="str">
        <x:v>Large sharks (&gt;=90 cm)</x:v>
      </x:c>
      <x:c r="H27" s="24" t="str">
        <x:v>Sharks &amp; rays</x:v>
      </x:c>
      <x:c r="I27" s="31" t="n">
        <x:v>250.22627999999997</x:v>
      </x:c>
      <x:c r="J27" s="31" t="n">
        <x:v>250.22627999999997</x:v>
      </x:c>
      <x:c r="K27" s="31" t="n">
        <x:v>0</x:v>
      </x:c>
      <x:c r="L27" s="31" t="n">
        <x:v>5</x:v>
      </x:c>
      <x:c r="M27" s="31" t="n">
        <x:v>245.22627999999997</x:v>
      </x:c>
      <x:c r="N27" s="24" t="str">
        <x:v>sphyrnidae</x:v>
      </x:c>
      <x:c r="O27" s="32" t="n">
        <x:v>4.19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Sphyrnidae</x:v>
      </x:c>
      <x:c r="T27" s="32" t="n">
        <x:f>IF(O27="","",(1/'Metadata'!$B$5)^(O27-1))</x:f>
        <x:v>1548.8166189124827</x:v>
      </x:c>
      <x:c r="U27" s="31" t="n">
        <x:f>IF(T27="","",I27*T27)</x:f>
        <x:v>387554.62095264817</x:v>
      </x:c>
    </x:row>
    <x:row r="28" ht="18" customHeight="1">
      <x:c r="A28" s="24" t="str">
        <x:v>EEZ_214</x:v>
      </x:c>
      <x:c r="B28" s="24" t="str">
        <x:v>Dominican Republic</x:v>
      </x:c>
      <x:c r="C28" s="24" t="str">
        <x:v>EEZ</x:v>
      </x:c>
      <x:c r="D28" s="30" t="n">
        <x:v>2019</x:v>
      </x:c>
      <x:c r="E28" s="24" t="str">
        <x:v>Sphyraena</x:v>
      </x:c>
      <x:c r="F28" s="24" t="str">
        <x:v>Barracudas, sennets</x:v>
      </x:c>
      <x:c r="G28" s="24" t="str">
        <x:v>Large pelagics (&gt;=90 cm)</x:v>
      </x:c>
      <x:c r="H28" s="24" t="str">
        <x:v>Perch-likes</x:v>
      </x:c>
      <x:c r="I28" s="31" t="n">
        <x:v>245.528138</x:v>
      </x:c>
      <x:c r="J28" s="31" t="n">
        <x:v>245.528138</x:v>
      </x:c>
      <x:c r="K28" s="31" t="n">
        <x:v>0</x:v>
      </x:c>
      <x:c r="L28" s="31" t="n">
        <x:v>0</x:v>
      </x:c>
      <x:c r="M28" s="31" t="n">
        <x:v>245.528138</x:v>
      </x:c>
      <x:c r="N28" s="24" t="str">
        <x:v>sphyraena</x:v>
      </x:c>
      <x:c r="O28" s="32" t="n">
        <x:v>4.4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Sphyraena</x:v>
      </x:c>
      <x:c r="T28" s="32" t="n">
        <x:f>IF(O28="","",(1/'Metadata'!$B$5)^(O28-1))</x:f>
        <x:v>2511.886431509582</x:v>
      </x:c>
      <x:c r="U28" s="31" t="n">
        <x:f>IF(T28="","",I28*T28)</x:f>
        <x:v>616738.7983960123</x:v>
      </x:c>
    </x:row>
    <x:row r="29" ht="18" customHeight="1">
      <x:c r="A29" s="24" t="str">
        <x:v>EEZ_214</x:v>
      </x:c>
      <x:c r="B29" s="24" t="str">
        <x:v>Dominican Republic</x:v>
      </x:c>
      <x:c r="C29" s="24" t="str">
        <x:v>EEZ</x:v>
      </x:c>
      <x:c r="D29" s="30" t="n">
        <x:v>2019</x:v>
      </x:c>
      <x:c r="E29" s="24" t="str">
        <x:v>Coryphaena</x:v>
      </x:c>
      <x:c r="F29" s="24" t="str">
        <x:v>Dolphinfishes</x:v>
      </x:c>
      <x:c r="G29" s="24" t="str">
        <x:v>Large pelagics (&gt;=90 cm)</x:v>
      </x:c>
      <x:c r="H29" s="24" t="str">
        <x:v>Perch-likes</x:v>
      </x:c>
      <x:c r="I29" s="31" t="n">
        <x:v>239.3528538</x:v>
      </x:c>
      <x:c r="J29" s="31" t="n">
        <x:v>239.3528538</x:v>
      </x:c>
      <x:c r="K29" s="31" t="n">
        <x:v>0</x:v>
      </x:c>
      <x:c r="L29" s="31" t="n">
        <x:v>0</x:v>
      </x:c>
      <x:c r="M29" s="31" t="n">
        <x:v>239.3528538</x:v>
      </x:c>
      <x:c r="N29" s="24" t="str">
        <x:v>coryphaena</x:v>
      </x:c>
      <x:c r="O29" s="32" t="n">
        <x:v>4.49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Coryphaena</x:v>
      </x:c>
      <x:c r="T29" s="32" t="n">
        <x:f>IF(O29="","",(1/'Metadata'!$B$5)^(O29-1))</x:f>
        <x:v>3090.295432513592</x:v>
      </x:c>
      <x:c r="U29" s="31" t="n">
        <x:f>IF(T29="","",I29*T29)</x:f>
        <x:v>739671.0308572336</x:v>
      </x:c>
    </x:row>
    <x:row r="30" ht="18" customHeight="1">
      <x:c r="A30" s="24" t="str">
        <x:v>EEZ_214</x:v>
      </x:c>
      <x:c r="B30" s="24" t="str">
        <x:v>Dominican Republic</x:v>
      </x:c>
      <x:c r="C30" s="24" t="str">
        <x:v>EEZ</x:v>
      </x:c>
      <x:c r="D30" s="30" t="n">
        <x:v>2019</x:v>
      </x:c>
      <x:c r="E30" s="24" t="str">
        <x:v>Priacanthidae</x:v>
      </x:c>
      <x:c r="F30" s="24" t="str">
        <x:v>Bigeyes, catalufas</x:v>
      </x:c>
      <x:c r="G30" s="24" t="str">
        <x:v>Medium reef assoc. fish (30 - 89 cm)</x:v>
      </x:c>
      <x:c r="H30" s="24" t="str">
        <x:v>Perch-likes</x:v>
      </x:c>
      <x:c r="I30" s="31" t="n">
        <x:v>224.631970997</x:v>
      </x:c>
      <x:c r="J30" s="31" t="n">
        <x:v>224.631970997</x:v>
      </x:c>
      <x:c r="K30" s="31" t="n">
        <x:v>0</x:v>
      </x:c>
      <x:c r="L30" s="31" t="n">
        <x:v>59.999999997</x:v>
      </x:c>
      <x:c r="M30" s="31" t="n">
        <x:v>164.631971</x:v>
      </x:c>
      <x:c r="N30" s="24" t="str">
        <x:v>priacanthidae</x:v>
      </x:c>
      <x:c r="O30" s="32" t="n">
        <x:v>3.79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Priacanthidae</x:v>
      </x:c>
      <x:c r="T30" s="32" t="n">
        <x:f>IF(O30="","",(1/'Metadata'!$B$5)^(O30-1))</x:f>
        <x:v>616.5950018614822</x:v>
      </x:c>
      <x:c r="U30" s="31" t="n">
        <x:f>IF(T30="","",I30*T30)</x:f>
        <x:v>138506.95057504362</x:v>
      </x:c>
    </x:row>
    <x:row r="31" ht="18" customHeight="1">
      <x:c r="A31" s="24" t="str">
        <x:v>EEZ_214</x:v>
      </x:c>
      <x:c r="B31" s="24" t="str">
        <x:v>Dominican Republic</x:v>
      </x:c>
      <x:c r="C31" s="24" t="str">
        <x:v>EEZ</x:v>
      </x:c>
      <x:c r="D31" s="30" t="n">
        <x:v>2019</x:v>
      </x:c>
      <x:c r="E31" s="24" t="str">
        <x:v>Chaetodontidae</x:v>
      </x:c>
      <x:c r="F31" s="24" t="str">
        <x:v>Butterflyfishes</x:v>
      </x:c>
      <x:c r="G31" s="24" t="str">
        <x:v>Small reef assoc. fish (&lt;30 cm)</x:v>
      </x:c>
      <x:c r="H31" s="24" t="str">
        <x:v>Perch-likes</x:v>
      </x:c>
      <x:c r="I31" s="31" t="n">
        <x:v>186.629682429</x:v>
      </x:c>
      <x:c r="J31" s="31" t="n">
        <x:v>186.629682429</x:v>
      </x:c>
      <x:c r="K31" s="31" t="n">
        <x:v>0</x:v>
      </x:c>
      <x:c r="L31" s="31" t="n">
        <x:v>88.315498729</x:v>
      </x:c>
      <x:c r="M31" s="31" t="n">
        <x:v>98.3141837</x:v>
      </x:c>
      <x:c r="N31" s="24" t="str">
        <x:v>chaetodontidae</x:v>
      </x:c>
      <x:c r="O31" s="32" t="n">
        <x:v>3.24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Chaetodontidae</x:v>
      </x:c>
      <x:c r="T31" s="32" t="n">
        <x:f>IF(O31="","",(1/'Metadata'!$B$5)^(O31-1))</x:f>
        <x:v>173.78008287493762</x:v>
      </x:c>
      <x:c r="U31" s="31" t="n">
        <x:f>IF(T31="","",I31*T31)</x:f>
        <x:v>32432.52167943491</x:v>
      </x:c>
    </x:row>
    <x:row r="32" ht="18" customHeight="1">
      <x:c r="A32" s="24" t="str">
        <x:v>EEZ_214</x:v>
      </x:c>
      <x:c r="B32" s="24" t="str">
        <x:v>Dominican Republic</x:v>
      </x:c>
      <x:c r="C32" s="24" t="str">
        <x:v>EEZ</x:v>
      </x:c>
      <x:c r="D32" s="30" t="n">
        <x:v>2019</x:v>
      </x:c>
      <x:c r="E32" s="24" t="str">
        <x:v>Lutjanus purpureus</x:v>
      </x:c>
      <x:c r="F32" s="24" t="str">
        <x:v>Southern red snapper</x:v>
      </x:c>
      <x:c r="G32" s="24" t="str">
        <x:v>Medium demersals (30 - 89 cm)</x:v>
      </x:c>
      <x:c r="H32" s="24" t="str">
        <x:v>Perch-likes</x:v>
      </x:c>
      <x:c r="I32" s="31" t="n">
        <x:v>183.34440406</x:v>
      </x:c>
      <x:c r="J32" s="31" t="n">
        <x:v>183.34440406</x:v>
      </x:c>
      <x:c r="K32" s="31" t="n">
        <x:v>0</x:v>
      </x:c>
      <x:c r="L32" s="31" t="n">
        <x:v>183.34440406</x:v>
      </x:c>
      <x:c r="M32" s="31" t="n">
        <x:v>0</x:v>
      </x:c>
      <x:c r="N32" s="24" t="str">
        <x:v>lutjanus purpureus</x:v>
      </x:c>
      <x:c r="O32" s="32" t="n">
        <x:v>3.58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Lutjanus purpureus</x:v>
      </x:c>
      <x:c r="T32" s="32" t="n">
        <x:f>IF(O32="","",(1/'Metadata'!$B$5)^(O32-1))</x:f>
        <x:v>380.1893963205613</x:v>
      </x:c>
      <x:c r="U32" s="31" t="n">
        <x:f>IF(T32="","",I32*T32)</x:f>
        <x:v>69705.59829832446</x:v>
      </x:c>
    </x:row>
    <x:row r="33" ht="18" customHeight="1">
      <x:c r="A33" s="24" t="str">
        <x:v>EEZ_214</x:v>
      </x:c>
      <x:c r="B33" s="24" t="str">
        <x:v>Dominican Republic</x:v>
      </x:c>
      <x:c r="C33" s="24" t="str">
        <x:v>EEZ</x:v>
      </x:c>
      <x:c r="D33" s="30" t="n">
        <x:v>2019</x:v>
      </x:c>
      <x:c r="E33" s="24" t="str">
        <x:v>Caranx crysos</x:v>
      </x:c>
      <x:c r="F33" s="24" t="str">
        <x:v>Blue runner</x:v>
      </x:c>
      <x:c r="G33" s="24" t="str">
        <x:v>Medium reef assoc. fish (30 - 89 cm)</x:v>
      </x:c>
      <x:c r="H33" s="24" t="str">
        <x:v>Perch-likes</x:v>
      </x:c>
      <x:c r="I33" s="31" t="n">
        <x:v>181.95936276</x:v>
      </x:c>
      <x:c r="J33" s="31" t="n">
        <x:v>181.95936276</x:v>
      </x:c>
      <x:c r="K33" s="31" t="n">
        <x:v>0</x:v>
      </x:c>
      <x:c r="L33" s="31" t="n">
        <x:v>181.95936276</x:v>
      </x:c>
      <x:c r="M33" s="31" t="n">
        <x:v>0</x:v>
      </x:c>
      <x:c r="N33" s="24" t="str">
        <x:v>caranx crysos</x:v>
      </x:c>
      <x:c r="O33" s="32" t="n">
        <x:v>4.13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Caranx crysos</x:v>
      </x:c>
      <x:c r="T33" s="32" t="n">
        <x:f>IF(O33="","",(1/'Metadata'!$B$5)^(O33-1))</x:f>
        <x:v>1348.9628825916532</x:v>
      </x:c>
      <x:c r="U33" s="31" t="n">
        <x:f>IF(T33="","",I33*T33)</x:f>
        <x:v>245456.4265032699</x:v>
      </x:c>
    </x:row>
    <x:row r="34" ht="18" customHeight="1">
      <x:c r="A34" s="24" t="str">
        <x:v>EEZ_214</x:v>
      </x:c>
      <x:c r="B34" s="24" t="str">
        <x:v>Dominican Republic</x:v>
      </x:c>
      <x:c r="C34" s="24" t="str">
        <x:v>EEZ</x:v>
      </x:c>
      <x:c r="D34" s="30" t="n">
        <x:v>2019</x:v>
      </x:c>
      <x:c r="E34" s="24" t="str">
        <x:v>Pempheridae</x:v>
      </x:c>
      <x:c r="F34" s="24" t="str">
        <x:v>Sweepers</x:v>
      </x:c>
      <x:c r="G34" s="24" t="str">
        <x:v>Small reef assoc. fish (&lt;30 cm)</x:v>
      </x:c>
      <x:c r="H34" s="24" t="str">
        <x:v>Perch-likes</x:v>
      </x:c>
      <x:c r="I34" s="31" t="n">
        <x:v>167.72173320000002</x:v>
      </x:c>
      <x:c r="J34" s="31" t="n">
        <x:v>167.72173320000002</x:v>
      </x:c>
      <x:c r="K34" s="31" t="n">
        <x:v>0</x:v>
      </x:c>
      <x:c r="L34" s="31" t="n">
        <x:v>0</x:v>
      </x:c>
      <x:c r="M34" s="31" t="n">
        <x:v>167.72173320000002</x:v>
      </x:c>
      <x:c r="N34" s="24" t="str">
        <x:v>pempheridae</x:v>
      </x:c>
      <x:c r="O34" s="32" t="n">
        <x:v>3.58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Pempheridae</x:v>
      </x:c>
      <x:c r="T34" s="32" t="n">
        <x:f>IF(O34="","",(1/'Metadata'!$B$5)^(O34-1))</x:f>
        <x:v>380.1893963205613</x:v>
      </x:c>
      <x:c r="U34" s="31" t="n">
        <x:f>IF(T34="","",I34*T34)</x:f>
        <x:v>63766.024495146245</x:v>
      </x:c>
    </x:row>
    <x:row r="35" ht="18" customHeight="1">
      <x:c r="A35" s="24" t="str">
        <x:v>EEZ_214</x:v>
      </x:c>
      <x:c r="B35" s="24" t="str">
        <x:v>Dominican Republic</x:v>
      </x:c>
      <x:c r="C35" s="24" t="str">
        <x:v>EEZ</x:v>
      </x:c>
      <x:c r="D35" s="30" t="n">
        <x:v>2019</x:v>
      </x:c>
      <x:c r="E35" s="24" t="str">
        <x:v>Dasyatidae</x:v>
      </x:c>
      <x:c r="F35" s="24" t="str">
        <x:v>Whiptail stingrays</x:v>
      </x:c>
      <x:c r="G35" s="24" t="str">
        <x:v>Large rays (&gt;=90 cm)</x:v>
      </x:c>
      <x:c r="H35" s="24" t="str">
        <x:v>Sharks &amp; rays</x:v>
      </x:c>
      <x:c r="I35" s="31" t="n">
        <x:v>159.012286264</x:v>
      </x:c>
      <x:c r="J35" s="31" t="n">
        <x:v>159.012286264</x:v>
      </x:c>
      <x:c r="K35" s="31" t="n">
        <x:v>0</x:v>
      </x:c>
      <x:c r="L35" s="31" t="n">
        <x:v>5.131236264</x:v>
      </x:c>
      <x:c r="M35" s="31" t="n">
        <x:v>153.88105</x:v>
      </x:c>
      <x:c r="N35" s="24" t="str">
        <x:v>dasyatidae</x:v>
      </x:c>
      <x:c r="O35" s="32" t="n">
        <x:v>3.38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Dasyatidae</x:v>
      </x:c>
      <x:c r="T35" s="32" t="n">
        <x:f>IF(O35="","",(1/'Metadata'!$B$5)^(O35-1))</x:f>
        <x:v>239.88329190194898</x:v>
      </x:c>
      <x:c r="U35" s="31" t="n">
        <x:f>IF(T35="","",I35*T35)</x:f>
        <x:v>38144.390681863384</x:v>
      </x:c>
    </x:row>
    <x:row r="36" ht="18" customHeight="1">
      <x:c r="A36" s="24" t="str">
        <x:v>EEZ_214</x:v>
      </x:c>
      <x:c r="B36" s="24" t="str">
        <x:v>Dominican Republic</x:v>
      </x:c>
      <x:c r="C36" s="24" t="str">
        <x:v>EEZ</x:v>
      </x:c>
      <x:c r="D36" s="30" t="n">
        <x:v>2019</x:v>
      </x:c>
      <x:c r="E36" s="24" t="str">
        <x:v>Penaeidae</x:v>
      </x:c>
      <x:c r="F36" s="24" t="str">
        <x:v>Commercial shrimps and prawns</x:v>
      </x:c>
      <x:c r="G36" s="24" t="str">
        <x:v>Shrimps</x:v>
      </x:c>
      <x:c r="H36" s="24" t="str">
        <x:v>Crustaceans</x:v>
      </x:c>
      <x:c r="I36" s="31" t="n">
        <x:v>154.38131475999998</x:v>
      </x:c>
      <x:c r="J36" s="31" t="n">
        <x:v>154.38131475999998</x:v>
      </x:c>
      <x:c r="K36" s="31" t="n">
        <x:v>0</x:v>
      </x:c>
      <x:c r="L36" s="31" t="n">
        <x:v>60.95190476</x:v>
      </x:c>
      <x:c r="M36" s="31" t="n">
        <x:v>93.42940999999999</x:v>
      </x:c>
      <x:c r="N36" s="24" t="str">
        <x:v>penaeidae</x:v>
      </x:c>
      <x:c r="O36" s="32" t="n">
        <x:v>3.31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Penaeidae</x:v>
      </x:c>
      <x:c r="T36" s="32" t="n">
        <x:f>IF(O36="","",(1/'Metadata'!$B$5)^(O36-1))</x:f>
        <x:v>204.17379446695296</x:v>
      </x:c>
      <x:c r="U36" s="31" t="n">
        <x:f>IF(T36="","",I36*T36)</x:f>
        <x:v>31520.618829346207</x:v>
      </x:c>
    </x:row>
    <x:row r="37" ht="18" customHeight="1">
      <x:c r="A37" s="24" t="str">
        <x:v>EEZ_214</x:v>
      </x:c>
      <x:c r="B37" s="24" t="str">
        <x:v>Dominican Republic</x:v>
      </x:c>
      <x:c r="C37" s="24" t="str">
        <x:v>EEZ</x:v>
      </x:c>
      <x:c r="D37" s="30" t="n">
        <x:v>2019</x:v>
      </x:c>
      <x:c r="E37" s="24" t="str">
        <x:v>Labridae</x:v>
      </x:c>
      <x:c r="F37" s="24" t="str">
        <x:v>Wrasses, gropers, tuskfishes</x:v>
      </x:c>
      <x:c r="G37" s="24" t="str">
        <x:v>Medium reef assoc. fish (30 - 89 cm)</x:v>
      </x:c>
      <x:c r="H37" s="24" t="str">
        <x:v>Perch-likes</x:v>
      </x:c>
      <x:c r="I37" s="31" t="n">
        <x:v>140.019341349</x:v>
      </x:c>
      <x:c r="J37" s="31" t="n">
        <x:v>140.019341349</x:v>
      </x:c>
      <x:c r="K37" s="31" t="n">
        <x:v>0</x:v>
      </x:c>
      <x:c r="L37" s="31" t="n">
        <x:v>4.396017349</x:v>
      </x:c>
      <x:c r="M37" s="31" t="n">
        <x:v>135.623324</x:v>
      </x:c>
      <x:c r="N37" s="24" t="str">
        <x:v>labridae</x:v>
      </x:c>
      <x:c r="O37" s="32" t="n">
        <x:v>3.46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Labridae</x:v>
      </x:c>
      <x:c r="T37" s="32" t="n">
        <x:f>IF(O37="","",(1/'Metadata'!$B$5)^(O37-1))</x:f>
        <x:v>288.40315031266056</x:v>
      </x:c>
      <x:c r="U37" s="31" t="n">
        <x:f>IF(T37="","",I37*T37)</x:f>
        <x:v>40382.019149755375</x:v>
      </x:c>
    </x:row>
    <x:row r="38" ht="18" customHeight="1">
      <x:c r="A38" s="24" t="str">
        <x:v>EEZ_214</x:v>
      </x:c>
      <x:c r="B38" s="24" t="str">
        <x:v>Dominican Republic</x:v>
      </x:c>
      <x:c r="C38" s="24" t="str">
        <x:v>EEZ</x:v>
      </x:c>
      <x:c r="D38" s="30" t="n">
        <x:v>2019</x:v>
      </x:c>
      <x:c r="E38" s="24" t="str">
        <x:v>Istiophorus albicans</x:v>
      </x:c>
      <x:c r="F38" s="24" t="str">
        <x:v>Atlantic sailfish</x:v>
      </x:c>
      <x:c r="G38" s="24" t="str">
        <x:v>Large pelagics (&gt;=90 cm)</x:v>
      </x:c>
      <x:c r="H38" s="24" t="str">
        <x:v>Tuna &amp; billfishes</x:v>
      </x:c>
      <x:c r="I38" s="31" t="n">
        <x:v>130.237149532</x:v>
      </x:c>
      <x:c r="J38" s="31" t="n">
        <x:v>130.237149532</x:v>
      </x:c>
      <x:c r="K38" s="31" t="n">
        <x:v>0</x:v>
      </x:c>
      <x:c r="L38" s="31" t="n">
        <x:v>130.237149532</x:v>
      </x:c>
      <x:c r="M38" s="31" t="n">
        <x:v>0</x:v>
      </x:c>
      <x:c r="N38" s="24" t="str">
        <x:v>istiophorus albicans</x:v>
      </x:c>
      <x:c r="O38" s="32" t="n">
        <x:v>4.5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Istiophorus albicans</x:v>
      </x:c>
      <x:c r="T38" s="32" t="n">
        <x:f>IF(O38="","",(1/'Metadata'!$B$5)^(O38-1))</x:f>
        <x:v>3162.2776601683795</x:v>
      </x:c>
      <x:c r="U38" s="31" t="n">
        <x:f>IF(T38="","",I38*T38)</x:f>
        <x:v>411846.02848905226</x:v>
      </x:c>
    </x:row>
    <x:row r="39" ht="18" customHeight="1">
      <x:c r="A39" s="24" t="str">
        <x:v>EEZ_214</x:v>
      </x:c>
      <x:c r="B39" s="24" t="str">
        <x:v>Dominican Republic</x:v>
      </x:c>
      <x:c r="C39" s="24" t="str">
        <x:v>EEZ</x:v>
      </x:c>
      <x:c r="D39" s="30" t="n">
        <x:v>2019</x:v>
      </x:c>
      <x:c r="E39" s="24" t="str">
        <x:v>Caranx</x:v>
      </x:c>
      <x:c r="F39" s="24" t="str">
        <x:v>Jacks</x:v>
      </x:c>
      <x:c r="G39" s="24" t="str">
        <x:v>Medium reef assoc. fish (30 - 89 cm)</x:v>
      </x:c>
      <x:c r="H39" s="24" t="str">
        <x:v>Perch-likes</x:v>
      </x:c>
      <x:c r="I39" s="31" t="n">
        <x:v>127.17206924999999</x:v>
      </x:c>
      <x:c r="J39" s="31" t="n">
        <x:v>127.17206924999999</x:v>
      </x:c>
      <x:c r="K39" s="31" t="n">
        <x:v>0</x:v>
      </x:c>
      <x:c r="L39" s="31" t="n">
        <x:v>108.04063725</x:v>
      </x:c>
      <x:c r="M39" s="31" t="n">
        <x:v>19.131432</x:v>
      </x:c>
      <x:c r="N39" s="24" t="str">
        <x:v>caranx</x:v>
      </x:c>
      <x:c r="O39" s="32" t="n">
        <x:v>4.12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Caranx</x:v>
      </x:c>
      <x:c r="T39" s="32" t="n">
        <x:f>IF(O39="","",(1/'Metadata'!$B$5)^(O39-1))</x:f>
        <x:v>1318.2567385564075</x:v>
      </x:c>
      <x:c r="U39" s="31" t="n">
        <x:f>IF(T39="","",I39*T39)</x:f>
        <x:v>167645.4372449746</x:v>
      </x:c>
    </x:row>
    <x:row r="40" ht="18" customHeight="1">
      <x:c r="A40" s="24" t="str">
        <x:v>EEZ_214</x:v>
      </x:c>
      <x:c r="B40" s="24" t="str">
        <x:v>Dominican Republic</x:v>
      </x:c>
      <x:c r="C40" s="24" t="str">
        <x:v>EEZ</x:v>
      </x:c>
      <x:c r="D40" s="30" t="n">
        <x:v>2019</x:v>
      </x:c>
      <x:c r="E40" s="24" t="str">
        <x:v>Istiophoridae</x:v>
      </x:c>
      <x:c r="F40" s="24" t="str">
        <x:v>Billfishes</x:v>
      </x:c>
      <x:c r="G40" s="24" t="str">
        <x:v>Large pelagics (&gt;=90 cm)</x:v>
      </x:c>
      <x:c r="H40" s="24" t="str">
        <x:v>Tuna &amp; billfishes</x:v>
      </x:c>
      <x:c r="I40" s="31" t="n">
        <x:v>125.9483334</x:v>
      </x:c>
      <x:c r="J40" s="31" t="n">
        <x:v>125.9483334</x:v>
      </x:c>
      <x:c r="K40" s="31" t="n">
        <x:v>0</x:v>
      </x:c>
      <x:c r="L40" s="31" t="n">
        <x:v>0</x:v>
      </x:c>
      <x:c r="M40" s="31" t="n">
        <x:v>125.9483334</x:v>
      </x:c>
      <x:c r="N40" s="24" t="str">
        <x:v>istiophoridae</x:v>
      </x:c>
      <x:c r="O40" s="32" t="n">
        <x:v>4.48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Istiophoridae</x:v>
      </x:c>
      <x:c r="T40" s="32" t="n">
        <x:f>IF(O40="","",(1/'Metadata'!$B$5)^(O40-1))</x:f>
        <x:v>3019.951720402019</x:v>
      </x:c>
      <x:c r="U40" s="31" t="n">
        <x:f>IF(T40="","",I40*T40)</x:f>
        <x:v>380357.88613309705</x:v>
      </x:c>
    </x:row>
    <x:row r="41" ht="18" customHeight="1">
      <x:c r="A41" s="24" t="str">
        <x:v>EEZ_214</x:v>
      </x:c>
      <x:c r="B41" s="24" t="str">
        <x:v>Dominican Republic</x:v>
      </x:c>
      <x:c r="C41" s="24" t="str">
        <x:v>EEZ</x:v>
      </x:c>
      <x:c r="D41" s="30" t="n">
        <x:v>2019</x:v>
      </x:c>
      <x:c r="E41" s="24" t="str">
        <x:v>Opisthonema oglinum</x:v>
      </x:c>
      <x:c r="F41" s="24" t="str">
        <x:v>Atlantic thread herring</x:v>
      </x:c>
      <x:c r="G41" s="24" t="str">
        <x:v>Small pelagics (&lt;30 cm)</x:v>
      </x:c>
      <x:c r="H41" s="24" t="str">
        <x:v>Herring-likes</x:v>
      </x:c>
      <x:c r="I41" s="31" t="n">
        <x:v>122.1808636</x:v>
      </x:c>
      <x:c r="J41" s="31" t="n">
        <x:v>122.1808636</x:v>
      </x:c>
      <x:c r="K41" s="31" t="n">
        <x:v>0</x:v>
      </x:c>
      <x:c r="L41" s="31" t="n">
        <x:v>122.1808636</x:v>
      </x:c>
      <x:c r="M41" s="31" t="n">
        <x:v>0</x:v>
      </x:c>
      <x:c r="N41" s="24" t="str">
        <x:v>opisthonema oglinum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Opisthonema oglinum</x:v>
      </x:c>
      <x:c r="T41" s="32" t="n">
        <x:f>IF(O41="","",(1/'Metadata'!$B$5)^(O41-1))</x:f>
        <x:v>3162.2776601683795</x:v>
      </x:c>
      <x:c r="U41" s="31" t="n">
        <x:f>IF(T41="","",I41*T41)</x:f>
        <x:v>386369.8154623599</x:v>
      </x:c>
    </x:row>
    <x:row r="42" ht="18" customHeight="1">
      <x:c r="A42" s="24" t="str">
        <x:v>EEZ_214</x:v>
      </x:c>
      <x:c r="B42" s="24" t="str">
        <x:v>Dominican Republic</x:v>
      </x:c>
      <x:c r="C42" s="24" t="str">
        <x:v>EEZ</x:v>
      </x:c>
      <x:c r="D42" s="30" t="n">
        <x:v>2019</x:v>
      </x:c>
      <x:c r="E42" s="24" t="str">
        <x:v>Mugilidae</x:v>
      </x:c>
      <x:c r="F42" s="24" t="str">
        <x:v>Mullets, grey mullets</x:v>
      </x:c>
      <x:c r="G42" s="24" t="str">
        <x:v>Medium reef assoc. fish (30 - 89 cm)</x:v>
      </x:c>
      <x:c r="H42" s="24" t="str">
        <x:v>Perch-likes</x:v>
      </x:c>
      <x:c r="I42" s="31" t="n">
        <x:v>120.24519000000001</x:v>
      </x:c>
      <x:c r="J42" s="31" t="n">
        <x:v>120.24519000000001</x:v>
      </x:c>
      <x:c r="K42" s="31" t="n">
        <x:v>0</x:v>
      </x:c>
      <x:c r="L42" s="31" t="n">
        <x:v>35</x:v>
      </x:c>
      <x:c r="M42" s="31" t="n">
        <x:v>85.24519000000001</x:v>
      </x:c>
      <x:c r="N42" s="24" t="str">
        <x:v>mugilidae</x:v>
      </x:c>
      <x:c r="O42" s="32" t="n">
        <x:v>2.53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Mugilidae</x:v>
      </x:c>
      <x:c r="T42" s="32" t="n">
        <x:f>IF(O42="","",(1/'Metadata'!$B$5)^(O42-1))</x:f>
        <x:v>33.88441561392024</x:v>
      </x:c>
      <x:c r="U42" s="31" t="n">
        <x:f>IF(T42="","",I42*T42)</x:f>
        <x:v>4074.437993534806</x:v>
      </x:c>
    </x:row>
    <x:row r="43" ht="18" customHeight="1">
      <x:c r="A43" s="24" t="str">
        <x:v>EEZ_214</x:v>
      </x:c>
      <x:c r="B43" s="24" t="str">
        <x:v>Dominican Republic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115.924521</x:v>
      </x:c>
      <x:c r="J43" s="31" t="n">
        <x:v>115.924521</x:v>
      </x:c>
      <x:c r="K43" s="31" t="n">
        <x:v>0</x:v>
      </x:c>
      <x:c r="L43" s="31" t="n">
        <x:v>100</x:v>
      </x:c>
      <x:c r="M43" s="31" t="n">
        <x:v>15.924521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1459.4032533696661</x:v>
      </x:c>
    </x:row>
    <x:row r="44" ht="18" customHeight="1">
      <x:c r="A44" s="24" t="str">
        <x:v>EEZ_214</x:v>
      </x:c>
      <x:c r="B44" s="24" t="str">
        <x:v>Dominican Republic</x:v>
      </x:c>
      <x:c r="C44" s="24" t="str">
        <x:v>EEZ</x:v>
      </x:c>
      <x:c r="D44" s="30" t="n">
        <x:v>2019</x:v>
      </x:c>
      <x:c r="E44" s="24" t="str">
        <x:v>Scomberomorus cavalla</x:v>
      </x:c>
      <x:c r="F44" s="24" t="str">
        <x:v>King mackerel</x:v>
      </x:c>
      <x:c r="G44" s="24" t="str">
        <x:v>Large pelagics (&gt;=90 cm)</x:v>
      </x:c>
      <x:c r="H44" s="24" t="str">
        <x:v>Perch-likes</x:v>
      </x:c>
      <x:c r="I44" s="31" t="n">
        <x:v>115.18211034</x:v>
      </x:c>
      <x:c r="J44" s="31" t="n">
        <x:v>115.18211034</x:v>
      </x:c>
      <x:c r="K44" s="31" t="n">
        <x:v>0</x:v>
      </x:c>
      <x:c r="L44" s="31" t="n">
        <x:v>115.18211034</x:v>
      </x:c>
      <x:c r="M44" s="31" t="n">
        <x:v>0</x:v>
      </x:c>
      <x:c r="N44" s="24" t="str">
        <x:v>scomberomorus cavalla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cavalla</x:v>
      </x:c>
      <x:c r="T44" s="32" t="n">
        <x:f>IF(O44="","",(1/'Metadata'!$B$5)^(O44-1))</x:f>
        <x:v>2630.2679918953813</x:v>
      </x:c>
      <x:c r="U44" s="31" t="n">
        <x:f>IF(T44="","",I44*T44)</x:f>
        <x:v>302959.81806626404</x:v>
      </x:c>
    </x:row>
    <x:row r="45" ht="18" customHeight="1">
      <x:c r="A45" s="24" t="str">
        <x:v>EEZ_214</x:v>
      </x:c>
      <x:c r="B45" s="24" t="str">
        <x:v>Dominican Republic</x:v>
      </x:c>
      <x:c r="C45" s="24" t="str">
        <x:v>EEZ</x:v>
      </x:c>
      <x:c r="D45" s="30" t="n">
        <x:v>2019</x:v>
      </x:c>
      <x:c r="E45" s="24" t="str">
        <x:v>Albulidae</x:v>
      </x:c>
      <x:c r="F45" s="24" t="str">
        <x:v>Bonefishes</x:v>
      </x:c>
      <x:c r="G45" s="24" t="str">
        <x:v>Medium reef assoc. fish (30 - 89 cm)</x:v>
      </x:c>
      <x:c r="H45" s="24" t="str">
        <x:v>Other fishes &amp; inverts</x:v>
      </x:c>
      <x:c r="I45" s="31" t="n">
        <x:v>111.512527</x:v>
      </x:c>
      <x:c r="J45" s="31" t="n">
        <x:v>111.512527</x:v>
      </x:c>
      <x:c r="K45" s="31" t="n">
        <x:v>0</x:v>
      </x:c>
      <x:c r="L45" s="31" t="n">
        <x:v>0</x:v>
      </x:c>
      <x:c r="M45" s="31" t="n">
        <x:v>111.512527</x:v>
      </x:c>
      <x:c r="N45" s="24" t="str">
        <x:v>albulidae</x:v>
      </x:c>
      <x:c r="O45" s="32" t="n">
        <x:v>3.47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Albulidae</x:v>
      </x:c>
      <x:c r="T45" s="32" t="n">
        <x:f>IF(O45="","",(1/'Metadata'!$B$5)^(O45-1))</x:f>
        <x:v>295.1209226666387</x:v>
      </x:c>
      <x:c r="U45" s="31" t="n">
        <x:f>IF(T45="","",I45*T45)</x:f>
        <x:v>32909.67985712846</x:v>
      </x:c>
    </x:row>
    <x:row r="46" ht="18" customHeight="1">
      <x:c r="A46" s="24" t="str">
        <x:v>EEZ_214</x:v>
      </x:c>
      <x:c r="B46" s="24" t="str">
        <x:v>Dominican Republic</x:v>
      </x:c>
      <x:c r="C46" s="24" t="str">
        <x:v>EEZ</x:v>
      </x:c>
      <x:c r="D46" s="30" t="n">
        <x:v>2019</x:v>
      </x:c>
      <x:c r="E46" s="24" t="str">
        <x:v>Gerreidae</x:v>
      </x:c>
      <x:c r="F46" s="24" t="str">
        <x:v>Mojarras, silverbellies</x:v>
      </x:c>
      <x:c r="G46" s="24" t="str">
        <x:v>Small benthopelagics (&lt;30 cm)</x:v>
      </x:c>
      <x:c r="H46" s="24" t="str">
        <x:v>Perch-likes</x:v>
      </x:c>
      <x:c r="I46" s="31" t="n">
        <x:v>108.49867</x:v>
      </x:c>
      <x:c r="J46" s="31" t="n">
        <x:v>108.49867</x:v>
      </x:c>
      <x:c r="K46" s="31" t="n">
        <x:v>0</x:v>
      </x:c>
      <x:c r="L46" s="31" t="n">
        <x:v>0</x:v>
      </x:c>
      <x:c r="M46" s="31" t="n">
        <x:v>108.49867</x:v>
      </x:c>
      <x:c r="N46" s="24" t="str">
        <x:v>gerreidae</x:v>
      </x:c>
      <x:c r="O46" s="32" t="n">
        <x:v>3.03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Gerreidae</x:v>
      </x:c>
      <x:c r="T46" s="32" t="n">
        <x:f>IF(O46="","",(1/'Metadata'!$B$5)^(O46-1))</x:f>
        <x:v>107.1519305237606</x:v>
      </x:c>
      <x:c r="U46" s="31" t="n">
        <x:f>IF(T46="","",I46*T46)</x:f>
        <x:v>11625.841949760428</x:v>
      </x:c>
    </x:row>
    <x:row r="47" ht="18" customHeight="1">
      <x:c r="A47" s="24" t="str">
        <x:v>EEZ_214</x:v>
      </x:c>
      <x:c r="B47" s="24" t="str">
        <x:v>Dominican Republic</x:v>
      </x:c>
      <x:c r="C47" s="24" t="str">
        <x:v>EEZ</x:v>
      </x:c>
      <x:c r="D47" s="30" t="n">
        <x:v>2019</x:v>
      </x:c>
      <x:c r="E47" s="24" t="str">
        <x:v>Octopodidae</x:v>
      </x:c>
      <x:c r="F47" s="24" t="str">
        <x:v>Octopuses</x:v>
      </x:c>
      <x:c r="G47" s="24" t="str">
        <x:v>Cephalopods</x:v>
      </x:c>
      <x:c r="H47" s="24" t="str">
        <x:v>Other fishes &amp; inverts</x:v>
      </x:c>
      <x:c r="I47" s="31" t="n">
        <x:v>95.96631333799999</x:v>
      </x:c>
      <x:c r="J47" s="31" t="n">
        <x:v>95.96631333799999</x:v>
      </x:c>
      <x:c r="K47" s="31" t="n">
        <x:v>0</x:v>
      </x:c>
      <x:c r="L47" s="31" t="n">
        <x:v>44.730833338000004</x:v>
      </x:c>
      <x:c r="M47" s="31" t="n">
        <x:v>51.235479999999995</x:v>
      </x:c>
      <x:c r="N47" s="24" t="str">
        <x:v>octopodidae</x:v>
      </x:c>
      <x:c r="O47" s="32" t="n">
        <x:v>3.59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Octopodidae</x:v>
      </x:c>
      <x:c r="T47" s="32" t="n">
        <x:f>IF(O47="","",(1/'Metadata'!$B$5)^(O47-1))</x:f>
        <x:v>389.04514499428046</x:v>
      </x:c>
      <x:c r="U47" s="31" t="n">
        <x:f>IF(T47="","",I47*T47)</x:f>
        <x:v>37335.228287148755</x:v>
      </x:c>
    </x:row>
    <x:row r="48" ht="18" customHeight="1">
      <x:c r="A48" s="24" t="str">
        <x:v>EEZ_214</x:v>
      </x:c>
      <x:c r="B48" s="24" t="str">
        <x:v>Dominican Republic</x:v>
      </x:c>
      <x:c r="C48" s="24" t="str">
        <x:v>EEZ</x:v>
      </x:c>
      <x:c r="D48" s="30" t="n">
        <x:v>2019</x:v>
      </x:c>
      <x:c r="E48" s="24" t="str">
        <x:v>Ocyurus chrysurus</x:v>
      </x:c>
      <x:c r="F48" s="24" t="str">
        <x:v>Yellowtail snapper</x:v>
      </x:c>
      <x:c r="G48" s="24" t="str">
        <x:v>Medium reef assoc. fish (30 - 89 cm)</x:v>
      </x:c>
      <x:c r="H48" s="24" t="str">
        <x:v>Perch-likes</x:v>
      </x:c>
      <x:c r="I48" s="31" t="n">
        <x:v>95.90322673399999</x:v>
      </x:c>
      <x:c r="J48" s="31" t="n">
        <x:v>95.90322673399999</x:v>
      </x:c>
      <x:c r="K48" s="31" t="n">
        <x:v>0</x:v>
      </x:c>
      <x:c r="L48" s="31" t="n">
        <x:v>95.90322673399999</x:v>
      </x:c>
      <x:c r="M48" s="31" t="n">
        <x:v>0</x:v>
      </x:c>
      <x:c r="N48" s="24" t="str">
        <x:v>ocyurus chrysurus</x:v>
      </x:c>
      <x:c r="O48" s="32" t="n">
        <x:v>4.03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Ocyurus chrysurus</x:v>
      </x:c>
      <x:c r="T48" s="32" t="n">
        <x:f>IF(O48="","",(1/'Metadata'!$B$5)^(O48-1))</x:f>
        <x:v>1071.519305237607</x:v>
      </x:c>
      <x:c r="U48" s="31" t="n">
        <x:f>IF(T48="","",I48*T48)</x:f>
        <x:v>102762.15888006038</x:v>
      </x:c>
    </x:row>
    <x:row r="49" ht="18" customHeight="1">
      <x:c r="A49" s="24" t="str">
        <x:v>EEZ_214</x:v>
      </x:c>
      <x:c r="B49" s="24" t="str">
        <x:v>Dominican Republic</x:v>
      </x:c>
      <x:c r="C49" s="24" t="str">
        <x:v>EEZ</x:v>
      </x:c>
      <x:c r="D49" s="30" t="n">
        <x:v>2019</x:v>
      </x:c>
      <x:c r="E49" s="24" t="str">
        <x:v>Scyllaridae</x:v>
      </x:c>
      <x:c r="F49" s="24" t="str">
        <x:v>Slipper lobsters</x:v>
      </x:c>
      <x:c r="G49" s="24" t="str">
        <x:v>Lobsters, crabs</x:v>
      </x:c>
      <x:c r="H49" s="24" t="str">
        <x:v>Crustaceans</x:v>
      </x:c>
      <x:c r="I49" s="31" t="n">
        <x:v>76.945108262</x:v>
      </x:c>
      <x:c r="J49" s="31" t="n">
        <x:v>76.945108262</x:v>
      </x:c>
      <x:c r="K49" s="31" t="n">
        <x:v>0</x:v>
      </x:c>
      <x:c r="L49" s="31" t="n">
        <x:v>28.723478262</x:v>
      </x:c>
      <x:c r="M49" s="31" t="n">
        <x:v>48.221630000000005</x:v>
      </x:c>
      <x:c r="N49" s="24" t="str">
        <x:v>scyllaridae</x:v>
      </x:c>
      <x:c r="O49" s="32" t="n">
        <x:v>2.87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Scyllaridae</x:v>
      </x:c>
      <x:c r="T49" s="32" t="n">
        <x:f>IF(O49="","",(1/'Metadata'!$B$5)^(O49-1))</x:f>
        <x:v>74.13102413009177</x:v>
      </x:c>
      <x:c r="U49" s="31" t="n">
        <x:f>IF(T49="","",I49*T49)</x:f>
        <x:v>5704.019677262846</x:v>
      </x:c>
    </x:row>
    <x:row r="50" ht="18" customHeight="1">
      <x:c r="A50" s="24" t="str">
        <x:v>EEZ_214</x:v>
      </x:c>
      <x:c r="B50" s="24" t="str">
        <x:v>Dominican Republic</x:v>
      </x:c>
      <x:c r="C50" s="24" t="str">
        <x:v>EEZ</x:v>
      </x:c>
      <x:c r="D50" s="30" t="n">
        <x:v>2019</x:v>
      </x:c>
      <x:c r="E50" s="24" t="str">
        <x:v>Rajiformes</x:v>
      </x:c>
      <x:c r="F50" s="24" t="str">
        <x:v>Skates and rays</x:v>
      </x:c>
      <x:c r="G50" s="24" t="str">
        <x:v>Large rays (&gt;=90 cm)</x:v>
      </x:c>
      <x:c r="H50" s="24" t="str">
        <x:v>Sharks &amp; rays</x:v>
      </x:c>
      <x:c r="I50" s="31" t="n">
        <x:v>74.65187049000001</x:v>
      </x:c>
      <x:c r="J50" s="31" t="n">
        <x:v>74.65187049000001</x:v>
      </x:c>
      <x:c r="K50" s="31" t="n">
        <x:v>0</x:v>
      </x:c>
      <x:c r="L50" s="31" t="n">
        <x:v>35.32619949</x:v>
      </x:c>
      <x:c r="M50" s="31" t="n">
        <x:v>39.325671</x:v>
      </x:c>
      <x:c r="N50" s="24" t="str">
        <x:v>rajiformes</x:v>
      </x:c>
      <x:c r="O50" s="32" t="n">
        <x:v>3.61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Rajiformes</x:v>
      </x:c>
      <x:c r="T50" s="32" t="n">
        <x:f>IF(O50="","",(1/'Metadata'!$B$5)^(O50-1))</x:f>
        <x:v>407.3802778041126</x:v>
      </x:c>
      <x:c r="U50" s="31" t="n">
        <x:f>IF(T50="","",I50*T50)</x:f>
        <x:v>30411.69973881284</x:v>
      </x:c>
    </x:row>
    <x:row r="51" ht="18" customHeight="1">
      <x:c r="A51" s="24" t="str">
        <x:v>EEZ_214</x:v>
      </x:c>
      <x:c r="B51" s="24" t="str">
        <x:v>Dominican Republic</x:v>
      </x:c>
      <x:c r="C51" s="24" t="str">
        <x:v>EEZ</x:v>
      </x:c>
      <x:c r="D51" s="30" t="n">
        <x:v>2019</x:v>
      </x:c>
      <x:c r="E51" s="24" t="str">
        <x:v>Harengula</x:v>
      </x:c>
      <x:c r="F51" s="24" t="str">
        <x:v>False herrings</x:v>
      </x:c>
      <x:c r="G51" s="24" t="str">
        <x:v>Small pelagics (&lt;30 cm)</x:v>
      </x:c>
      <x:c r="H51" s="24" t="str">
        <x:v>Herring-likes</x:v>
      </x:c>
      <x:c r="I51" s="31" t="n">
        <x:v>70.94372727000001</x:v>
      </x:c>
      <x:c r="J51" s="31" t="n">
        <x:v>70.94372727000001</x:v>
      </x:c>
      <x:c r="K51" s="31" t="n">
        <x:v>0</x:v>
      </x:c>
      <x:c r="L51" s="31" t="n">
        <x:v>70.94372727000001</x:v>
      </x:c>
      <x:c r="M51" s="31" t="n">
        <x:v>0</x:v>
      </x:c>
      <x:c r="N51" s="24" t="str">
        <x:v>harengula</x:v>
      </x:c>
      <x:c r="O51" s="32" t="n">
        <x:v>3.37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Harengula</x:v>
      </x:c>
      <x:c r="T51" s="32" t="n">
        <x:f>IF(O51="","",(1/'Metadata'!$B$5)^(O51-1))</x:f>
        <x:v>234.42288153199226</x:v>
      </x:c>
      <x:c r="U51" s="31" t="n">
        <x:f>IF(T51="","",I51*T51)</x:f>
        <x:v>16630.832973253182</x:v>
      </x:c>
    </x:row>
    <x:row r="52" ht="18" customHeight="1">
      <x:c r="A52" s="24" t="str">
        <x:v>EEZ_214</x:v>
      </x:c>
      <x:c r="B52" s="24" t="str">
        <x:v>Dominican Republic</x:v>
      </x:c>
      <x:c r="C52" s="24" t="str">
        <x:v>EEZ</x:v>
      </x:c>
      <x:c r="D52" s="30" t="n">
        <x:v>2019</x:v>
      </x:c>
      <x:c r="E52" s="24" t="str">
        <x:v>Hemiramphidae</x:v>
      </x:c>
      <x:c r="F52" s="24" t="str">
        <x:v>Halfbeaks, garfishes</x:v>
      </x:c>
      <x:c r="G52" s="24" t="str">
        <x:v>Medium pelagics (30 - 89 cm)</x:v>
      </x:c>
      <x:c r="H52" s="24" t="str">
        <x:v>Other fishes &amp; inverts</x:v>
      </x:c>
      <x:c r="I52" s="31" t="n">
        <x:v>62.209897977</x:v>
      </x:c>
      <x:c r="J52" s="31" t="n">
        <x:v>62.209897977</x:v>
      </x:c>
      <x:c r="K52" s="31" t="n">
        <x:v>0</x:v>
      </x:c>
      <x:c r="L52" s="31" t="n">
        <x:v>29.438499576999998</x:v>
      </x:c>
      <x:c r="M52" s="31" t="n">
        <x:v>32.7713984</x:v>
      </x:c>
      <x:c r="N52" s="24" t="str">
        <x:v>hemiramphidae</x:v>
      </x:c>
      <x:c r="O52" s="32" t="n">
        <x:v>2.82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Hemiramphidae</x:v>
      </x:c>
      <x:c r="T52" s="32" t="n">
        <x:f>IF(O52="","",(1/'Metadata'!$B$5)^(O52-1))</x:f>
        <x:v>66.06934480075958</x:v>
      </x:c>
      <x:c r="U52" s="31" t="n">
        <x:f>IF(T52="","",I52*T52)</x:f>
        <x:v>4110.1671994624885</x:v>
      </x:c>
    </x:row>
    <x:row r="53" ht="18" customHeight="1">
      <x:c r="A53" s="24" t="str">
        <x:v>EEZ_214</x:v>
      </x:c>
      <x:c r="B53" s="24" t="str">
        <x:v>Dominican Republic</x:v>
      </x:c>
      <x:c r="C53" s="24" t="str">
        <x:v>EEZ</x:v>
      </x:c>
      <x:c r="D53" s="30" t="n">
        <x:v>2019</x:v>
      </x:c>
      <x:c r="E53" s="24" t="str">
        <x:v>Centropomidae</x:v>
      </x:c>
      <x:c r="F53" s="24" t="str">
        <x:v>Snooks</x:v>
      </x:c>
      <x:c r="G53" s="24" t="str">
        <x:v>Large reef assoc. fish (&gt;=90 cm)</x:v>
      </x:c>
      <x:c r="H53" s="24" t="str">
        <x:v>Perch-likes</x:v>
      </x:c>
      <x:c r="I53" s="31" t="n">
        <x:v>51.2354807</x:v>
      </x:c>
      <x:c r="J53" s="31" t="n">
        <x:v>51.2354807</x:v>
      </x:c>
      <x:c r="K53" s="31" t="n">
        <x:v>0</x:v>
      </x:c>
      <x:c r="L53" s="31" t="n">
        <x:v>0</x:v>
      </x:c>
      <x:c r="M53" s="31" t="n">
        <x:v>51.2354807</x:v>
      </x:c>
      <x:c r="N53" s="24" t="str">
        <x:v>centropomidae</x:v>
      </x:c>
      <x:c r="O53" s="32" t="n">
        <x:v>3.92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Centropomidae</x:v>
      </x:c>
      <x:c r="T53" s="32" t="n">
        <x:f>IF(O53="","",(1/'Metadata'!$B$5)^(O53-1))</x:f>
        <x:v>831.7637711026708</x:v>
      </x:c>
      <x:c r="U53" s="31" t="n">
        <x:f>IF(T53="","",I53*T53)</x:f>
        <x:v>42615.816641290105</x:v>
      </x:c>
    </x:row>
    <x:row r="54" ht="18" customHeight="1">
      <x:c r="A54" s="24" t="str">
        <x:v>EEZ_214</x:v>
      </x:c>
      <x:c r="B54" s="24" t="str">
        <x:v>Dominican Republic</x:v>
      </x:c>
      <x:c r="C54" s="24" t="str">
        <x:v>EEZ</x:v>
      </x:c>
      <x:c r="D54" s="30" t="n">
        <x:v>2019</x:v>
      </x:c>
      <x:c r="E54" s="24" t="str">
        <x:v>Albula vulpes</x:v>
      </x:c>
      <x:c r="F54" s="24" t="str">
        <x:v>Bonefish</x:v>
      </x:c>
      <x:c r="G54" s="24" t="str">
        <x:v>Medium reef assoc. fish (30 - 89 cm)</x:v>
      </x:c>
      <x:c r="H54" s="24" t="str">
        <x:v>Other fishes &amp; inverts</x:v>
      </x:c>
      <x:c r="I54" s="31" t="n">
        <x:v>51.190217</x:v>
      </x:c>
      <x:c r="J54" s="31" t="n">
        <x:v>51.190217</x:v>
      </x:c>
      <x:c r="K54" s="31" t="n">
        <x:v>0</x:v>
      </x:c>
      <x:c r="L54" s="31" t="n">
        <x:v>20</x:v>
      </x:c>
      <x:c r="M54" s="31" t="n">
        <x:v>31.190216999999997</x:v>
      </x:c>
      <x:c r="N54" s="24" t="str">
        <x:v>albula vulpes</x:v>
      </x:c>
      <x:c r="O54" s="32" t="n">
        <x:v>3.73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Albula vulpes</x:v>
      </x:c>
      <x:c r="T54" s="32" t="n">
        <x:f>IF(O54="","",(1/'Metadata'!$B$5)^(O54-1))</x:f>
        <x:v>537.0317963702527</x:v>
      </x:c>
      <x:c r="U54" s="31" t="n">
        <x:f>IF(T54="","",I54*T54)</x:f>
        <x:v>27490.774192093046</x:v>
      </x:c>
    </x:row>
    <x:row r="55" ht="18" customHeight="1">
      <x:c r="A55" s="24" t="str">
        <x:v>EEZ_214</x:v>
      </x:c>
      <x:c r="B55" s="24" t="str">
        <x:v>Dominican Republic</x:v>
      </x:c>
      <x:c r="C55" s="24" t="str">
        <x:v>EEZ</x:v>
      </x:c>
      <x:c r="D55" s="30" t="n">
        <x:v>2019</x:v>
      </x:c>
      <x:c r="E55" s="24" t="str">
        <x:v>Calamus</x:v>
      </x:c>
      <x:c r="F55" s="24" t="str">
        <x:v>Porgies</x:v>
      </x:c>
      <x:c r="G55" s="24" t="str">
        <x:v>Medium reef assoc. fish (30 - 89 cm)</x:v>
      </x:c>
      <x:c r="H55" s="24" t="str">
        <x:v>Perch-likes</x:v>
      </x:c>
      <x:c r="I55" s="31" t="n">
        <x:v>49.631798998</x:v>
      </x:c>
      <x:c r="J55" s="31" t="n">
        <x:v>49.631798998</x:v>
      </x:c>
      <x:c r="K55" s="31" t="n">
        <x:v>0</x:v>
      </x:c>
      <x:c r="L55" s="31" t="n">
        <x:v>14.999999998</x:v>
      </x:c>
      <x:c r="M55" s="31" t="n">
        <x:v>34.631799</x:v>
      </x:c>
      <x:c r="N55" s="24" t="str">
        <x:v>calamus</x:v>
      </x:c>
      <x:c r="O55" s="32" t="n">
        <x:v>3.51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Calamus</x:v>
      </x:c>
      <x:c r="T55" s="32" t="n">
        <x:f>IF(O55="","",(1/'Metadata'!$B$5)^(O55-1))</x:f>
        <x:v>323.5936569296281</x:v>
      </x:c>
      <x:c r="U55" s="31" t="n">
        <x:f>IF(T55="","",I55*T55)</x:f>
        <x:v>16060.53533775907</x:v>
      </x:c>
    </x:row>
    <x:row r="56" ht="18" customHeight="1">
      <x:c r="A56" s="24" t="str">
        <x:v>EEZ_214</x:v>
      </x:c>
      <x:c r="B56" s="24" t="str">
        <x:v>Dominican Republic</x:v>
      </x:c>
      <x:c r="C56" s="24" t="str">
        <x:v>EEZ</x:v>
      </x:c>
      <x:c r="D56" s="30" t="n">
        <x:v>2019</x:v>
      </x:c>
      <x:c r="E56" s="24" t="str">
        <x:v>Myliobatidae</x:v>
      </x:c>
      <x:c r="F56" s="24" t="str">
        <x:v>Eagle/manta rays</x:v>
      </x:c>
      <x:c r="G56" s="24" t="str">
        <x:v>Large rays (&gt;=90 cm)</x:v>
      </x:c>
      <x:c r="H56" s="24" t="str">
        <x:v>Sharks &amp; rays</x:v>
      </x:c>
      <x:c r="I56" s="31" t="n">
        <x:v>46.958162769000005</x:v>
      </x:c>
      <x:c r="J56" s="31" t="n">
        <x:v>46.958162769000005</x:v>
      </x:c>
      <x:c r="K56" s="31" t="n">
        <x:v>0</x:v>
      </x:c>
      <x:c r="L56" s="31" t="n">
        <x:v>4.764230769</x:v>
      </x:c>
      <x:c r="M56" s="31" t="n">
        <x:v>42.193932000000004</x:v>
      </x:c>
      <x:c r="N56" s="24" t="str">
        <x:v>myliobatidae</x:v>
      </x:c>
      <x:c r="O56" s="32" t="n">
        <x:v>3.36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Myliobatidae</x:v>
      </x:c>
      <x:c r="T56" s="32" t="n">
        <x:f>IF(O56="","",(1/'Metadata'!$B$5)^(O56-1))</x:f>
        <x:v>229.08676527677724</x:v>
      </x:c>
      <x:c r="U56" s="31" t="n">
        <x:f>IF(T56="","",I56*T56)</x:f>
        <x:v>10757.493612090604</x:v>
      </x:c>
    </x:row>
    <x:row r="57" ht="18" customHeight="1">
      <x:c r="A57" s="24" t="str">
        <x:v>EEZ_214</x:v>
      </x:c>
      <x:c r="B57" s="24" t="str">
        <x:v>Dominican Republic</x:v>
      </x:c>
      <x:c r="C57" s="24" t="str">
        <x:v>EEZ</x:v>
      </x:c>
      <x:c r="D57" s="30" t="n">
        <x:v>2019</x:v>
      </x:c>
      <x:c r="E57" s="24" t="str">
        <x:v>Echeneidae</x:v>
      </x:c>
      <x:c r="F57" s="24" t="str">
        <x:v>Remoras</x:v>
      </x:c>
      <x:c r="G57" s="24" t="str">
        <x:v>Large pelagics (&gt;=90 cm)</x:v>
      </x:c>
      <x:c r="H57" s="24" t="str">
        <x:v>Perch-likes</x:v>
      </x:c>
      <x:c r="I57" s="31" t="n">
        <x:v>43.749639218</x:v>
      </x:c>
      <x:c r="J57" s="31" t="n">
        <x:v>43.749639218</x:v>
      </x:c>
      <x:c r="K57" s="31" t="n">
        <x:v>0</x:v>
      </x:c>
      <x:c r="L57" s="31" t="n">
        <x:v>20.606949698</x:v>
      </x:c>
      <x:c r="M57" s="31" t="n">
        <x:v>23.14268952</x:v>
      </x:c>
      <x:c r="N57" s="24" t="str">
        <x:v>echeneidae</x:v>
      </x:c>
      <x:c r="O57" s="32" t="n">
        <x:v>3.22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Echeneidae</x:v>
      </x:c>
      <x:c r="T57" s="32" t="n">
        <x:f>IF(O57="","",(1/'Metadata'!$B$5)^(O57-1))</x:f>
        <x:v>165.95869074375614</x:v>
      </x:c>
      <x:c r="U57" s="31" t="n">
        <x:f>IF(T57="","",I57*T57)</x:f>
        <x:v>7260.632845130966</x:v>
      </x:c>
    </x:row>
    <x:row r="58" ht="18" customHeight="1">
      <x:c r="A58" s="24" t="str">
        <x:v>EEZ_214</x:v>
      </x:c>
      <x:c r="B58" s="24" t="str">
        <x:v>Dominican Republic</x:v>
      </x:c>
      <x:c r="C58" s="24" t="str">
        <x:v>EEZ</x:v>
      </x:c>
      <x:c r="D58" s="30" t="n">
        <x:v>2019</x:v>
      </x:c>
      <x:c r="E58" s="24" t="str">
        <x:v>Epinephelus morio</x:v>
      </x:c>
      <x:c r="F58" s="24" t="str">
        <x:v>Red grouper</x:v>
      </x:c>
      <x:c r="G58" s="24" t="str">
        <x:v>Large reef assoc. fish (&gt;=90 cm)</x:v>
      </x:c>
      <x:c r="H58" s="24" t="str">
        <x:v>Perch-likes</x:v>
      </x:c>
      <x:c r="I58" s="31" t="n">
        <x:v>39.37874736</x:v>
      </x:c>
      <x:c r="J58" s="31" t="n">
        <x:v>39.37874736</x:v>
      </x:c>
      <x:c r="K58" s="31" t="n">
        <x:v>0</x:v>
      </x:c>
      <x:c r="L58" s="31" t="n">
        <x:v>39.37874736</x:v>
      </x:c>
      <x:c r="M58" s="31" t="n">
        <x:v>0</x:v>
      </x:c>
      <x:c r="N58" s="24" t="str">
        <x:v>epinephelus morio</x:v>
      </x:c>
      <x:c r="O58" s="32" t="n">
        <x:v>3.5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Epinephelus morio</x:v>
      </x:c>
      <x:c r="T58" s="32" t="n">
        <x:f>IF(O58="","",(1/'Metadata'!$B$5)^(O58-1))</x:f>
        <x:v>316.22776601683796</x:v>
      </x:c>
      <x:c r="U58" s="31" t="n">
        <x:f>IF(T58="","",I58*T58)</x:f>
        <x:v>12452.653306194255</x:v>
      </x:c>
    </x:row>
    <x:row r="59" ht="18" customHeight="1">
      <x:c r="A59" s="24" t="str">
        <x:v>EEZ_214</x:v>
      </x:c>
      <x:c r="B59" s="24" t="str">
        <x:v>Dominican Republic</x:v>
      </x:c>
      <x:c r="C59" s="24" t="str">
        <x:v>EEZ</x:v>
      </x:c>
      <x:c r="D59" s="30" t="n">
        <x:v>2019</x:v>
      </x:c>
      <x:c r="E59" s="24" t="str">
        <x:v>Sciaenidae</x:v>
      </x:c>
      <x:c r="F59" s="24" t="str">
        <x:v>Drums, croakers</x:v>
      </x:c>
      <x:c r="G59" s="24" t="str">
        <x:v>Medium demersals (30 - 89 cm)</x:v>
      </x:c>
      <x:c r="H59" s="24" t="str">
        <x:v>Perch-likes</x:v>
      </x:c>
      <x:c r="I59" s="31" t="n">
        <x:v>39.180072</x:v>
      </x:c>
      <x:c r="J59" s="31" t="n">
        <x:v>39.180072</x:v>
      </x:c>
      <x:c r="K59" s="31" t="n">
        <x:v>0</x:v>
      </x:c>
      <x:c r="L59" s="31" t="n">
        <x:v>0</x:v>
      </x:c>
      <x:c r="M59" s="31" t="n">
        <x:v>39.180072</x:v>
      </x:c>
      <x:c r="N59" s="24" t="str">
        <x:v>sciaenidae</x:v>
      </x:c>
      <x:c r="O59" s="32" t="n">
        <x:v>3.76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Sciaenidae</x:v>
      </x:c>
      <x:c r="T59" s="32" t="n">
        <x:f>IF(O59="","",(1/'Metadata'!$B$5)^(O59-1))</x:f>
        <x:v>575.4399373371566</x:v>
      </x:c>
      <x:c r="U59" s="31" t="n">
        <x:f>IF(T59="","",I59*T59)</x:f>
        <x:v>22545.778176545286</x:v>
      </x:c>
    </x:row>
    <x:row r="60" ht="18" customHeight="1">
      <x:c r="A60" s="24" t="str">
        <x:v>EEZ_214</x:v>
      </x:c>
      <x:c r="B60" s="24" t="str">
        <x:v>Dominican Republic</x:v>
      </x:c>
      <x:c r="C60" s="24" t="str">
        <x:v>EEZ</x:v>
      </x:c>
      <x:c r="D60" s="30" t="n">
        <x:v>2019</x:v>
      </x:c>
      <x:c r="E60" s="24" t="str">
        <x:v>Acanthocybium solandri</x:v>
      </x:c>
      <x:c r="F60" s="24" t="str">
        <x:v>Wahoo</x:v>
      </x:c>
      <x:c r="G60" s="24" t="str">
        <x:v>Large pelagics (&gt;=90 cm)</x:v>
      </x:c>
      <x:c r="H60" s="24" t="str">
        <x:v>Perch-likes</x:v>
      </x:c>
      <x:c r="I60" s="31" t="n">
        <x:v>35.05484</x:v>
      </x:c>
      <x:c r="J60" s="31" t="n">
        <x:v>35.05484</x:v>
      </x:c>
      <x:c r="K60" s="31" t="n">
        <x:v>0</x:v>
      </x:c>
      <x:c r="L60" s="31" t="n">
        <x:v>0</x:v>
      </x:c>
      <x:c r="M60" s="31" t="n">
        <x:v>35.05484</x:v>
      </x:c>
      <x:c r="N60" s="24" t="str">
        <x:v>acanthocybium solandri</x:v>
      </x:c>
      <x:c r="O60" s="32" t="n">
        <x:v>4.26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Acanthocybium solandri</x:v>
      </x:c>
      <x:c r="T60" s="32" t="n">
        <x:f>IF(O60="","",(1/'Metadata'!$B$5)^(O60-1))</x:f>
        <x:v>1819.7008586099826</x:v>
      </x:c>
      <x:c r="U60" s="31" t="n">
        <x:f>IF(T60="","",I60*T60)</x:f>
        <x:v>63789.32244643556</x:v>
      </x:c>
    </x:row>
    <x:row r="61" ht="18" customHeight="1">
      <x:c r="A61" s="24" t="str">
        <x:v>EEZ_214</x:v>
      </x:c>
      <x:c r="B61" s="24" t="str">
        <x:v>Dominican Republic</x:v>
      </x:c>
      <x:c r="C61" s="24" t="str">
        <x:v>EEZ</x:v>
      </x:c>
      <x:c r="D61" s="30" t="n">
        <x:v>2019</x:v>
      </x:c>
      <x:c r="E61" s="24" t="str">
        <x:v>Octopus vulgaris</x:v>
      </x:c>
      <x:c r="F61" s="24" t="str">
        <x:v>Common octopus</x:v>
      </x:c>
      <x:c r="G61" s="24" t="str">
        <x:v>Cephalopods</x:v>
      </x:c>
      <x:c r="H61" s="24" t="str">
        <x:v>Other fishes &amp; inverts</x:v>
      </x:c>
      <x:c r="I61" s="31" t="n">
        <x:v>28.434555368999998</x:v>
      </x:c>
      <x:c r="J61" s="31" t="n">
        <x:v>28.434555368999998</x:v>
      </x:c>
      <x:c r="K61" s="31" t="n">
        <x:v>0</x:v>
      </x:c>
      <x:c r="L61" s="31" t="n">
        <x:v>20.269166669</x:v>
      </x:c>
      <x:c r="M61" s="31" t="n">
        <x:v>8.1653887</x:v>
      </x:c>
      <x:c r="N61" s="24" t="str">
        <x:v>octopus vulgaris</x:v>
      </x:c>
      <x:c r="O61" s="32" t="n">
        <x:v>3.6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Octopus vulgaris</x:v>
      </x:c>
      <x:c r="T61" s="32" t="n">
        <x:f>IF(O61="","",(1/'Metadata'!$B$5)^(O61-1))</x:f>
        <x:v>398.1071705534973</x:v>
      </x:c>
      <x:c r="U61" s="31" t="n">
        <x:f>IF(T61="","",I61*T61)</x:f>
        <x:v>11320.000383899345</x:v>
      </x:c>
    </x:row>
    <x:row r="62" ht="18" customHeight="1">
      <x:c r="A62" s="24" t="str">
        <x:v>EEZ_214</x:v>
      </x:c>
      <x:c r="B62" s="24" t="str">
        <x:v>Dominican Republic</x:v>
      </x:c>
      <x:c r="C62" s="24" t="str">
        <x:v>EEZ</x:v>
      </x:c>
      <x:c r="D62" s="30" t="n">
        <x:v>2019</x:v>
      </x:c>
      <x:c r="E62" s="24" t="str">
        <x:v>Katsuwonus pelamis</x:v>
      </x:c>
      <x:c r="F62" s="24" t="str">
        <x:v>Skipjack tuna</x:v>
      </x:c>
      <x:c r="G62" s="24" t="str">
        <x:v>Large pelagics (&gt;=90 cm)</x:v>
      </x:c>
      <x:c r="H62" s="24" t="str">
        <x:v>Tuna &amp; billfishes</x:v>
      </x:c>
      <x:c r="I62" s="31" t="n">
        <x:v>27.21577</x:v>
      </x:c>
      <x:c r="J62" s="31" t="n">
        <x:v>27.21577</x:v>
      </x:c>
      <x:c r="K62" s="31" t="n">
        <x:v>0</x:v>
      </x:c>
      <x:c r="L62" s="31" t="n">
        <x:v>20</x:v>
      </x:c>
      <x:c r="M62" s="31" t="n">
        <x:v>7.21577</x:v>
      </x:c>
      <x:c r="N62" s="24" t="str">
        <x:v>katsuwonus pelamis</x:v>
      </x:c>
      <x:c r="O62" s="32" t="n">
        <x:v>4.43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Katsuwonus pelamis</x:v>
      </x:c>
      <x:c r="T62" s="32" t="n">
        <x:f>IF(O62="","",(1/'Metadata'!$B$5)^(O62-1))</x:f>
        <x:v>2691.534803926914</x:v>
      </x:c>
      <x:c r="U62" s="31" t="n">
        <x:f>IF(T62="","",I62*T62)</x:f>
        <x:v>73252.19217066998</x:v>
      </x:c>
    </x:row>
    <x:row r="63" ht="18" customHeight="1">
      <x:c r="A63" s="24" t="str">
        <x:v>EEZ_214</x:v>
      </x:c>
      <x:c r="B63" s="24" t="str">
        <x:v>Dominican Republic</x:v>
      </x:c>
      <x:c r="C63" s="24" t="str">
        <x:v>EEZ</x:v>
      </x:c>
      <x:c r="D63" s="30" t="n">
        <x:v>2019</x:v>
      </x:c>
      <x:c r="E63" s="24" t="str">
        <x:v>Malacanthidae</x:v>
      </x:c>
      <x:c r="F63" s="24" t="str">
        <x:v>Tilefishes</x:v>
      </x:c>
      <x:c r="G63" s="24" t="str">
        <x:v>Medium demersals (30 - 89 cm)</x:v>
      </x:c>
      <x:c r="H63" s="24" t="str">
        <x:v>Perch-likes</x:v>
      </x:c>
      <x:c r="I63" s="31" t="n">
        <x:v>24.357382382</x:v>
      </x:c>
      <x:c r="J63" s="31" t="n">
        <x:v>24.357382382</x:v>
      </x:c>
      <x:c r="K63" s="31" t="n">
        <x:v>0</x:v>
      </x:c>
      <x:c r="L63" s="31" t="n">
        <x:v>11.77539983</x:v>
      </x:c>
      <x:c r="M63" s="31" t="n">
        <x:v>12.581982552</x:v>
      </x:c>
      <x:c r="N63" s="24" t="str">
        <x:v>malacanthidae</x:v>
      </x:c>
      <x:c r="O63" s="32" t="n">
        <x:v>3.62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Malacanthidae</x:v>
      </x:c>
      <x:c r="T63" s="32" t="n">
        <x:f>IF(O63="","",(1/'Metadata'!$B$5)^(O63-1))</x:f>
        <x:v>416.8693834703355</x:v>
      </x:c>
      <x:c r="U63" s="31" t="n">
        <x:f>IF(T63="","",I63*T63)</x:f>
        <x:v>10153.846976535551</x:v>
      </x:c>
    </x:row>
    <x:row r="64" ht="18" customHeight="1">
      <x:c r="A64" s="24" t="str">
        <x:v>EEZ_214</x:v>
      </x:c>
      <x:c r="B64" s="24" t="str">
        <x:v>Dominican Republic</x:v>
      </x:c>
      <x:c r="C64" s="24" t="str">
        <x:v>EEZ</x:v>
      </x:c>
      <x:c r="D64" s="30" t="n">
        <x:v>2019</x:v>
      </x:c>
      <x:c r="E64" s="24" t="str">
        <x:v>Crassostrea rhizophorae</x:v>
      </x:c>
      <x:c r="F64" s="24" t="str">
        <x:v>Mangrove cupped oyster</x:v>
      </x:c>
      <x:c r="G64" s="24" t="str">
        <x:v>Other demersal invertebrates</x:v>
      </x:c>
      <x:c r="H64" s="24" t="str">
        <x:v>Molluscs</x:v>
      </x:c>
      <x:c r="I64" s="31" t="n">
        <x:v>24.115006</x:v>
      </x:c>
      <x:c r="J64" s="31" t="n">
        <x:v>24.115006</x:v>
      </x:c>
      <x:c r="K64" s="31" t="n">
        <x:v>0</x:v>
      </x:c>
      <x:c r="L64" s="31" t="n">
        <x:v>15</x:v>
      </x:c>
      <x:c r="M64" s="31" t="n">
        <x:v>9.115006</x:v>
      </x:c>
      <x:c r="N64" s="24" t="str">
        <x:v>crassostrea rhizophorae</x:v>
      </x:c>
      <x:c r="O64" s="32" t="n">
        <x:v>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Crassostrea rhizophorae</x:v>
      </x:c>
      <x:c r="T64" s="32" t="n">
        <x:f>IF(O64="","",(1/'Metadata'!$B$5)^(O64-1))</x:f>
        <x:v>10</x:v>
      </x:c>
      <x:c r="U64" s="31" t="n">
        <x:f>IF(T64="","",I64*T64)</x:f>
        <x:v>241.15006</x:v>
      </x:c>
    </x:row>
    <x:row r="65" ht="18" customHeight="1">
      <x:c r="A65" s="24" t="str">
        <x:v>EEZ_214</x:v>
      </x:c>
      <x:c r="B65" s="24" t="str">
        <x:v>Dominican Republic</x:v>
      </x:c>
      <x:c r="C65" s="24" t="str">
        <x:v>EEZ</x:v>
      </x:c>
      <x:c r="D65" s="30" t="n">
        <x:v>2019</x:v>
      </x:c>
      <x:c r="E65" s="24" t="str">
        <x:v>Epinephelus</x:v>
      </x:c>
      <x:c r="F65" s="24" t="str">
        <x:v>Seabasses, hinds</x:v>
      </x:c>
      <x:c r="G65" s="24" t="str">
        <x:v>Medium reef assoc. fish (30 - 89 cm)</x:v>
      </x:c>
      <x:c r="H65" s="24" t="str">
        <x:v>Perch-likes</x:v>
      </x:c>
      <x:c r="I65" s="31" t="n">
        <x:v>21.37703428</x:v>
      </x:c>
      <x:c r="J65" s="31" t="n">
        <x:v>21.37703428</x:v>
      </x:c>
      <x:c r="K65" s="31" t="n">
        <x:v>0</x:v>
      </x:c>
      <x:c r="L65" s="31" t="n">
        <x:v>21.37703428</x:v>
      </x:c>
      <x:c r="M65" s="31" t="n">
        <x:v>0</x:v>
      </x:c>
      <x:c r="N65" s="24" t="str">
        <x:v>epinephelus</x:v>
      </x:c>
      <x:c r="O65" s="32" t="n">
        <x:v>3.84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Epinephelus</x:v>
      </x:c>
      <x:c r="T65" s="32" t="n">
        <x:f>IF(O65="","",(1/'Metadata'!$B$5)^(O65-1))</x:f>
        <x:v>691.8309709189363</x:v>
      </x:c>
      <x:c r="U65" s="31" t="n">
        <x:f>IF(T65="","",I65*T65)</x:f>
        <x:v>14789.294381299784</x:v>
      </x:c>
    </x:row>
    <x:row r="66" ht="18" customHeight="1">
      <x:c r="A66" s="24" t="str">
        <x:v>EEZ_214</x:v>
      </x:c>
      <x:c r="B66" s="24" t="str">
        <x:v>Dominican Republic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21.096966000000002</x:v>
      </x:c>
      <x:c r="J66" s="31" t="n">
        <x:v>21.096966000000002</x:v>
      </x:c>
      <x:c r="K66" s="31" t="n">
        <x:v>0</x:v>
      </x:c>
      <x:c r="L66" s="31" t="n">
        <x:v>0</x:v>
      </x:c>
      <x:c r="M66" s="31" t="n">
        <x:v>21.096966000000002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16757.915760818185</x:v>
      </x:c>
    </x:row>
    <x:row r="67" ht="18" customHeight="1">
      <x:c r="A67" s="24" t="str">
        <x:v>EEZ_214</x:v>
      </x:c>
      <x:c r="B67" s="24" t="str">
        <x:v>Dominican Republic</x:v>
      </x:c>
      <x:c r="C67" s="24" t="str">
        <x:v>EEZ</x:v>
      </x:c>
      <x:c r="D67" s="30" t="n">
        <x:v>2019</x:v>
      </x:c>
      <x:c r="E67" s="24" t="str">
        <x:v>Malacostraca</x:v>
      </x:c>
      <x:c r="F67" s="24" t="str">
        <x:v>Lobsters, crabs, shrimps, krill</x:v>
      </x:c>
      <x:c r="G67" s="24" t="str">
        <x:v>Shrimps</x:v>
      </x:c>
      <x:c r="H67" s="24" t="str">
        <x:v>Crustaceans</x:v>
      </x:c>
      <x:c r="I67" s="31" t="n">
        <x:v>18.662968573</x:v>
      </x:c>
      <x:c r="J67" s="31" t="n">
        <x:v>18.662968573</x:v>
      </x:c>
      <x:c r="K67" s="31" t="n">
        <x:v>0</x:v>
      </x:c>
      <x:c r="L67" s="31" t="n">
        <x:v>8.831549873</x:v>
      </x:c>
      <x:c r="M67" s="31" t="n">
        <x:v>9.8314187</x:v>
      </x:c>
      <x:c r="N67" s="24" t="str">
        <x:v>malacostraca</x:v>
      </x:c>
      <x:c r="O67" s="32" t="n">
        <x:v>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Malacostraca</x:v>
      </x:c>
      <x:c r="T67" s="32" t="n">
        <x:f>IF(O67="","",(1/'Metadata'!$B$5)^(O67-1))</x:f>
        <x:v>100</x:v>
      </x:c>
      <x:c r="U67" s="31" t="n">
        <x:f>IF(T67="","",I67*T67)</x:f>
        <x:v>1866.2968573</x:v>
      </x:c>
    </x:row>
    <x:row r="68" ht="18" customHeight="1">
      <x:c r="A68" s="24" t="str">
        <x:v>EEZ_214</x:v>
      </x:c>
      <x:c r="B68" s="24" t="str">
        <x:v>Dominican Republic</x:v>
      </x:c>
      <x:c r="C68" s="24" t="str">
        <x:v>EEZ</x:v>
      </x:c>
      <x:c r="D68" s="30" t="n">
        <x:v>2019</x:v>
      </x:c>
      <x:c r="E68" s="24" t="str">
        <x:v>Fistulariidae</x:v>
      </x:c>
      <x:c r="F68" s="24" t="str">
        <x:v>Cornetfishes</x:v>
      </x:c>
      <x:c r="G68" s="24" t="str">
        <x:v>Large reef assoc. fish (&gt;=90 cm)</x:v>
      </x:c>
      <x:c r="H68" s="24" t="str">
        <x:v>Other fishes &amp; inverts</x:v>
      </x:c>
      <x:c r="I68" s="31" t="n">
        <x:v>18.662967973</x:v>
      </x:c>
      <x:c r="J68" s="31" t="n">
        <x:v>18.662967973</x:v>
      </x:c>
      <x:c r="K68" s="31" t="n">
        <x:v>0</x:v>
      </x:c>
      <x:c r="L68" s="31" t="n">
        <x:v>8.831549873</x:v>
      </x:c>
      <x:c r="M68" s="31" t="n">
        <x:v>9.8314181</x:v>
      </x:c>
      <x:c r="N68" s="24" t="str">
        <x:v>fistulariidae</x:v>
      </x:c>
      <x:c r="O68" s="32" t="n">
        <x:v>3.86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Fistulariidae</x:v>
      </x:c>
      <x:c r="T68" s="32" t="n">
        <x:f>IF(O68="","",(1/'Metadata'!$B$5)^(O68-1))</x:f>
        <x:v>724.4359600749899</x:v>
      </x:c>
      <x:c r="U68" s="31" t="n">
        <x:f>IF(T68="","",I68*T68)</x:f>
        <x:v>13520.125121369043</x:v>
      </x:c>
    </x:row>
    <x:row r="69" ht="18" customHeight="1">
      <x:c r="A69" s="24" t="str">
        <x:v>EEZ_214</x:v>
      </x:c>
      <x:c r="B69" s="24" t="str">
        <x:v>Dominican Republic</x:v>
      </x:c>
      <x:c r="C69" s="24" t="str">
        <x:v>EEZ</x:v>
      </x:c>
      <x:c r="D69" s="30" t="n">
        <x:v>2019</x:v>
      </x:c>
      <x:c r="E69" s="24" t="str">
        <x:v>Ostreidae</x:v>
      </x:c>
      <x:c r="F69" s="24" t="str">
        <x:v>True oysters</x:v>
      </x:c>
      <x:c r="G69" s="24" t="str">
        <x:v>Other demersal invertebrates</x:v>
      </x:c>
      <x:c r="H69" s="24" t="str">
        <x:v>Molluscs</x:v>
      </x:c>
      <x:c r="I69" s="31" t="n">
        <x:v>18.083116</x:v>
      </x:c>
      <x:c r="J69" s="31" t="n">
        <x:v>18.083116</x:v>
      </x:c>
      <x:c r="K69" s="31" t="n">
        <x:v>0</x:v>
      </x:c>
      <x:c r="L69" s="31" t="n">
        <x:v>0</x:v>
      </x:c>
      <x:c r="M69" s="31" t="n">
        <x:v>18.083116</x:v>
      </x:c>
      <x:c r="N69" s="24" t="str">
        <x:v>ostreidae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Ostreidae</x:v>
      </x:c>
      <x:c r="T69" s="32" t="n">
        <x:f>IF(O69="","",(1/'Metadata'!$B$5)^(O69-1))</x:f>
        <x:v>10</x:v>
      </x:c>
      <x:c r="U69" s="31" t="n">
        <x:f>IF(T69="","",I69*T69)</x:f>
        <x:v>180.83116</x:v>
      </x:c>
    </x:row>
    <x:row r="70" ht="18" customHeight="1">
      <x:c r="A70" s="24" t="str">
        <x:v>EEZ_214</x:v>
      </x:c>
      <x:c r="B70" s="24" t="str">
        <x:v>Dominican Republic</x:v>
      </x:c>
      <x:c r="C70" s="24" t="str">
        <x:v>EEZ</x:v>
      </x:c>
      <x:c r="D70" s="30" t="n">
        <x:v>2019</x:v>
      </x:c>
      <x:c r="E70" s="24" t="str">
        <x:v>Trachinotus</x:v>
      </x:c>
      <x:c r="F70" s="24" t="str">
        <x:v>Pompanos</x:v>
      </x:c>
      <x:c r="G70" s="24" t="str">
        <x:v>Medium pelagics (30 - 89 cm)</x:v>
      </x:c>
      <x:c r="H70" s="24" t="str">
        <x:v>Perch-likes</x:v>
      </x:c>
      <x:c r="I70" s="31" t="n">
        <x:v>14.284108106999998</x:v>
      </x:c>
      <x:c r="J70" s="31" t="n">
        <x:v>14.284108106999998</x:v>
      </x:c>
      <x:c r="K70" s="31" t="n">
        <x:v>0</x:v>
      </x:c>
      <x:c r="L70" s="31" t="n">
        <x:v>14.284108106999998</x:v>
      </x:c>
      <x:c r="M70" s="31" t="n">
        <x:v>0</x:v>
      </x:c>
      <x:c r="N70" s="24" t="str">
        <x:v>trachinotus</x:v>
      </x:c>
      <x:c r="O70" s="32" t="n">
        <x:v>3.69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Trachinotus</x:v>
      </x:c>
      <x:c r="T70" s="32" t="n">
        <x:f>IF(O70="","",(1/'Metadata'!$B$5)^(O70-1))</x:f>
        <x:v>489.77881936844614</x:v>
      </x:c>
      <x:c r="U70" s="31" t="n">
        <x:f>IF(T70="","",I70*T70)</x:f>
        <x:v>6996.053604377709</x:v>
      </x:c>
    </x:row>
    <x:row r="71" ht="18" customHeight="1">
      <x:c r="A71" s="24" t="str">
        <x:v>EEZ_214</x:v>
      </x:c>
      <x:c r="B71" s="24" t="str">
        <x:v>Dominican Republic</x:v>
      </x:c>
      <x:c r="C71" s="24" t="str">
        <x:v>EEZ</x:v>
      </x:c>
      <x:c r="D71" s="30" t="n">
        <x:v>2019</x:v>
      </x:c>
      <x:c r="E71" s="24" t="str">
        <x:v>Scomberomorus regalis</x:v>
      </x:c>
      <x:c r="F71" s="24" t="str">
        <x:v>Cero</x:v>
      </x:c>
      <x:c r="G71" s="24" t="str">
        <x:v>Large reef assoc. fish (&gt;=90 cm)</x:v>
      </x:c>
      <x:c r="H71" s="24" t="str">
        <x:v>Perch-likes</x:v>
      </x:c>
      <x:c r="I71" s="31" t="n">
        <x:v>13.939236284</x:v>
      </x:c>
      <x:c r="J71" s="31" t="n">
        <x:v>13.939236284</x:v>
      </x:c>
      <x:c r="K71" s="31" t="n">
        <x:v>0</x:v>
      </x:c>
      <x:c r="L71" s="31" t="n">
        <x:v>13.939236284</x:v>
      </x:c>
      <x:c r="M71" s="31" t="n">
        <x:v>0</x:v>
      </x:c>
      <x:c r="N71" s="24" t="str">
        <x:v>scomberomorus regalis</x:v>
      </x:c>
      <x:c r="O71" s="32" t="n">
        <x:v>4.51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Scomberomorus regalis</x:v>
      </x:c>
      <x:c r="T71" s="32" t="n">
        <x:f>IF(O71="","",(1/'Metadata'!$B$5)^(O71-1))</x:f>
        <x:v>3235.936569296281</x:v>
      </x:c>
      <x:c r="U71" s="31" t="n">
        <x:f>IF(T71="","",I71*T71)</x:f>
        <x:v>45106.4844394572</x:v>
      </x:c>
    </x:row>
    <x:row r="72" ht="18" customHeight="1">
      <x:c r="A72" s="24" t="str">
        <x:v>EEZ_214</x:v>
      </x:c>
      <x:c r="B72" s="24" t="str">
        <x:v>Dominican Republic</x:v>
      </x:c>
      <x:c r="C72" s="24" t="str">
        <x:v>EEZ</x:v>
      </x:c>
      <x:c r="D72" s="30" t="n">
        <x:v>2019</x:v>
      </x:c>
      <x:c r="E72" s="24" t="str">
        <x:v>Triglidae</x:v>
      </x:c>
      <x:c r="F72" s="24" t="str">
        <x:v>Searobins, gurnards</x:v>
      </x:c>
      <x:c r="G72" s="24" t="str">
        <x:v>Medium demersals (30 - 89 cm)</x:v>
      </x:c>
      <x:c r="H72" s="24" t="str">
        <x:v>Scorpionfishes</x:v>
      </x:c>
      <x:c r="I72" s="31" t="n">
        <x:v>12.441978314</x:v>
      </x:c>
      <x:c r="J72" s="31" t="n">
        <x:v>12.441978314</x:v>
      </x:c>
      <x:c r="K72" s="31" t="n">
        <x:v>0</x:v>
      </x:c>
      <x:c r="L72" s="31" t="n">
        <x:v>5.887699914</x:v>
      </x:c>
      <x:c r="M72" s="31" t="n">
        <x:v>6.5542784</x:v>
      </x:c>
      <x:c r="N72" s="24" t="str">
        <x:v>triglidae</x:v>
      </x:c>
      <x:c r="O72" s="32" t="n">
        <x:v>3.74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Triglidae</x:v>
      </x:c>
      <x:c r="T72" s="32" t="n">
        <x:f>IF(O72="","",(1/'Metadata'!$B$5)^(O72-1))</x:f>
        <x:v>549.5408738576248</x:v>
      </x:c>
      <x:c r="U72" s="31" t="n">
        <x:f>IF(T72="","",I72*T72)</x:f>
        <x:v>6837.375635193177</x:v>
      </x:c>
    </x:row>
    <x:row r="73" ht="18" customHeight="1">
      <x:c r="A73" s="24" t="str">
        <x:v>EEZ_214</x:v>
      </x:c>
      <x:c r="B73" s="24" t="str">
        <x:v>Dominican Republic</x:v>
      </x:c>
      <x:c r="C73" s="24" t="str">
        <x:v>EEZ</x:v>
      </x:c>
      <x:c r="D73" s="30" t="n">
        <x:v>2019</x:v>
      </x:c>
      <x:c r="E73" s="24" t="str">
        <x:v>Gempylidae</x:v>
      </x:c>
      <x:c r="F73" s="24" t="str">
        <x:v>Snake mackerels</x:v>
      </x:c>
      <x:c r="G73" s="24" t="str">
        <x:v>Large benthopelagics (&gt;=90 cm)</x:v>
      </x:c>
      <x:c r="H73" s="24" t="str">
        <x:v>Perch-likes</x:v>
      </x:c>
      <x:c r="I73" s="31" t="n">
        <x:v>7.494992030000001</x:v>
      </x:c>
      <x:c r="J73" s="31" t="n">
        <x:v>7.494992030000001</x:v>
      </x:c>
      <x:c r="K73" s="31" t="n">
        <x:v>0</x:v>
      </x:c>
      <x:c r="L73" s="31" t="n">
        <x:v>1.46728803</x:v>
      </x:c>
      <x:c r="M73" s="31" t="n">
        <x:v>6.027704</x:v>
      </x:c>
      <x:c r="N73" s="24" t="str">
        <x:v>gempylidae</x:v>
      </x:c>
      <x:c r="O73" s="32" t="n">
        <x:v>4.21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Gempylidae</x:v>
      </x:c>
      <x:c r="T73" s="32" t="n">
        <x:f>IF(O73="","",(1/'Metadata'!$B$5)^(O73-1))</x:f>
        <x:v>1621.8100973589299</x:v>
      </x:c>
      <x:c r="U73" s="31" t="n">
        <x:f>IF(T73="","",I73*T73)</x:f>
        <x:v>12155.453753878704</x:v>
      </x:c>
    </x:row>
    <x:row r="74" ht="18" customHeight="1">
      <x:c r="A74" s="24" t="str">
        <x:v>EEZ_214</x:v>
      </x:c>
      <x:c r="B74" s="24" t="str">
        <x:v>Dominican Republic</x:v>
      </x:c>
      <x:c r="C74" s="24" t="str">
        <x:v>EEZ</x:v>
      </x:c>
      <x:c r="D74" s="30" t="n">
        <x:v>2019</x:v>
      </x:c>
      <x:c r="E74" s="24" t="str">
        <x:v>Thunnus albacares</x:v>
      </x:c>
      <x:c r="F74" s="24" t="str">
        <x:v>Yellowfin tuna</x:v>
      </x:c>
      <x:c r="G74" s="24" t="str">
        <x:v>Large pelagics (&gt;=90 cm)</x:v>
      </x:c>
      <x:c r="H74" s="24" t="str">
        <x:v>Tuna &amp; billfishes</x:v>
      </x:c>
      <x:c r="I74" s="31" t="n">
        <x:v>7.029130952</x:v>
      </x:c>
      <x:c r="J74" s="31" t="n">
        <x:v>7.029130952</x:v>
      </x:c>
      <x:c r="K74" s="31" t="n">
        <x:v>0</x:v>
      </x:c>
      <x:c r="L74" s="31" t="n">
        <x:v>7.029130952</x:v>
      </x:c>
      <x:c r="M74" s="31" t="n">
        <x:v>0</x:v>
      </x:c>
      <x:c r="N74" s="24" t="str">
        <x:v>thunnus albacares</x:v>
      </x:c>
      <x:c r="O74" s="32" t="n">
        <x:v>4.41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albacares</x:v>
      </x:c>
      <x:c r="T74" s="32" t="n">
        <x:f>IF(O74="","",(1/'Metadata'!$B$5)^(O74-1))</x:f>
        <x:v>2570.3957827688646</x:v>
      </x:c>
      <x:c r="U74" s="31" t="n">
        <x:f>IF(T74="","",I74*T74)</x:f>
        <x:v>18067.648555550895</x:v>
      </x:c>
    </x:row>
    <x:row r="75" ht="18" customHeight="1">
      <x:c r="A75" s="24" t="str">
        <x:v>EEZ_214</x:v>
      </x:c>
      <x:c r="B75" s="24" t="str">
        <x:v>Dominican Republic</x:v>
      </x:c>
      <x:c r="C75" s="24" t="str">
        <x:v>EEZ</x:v>
      </x:c>
      <x:c r="D75" s="30" t="n">
        <x:v>2019</x:v>
      </x:c>
      <x:c r="E75" s="24" t="str">
        <x:v>Decapoda</x:v>
      </x:c>
      <x:c r="F75" s="24" t="str">
        <x:v>Crabs, lobsters, shrimps</x:v>
      </x:c>
      <x:c r="G75" s="24" t="str">
        <x:v>Lobsters, crabs</x:v>
      </x:c>
      <x:c r="H75" s="24" t="str">
        <x:v>Crustaceans</x:v>
      </x:c>
      <x:c r="I75" s="31" t="n">
        <x:v>4.809069791000001</x:v>
      </x:c>
      <x:c r="J75" s="31" t="n">
        <x:v>4.809069791000001</x:v>
      </x:c>
      <x:c r="K75" s="31" t="n">
        <x:v>0</x:v>
      </x:c>
      <x:c r="L75" s="31" t="n">
        <x:v>1.795217391</x:v>
      </x:c>
      <x:c r="M75" s="31" t="n">
        <x:v>3.0138524</x:v>
      </x:c>
      <x:c r="N75" s="24" t="str">
        <x:v>decapoda</x:v>
      </x:c>
      <x:c r="O75" s="32" t="n">
        <x:v>3.43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Decapoda</x:v>
      </x:c>
      <x:c r="T75" s="32" t="n">
        <x:f>IF(O75="","",(1/'Metadata'!$B$5)^(O75-1))</x:f>
        <x:v>269.1534803926917</x:v>
      </x:c>
      <x:c r="U75" s="31" t="n">
        <x:f>IF(T75="","",I75*T75)</x:f>
        <x:v>1294.3778716990046</x:v>
      </x:c>
    </x:row>
    <x:row r="76" ht="18" customHeight="1">
      <x:c r="A76" s="24" t="str">
        <x:v>EEZ_214</x:v>
      </x:c>
      <x:c r="B76" s="24" t="str">
        <x:v>Dominican Republic</x:v>
      </x:c>
      <x:c r="C76" s="24" t="str">
        <x:v>EEZ</x:v>
      </x:c>
      <x:c r="D76" s="30" t="n">
        <x:v>2019</x:v>
      </x:c>
      <x:c r="E76" s="24" t="str">
        <x:v>Anguilla rostrata</x:v>
      </x:c>
      <x:c r="F76" s="24" t="str">
        <x:v>American eel</x:v>
      </x:c>
      <x:c r="G76" s="24" t="str">
        <x:v>Large demersals (&gt;=90 cm)</x:v>
      </x:c>
      <x:c r="H76" s="24" t="str">
        <x:v>Other fishes &amp; inverts</x:v>
      </x:c>
      <x:c r="I76" s="31" t="n">
        <x:v>3.2071373579999998</x:v>
      </x:c>
      <x:c r="J76" s="31" t="n">
        <x:v>3.2071373579999998</x:v>
      </x:c>
      <x:c r="K76" s="31" t="n">
        <x:v>0</x:v>
      </x:c>
      <x:c r="L76" s="31" t="n">
        <x:v>2.943849958</x:v>
      </x:c>
      <x:c r="M76" s="31" t="n">
        <x:v>0.2632874</x:v>
      </x:c>
      <x:c r="N76" s="24" t="str">
        <x:v>anguilla rostrata</x:v>
      </x:c>
      <x:c r="O76" s="32" t="n">
        <x:v>3.83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Anguilla rostrata</x:v>
      </x:c>
      <x:c r="T76" s="32" t="n">
        <x:f>IF(O76="","",(1/'Metadata'!$B$5)^(O76-1))</x:f>
        <x:v>676.0829753919819</x:v>
      </x:c>
      <x:c r="U76" s="31" t="n">
        <x:f>IF(T76="","",I76*T76)</x:f>
        <x:v>2168.2909674874195</x:v>
      </x:c>
    </x:row>
    <x:row r="77" ht="18" customHeight="1">
      <x:c r="A77" s="24" t="str">
        <x:v>EEZ_214</x:v>
      </x:c>
      <x:c r="B77" s="24" t="str">
        <x:v>Dominican Republic</x:v>
      </x:c>
      <x:c r="C77" s="24" t="str">
        <x:v>EEZ</x:v>
      </x:c>
      <x:c r="D77" s="30" t="n">
        <x:v>2019</x:v>
      </x:c>
      <x:c r="E77" s="24" t="str">
        <x:v>Centropomus</x:v>
      </x:c>
      <x:c r="F77" s="24" t="str">
        <x:v>Fat snooks</x:v>
      </x:c>
      <x:c r="G77" s="24" t="str">
        <x:v>Medium benthopelagics (30 - 89 cm)</x:v>
      </x:c>
      <x:c r="H77" s="24" t="str">
        <x:v>Perch-likes</x:v>
      </x:c>
      <x:c r="I77" s="31" t="n">
        <x:v>3.0144196</x:v>
      </x:c>
      <x:c r="J77" s="31" t="n">
        <x:v>3.0144196</x:v>
      </x:c>
      <x:c r="K77" s="31" t="n">
        <x:v>0</x:v>
      </x:c>
      <x:c r="L77" s="31" t="n">
        <x:v>0</x:v>
      </x:c>
      <x:c r="M77" s="31" t="n">
        <x:v>3.0144196</x:v>
      </x:c>
      <x:c r="N77" s="24" t="str">
        <x:v>centropomus</x:v>
      </x:c>
      <x:c r="O77" s="32" t="n">
        <x:v>3.92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Centropomus</x:v>
      </x:c>
      <x:c r="T77" s="32" t="n">
        <x:f>IF(O77="","",(1/'Metadata'!$B$5)^(O77-1))</x:f>
        <x:v>831.7637711026708</x:v>
      </x:c>
      <x:c r="U77" s="31" t="n">
        <x:f>IF(T77="","",I77*T77)</x:f>
        <x:v>2507.285014181805</x:v>
      </x:c>
    </x:row>
    <x:row r="78" ht="18" customHeight="1">
      <x:c r="A78" s="24" t="str">
        <x:v>EEZ_214</x:v>
      </x:c>
      <x:c r="B78" s="24" t="str">
        <x:v>Dominican Republic</x:v>
      </x:c>
      <x:c r="C78" s="24" t="str">
        <x:v>EEZ</x:v>
      </x:c>
      <x:c r="D78" s="30" t="n">
        <x:v>2019</x:v>
      </x:c>
      <x:c r="E78" s="24" t="str">
        <x:v>Anguilla</x:v>
      </x:c>
      <x:c r="F78" s="24" t="str">
        <x:v>Eels</x:v>
      </x:c>
      <x:c r="G78" s="24" t="str">
        <x:v>Large demersals (&gt;=90 cm)</x:v>
      </x:c>
      <x:c r="H78" s="24" t="str">
        <x:v>Other fishes &amp; inverts</x:v>
      </x:c>
      <x:c r="I78" s="31" t="n">
        <x:v>3.0138524</x:v>
      </x:c>
      <x:c r="J78" s="31" t="n">
        <x:v>3.0138524</x:v>
      </x:c>
      <x:c r="K78" s="31" t="n">
        <x:v>0</x:v>
      </x:c>
      <x:c r="L78" s="31" t="n">
        <x:v>0</x:v>
      </x:c>
      <x:c r="M78" s="31" t="n">
        <x:v>3.0138524</x:v>
      </x:c>
      <x:c r="N78" s="24" t="str">
        <x:v>anguilla</x:v>
      </x:c>
      <x:c r="O78" s="32" t="n">
        <x:v>3.63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Anguilla</x:v>
      </x:c>
      <x:c r="T78" s="32" t="n">
        <x:f>IF(O78="","",(1/'Metadata'!$B$5)^(O78-1))</x:f>
        <x:v>426.57951880159254</x:v>
      </x:c>
      <x:c r="U78" s="31" t="n">
        <x:f>IF(T78="","",I78*T78)</x:f>
        <x:v>1285.6477065310248</x:v>
      </x:c>
    </x:row>
    <x:row r="79" ht="18" customHeight="1">
      <x:c r="A79" s="24" t="str">
        <x:v>EEZ_214</x:v>
      </x:c>
      <x:c r="B79" s="24" t="str">
        <x:v>Dominican Republic</x:v>
      </x:c>
      <x:c r="C79" s="24" t="str">
        <x:v>EEZ</x:v>
      </x:c>
      <x:c r="D79" s="30" t="n">
        <x:v>2019</x:v>
      </x:c>
      <x:c r="E79" s="24" t="str">
        <x:v>Thunnus alalunga</x:v>
      </x:c>
      <x:c r="F79" s="24" t="str">
        <x:v>Albacore</x:v>
      </x:c>
      <x:c r="G79" s="24" t="str">
        <x:v>Large pelagics (&gt;=90 cm)</x:v>
      </x:c>
      <x:c r="H79" s="24" t="str">
        <x:v>Tuna &amp; billfishes</x:v>
      </x:c>
      <x:c r="I79" s="31" t="n">
        <x:v>1.938286026</x:v>
      </x:c>
      <x:c r="J79" s="31" t="n">
        <x:v>1.938286026</x:v>
      </x:c>
      <x:c r="K79" s="31" t="n">
        <x:v>0</x:v>
      </x:c>
      <x:c r="L79" s="31" t="n">
        <x:v>1.938286026</x:v>
      </x:c>
      <x:c r="M79" s="31" t="n">
        <x:v>0</x:v>
      </x:c>
      <x:c r="N79" s="24" t="str">
        <x:v>thunnus alalunga</x:v>
      </x:c>
      <x:c r="O79" s="32" t="n">
        <x:v>4.3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alalunga</x:v>
      </x:c>
      <x:c r="T79" s="32" t="n">
        <x:f>IF(O79="","",(1/'Metadata'!$B$5)^(O79-1))</x:f>
        <x:v>1995.2623149688789</x:v>
      </x:c>
      <x:c r="U79" s="31" t="n">
        <x:f>IF(T79="","",I79*T79)</x:f>
        <x:v>3867.389063308589</x:v>
      </x:c>
    </x:row>
    <x:row r="80" ht="18" customHeight="1">
      <x:c r="A80" s="24" t="str">
        <x:v>EEZ_214</x:v>
      </x:c>
      <x:c r="B80" s="24" t="str">
        <x:v>Dominican Republic</x:v>
      </x:c>
      <x:c r="C80" s="24" t="str">
        <x:v>EEZ</x:v>
      </x:c>
      <x:c r="D80" s="30" t="n">
        <x:v>2019</x:v>
      </x:c>
      <x:c r="E80" s="24" t="str">
        <x:v>Makaira nigricans</x:v>
      </x:c>
      <x:c r="F80" s="24" t="str">
        <x:v>Blue marlin</x:v>
      </x:c>
      <x:c r="G80" s="24" t="str">
        <x:v>Large pelagics (&gt;=90 cm)</x:v>
      </x:c>
      <x:c r="H80" s="24" t="str">
        <x:v>Tuna &amp; billfishes</x:v>
      </x:c>
      <x:c r="I80" s="31" t="n">
        <x:v>1.588852638</x:v>
      </x:c>
      <x:c r="J80" s="31" t="n">
        <x:v>1.588852638</x:v>
      </x:c>
      <x:c r="K80" s="31" t="n">
        <x:v>0</x:v>
      </x:c>
      <x:c r="L80" s="31" t="n">
        <x:v>1.588852638</x:v>
      </x:c>
      <x:c r="M80" s="31" t="n">
        <x:v>0</x:v>
      </x:c>
      <x:c r="N80" s="24" t="str">
        <x:v>makaira nigricans</x:v>
      </x:c>
      <x:c r="O80" s="32" t="n">
        <x:v>4.49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Makaira nigricans</x:v>
      </x:c>
      <x:c r="T80" s="32" t="n">
        <x:f>IF(O80="","",(1/'Metadata'!$B$5)^(O80-1))</x:f>
        <x:v>3090.295432513592</x:v>
      </x:c>
      <x:c r="U80" s="31" t="n">
        <x:f>IF(T80="","",I80*T80)</x:f>
        <x:v>4910.024050148572</x:v>
      </x:c>
    </x:row>
    <x:row r="81" ht="18" customHeight="1">
      <x:c r="A81" s="24" t="str">
        <x:v>EEZ_214</x:v>
      </x:c>
      <x:c r="B81" s="24" t="str">
        <x:v>Dominican Republic</x:v>
      </x:c>
      <x:c r="C81" s="24" t="str">
        <x:v>EEZ</x:v>
      </x:c>
      <x:c r="D81" s="30" t="n">
        <x:v>2019</x:v>
      </x:c>
      <x:c r="E81" s="24" t="str">
        <x:v>Thunnus atlanticus</x:v>
      </x:c>
      <x:c r="F81" s="24" t="str">
        <x:v>Blackfin tuna</x:v>
      </x:c>
      <x:c r="G81" s="24" t="str">
        <x:v>Large pelagics (&gt;=90 cm)</x:v>
      </x:c>
      <x:c r="H81" s="24" t="str">
        <x:v>Tuna &amp; billfishes</x:v>
      </x:c>
      <x:c r="I81" s="31" t="n">
        <x:v>0.042216352</x:v>
      </x:c>
      <x:c r="J81" s="31" t="n">
        <x:v>0.042216352</x:v>
      </x:c>
      <x:c r="K81" s="31" t="n">
        <x:v>0</x:v>
      </x:c>
      <x:c r="L81" s="31" t="n">
        <x:v>0.042216352</x:v>
      </x:c>
      <x:c r="M81" s="31" t="n">
        <x:v>0</x:v>
      </x:c>
      <x:c r="N81" s="24" t="str">
        <x:v>thunnus atlanticus</x:v>
      </x:c>
      <x:c r="O81" s="32" t="n">
        <x:v>4.35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Thunnus atlanticus</x:v>
      </x:c>
      <x:c r="T81" s="32" t="n">
        <x:f>IF(O81="","",(1/'Metadata'!$B$5)^(O81-1))</x:f>
        <x:v>2238.7211385683377</x:v>
      </x:c>
      <x:c r="U81" s="31" t="n">
        <x:f>IF(T81="","",I81*T81)</x:f>
        <x:v>94.51063961564172</x:v>
      </x:c>
    </x:row>
  </x:sheetData>
  <x:conditionalFormatting sqref="R2:R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ac47f8b06a04c0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4946.614812886</x:v>
      </x:c>
      <x:c r="C2" s="32" t="n">
        <x:v>3.1588734927385946</x:v>
      </x:c>
      <x:c r="D2" s="32" t="n">
        <x:f>IF(C2="","",(1/'Metadata'!$B$5)^(C2-1))</x:f>
        <x:v>144.16953335361526</x:v>
      </x:c>
      <x:c r="E2" s="31" t="n">
        <x:f>IF(B2=0,"",B2*D2)</x:f>
        <x:v>713151.1492538556</x:v>
      </x:c>
    </x:row>
    <x:row r="3" ht="18" customHeight="1">
      <x:c r="A3" s="24" t="str">
        <x:v>Herring-likes</x:v>
      </x:c>
      <x:c r="B3" s="31" t="n">
        <x:v>544.22639861</x:v>
      </x:c>
      <x:c r="C3" s="32" t="n">
        <x:v>3.4882099883557873</x:v>
      </x:c>
      <x:c r="D3" s="32" t="n">
        <x:f>IF(C3="","",(1/'Metadata'!$B$5)^(C3-1))</x:f>
        <x:v>307.7584516580673</x:v>
      </x:c>
      <x:c r="E3" s="31" t="n">
        <x:f>IF(B3=0,"",B3*D3)</x:f>
        <x:v>167490.27378765977</x:v>
      </x:c>
    </x:row>
    <x:row r="4" ht="18" customHeight="1">
      <x:c r="A4" s="24" t="str">
        <x:v>Molluscs</x:v>
      </x:c>
      <x:c r="B4" s="31" t="n">
        <x:v>2342.368846</x:v>
      </x:c>
      <x:c r="C4" s="32" t="n">
        <x:v>2.1821229954447574</x:v>
      </x:c>
      <x:c r="D4" s="32" t="n">
        <x:f>IF(C4="","",(1/'Metadata'!$B$5)^(C4-1))</x:f>
        <x:v>15.20978221147605</x:v>
      </x:c>
      <x:c r="E4" s="31" t="n">
        <x:f>IF(B4=0,"",B4*D4)</x:f>
        <x:v>35626.92000660648</x:v>
      </x:c>
    </x:row>
    <x:row r="5" ht="18" customHeight="1">
      <x:c r="A5" s="24" t="str">
        <x:v>Other fishes &amp; inverts</x:v>
      </x:c>
      <x:c r="B5" s="31" t="n">
        <x:v>12901.218229021999</x:v>
      </x:c>
      <x:c r="C5" s="32" t="n">
        <x:v>3.282349468155485</x:v>
      </x:c>
      <x:c r="D5" s="32" t="n">
        <x:f>IF(C5="","",(1/'Metadata'!$B$5)^(C5-1))</x:f>
        <x:v>191.57969087116055</x:v>
      </x:c>
      <x:c r="E5" s="31" t="n">
        <x:f>IF(B5=0,"",B5*D5)</x:f>
        <x:v>2471611.400177416</x:v>
      </x:c>
    </x:row>
    <x:row r="6" ht="18" customHeight="1">
      <x:c r="A6" s="24" t="str">
        <x:v>Perch-likes</x:v>
      </x:c>
      <x:c r="B6" s="31" t="n">
        <x:v>29906.601327360997</x:v>
      </x:c>
      <x:c r="C6" s="32" t="n">
        <x:v>3.8086495278887824</x:v>
      </x:c>
      <x:c r="D6" s="32" t="n">
        <x:f>IF(C6="","",(1/'Metadata'!$B$5)^(C6-1))</x:f>
        <x:v>643.6496358588687</x:v>
      </x:c>
      <x:c r="E6" s="31" t="n">
        <x:f>IF(B6=0,"",B6*D6)</x:f>
        <x:v>19249373.054132264</x:v>
      </x:c>
    </x:row>
    <x:row r="7" ht="18" customHeight="1">
      <x:c r="A7" s="24" t="str">
        <x:v>Scorpionfishes</x:v>
      </x:c>
      <x:c r="B7" s="31" t="n">
        <x:v>12.441978314</x:v>
      </x:c>
      <x:c r="C7" s="32" t="n">
        <x:v>3.7400000000000007</x:v>
      </x:c>
      <x:c r="D7" s="32" t="n">
        <x:f>IF(C7="","",(1/'Metadata'!$B$5)^(C7-1))</x:f>
        <x:v>549.5408738576253</x:v>
      </x:c>
      <x:c r="E7" s="31" t="n">
        <x:f>IF(B7=0,"",B7*D7)</x:f>
        <x:v>6837.375635193184</x:v>
      </x:c>
    </x:row>
    <x:row r="8" ht="18" customHeight="1">
      <x:c r="A8" s="24" t="str">
        <x:v>Sharks &amp; rays</x:v>
      </x:c>
      <x:c r="B8" s="31" t="n">
        <x:v>3462.544940919</x:v>
      </x:c>
      <x:c r="C8" s="32" t="n">
        <x:v>4.113291455128477</x:v>
      </x:c>
      <x:c r="D8" s="32" t="n">
        <x:f>IF(C8="","",(1/'Metadata'!$B$5)^(C8-1))</x:f>
        <x:v>1298.050100470647</x:v>
      </x:c>
      <x:c r="E8" s="31" t="n">
        <x:f>IF(B8=0,"",B8*D8)</x:f>
        <x:v>4494556.808444039</x:v>
      </x:c>
    </x:row>
    <x:row r="9" ht="18" customHeight="1">
      <x:c r="A9" s="24" t="str">
        <x:v>Tuna &amp; billfishes</x:v>
      </x:c>
      <x:c r="B9" s="31" t="n">
        <x:v>293.99973890000007</x:v>
      </x:c>
      <x:c r="C9" s="32" t="n">
        <x:v>4.481406206146598</x:v>
      </x:c>
      <x:c r="D9" s="32" t="n">
        <x:f>IF(C9="","",(1/'Metadata'!$B$5)^(C9-1))</x:f>
        <x:v>3029.7458979682497</x:v>
      </x:c>
      <x:c r="E9" s="31" t="n">
        <x:f>IF(B9=0,"",B9*D9)</x:f>
        <x:v>890744.5029360116</x:v>
      </x:c>
    </x:row>
  </x:sheetData>
  <x:pageMargins left="0.7" right="0.7" top="0.75" bottom="0.75" header="0.3" footer="0.3"/>
  <x:tableParts count="1">
    <x:tablePart xmlns:r="http://schemas.openxmlformats.org/officeDocument/2006/relationships" r:id="R9c71d66683c443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145.49783470699998</x:v>
      </x:c>
      <x:c r="C2" s="32" t="n">
        <x:v>3.636903825252334</x:v>
      </x:c>
      <x:c r="D2" s="32" t="n">
        <x:f>IF(C2="","",(1/'Metadata'!$B$5)^(C2-1))</x:f>
        <x:v>433.4148877982608</x:v>
      </x:c>
      <x:c r="E2" s="31" t="n">
        <x:f>IF(B2=0,"",B2*D2)</x:f>
        <x:v>63060.92770442429</x:v>
      </x:c>
    </x:row>
    <x:row r="3" ht="18" customHeight="1">
      <x:c r="A3" s="24" t="str">
        <x:v>Large benthopelagics (&gt;=90 cm)</x:v>
      </x:c>
      <x:c r="B3" s="31" t="n">
        <x:v>399.417358928</x:v>
      </x:c>
      <x:c r="C3" s="32" t="n">
        <x:v>3.081579534894611</x:v>
      </x:c>
      <x:c r="D3" s="32" t="n">
        <x:f>IF(C3="","",(1/'Metadata'!$B$5)^(C3-1))</x:f>
        <x:v>120.66450479453896</x:v>
      </x:c>
      <x:c r="E3" s="31" t="n">
        <x:f>IF(B3=0,"",B3*D3)</x:f>
        <x:v>48195.49782138974</x:v>
      </x:c>
    </x:row>
    <x:row r="4" ht="18" customHeight="1">
      <x:c r="A4" s="24" t="str">
        <x:v>Large demersals (&gt;=90 cm)</x:v>
      </x:c>
      <x:c r="B4" s="31" t="n">
        <x:v>6.220989758</x:v>
      </x:c>
      <x:c r="C4" s="32" t="n">
        <x:v>3.7331069808104322</x:v>
      </x:c>
      <x:c r="D4" s="32" t="n">
        <x:f>IF(C4="","",(1/'Metadata'!$B$5)^(C4-1))</x:f>
        <x:v>540.8875446739611</x:v>
      </x:c>
      <x:c r="E4" s="31" t="n">
        <x:f>IF(B4=0,"",B4*D4)</x:f>
        <x:v>3364.8558756464795</x:v>
      </x:c>
    </x:row>
    <x:row r="5" ht="18" customHeight="1">
      <x:c r="A5" s="24" t="str">
        <x:v>Large pelagics (&gt;=90 cm)</x:v>
      </x:c>
      <x:c r="B5" s="31" t="n">
        <x:v>1587.257526982</x:v>
      </x:c>
      <x:c r="C5" s="32" t="n">
        <x:v>4.382872876508005</x:v>
      </x:c>
      <x:c r="D5" s="32" t="n">
        <x:f>IF(C5="","",(1/'Metadata'!$B$5)^(C5-1))</x:f>
        <x:v>2414.753901953762</x:v>
      </x:c>
      <x:c r="E5" s="31" t="n">
        <x:f>IF(B5=0,"",B5*D5)</x:f>
        <x:v>3832836.3066852633</x:v>
      </x:c>
    </x:row>
    <x:row r="6" ht="18" customHeight="1">
      <x:c r="A6" s="24" t="str">
        <x:v>Large rays (&gt;=90 cm)</x:v>
      </x:c>
      <x:c r="B6" s="31" t="n">
        <x:v>280.62231952300004</x:v>
      </x:c>
      <x:c r="C6" s="32" t="n">
        <x:v>3.4378384748045305</x:v>
      </x:c>
      <x:c r="D6" s="32" t="n">
        <x:f>IF(C6="","",(1/'Metadata'!$B$5)^(C6-1))</x:f>
        <x:v>274.05547001589065</x:v>
      </x:c>
      <x:c r="E6" s="31" t="n">
        <x:f>IF(B6=0,"",B6*D6)</x:f>
        <x:v>76906.08167382522</x:v>
      </x:c>
    </x:row>
    <x:row r="7" ht="18" customHeight="1">
      <x:c r="A7" s="24" t="str">
        <x:v>Large reef assoc. fish (&gt;=90 cm)</x:v>
      </x:c>
      <x:c r="B7" s="31" t="n">
        <x:v>471.59178964299997</x:v>
      </x:c>
      <x:c r="C7" s="32" t="n">
        <x:v>4.010802261568838</x:v>
      </x:c>
      <x:c r="D7" s="32" t="n">
        <x:f>IF(C7="","",(1/'Metadata'!$B$5)^(C7-1))</x:f>
        <x:v>1025.185043416322</x:v>
      </x:c>
      <x:c r="E7" s="31" t="n">
        <x:f>IF(B7=0,"",B7*D7)</x:f>
        <x:v>483468.84933993994</x:v>
      </x:c>
    </x:row>
    <x:row r="8" ht="18" customHeight="1">
      <x:c r="A8" s="24" t="str">
        <x:v>Large sharks (&gt;=90 cm)</x:v>
      </x:c>
      <x:c r="B8" s="31" t="n">
        <x:v>3181.922621396</x:v>
      </x:c>
      <x:c r="C8" s="32" t="n">
        <x:v>4.172861471317013</x:v>
      </x:c>
      <x:c r="D8" s="32" t="n">
        <x:f>IF(C8="","",(1/'Metadata'!$B$5)^(C8-1))</x:f>
        <x:v>1488.8860858898393</x:v>
      </x:c>
      <x:c r="E8" s="31" t="n">
        <x:f>IF(B8=0,"",B8*D8)</x:f>
        <x:v>4737520.317374627</x:v>
      </x:c>
    </x:row>
    <x:row r="9" ht="18" customHeight="1">
      <x:c r="A9" s="24" t="str">
        <x:v>Lobsters, crabs</x:v>
      </x:c>
      <x:c r="B9" s="31" t="n">
        <x:v>4773.570529553</x:v>
      </x:c>
      <x:c r="C9" s="32" t="n">
        <x:v>3.1546070725070403</x:v>
      </x:c>
      <x:c r="D9" s="32" t="n">
        <x:f>IF(C9="","",(1/'Metadata'!$B$5)^(C9-1))</x:f>
        <x:v>142.76017527973525</x:v>
      </x:c>
      <x:c r="E9" s="31" t="n">
        <x:f>IF(B9=0,"",B9*D9)</x:f>
        <x:v>681475.7655091649</x:v>
      </x:c>
    </x:row>
    <x:row r="10" ht="18" customHeight="1">
      <x:c r="A10" s="24" t="str">
        <x:v>Medium benthopelagics (30 - 89 cm)</x:v>
      </x:c>
      <x:c r="B10" s="31" t="n">
        <x:v>1801.8451496</x:v>
      </x:c>
      <x:c r="C10" s="32" t="n">
        <x:v>3.311020507204189</x:v>
      </x:c>
      <x:c r="D10" s="32" t="n">
        <x:f>IF(C10="","",(1/'Metadata'!$B$5)^(C10-1))</x:f>
        <x:v>204.65412712678696</x:v>
      </x:c>
      <x:c r="E10" s="31" t="n">
        <x:f>IF(B10=0,"",B10*D10)</x:f>
        <x:v>368755.0463090229</x:v>
      </x:c>
    </x:row>
    <x:row r="11" ht="18" customHeight="1">
      <x:c r="A11" s="24" t="str">
        <x:v>Medium demersals (30 - 89 cm)</x:v>
      </x:c>
      <x:c r="B11" s="31" t="n">
        <x:v>15721.16843664</x:v>
      </x:c>
      <x:c r="C11" s="32" t="n">
        <x:v>3.326047753203199</x:v>
      </x:c>
      <x:c r="D11" s="32" t="n">
        <x:f>IF(C11="","",(1/'Metadata'!$B$5)^(C11-1))</x:f>
        <x:v>211.8594074177371</x:v>
      </x:c>
      <x:c r="E11" s="31" t="n">
        <x:f>IF(B11=0,"",B11*D11)</x:f>
        <x:v>3330677.4289009827</x:v>
      </x:c>
    </x:row>
    <x:row r="12" ht="18" customHeight="1">
      <x:c r="A12" s="24" t="str">
        <x:v>Medium pelagics (30 - 89 cm)</x:v>
      </x:c>
      <x:c r="B12" s="31" t="n">
        <x:v>6439.541017317</x:v>
      </x:c>
      <x:c r="C12" s="32" t="n">
        <x:v>4.131529014986902</x:v>
      </x:c>
      <x:c r="D12" s="32" t="n">
        <x:f>IF(C12="","",(1/'Metadata'!$B$5)^(C12-1))</x:f>
        <x:v>1353.7205290099707</x:v>
      </x:c>
      <x:c r="E12" s="31" t="n">
        <x:f>IF(B12=0,"",B12*D12)</x:f>
        <x:v>8717338.872543775</x:v>
      </x:c>
    </x:row>
    <x:row r="13" ht="18" customHeight="1">
      <x:c r="A13" s="24" t="str">
        <x:v>Medium reef assoc. fish (30 - 89 cm)</x:v>
      </x:c>
      <x:c r="B13" s="31" t="n">
        <x:v>15119.712350480997</x:v>
      </x:c>
      <x:c r="C13" s="32" t="n">
        <x:v>3.8017449728894763</x:v>
      </x:c>
      <x:c r="D13" s="32" t="n">
        <x:f>IF(C13="","",(1/'Metadata'!$B$5)^(C13-1))</x:f>
        <x:v>633.497598523326</x:v>
      </x:c>
      <x:c r="E13" s="31" t="n">
        <x:f>IF(B13=0,"",B13*D13)</x:f>
        <x:v>9578301.464393185</x:v>
      </x:c>
    </x:row>
    <x:row r="14" ht="18" customHeight="1">
      <x:c r="A14" s="24" t="str">
        <x:v>Other demersal invertebrates</x:v>
      </x:c>
      <x:c r="B14" s="31" t="n">
        <x:v>2342.368846</x:v>
      </x:c>
      <x:c r="C14" s="32" t="n">
        <x:v>2.1821229954447574</x:v>
      </x:c>
      <x:c r="D14" s="32" t="n">
        <x:f>IF(C14="","",(1/'Metadata'!$B$5)^(C14-1))</x:f>
        <x:v>15.20978221147605</x:v>
      </x:c>
      <x:c r="E14" s="31" t="n">
        <x:f>IF(B14=0,"",B14*D14)</x:f>
        <x:v>35626.92000660648</x:v>
      </x:c>
    </x:row>
    <x:row r="15" ht="18" customHeight="1">
      <x:c r="A15" s="24" t="str">
        <x:v>Shrimps</x:v>
      </x:c>
      <x:c r="B15" s="31" t="n">
        <x:v>173.04428333299998</x:v>
      </x:c>
      <x:c r="C15" s="32" t="n">
        <x:v>3.2765662445115478</x:v>
      </x:c>
      <x:c r="D15" s="32" t="n">
        <x:f>IF(C15="","",(1/'Metadata'!$B$5)^(C15-1))</x:f>
        <x:v>189.0454567083485</x:v>
      </x:c>
      <x:c r="E15" s="31" t="n">
        <x:f>IF(B15=0,"",B15*D15)</x:f>
        <x:v>32713.23557345584</x:v>
      </x:c>
    </x:row>
    <x:row r="16" ht="18" customHeight="1">
      <x:c r="A16" s="24" t="str">
        <x:v>Small benthopelagics (&lt;30 cm)</x:v>
      </x:c>
      <x:c r="B16" s="31" t="n">
        <x:v>108.49867</x:v>
      </x:c>
      <x:c r="C16" s="32" t="n">
        <x:v>3.0300000000000002</x:v>
      </x:c>
      <x:c r="D16" s="32" t="n">
        <x:f>IF(C16="","",(1/'Metadata'!$B$5)^(C16-1))</x:f>
        <x:v>107.1519305237607</x:v>
      </x:c>
      <x:c r="E16" s="31" t="n">
        <x:f>IF(B16=0,"",B16*D16)</x:f>
        <x:v>11625.84194976044</x:v>
      </x:c>
    </x:row>
    <x:row r="17" ht="18" customHeight="1">
      <x:c r="A17" s="24" t="str">
        <x:v>Small pelagics (&lt;30 cm)</x:v>
      </x:c>
      <x:c r="B17" s="31" t="n">
        <x:v>544.22639861</x:v>
      </x:c>
      <x:c r="C17" s="32" t="n">
        <x:v>3.4882099883557873</x:v>
      </x:c>
      <x:c r="D17" s="32" t="n">
        <x:f>IF(C17="","",(1/'Metadata'!$B$5)^(C17-1))</x:f>
        <x:v>307.7584516580673</x:v>
      </x:c>
      <x:c r="E17" s="31" t="n">
        <x:f>IF(B17=0,"",B17*D17)</x:f>
        <x:v>167490.27378765977</x:v>
      </x:c>
    </x:row>
    <x:row r="18" ht="18" customHeight="1">
      <x:c r="A18" s="24" t="str">
        <x:v>Small reef assoc. fish (&lt;30 cm)</x:v>
      </x:c>
      <x:c r="B18" s="31" t="n">
        <x:v>1313.5101495410001</x:v>
      </x:c>
      <x:c r="C18" s="32" t="n">
        <x:v>3.2829658296182034</x:v>
      </x:c>
      <x:c r="D18" s="32" t="n">
        <x:f>IF(C18="","",(1/'Metadata'!$B$5)^(C18-1))</x:f>
        <x:v>191.85177853461778</x:v>
      </x:c>
      <x:c r="E18" s="31" t="n">
        <x:f>IF(B18=0,"",B18*D18)</x:f>
        <x:v>251999.25831271263</x:v>
      </x:c>
    </x:row>
  </x:sheetData>
  <x:pageMargins left="0.7" right="0.7" top="0.75" bottom="0.75" header="0.3" footer="0.3"/>
  <x:tableParts count="1">
    <x:tablePart xmlns:r="http://schemas.openxmlformats.org/officeDocument/2006/relationships" r:id="R303ad0106b9948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EEZ_214</x:v>
      </x:c>
      <x:c r="B2" s="24" t="str">
        <x:v>raw_filtered_tonnes</x:v>
      </x:c>
      <x:c r="C2" s="24" t="n">
        <x:v>54410.016272012</x:v>
      </x:c>
      <x:c r="D2" s="24" t="str">
        <x:v>tonnes</x:v>
      </x:c>
    </x:row>
    <x:row r="3" ht="18" customHeight="1">
      <x:c r="A3" s="24" t="str">
        <x:v>EEZ_214</x:v>
      </x:c>
      <x:c r="B3" s="24" t="str">
        <x:v>species_catch_tonnes</x:v>
      </x:c>
      <x:c r="C3" s="24" t="n">
        <x:v>54410.016272012</x:v>
      </x:c>
      <x:c r="D3" s="24" t="str">
        <x:v>tonnes</x:v>
      </x:c>
    </x:row>
    <x:row r="4" ht="18" customHeight="1">
      <x:c r="A4" s="24" t="str">
        <x:v>EEZ_214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EEZ_214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EEZ_214</x:v>
      </x:c>
      <x:c r="B6" s="24" t="str">
        <x:v>matched_catch_tonnes</x:v>
      </x:c>
      <x:c r="C6" s="24" t="n">
        <x:v>54410.016272012</x:v>
      </x:c>
      <x:c r="D6" s="24" t="str">
        <x:v>tonnes</x:v>
      </x:c>
    </x:row>
    <x:row r="7" ht="18" customHeight="1">
      <x:c r="A7" s="24" t="str">
        <x:v>EEZ_214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EEZ_214</x:v>
      </x:c>
      <x:c r="B8" s="24" t="str">
        <x:v>taxa_count</x:v>
      </x:c>
      <x:c r="C8" s="24" t="n">
        <x:v>80</x:v>
      </x:c>
      <x:c r="D8" s="24" t="str">
        <x:v>count</x:v>
      </x:c>
    </x:row>
    <x:row r="9" ht="18" customHeight="1">
      <x:c r="A9" s="24" t="str">
        <x:v>EEZ_214</x:v>
      </x:c>
      <x:c r="B9" s="24" t="str">
        <x:v>matched_taxa_count</x:v>
      </x:c>
      <x:c r="C9" s="24" t="n">
        <x:v>80</x:v>
      </x:c>
      <x:c r="D9" s="24" t="str">
        <x:v>count</x:v>
      </x:c>
    </x:row>
    <x:row r="10" ht="18" customHeight="1">
      <x:c r="A10" s="24" t="str">
        <x:v>EEZ_214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EEZ_214</x:v>
      </x:c>
      <x:c r="B11" s="24" t="str">
        <x:v>species_ppr</x:v>
      </x:c>
      <x:c r="C11" s="24" t="n">
        <x:v>37213224.13606851</x:v>
      </x:c>
      <x:c r="D11" s="24" t="str">
        <x:v>tonnes_primary_production_equivalent</x:v>
      </x:c>
    </x:row>
    <x:row r="12" ht="18" customHeight="1">
      <x:c r="A12" s="24" t="str">
        <x:v>EEZ_214</x:v>
      </x:c>
      <x:c r="B12" s="24" t="str">
        <x:v>commercial_ppr</x:v>
      </x:c>
      <x:c r="C12" s="24" t="n">
        <x:v>28029391.484373044</x:v>
      </x:c>
      <x:c r="D12" s="24" t="str">
        <x:v>tonnes_primary_production_equivalent</x:v>
      </x:c>
    </x:row>
    <x:row r="13" ht="18" customHeight="1">
      <x:c r="A13" s="24" t="str">
        <x:v>EEZ_214</x:v>
      </x:c>
      <x:c r="B13" s="24" t="str">
        <x:v>functional_ppr</x:v>
      </x:c>
      <x:c r="C13" s="24" t="n">
        <x:v>32421356.943761438</x:v>
      </x:c>
      <x:c r="D13" s="24" t="str">
        <x:v>tonnes_primary_production_equivalent</x:v>
      </x:c>
    </x:row>
    <x:row r="14" ht="18" customHeight="1">
      <x:c r="A14" s="24" t="str">
        <x:v>EEZ_214</x:v>
      </x:c>
      <x:c r="B14" s="24" t="str">
        <x:v>commercial_ppr_difference</x:v>
      </x:c>
      <x:c r="C14" s="24" t="n">
        <x:v>-9183832.651695464</x:v>
      </x:c>
      <x:c r="D14" s="24" t="str">
        <x:v>tonnes_primary_production_equivalent</x:v>
      </x:c>
    </x:row>
    <x:row r="15" ht="18" customHeight="1">
      <x:c r="A15" s="24" t="str">
        <x:v>EEZ_214</x:v>
      </x:c>
      <x:c r="B15" s="24" t="str">
        <x:v>functional_ppr_difference</x:v>
      </x:c>
      <x:c r="C15" s="24" t="n">
        <x:v>-4791867.19230707</x:v>
      </x:c>
      <x:c r="D15" s="24" t="str">
        <x:v>tonnes_primary_production_equivalent</x:v>
      </x:c>
    </x:row>
    <x:row r="16" ht="18" customHeight="1">
      <x:c r="A16" s="24" t="str">
        <x:v>EEZ_214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EEZ_214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1daf8ddc90b45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EEZ_214 - Dominican Republic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