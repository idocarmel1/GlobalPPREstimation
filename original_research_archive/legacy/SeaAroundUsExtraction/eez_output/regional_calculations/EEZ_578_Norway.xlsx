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69a36ce1f14d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9ef14213af8042cc"/>
    <x:sheet xmlns:r="http://schemas.openxmlformats.org/officeDocument/2006/relationships" name="Commercial" sheetId="2" r:id="R4964b7ef8ff841ef"/>
    <x:sheet xmlns:r="http://schemas.openxmlformats.org/officeDocument/2006/relationships" name="Functional" sheetId="3" r:id="Rebc7e4381bdf47a4"/>
    <x:sheet xmlns:r="http://schemas.openxmlformats.org/officeDocument/2006/relationships" name="Missing TL" sheetId="4" r:id="R2fe1584d5e964649"/>
    <x:sheet xmlns:r="http://schemas.openxmlformats.org/officeDocument/2006/relationships" name="Validation" sheetId="5" r:id="R9bba28b9513c480d"/>
    <x:sheet xmlns:r="http://schemas.openxmlformats.org/officeDocument/2006/relationships" name="Metadata" sheetId="6" r:id="Rd81a5d75e1c349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8fb4604164419b" /><Relationship Type="http://schemas.openxmlformats.org/officeDocument/2006/relationships/theme" Target="/xl/theme/theme1.xml" Id="Rea886583412540eb" /><Relationship Type="http://schemas.microsoft.com/office/2022/11/relationships/FeaturePropertyBag" Target="/xl/featurePropertyBag/featurePropertyBag.xml" Id="R7288864c121c4ff6" /><Relationship Type="http://schemas.openxmlformats.org/officeDocument/2006/relationships/sharedStrings" Target="/xl/sharedStrings.xml" Id="R5b274d48c7454a03" /><Relationship Type="http://schemas.openxmlformats.org/officeDocument/2006/relationships/worksheet" Target="/xl/worksheets/sheet1.xml" Id="R9ef14213af8042cc" /><Relationship Type="http://schemas.openxmlformats.org/officeDocument/2006/relationships/worksheet" Target="/xl/worksheets/sheet2.xml" Id="R4964b7ef8ff841ef" /><Relationship Type="http://schemas.openxmlformats.org/officeDocument/2006/relationships/worksheet" Target="/xl/worksheets/sheet3.xml" Id="Rebc7e4381bdf47a4" /><Relationship Type="http://schemas.openxmlformats.org/officeDocument/2006/relationships/worksheet" Target="/xl/worksheets/sheet4.xml" Id="R2fe1584d5e964649" /><Relationship Type="http://schemas.openxmlformats.org/officeDocument/2006/relationships/worksheet" Target="/xl/worksheets/sheet5.xml" Id="R9bba28b9513c480d" /><Relationship Type="http://schemas.openxmlformats.org/officeDocument/2006/relationships/worksheet" Target="/xl/worksheets/sheet6.xml" Id="Rd81a5d75e1c3498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578SpeciesTable" displayName="EEZ578SpeciesTable" ref="A1:U223" headerRowCount="1" totalsRowCount="0" totalsRowShown="0">
  <x:autoFilter ref="A1:U22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578CommercialTable" displayName="EEZ578CommercialTable" ref="A1:E13" headerRowCount="1" totalsRowCount="0" totalsRowShown="0">
  <x:autoFilter ref="A1:E1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578FunctionalTable" displayName="EEZ578FunctionalTable" ref="A1:E26" headerRowCount="1" totalsRowCount="0" totalsRowShown="0">
  <x:autoFilter ref="A1:E26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578ValidationTable" displayName="EEZ57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4f93efca51446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9ee6071326848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cf1d9d43f574d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c7460930264aa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EEZ_578</x:v>
      </x:c>
      <x:c r="B2" s="24" t="str">
        <x:v>Norway</x:v>
      </x:c>
      <x:c r="C2" s="24" t="str">
        <x:v>EEZ</x:v>
      </x:c>
      <x:c r="D2" s="30" t="n">
        <x:v>2019</x:v>
      </x:c>
      <x:c r="E2" s="24" t="str">
        <x:v>Clupea harengus</x:v>
      </x:c>
      <x:c r="F2" s="24" t="str">
        <x:v>Atlantic herring</x:v>
      </x:c>
      <x:c r="G2" s="24" t="str">
        <x:v>Medium pelagics (30 - 89 cm)</x:v>
      </x:c>
      <x:c r="H2" s="24" t="str">
        <x:v>Herring-likes</x:v>
      </x:c>
      <x:c r="I2" s="31" t="n">
        <x:v>571653.4891790792</x:v>
      </x:c>
      <x:c r="J2" s="31" t="n">
        <x:v>570524.5153202664</x:v>
      </x:c>
      <x:c r="K2" s="31" t="n">
        <x:v>1128.9738588128</x:v>
      </x:c>
      <x:c r="L2" s="31" t="n">
        <x:v>570257.7668455136</x:v>
      </x:c>
      <x:c r="M2" s="31" t="n">
        <x:v>1395.7223335655</x:v>
      </x:c>
      <x:c r="N2" s="24" t="str">
        <x:v>clupea harengus</x:v>
      </x:c>
      <x:c r="O2" s="32" t="n">
        <x:v>3.38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Clupea harengus</x:v>
      </x:c>
      <x:c r="T2" s="32" t="n">
        <x:f>IF(O2="","",(1/'Metadata'!$B$5)^(O2-1))</x:f>
        <x:v>239.88329190194898</x:v>
      </x:c>
      <x:c r="U2" s="31" t="n">
        <x:f>IF(T2="","",I2*T2)</x:f>
        <x:v>137130120.81151268</x:v>
      </x:c>
    </x:row>
    <x:row r="3" ht="18" customHeight="1">
      <x:c r="A3" s="24" t="str">
        <x:v>EEZ_578</x:v>
      </x:c>
      <x:c r="B3" s="24" t="str">
        <x:v>Norway</x:v>
      </x:c>
      <x:c r="C3" s="24" t="str">
        <x:v>EEZ</x:v>
      </x:c>
      <x:c r="D3" s="30" t="n">
        <x:v>2019</x:v>
      </x:c>
      <x:c r="E3" s="24" t="str">
        <x:v>Gadus morhua</x:v>
      </x:c>
      <x:c r="F3" s="24" t="str">
        <x:v>Atlantic cod</x:v>
      </x:c>
      <x:c r="G3" s="24" t="str">
        <x:v>Large benthopelagics (&gt;=90 cm)</x:v>
      </x:c>
      <x:c r="H3" s="24" t="str">
        <x:v>Cod-likes</x:v>
      </x:c>
      <x:c r="I3" s="31" t="n">
        <x:v>444778.5643074513</x:v>
      </x:c>
      <x:c r="J3" s="31" t="n">
        <x:v>441249.0489026962</x:v>
      </x:c>
      <x:c r="K3" s="31" t="n">
        <x:v>3529.5154047551</x:v>
      </x:c>
      <x:c r="L3" s="31" t="n">
        <x:v>416080.7567922342</x:v>
      </x:c>
      <x:c r="M3" s="31" t="n">
        <x:v>28697.8075152171</x:v>
      </x:c>
      <x:c r="N3" s="24" t="str">
        <x:v>gadus morhua</x:v>
      </x:c>
      <x:c r="O3" s="32" t="n">
        <x:v>4.09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Gadus morhua</x:v>
      </x:c>
      <x:c r="T3" s="32" t="n">
        <x:f>IF(O3="","",(1/'Metadata'!$B$5)^(O3-1))</x:f>
        <x:v>1230.268770812381</x:v>
      </x:c>
      <x:c r="U3" s="31" t="n">
        <x:f>IF(T3="","",I3*T3)</x:f>
        <x:v>547197177.5942237</x:v>
      </x:c>
    </x:row>
    <x:row r="4" ht="18" customHeight="1">
      <x:c r="A4" s="24" t="str">
        <x:v>EEZ_578</x:v>
      </x:c>
      <x:c r="B4" s="24" t="str">
        <x:v>Norway</x:v>
      </x:c>
      <x:c r="C4" s="24" t="str">
        <x:v>EEZ</x:v>
      </x:c>
      <x:c r="D4" s="30" t="n">
        <x:v>2019</x:v>
      </x:c>
      <x:c r="E4" s="24" t="str">
        <x:v>Pollachius virens</x:v>
      </x:c>
      <x:c r="F4" s="24" t="str">
        <x:v>Saithe</x:v>
      </x:c>
      <x:c r="G4" s="24" t="str">
        <x:v>Large demersals (&gt;=90 cm)</x:v>
      </x:c>
      <x:c r="H4" s="24" t="str">
        <x:v>Cod-likes</x:v>
      </x:c>
      <x:c r="I4" s="31" t="n">
        <x:v>232749.9499150769</x:v>
      </x:c>
      <x:c r="J4" s="31" t="n">
        <x:v>230337.5663626031</x:v>
      </x:c>
      <x:c r="K4" s="31" t="n">
        <x:v>2412.3835524738</x:v>
      </x:c>
      <x:c r="L4" s="31" t="n">
        <x:v>215024.4458567124</x:v>
      </x:c>
      <x:c r="M4" s="31" t="n">
        <x:v>17725.5040583645</x:v>
      </x:c>
      <x:c r="N4" s="24" t="str">
        <x:v>pollachius virens</x:v>
      </x:c>
      <x:c r="O4" s="32" t="n">
        <x:v>4.31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Pollachius virens</x:v>
      </x:c>
      <x:c r="T4" s="32" t="n">
        <x:f>IF(O4="","",(1/'Metadata'!$B$5)^(O4-1))</x:f>
        <x:v>2041.7379446695275</x:v>
      </x:c>
      <x:c r="U4" s="31" t="n">
        <x:f>IF(T4="","",I4*T4)</x:f>
        <x:v>475214404.36154455</x:v>
      </x:c>
    </x:row>
    <x:row r="5" ht="18" customHeight="1">
      <x:c r="A5" s="24" t="str">
        <x:v>EEZ_578</x:v>
      </x:c>
      <x:c r="B5" s="24" t="str">
        <x:v>Norway</x:v>
      </x:c>
      <x:c r="C5" s="24" t="str">
        <x:v>EEZ</x:v>
      </x:c>
      <x:c r="D5" s="30" t="n">
        <x:v>2019</x:v>
      </x:c>
      <x:c r="E5" s="24" t="str">
        <x:v>Scomber scombrus</x:v>
      </x:c>
      <x:c r="F5" s="24" t="str">
        <x:v>Atlantic mackerel</x:v>
      </x:c>
      <x:c r="G5" s="24" t="str">
        <x:v>Medium pelagics (30 - 89 cm)</x:v>
      </x:c>
      <x:c r="H5" s="24" t="str">
        <x:v>Perch-likes</x:v>
      </x:c>
      <x:c r="I5" s="31" t="n">
        <x:v>155743.2887342298</x:v>
      </x:c>
      <x:c r="J5" s="31" t="n">
        <x:v>155030.4818782418</x:v>
      </x:c>
      <x:c r="K5" s="31" t="n">
        <x:v>712.806855988</x:v>
      </x:c>
      <x:c r="L5" s="31" t="n">
        <x:v>150494.186960161</x:v>
      </x:c>
      <x:c r="M5" s="31" t="n">
        <x:v>5249.1017740688</x:v>
      </x:c>
      <x:c r="N5" s="24" t="str">
        <x:v>scomber scombrus</x:v>
      </x:c>
      <x:c r="O5" s="32" t="n">
        <x:v>3.63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Scomber scombrus</x:v>
      </x:c>
      <x:c r="T5" s="32" t="n">
        <x:f>IF(O5="","",(1/'Metadata'!$B$5)^(O5-1))</x:f>
        <x:v>426.57951880159254</x:v>
      </x:c>
      <x:c r="U5" s="31" t="n">
        <x:f>IF(T5="","",I5*T5)</x:f>
        <x:v>66436897.16482524</x:v>
      </x:c>
    </x:row>
    <x:row r="6" ht="18" customHeight="1">
      <x:c r="A6" s="24" t="str">
        <x:v>EEZ_578</x:v>
      </x:c>
      <x:c r="B6" s="24" t="str">
        <x:v>Norway</x:v>
      </x:c>
      <x:c r="C6" s="24" t="str">
        <x:v>EEZ</x:v>
      </x:c>
      <x:c r="D6" s="30" t="n">
        <x:v>2019</x:v>
      </x:c>
      <x:c r="E6" s="24" t="str">
        <x:v>Melanogrammus aeglefinus</x:v>
      </x:c>
      <x:c r="F6" s="24" t="str">
        <x:v>Haddock</x:v>
      </x:c>
      <x:c r="G6" s="24" t="str">
        <x:v>Medium demersals (30 - 89 cm)</x:v>
      </x:c>
      <x:c r="H6" s="24" t="str">
        <x:v>Cod-likes</x:v>
      </x:c>
      <x:c r="I6" s="31" t="n">
        <x:v>108525.5044420569</x:v>
      </x:c>
      <x:c r="J6" s="31" t="n">
        <x:v>104903.8938253916</x:v>
      </x:c>
      <x:c r="K6" s="31" t="n">
        <x:v>3621.6106166653</x:v>
      </x:c>
      <x:c r="L6" s="31" t="n">
        <x:v>102698.93936287011</x:v>
      </x:c>
      <x:c r="M6" s="31" t="n">
        <x:v>5826.5650791868</x:v>
      </x:c>
      <x:c r="N6" s="24" t="str">
        <x:v>melanogrammus aeglefinus</x:v>
      </x:c>
      <x:c r="O6" s="32" t="n">
        <x:v>4.03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Melanogrammus aeglefinus</x:v>
      </x:c>
      <x:c r="T6" s="32" t="n">
        <x:f>IF(O6="","",(1/'Metadata'!$B$5)^(O6-1))</x:f>
        <x:v>1071.519305237607</x:v>
      </x:c>
      <x:c r="U6" s="31" t="n">
        <x:f>IF(T6="","",I6*T6)</x:f>
        <x:v>116287173.12031366</x:v>
      </x:c>
    </x:row>
    <x:row r="7" ht="18" customHeight="1">
      <x:c r="A7" s="24" t="str">
        <x:v>EEZ_578</x:v>
      </x:c>
      <x:c r="B7" s="24" t="str">
        <x:v>Norway</x:v>
      </x:c>
      <x:c r="C7" s="24" t="str">
        <x:v>EEZ</x:v>
      </x:c>
      <x:c r="D7" s="30" t="n">
        <x:v>2019</x:v>
      </x:c>
      <x:c r="E7" s="24" t="str">
        <x:v>Trisopterus esmarkii</x:v>
      </x:c>
      <x:c r="F7" s="24" t="str">
        <x:v>Norway pout</x:v>
      </x:c>
      <x:c r="G7" s="24" t="str">
        <x:v>Medium benthopelagics (30 - 89 cm)</x:v>
      </x:c>
      <x:c r="H7" s="24" t="str">
        <x:v>Cod-likes</x:v>
      </x:c>
      <x:c r="I7" s="31" t="n">
        <x:v>43628.8806245511</x:v>
      </x:c>
      <x:c r="J7" s="31" t="n">
        <x:v>43614.283721787506</x:v>
      </x:c>
      <x:c r="K7" s="31" t="n">
        <x:v>14.596902763600001</x:v>
      </x:c>
      <x:c r="L7" s="31" t="n">
        <x:v>43614.2496499173</x:v>
      </x:c>
      <x:c r="M7" s="31" t="n">
        <x:v>14.6309746338</x:v>
      </x:c>
      <x:c r="N7" s="24" t="str">
        <x:v>trisopterus esmarkii</x:v>
      </x:c>
      <x:c r="O7" s="32" t="n">
        <x:v>3.24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Trisopterus esmarkii</x:v>
      </x:c>
      <x:c r="T7" s="32" t="n">
        <x:f>IF(O7="","",(1/'Metadata'!$B$5)^(O7-1))</x:f>
        <x:v>173.78008287493762</x:v>
      </x:c>
      <x:c r="U7" s="31" t="n">
        <x:f>IF(T7="","",I7*T7)</x:f>
        <x:v>7581830.49067525</x:v>
      </x:c>
    </x:row>
    <x:row r="8" ht="18" customHeight="1">
      <x:c r="A8" s="24" t="str">
        <x:v>EEZ_578</x:v>
      </x:c>
      <x:c r="B8" s="24" t="str">
        <x:v>Norway</x:v>
      </x:c>
      <x:c r="C8" s="24" t="str">
        <x:v>EEZ</x:v>
      </x:c>
      <x:c r="D8" s="30" t="n">
        <x:v>2019</x:v>
      </x:c>
      <x:c r="E8" s="24" t="str">
        <x:v>Marine fishes not identified</x:v>
      </x:c>
      <x:c r="F8" s="24" t="str">
        <x:v>Marine fishes nei</x:v>
      </x:c>
      <x:c r="G8" s="24" t="str">
        <x:v>Medium demersals (30 - 89 cm)</x:v>
      </x:c>
      <x:c r="H8" s="24" t="str">
        <x:v>Other fishes &amp; inverts</x:v>
      </x:c>
      <x:c r="I8" s="31" t="n">
        <x:v>33076.1347898604</x:v>
      </x:c>
      <x:c r="J8" s="31" t="n">
        <x:v>32711.8192131061</x:v>
      </x:c>
      <x:c r="K8" s="31" t="n">
        <x:v>364.3155767543</x:v>
      </x:c>
      <x:c r="L8" s="31" t="n">
        <x:v>29981.386384814898</x:v>
      </x:c>
      <x:c r="M8" s="31" t="n">
        <x:v>3094.7484050455</x:v>
      </x:c>
      <x:c r="N8" s="24" t="str">
        <x:v>marine fishes not identified</x:v>
      </x:c>
      <x:c r="O8" s="32" t="n">
        <x:v>3.28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Marine fishes not identified</x:v>
      </x:c>
      <x:c r="T8" s="32" t="n">
        <x:f>IF(O8="","",(1/'Metadata'!$B$5)^(O8-1))</x:f>
        <x:v>190.54607179632464</x:v>
      </x:c>
      <x:c r="U8" s="31" t="n">
        <x:f>IF(T8="","",I8*T8)</x:f>
        <x:v>6302527.554413651</x:v>
      </x:c>
    </x:row>
    <x:row r="9" ht="18" customHeight="1">
      <x:c r="A9" s="24" t="str">
        <x:v>EEZ_578</x:v>
      </x:c>
      <x:c r="B9" s="24" t="str">
        <x:v>Norway</x:v>
      </x:c>
      <x:c r="C9" s="24" t="str">
        <x:v>EEZ</x:v>
      </x:c>
      <x:c r="D9" s="30" t="n">
        <x:v>2019</x:v>
      </x:c>
      <x:c r="E9" s="24" t="str">
        <x:v>Sebastes norvegicus</x:v>
      </x:c>
      <x:c r="F9" s="24" t="str">
        <x:v>Golden redfish</x:v>
      </x:c>
      <x:c r="G9" s="24" t="str">
        <x:v>Medium benthopelagics (30 - 89 cm)</x:v>
      </x:c>
      <x:c r="H9" s="24" t="str">
        <x:v>Scorpionfishes</x:v>
      </x:c>
      <x:c r="I9" s="31" t="n">
        <x:v>20407.5257965631</x:v>
      </x:c>
      <x:c r="J9" s="31" t="n">
        <x:v>20172.9359619693</x:v>
      </x:c>
      <x:c r="K9" s="31" t="n">
        <x:v>234.5898345938</x:v>
      </x:c>
      <x:c r="L9" s="31" t="n">
        <x:v>20068.5528185789</x:v>
      </x:c>
      <x:c r="M9" s="31" t="n">
        <x:v>338.9729779842</x:v>
      </x:c>
      <x:c r="N9" s="24" t="str">
        <x:v>sebastes norvegicus</x:v>
      </x:c>
      <x:c r="O9" s="32" t="n">
        <x:v>4.04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Sebastes norvegicus</x:v>
      </x:c>
      <x:c r="T9" s="32" t="n">
        <x:f>IF(O9="","",(1/'Metadata'!$B$5)^(O9-1))</x:f>
        <x:v>1096.4781961431852</x:v>
      </x:c>
      <x:c r="U9" s="31" t="n">
        <x:f>IF(T9="","",I9*T9)</x:f>
        <x:v>22376407.073161025</x:v>
      </x:c>
    </x:row>
    <x:row r="10" ht="18" customHeight="1">
      <x:c r="A10" s="24" t="str">
        <x:v>EEZ_578</x:v>
      </x:c>
      <x:c r="B10" s="24" t="str">
        <x:v>Norway</x:v>
      </x:c>
      <x:c r="C10" s="24" t="str">
        <x:v>EEZ</x:v>
      </x:c>
      <x:c r="D10" s="30" t="n">
        <x:v>2019</x:v>
      </x:c>
      <x:c r="E10" s="24" t="str">
        <x:v>Reinhardtius hippoglossoides</x:v>
      </x:c>
      <x:c r="F10" s="24" t="str">
        <x:v>Greenland halibut</x:v>
      </x:c>
      <x:c r="G10" s="24" t="str">
        <x:v>Small to medium flatfishes (&lt;90 cm)</x:v>
      </x:c>
      <x:c r="H10" s="24" t="str">
        <x:v>Flatfishes</x:v>
      </x:c>
      <x:c r="I10" s="31" t="n">
        <x:v>16312.7857239495</x:v>
      </x:c>
      <x:c r="J10" s="31" t="n">
        <x:v>15519.0911604133</x:v>
      </x:c>
      <x:c r="K10" s="31" t="n">
        <x:v>793.6945635362</x:v>
      </x:c>
      <x:c r="L10" s="31" t="n">
        <x:v>15514.9380850741</x:v>
      </x:c>
      <x:c r="M10" s="31" t="n">
        <x:v>797.8476388754</x:v>
      </x:c>
      <x:c r="N10" s="24" t="str">
        <x:v>reinhardtius hippoglossoides</x:v>
      </x:c>
      <x:c r="O10" s="32" t="n">
        <x:v>4.38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Reinhardtius hippoglossoides</x:v>
      </x:c>
      <x:c r="T10" s="32" t="n">
        <x:f>IF(O10="","",(1/'Metadata'!$B$5)^(O10-1))</x:f>
        <x:v>2398.83291901949</x:v>
      </x:c>
      <x:c r="U10" s="31" t="n">
        <x:f>IF(T10="","",I10*T10)</x:f>
        <x:v>39131647.395521246</x:v>
      </x:c>
    </x:row>
    <x:row r="11" ht="18" customHeight="1">
      <x:c r="A11" s="24" t="str">
        <x:v>EEZ_578</x:v>
      </x:c>
      <x:c r="B11" s="24" t="str">
        <x:v>Norway</x:v>
      </x:c>
      <x:c r="C11" s="24" t="str">
        <x:v>EEZ</x:v>
      </x:c>
      <x:c r="D11" s="30" t="n">
        <x:v>2019</x:v>
      </x:c>
      <x:c r="E11" s="24" t="str">
        <x:v>Pandalus borealis</x:v>
      </x:c>
      <x:c r="F11" s="24" t="str">
        <x:v>Northern prawn</x:v>
      </x:c>
      <x:c r="G11" s="24" t="str">
        <x:v>Shrimps</x:v>
      </x:c>
      <x:c r="H11" s="24" t="str">
        <x:v>Crustaceans</x:v>
      </x:c>
      <x:c r="I11" s="31" t="n">
        <x:v>13777.8140622957</x:v>
      </x:c>
      <x:c r="J11" s="31" t="n">
        <x:v>13522.388143538401</x:v>
      </x:c>
      <x:c r="K11" s="31" t="n">
        <x:v>255.4259187573</x:v>
      </x:c>
      <x:c r="L11" s="31" t="n">
        <x:v>13370.0490363011</x:v>
      </x:c>
      <x:c r="M11" s="31" t="n">
        <x:v>407.7650259946</x:v>
      </x:c>
      <x:c r="N11" s="24" t="str">
        <x:v>pandalus borealis</x:v>
      </x:c>
      <x:c r="O11" s="32" t="n">
        <x:v>3.07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Pandalus borealis</x:v>
      </x:c>
      <x:c r="T11" s="32" t="n">
        <x:f>IF(O11="","",(1/'Metadata'!$B$5)^(O11-1))</x:f>
        <x:v>117.48975549395291</x:v>
      </x:c>
      <x:c r="U11" s="31" t="n">
        <x:f>IF(T11="","",I11*T11)</x:f>
        <x:v>1618752.0054202678</x:v>
      </x:c>
    </x:row>
    <x:row r="12" ht="18" customHeight="1">
      <x:c r="A12" s="24" t="str">
        <x:v>EEZ_578</x:v>
      </x:c>
      <x:c r="B12" s="24" t="str">
        <x:v>Norway</x:v>
      </x:c>
      <x:c r="C12" s="24" t="str">
        <x:v>EEZ</x:v>
      </x:c>
      <x:c r="D12" s="30" t="n">
        <x:v>2019</x:v>
      </x:c>
      <x:c r="E12" s="24" t="str">
        <x:v>Sebastes mentella</x:v>
      </x:c>
      <x:c r="F12" s="24" t="str">
        <x:v>Beaked redfish</x:v>
      </x:c>
      <x:c r="G12" s="24" t="str">
        <x:v>Medium bathypelagics (30 - 89 cm)</x:v>
      </x:c>
      <x:c r="H12" s="24" t="str">
        <x:v>Scorpionfishes</x:v>
      </x:c>
      <x:c r="I12" s="31" t="n">
        <x:v>10359.4420446998</x:v>
      </x:c>
      <x:c r="J12" s="31" t="n">
        <x:v>10276.9527378222</x:v>
      </x:c>
      <x:c r="K12" s="31" t="n">
        <x:v>82.4893068776</x:v>
      </x:c>
      <x:c r="L12" s="31" t="n">
        <x:v>10275.672420647199</x:v>
      </x:c>
      <x:c r="M12" s="31" t="n">
        <x:v>83.7696240526</x:v>
      </x:c>
      <x:c r="N12" s="24" t="str">
        <x:v>sebastes mentella</x:v>
      </x:c>
      <x:c r="O12" s="32" t="n">
        <x:v>3.65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Sebastes mentella</x:v>
      </x:c>
      <x:c r="T12" s="32" t="n">
        <x:f>IF(O12="","",(1/'Metadata'!$B$5)^(O12-1))</x:f>
        <x:v>446.683592150963</x:v>
      </x:c>
      <x:c r="U12" s="31" t="n">
        <x:f>IF(T12="","",I12*T12)</x:f>
        <x:v>4627392.785206224</x:v>
      </x:c>
    </x:row>
    <x:row r="13" ht="18" customHeight="1">
      <x:c r="A13" s="24" t="str">
        <x:v>EEZ_578</x:v>
      </x:c>
      <x:c r="B13" s="24" t="str">
        <x:v>Norway</x:v>
      </x:c>
      <x:c r="C13" s="24" t="str">
        <x:v>EEZ</x:v>
      </x:c>
      <x:c r="D13" s="30" t="n">
        <x:v>2019</x:v>
      </x:c>
      <x:c r="E13" s="24" t="str">
        <x:v>Micromesistius poutassou</x:v>
      </x:c>
      <x:c r="F13" s="24" t="str">
        <x:v>Blue whiting</x:v>
      </x:c>
      <x:c r="G13" s="24" t="str">
        <x:v>Medium benthopelagics (30 - 89 cm)</x:v>
      </x:c>
      <x:c r="H13" s="24" t="str">
        <x:v>Cod-likes</x:v>
      </x:c>
      <x:c r="I13" s="31" t="n">
        <x:v>9641.2392011104</x:v>
      </x:c>
      <x:c r="J13" s="31" t="n">
        <x:v>9574.1973557816</x:v>
      </x:c>
      <x:c r="K13" s="31" t="n">
        <x:v>67.04184532880001</x:v>
      </x:c>
      <x:c r="L13" s="31" t="n">
        <x:v>9569.2263006441</x:v>
      </x:c>
      <x:c r="M13" s="31" t="n">
        <x:v>72.01290046630001</x:v>
      </x:c>
      <x:c r="N13" s="24" t="str">
        <x:v>micromesistius poutassou</x:v>
      </x:c>
      <x:c r="O13" s="32" t="n">
        <x:v>4.13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Micromesistius poutassou</x:v>
      </x:c>
      <x:c r="T13" s="32" t="n">
        <x:f>IF(O13="","",(1/'Metadata'!$B$5)^(O13-1))</x:f>
        <x:v>1348.9628825916532</x:v>
      </x:c>
      <x:c r="U13" s="31" t="n">
        <x:f>IF(T13="","",I13*T13)</x:f>
        <x:v>13005673.824485533</x:v>
      </x:c>
    </x:row>
    <x:row r="14" ht="18" customHeight="1">
      <x:c r="A14" s="24" t="str">
        <x:v>EEZ_578</x:v>
      </x:c>
      <x:c r="B14" s="24" t="str">
        <x:v>Norway</x:v>
      </x:c>
      <x:c r="C14" s="24" t="str">
        <x:v>EEZ</x:v>
      </x:c>
      <x:c r="D14" s="30" t="n">
        <x:v>2019</x:v>
      </x:c>
      <x:c r="E14" s="24" t="str">
        <x:v>Molva molva</x:v>
      </x:c>
      <x:c r="F14" s="24" t="str">
        <x:v>Ling</x:v>
      </x:c>
      <x:c r="G14" s="24" t="str">
        <x:v>Large demersals (&gt;=90 cm)</x:v>
      </x:c>
      <x:c r="H14" s="24" t="str">
        <x:v>Cod-likes</x:v>
      </x:c>
      <x:c r="I14" s="31" t="n">
        <x:v>6494.0495327816</x:v>
      </x:c>
      <x:c r="J14" s="31" t="n">
        <x:v>6461.8582908363</x:v>
      </x:c>
      <x:c r="K14" s="31" t="n">
        <x:v>32.1912419453</x:v>
      </x:c>
      <x:c r="L14" s="31" t="n">
        <x:v>4993.395584256999</x:v>
      </x:c>
      <x:c r="M14" s="31" t="n">
        <x:v>1500.6539485245999</x:v>
      </x:c>
      <x:c r="N14" s="24" t="str">
        <x:v>molva molva</x:v>
      </x:c>
      <x:c r="O14" s="32" t="n">
        <x:v>4.4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Molva molva</x:v>
      </x:c>
      <x:c r="T14" s="32" t="n">
        <x:f>IF(O14="","",(1/'Metadata'!$B$5)^(O14-1))</x:f>
        <x:v>2511.886431509582</x:v>
      </x:c>
      <x:c r="U14" s="31" t="n">
        <x:f>IF(T14="","",I14*T14)</x:f>
        <x:v>16312314.906945242</x:v>
      </x:c>
    </x:row>
    <x:row r="15" ht="18" customHeight="1">
      <x:c r="A15" s="24" t="str">
        <x:v>EEZ_578</x:v>
      </x:c>
      <x:c r="B15" s="24" t="str">
        <x:v>Norway</x:v>
      </x:c>
      <x:c r="C15" s="24" t="str">
        <x:v>EEZ</x:v>
      </x:c>
      <x:c r="D15" s="30" t="n">
        <x:v>2019</x:v>
      </x:c>
      <x:c r="E15" s="24" t="str">
        <x:v>Pleuronectes platessa</x:v>
      </x:c>
      <x:c r="F15" s="24" t="str">
        <x:v>European plaice</x:v>
      </x:c>
      <x:c r="G15" s="24" t="str">
        <x:v>Large flatfishes (&gt;=90 cm)</x:v>
      </x:c>
      <x:c r="H15" s="24" t="str">
        <x:v>Flatfishes</x:v>
      </x:c>
      <x:c r="I15" s="31" t="n">
        <x:v>5919.6986277315</x:v>
      </x:c>
      <x:c r="J15" s="31" t="n">
        <x:v>5874.0363165469</x:v>
      </x:c>
      <x:c r="K15" s="31" t="n">
        <x:v>45.6623111846</x:v>
      </x:c>
      <x:c r="L15" s="31" t="n">
        <x:v>5826.1416805461</x:v>
      </x:c>
      <x:c r="M15" s="31" t="n">
        <x:v>93.55694718539999</x:v>
      </x:c>
      <x:c r="N15" s="24" t="str">
        <x:v>pleuronectes platessa</x:v>
      </x:c>
      <x:c r="O15" s="32" t="n">
        <x:v>3.26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Pleuronectes platessa</x:v>
      </x:c>
      <x:c r="T15" s="32" t="n">
        <x:f>IF(O15="","",(1/'Metadata'!$B$5)^(O15-1))</x:f>
        <x:v>181.97008586099827</x:v>
      </x:c>
      <x:c r="U15" s="31" t="n">
        <x:f>IF(T15="","",I15*T15)</x:f>
        <x:v>1077208.0675595347</x:v>
      </x:c>
    </x:row>
    <x:row r="16" ht="18" customHeight="1">
      <x:c r="A16" s="24" t="str">
        <x:v>EEZ_578</x:v>
      </x:c>
      <x:c r="B16" s="24" t="str">
        <x:v>Norway</x:v>
      </x:c>
      <x:c r="C16" s="24" t="str">
        <x:v>EEZ</x:v>
      </x:c>
      <x:c r="D16" s="30" t="n">
        <x:v>2019</x:v>
      </x:c>
      <x:c r="E16" s="24" t="str">
        <x:v>Brosme brosme</x:v>
      </x:c>
      <x:c r="F16" s="24" t="str">
        <x:v>Tusk</x:v>
      </x:c>
      <x:c r="G16" s="24" t="str">
        <x:v>Large demersals (&gt;=90 cm)</x:v>
      </x:c>
      <x:c r="H16" s="24" t="str">
        <x:v>Cod-likes</x:v>
      </x:c>
      <x:c r="I16" s="31" t="n">
        <x:v>4315.3508976752</x:v>
      </x:c>
      <x:c r="J16" s="31" t="n">
        <x:v>4311.936112086601</x:v>
      </x:c>
      <x:c r="K16" s="31" t="n">
        <x:v>3.4147855886</x:v>
      </x:c>
      <x:c r="L16" s="31" t="n">
        <x:v>2931.4545991865</x:v>
      </x:c>
      <x:c r="M16" s="31" t="n">
        <x:v>1383.8962984887</x:v>
      </x:c>
      <x:c r="N16" s="24" t="str">
        <x:v>brosme brosme</x:v>
      </x:c>
      <x:c r="O16" s="32" t="n">
        <x:v>3.9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Brosme brosme</x:v>
      </x:c>
      <x:c r="T16" s="32" t="n">
        <x:f>IF(O16="","",(1/'Metadata'!$B$5)^(O16-1))</x:f>
        <x:v>794.3282347242813</x:v>
      </x:c>
      <x:c r="U16" s="31" t="n">
        <x:f>IF(T16="","",I16*T16)</x:f>
        <x:v>3427805.0607661842</x:v>
      </x:c>
    </x:row>
    <x:row r="17" ht="18" customHeight="1">
      <x:c r="A17" s="24" t="str">
        <x:v>EEZ_578</x:v>
      </x:c>
      <x:c r="B17" s="24" t="str">
        <x:v>Norway</x:v>
      </x:c>
      <x:c r="C17" s="24" t="str">
        <x:v>EEZ</x:v>
      </x:c>
      <x:c r="D17" s="30" t="n">
        <x:v>2019</x:v>
      </x:c>
      <x:c r="E17" s="24" t="str">
        <x:v>Nephrops norvegicus</x:v>
      </x:c>
      <x:c r="F17" s="24" t="str">
        <x:v>Norway lobster</x:v>
      </x:c>
      <x:c r="G17" s="24" t="str">
        <x:v>Lobsters, crabs</x:v>
      </x:c>
      <x:c r="H17" s="24" t="str">
        <x:v>Crustaceans</x:v>
      </x:c>
      <x:c r="I17" s="31" t="n">
        <x:v>3181.6017792984</x:v>
      </x:c>
      <x:c r="J17" s="31" t="n">
        <x:v>3118.254298886</x:v>
      </x:c>
      <x:c r="K17" s="31" t="n">
        <x:v>63.347480412399996</x:v>
      </x:c>
      <x:c r="L17" s="31" t="n">
        <x:v>3116.0784250324</x:v>
      </x:c>
      <x:c r="M17" s="31" t="n">
        <x:v>65.523354266</x:v>
      </x:c>
      <x:c r="N17" s="24" t="str">
        <x:v>nephrops norvegicus</x:v>
      </x:c>
      <x:c r="O17" s="32" t="n">
        <x:v>2.87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Nephrops norvegicus</x:v>
      </x:c>
      <x:c r="T17" s="32" t="n">
        <x:f>IF(O17="","",(1/'Metadata'!$B$5)^(O17-1))</x:f>
        <x:v>74.13102413009177</x:v>
      </x:c>
      <x:c r="U17" s="31" t="n">
        <x:f>IF(T17="","",I17*T17)</x:f>
        <x:v>235855.3982735126</x:v>
      </x:c>
    </x:row>
    <x:row r="18" ht="18" customHeight="1">
      <x:c r="A18" s="24" t="str">
        <x:v>EEZ_578</x:v>
      </x:c>
      <x:c r="B18" s="24" t="str">
        <x:v>Norway</x:v>
      </x:c>
      <x:c r="C18" s="24" t="str">
        <x:v>EEZ</x:v>
      </x:c>
      <x:c r="D18" s="30" t="n">
        <x:v>2019</x:v>
      </x:c>
      <x:c r="E18" s="24" t="str">
        <x:v>Trachurus trachurus</x:v>
      </x:c>
      <x:c r="F18" s="24" t="str">
        <x:v>Atlantic horse mackerel</x:v>
      </x:c>
      <x:c r="G18" s="24" t="str">
        <x:v>Medium pelagics (30 - 89 cm)</x:v>
      </x:c>
      <x:c r="H18" s="24" t="str">
        <x:v>Perch-likes</x:v>
      </x:c>
      <x:c r="I18" s="31" t="n">
        <x:v>3046.4347673708</x:v>
      </x:c>
      <x:c r="J18" s="31" t="n">
        <x:v>2843.1346031928</x:v>
      </x:c>
      <x:c r="K18" s="31" t="n">
        <x:v>203.300164178</x:v>
      </x:c>
      <x:c r="L18" s="31" t="n">
        <x:v>2842.2516347588</x:v>
      </x:c>
      <x:c r="M18" s="31" t="n">
        <x:v>204.18313261199998</x:v>
      </x:c>
      <x:c r="N18" s="24" t="str">
        <x:v>trachurus trachurus</x:v>
      </x:c>
      <x:c r="O18" s="32" t="n">
        <x:v>3.71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Trachurus trachurus</x:v>
      </x:c>
      <x:c r="T18" s="32" t="n">
        <x:f>IF(O18="","",(1/'Metadata'!$B$5)^(O18-1))</x:f>
        <x:v>512.8613839913648</x:v>
      </x:c>
      <x:c r="U18" s="31" t="n">
        <x:f>IF(T18="","",I18*T18)</x:f>
        <x:v>1562398.7510332</x:v>
      </x:c>
    </x:row>
    <x:row r="19" ht="18" customHeight="1">
      <x:c r="A19" s="24" t="str">
        <x:v>EEZ_578</x:v>
      </x:c>
      <x:c r="B19" s="24" t="str">
        <x:v>Norway</x:v>
      </x:c>
      <x:c r="C19" s="24" t="str">
        <x:v>EEZ</x:v>
      </x:c>
      <x:c r="D19" s="30" t="n">
        <x:v>2019</x:v>
      </x:c>
      <x:c r="E19" s="24" t="str">
        <x:v>Merluccius merluccius</x:v>
      </x:c>
      <x:c r="F19" s="24" t="str">
        <x:v>European hake</x:v>
      </x:c>
      <x:c r="G19" s="24" t="str">
        <x:v>Large demersals (&gt;=90 cm)</x:v>
      </x:c>
      <x:c r="H19" s="24" t="str">
        <x:v>Cod-likes</x:v>
      </x:c>
      <x:c r="I19" s="31" t="n">
        <x:v>2913.1036595711</x:v>
      </x:c>
      <x:c r="J19" s="31" t="n">
        <x:v>2911.3680148582</x:v>
      </x:c>
      <x:c r="K19" s="31" t="n">
        <x:v>1.7356447128999999</x:v>
      </x:c>
      <x:c r="L19" s="31" t="n">
        <x:v>2910.9114875716</x:v>
      </x:c>
      <x:c r="M19" s="31" t="n">
        <x:v>2.1921719994999997</x:v>
      </x:c>
      <x:c r="N19" s="24" t="str">
        <x:v>merluccius merluccius</x:v>
      </x:c>
      <x:c r="O19" s="32" t="n">
        <x:v>4.42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Merluccius merluccius</x:v>
      </x:c>
      <x:c r="T19" s="32" t="n">
        <x:f>IF(O19="","",(1/'Metadata'!$B$5)^(O19-1))</x:f>
        <x:v>2630.2679918953813</x:v>
      </x:c>
      <x:c r="U19" s="31" t="n">
        <x:f>IF(T19="","",I19*T19)</x:f>
        <x:v>7662243.3128431635</x:v>
      </x:c>
    </x:row>
    <x:row r="20" ht="18" customHeight="1">
      <x:c r="A20" s="24" t="str">
        <x:v>EEZ_578</x:v>
      </x:c>
      <x:c r="B20" s="24" t="str">
        <x:v>Norway</x:v>
      </x:c>
      <x:c r="C20" s="24" t="str">
        <x:v>EEZ</x:v>
      </x:c>
      <x:c r="D20" s="30" t="n">
        <x:v>2019</x:v>
      </x:c>
      <x:c r="E20" s="24" t="str">
        <x:v>Anarhichas denticulatus</x:v>
      </x:c>
      <x:c r="F20" s="24" t="str">
        <x:v>Northern wolffish</x:v>
      </x:c>
      <x:c r="G20" s="24" t="str">
        <x:v>Large benthopelagics (&gt;=90 cm)</x:v>
      </x:c>
      <x:c r="H20" s="24" t="str">
        <x:v>Perch-likes</x:v>
      </x:c>
      <x:c r="I20" s="31" t="n">
        <x:v>2439.0336207523</x:v>
      </x:c>
      <x:c r="J20" s="31" t="n">
        <x:v>2439.0336207523</x:v>
      </x:c>
      <x:c r="K20" s="31" t="n">
        <x:v>0</x:v>
      </x:c>
      <x:c r="L20" s="31" t="n">
        <x:v>2436.9597753101</x:v>
      </x:c>
      <x:c r="M20" s="31" t="n">
        <x:v>2.0738454422</x:v>
      </x:c>
      <x:c r="N20" s="24" t="str">
        <x:v>anarhichas denticulatus</x:v>
      </x:c>
      <x:c r="O20" s="32" t="n">
        <x:v>3.75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Anarhichas denticulatus</x:v>
      </x:c>
      <x:c r="T20" s="32" t="n">
        <x:f>IF(O20="","",(1/'Metadata'!$B$5)^(O20-1))</x:f>
        <x:v>562.341325190349</x:v>
      </x:c>
      <x:c r="U20" s="31" t="n">
        <x:f>IF(T20="","",I20*T20)</x:f>
        <x:v>1371569.3984776635</x:v>
      </x:c>
    </x:row>
    <x:row r="21" ht="18" customHeight="1">
      <x:c r="A21" s="24" t="str">
        <x:v>EEZ_578</x:v>
      </x:c>
      <x:c r="B21" s="24" t="str">
        <x:v>Norway</x:v>
      </x:c>
      <x:c r="C21" s="24" t="str">
        <x:v>EEZ</x:v>
      </x:c>
      <x:c r="D21" s="30" t="n">
        <x:v>2019</x:v>
      </x:c>
      <x:c r="E21" s="24" t="str">
        <x:v>Paralithodes camtschaticus</x:v>
      </x:c>
      <x:c r="F21" s="24" t="str">
        <x:v>Red king crab</x:v>
      </x:c>
      <x:c r="G21" s="24" t="str">
        <x:v>Lobsters, crabs</x:v>
      </x:c>
      <x:c r="H21" s="24" t="str">
        <x:v>Crustaceans</x:v>
      </x:c>
      <x:c r="I21" s="31" t="n">
        <x:v>2418.247542048</x:v>
      </x:c>
      <x:c r="J21" s="31" t="n">
        <x:v>2311.4561257766</x:v>
      </x:c>
      <x:c r="K21" s="31" t="n">
        <x:v>106.7914162714</x:v>
      </x:c>
      <x:c r="L21" s="31" t="n">
        <x:v>2293.0337824496</x:v>
      </x:c>
      <x:c r="M21" s="31" t="n">
        <x:v>125.21375959839999</x:v>
      </x:c>
      <x:c r="N21" s="24" t="str">
        <x:v>paralithodes camtschaticus</x:v>
      </x:c>
      <x:c r="O21" s="32" t="n">
        <x:v>3.7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Paralithodes camtschaticus</x:v>
      </x:c>
      <x:c r="T21" s="32" t="n">
        <x:f>IF(O21="","",(1/'Metadata'!$B$5)^(O21-1))</x:f>
        <x:v>501.18723362727246</x:v>
      </x:c>
      <x:c r="U21" s="31" t="n">
        <x:f>IF(T21="","",I21*T21)</x:f>
        <x:v>1211994.7958249883</x:v>
      </x:c>
    </x:row>
    <x:row r="22" ht="18" customHeight="1">
      <x:c r="A22" s="24" t="str">
        <x:v>EEZ_578</x:v>
      </x:c>
      <x:c r="B22" s="24" t="str">
        <x:v>Norway</x:v>
      </x:c>
      <x:c r="C22" s="24" t="str">
        <x:v>EEZ</x:v>
      </x:c>
      <x:c r="D22" s="30" t="n">
        <x:v>2019</x:v>
      </x:c>
      <x:c r="E22" s="24" t="str">
        <x:v>Sprattus sprattus</x:v>
      </x:c>
      <x:c r="F22" s="24" t="str">
        <x:v>European sprat</x:v>
      </x:c>
      <x:c r="G22" s="24" t="str">
        <x:v>Small pelagics (&lt;30 cm)</x:v>
      </x:c>
      <x:c r="H22" s="24" t="str">
        <x:v>Herring-likes</x:v>
      </x:c>
      <x:c r="I22" s="31" t="n">
        <x:v>2093.343065792</x:v>
      </x:c>
      <x:c r="J22" s="31" t="n">
        <x:v>2091.5119389126</x:v>
      </x:c>
      <x:c r="K22" s="31" t="n">
        <x:v>1.8311268794</x:v>
      </x:c>
      <x:c r="L22" s="31" t="n">
        <x:v>2091.2563365604</x:v>
      </x:c>
      <x:c r="M22" s="31" t="n">
        <x:v>2.0867292316</x:v>
      </x:c>
      <x:c r="N22" s="24" t="str">
        <x:v>sprattus sprattus</x:v>
      </x:c>
      <x:c r="O22" s="32" t="n">
        <x:v>3.01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Sprattus sprattus</x:v>
      </x:c>
      <x:c r="T22" s="32" t="n">
        <x:f>IF(O22="","",(1/'Metadata'!$B$5)^(O22-1))</x:f>
        <x:v>102.32929922807536</x:v>
      </x:c>
      <x:c r="U22" s="31" t="n">
        <x:f>IF(T22="","",I22*T22)</x:f>
        <x:v>214210.3289664462</x:v>
      </x:c>
    </x:row>
    <x:row r="23" ht="18" customHeight="1">
      <x:c r="A23" s="24" t="str">
        <x:v>EEZ_578</x:v>
      </x:c>
      <x:c r="B23" s="24" t="str">
        <x:v>Norway</x:v>
      </x:c>
      <x:c r="C23" s="24" t="str">
        <x:v>EEZ</x:v>
      </x:c>
      <x:c r="D23" s="30" t="n">
        <x:v>2019</x:v>
      </x:c>
      <x:c r="E23" s="24" t="str">
        <x:v>Anarhichas minor</x:v>
      </x:c>
      <x:c r="F23" s="24" t="str">
        <x:v>Spotted wolffish</x:v>
      </x:c>
      <x:c r="G23" s="24" t="str">
        <x:v>Large demersals (&gt;=90 cm)</x:v>
      </x:c>
      <x:c r="H23" s="24" t="str">
        <x:v>Perch-likes</x:v>
      </x:c>
      <x:c r="I23" s="31" t="n">
        <x:v>1551.2204104659</x:v>
      </x:c>
      <x:c r="J23" s="31" t="n">
        <x:v>1551.2204104659</x:v>
      </x:c>
      <x:c r="K23" s="31" t="n">
        <x:v>0</x:v>
      </x:c>
      <x:c r="L23" s="31" t="n">
        <x:v>1547.0902934459</x:v>
      </x:c>
      <x:c r="M23" s="31" t="n">
        <x:v>4.13011702</x:v>
      </x:c>
      <x:c r="N23" s="24" t="str">
        <x:v>anarhichas minor</x:v>
      </x:c>
      <x:c r="O23" s="32" t="n">
        <x:v>3.45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Anarhichas minor</x:v>
      </x:c>
      <x:c r="T23" s="32" t="n">
        <x:f>IF(O23="","",(1/'Metadata'!$B$5)^(O23-1))</x:f>
        <x:v>281.8382931264455</x:v>
      </x:c>
      <x:c r="U23" s="31" t="n">
        <x:f>IF(T23="","",I23*T23)</x:f>
        <x:v>437193.31274861336</x:v>
      </x:c>
    </x:row>
    <x:row r="24" ht="18" customHeight="1">
      <x:c r="A24" s="24" t="str">
        <x:v>EEZ_578</x:v>
      </x:c>
      <x:c r="B24" s="24" t="str">
        <x:v>Norway</x:v>
      </x:c>
      <x:c r="C24" s="24" t="str">
        <x:v>EEZ</x:v>
      </x:c>
      <x:c r="D24" s="30" t="n">
        <x:v>2019</x:v>
      </x:c>
      <x:c r="E24" s="24" t="str">
        <x:v>Sebastes</x:v>
      </x:c>
      <x:c r="F24" s="24" t="str">
        <x:v>Redfishes</x:v>
      </x:c>
      <x:c r="G24" s="24" t="str">
        <x:v>Large reef assoc. fish (&gt;=90 cm)</x:v>
      </x:c>
      <x:c r="H24" s="24" t="str">
        <x:v>Scorpionfishes</x:v>
      </x:c>
      <x:c r="I24" s="31" t="n">
        <x:v>1549.0787276274</x:v>
      </x:c>
      <x:c r="J24" s="31" t="n">
        <x:v>781.6876591211</x:v>
      </x:c>
      <x:c r="K24" s="31" t="n">
        <x:v>767.3910685063</x:v>
      </x:c>
      <x:c r="L24" s="31" t="n">
        <x:v>781.4880219445</x:v>
      </x:c>
      <x:c r="M24" s="31" t="n">
        <x:v>767.5907056829001</x:v>
      </x:c>
      <x:c r="N24" s="24" t="str">
        <x:v>sebastes</x:v>
      </x:c>
      <x:c r="O24" s="32" t="n">
        <x:v>3.79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Sebastes</x:v>
      </x:c>
      <x:c r="T24" s="32" t="n">
        <x:f>IF(O24="","",(1/'Metadata'!$B$5)^(O24-1))</x:f>
        <x:v>616.5950018614822</x:v>
      </x:c>
      <x:c r="U24" s="31" t="n">
        <x:f>IF(T24="","",I24*T24)</x:f>
        <x:v>955154.2009449991</x:v>
      </x:c>
    </x:row>
    <x:row r="25" ht="18" customHeight="1">
      <x:c r="A25" s="24" t="str">
        <x:v>EEZ_578</x:v>
      </x:c>
      <x:c r="B25" s="24" t="str">
        <x:v>Norway</x:v>
      </x:c>
      <x:c r="C25" s="24" t="str">
        <x:v>EEZ</x:v>
      </x:c>
      <x:c r="D25" s="30" t="n">
        <x:v>2019</x:v>
      </x:c>
      <x:c r="E25" s="24" t="str">
        <x:v>Merlangius merlangus</x:v>
      </x:c>
      <x:c r="F25" s="24" t="str">
        <x:v>Whiting</x:v>
      </x:c>
      <x:c r="G25" s="24" t="str">
        <x:v>Medium benthopelagics (30 - 89 cm)</x:v>
      </x:c>
      <x:c r="H25" s="24" t="str">
        <x:v>Cod-likes</x:v>
      </x:c>
      <x:c r="I25" s="31" t="n">
        <x:v>993.4932964864</x:v>
      </x:c>
      <x:c r="J25" s="31" t="n">
        <x:v>800.4169470753</x:v>
      </x:c>
      <x:c r="K25" s="31" t="n">
        <x:v>193.0763494111</x:v>
      </x:c>
      <x:c r="L25" s="31" t="n">
        <x:v>789.0876475745999</x:v>
      </x:c>
      <x:c r="M25" s="31" t="n">
        <x:v>204.40564891180003</x:v>
      </x:c>
      <x:c r="N25" s="24" t="str">
        <x:v>merlangius merlangus</x:v>
      </x:c>
      <x:c r="O25" s="32" t="n">
        <x:v>4.36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Merlangius merlangus</x:v>
      </x:c>
      <x:c r="T25" s="32" t="n">
        <x:f>IF(O25="","",(1/'Metadata'!$B$5)^(O25-1))</x:f>
        <x:v>2290.867652767775</x:v>
      </x:c>
      <x:c r="U25" s="31" t="n">
        <x:f>IF(T25="","",I25*T25)</x:f>
        <x:v>2275961.6561623183</x:v>
      </x:c>
    </x:row>
    <x:row r="26" ht="18" customHeight="1">
      <x:c r="A26" s="24" t="str">
        <x:v>EEZ_578</x:v>
      </x:c>
      <x:c r="B26" s="24" t="str">
        <x:v>Norway</x:v>
      </x:c>
      <x:c r="C26" s="24" t="str">
        <x:v>EEZ</x:v>
      </x:c>
      <x:c r="D26" s="30" t="n">
        <x:v>2019</x:v>
      </x:c>
      <x:c r="E26" s="24" t="str">
        <x:v>Chionoecetes opilio</x:v>
      </x:c>
      <x:c r="F26" s="24" t="str">
        <x:v>Snow crab</x:v>
      </x:c>
      <x:c r="G26" s="24" t="str">
        <x:v>Lobsters, crabs</x:v>
      </x:c>
      <x:c r="H26" s="24" t="str">
        <x:v>Crustaceans</x:v>
      </x:c>
      <x:c r="I26" s="31" t="n">
        <x:v>967.5330654382</x:v>
      </x:c>
      <x:c r="J26" s="31" t="n">
        <x:v>897.5889693185</x:v>
      </x:c>
      <x:c r="K26" s="31" t="n">
        <x:v>69.9440961197</x:v>
      </x:c>
      <x:c r="L26" s="31" t="n">
        <x:v>878.4271772459</x:v>
      </x:c>
      <x:c r="M26" s="31" t="n">
        <x:v>89.1058881923</x:v>
      </x:c>
      <x:c r="N26" s="24" t="str">
        <x:v>chionoecetes opilio</x:v>
      </x:c>
      <x:c r="O26" s="32" t="n">
        <x:v>3.54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Chionoecetes opilio</x:v>
      </x:c>
      <x:c r="T26" s="32" t="n">
        <x:f>IF(O26="","",(1/'Metadata'!$B$5)^(O26-1))</x:f>
        <x:v>346.73685045253166</x:v>
      </x:c>
      <x:c r="U26" s="31" t="n">
        <x:f>IF(T26="","",I26*T26)</x:f>
        <x:v>335479.36781872466</x:v>
      </x:c>
    </x:row>
    <x:row r="27" ht="18" customHeight="1">
      <x:c r="A27" s="24" t="str">
        <x:v>EEZ_578</x:v>
      </x:c>
      <x:c r="B27" s="24" t="str">
        <x:v>Norway</x:v>
      </x:c>
      <x:c r="C27" s="24" t="str">
        <x:v>EEZ</x:v>
      </x:c>
      <x:c r="D27" s="30" t="n">
        <x:v>2019</x:v>
      </x:c>
      <x:c r="E27" s="24" t="str">
        <x:v>Lophiidae</x:v>
      </x:c>
      <x:c r="F27" s="24" t="str">
        <x:v>Goosefishes</x:v>
      </x:c>
      <x:c r="G27" s="24" t="str">
        <x:v>Medium bathydemersals (30 - 89 cm)</x:v>
      </x:c>
      <x:c r="H27" s="24" t="str">
        <x:v>Other fishes &amp; inverts</x:v>
      </x:c>
      <x:c r="I27" s="31" t="n">
        <x:v>950.5156679228</x:v>
      </x:c>
      <x:c r="J27" s="31" t="n">
        <x:v>950.1428243457</x:v>
      </x:c>
      <x:c r="K27" s="31" t="n">
        <x:v>0.3728435771</x:v>
      </x:c>
      <x:c r="L27" s="31" t="n">
        <x:v>949.3923192038</x:v>
      </x:c>
      <x:c r="M27" s="31" t="n">
        <x:v>1.123348719</x:v>
      </x:c>
      <x:c r="N27" s="24" t="str">
        <x:v>lophiidae</x:v>
      </x:c>
      <x:c r="O27" s="32" t="n">
        <x:v>4.46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Lophiidae</x:v>
      </x:c>
      <x:c r="T27" s="32" t="n">
        <x:f>IF(O27="","",(1/'Metadata'!$B$5)^(O27-1))</x:f>
        <x:v>2884.031503126606</x:v>
      </x:c>
      <x:c r="U27" s="31" t="n">
        <x:f>IF(T27="","",I27*T27)</x:f>
        <x:v>2741317.130504783</x:v>
      </x:c>
    </x:row>
    <x:row r="28" ht="18" customHeight="1">
      <x:c r="A28" s="24" t="str">
        <x:v>EEZ_578</x:v>
      </x:c>
      <x:c r="B28" s="24" t="str">
        <x:v>Norway</x:v>
      </x:c>
      <x:c r="C28" s="24" t="str">
        <x:v>EEZ</x:v>
      </x:c>
      <x:c r="D28" s="30" t="n">
        <x:v>2019</x:v>
      </x:c>
      <x:c r="E28" s="24" t="str">
        <x:v>Lophius piscatorius</x:v>
      </x:c>
      <x:c r="F28" s="24" t="str">
        <x:v>Angler</x:v>
      </x:c>
      <x:c r="G28" s="24" t="str">
        <x:v>Large bathydemersals (&gt;=90 cm)</x:v>
      </x:c>
      <x:c r="H28" s="24" t="str">
        <x:v>Other fishes &amp; inverts</x:v>
      </x:c>
      <x:c r="I28" s="31" t="n">
        <x:v>817.4407784407</x:v>
      </x:c>
      <x:c r="J28" s="31" t="n">
        <x:v>815.4301374193001</x:v>
      </x:c>
      <x:c r="K28" s="31" t="n">
        <x:v>2.0106410214</x:v>
      </x:c>
      <x:c r="L28" s="31" t="n">
        <x:v>815.0485454733</x:v>
      </x:c>
      <x:c r="M28" s="31" t="n">
        <x:v>2.3922329674</x:v>
      </x:c>
      <x:c r="N28" s="24" t="str">
        <x:v>lophius piscatorius</x:v>
      </x:c>
      <x:c r="O28" s="32" t="n">
        <x:v>4.45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Lophius piscatorius</x:v>
      </x:c>
      <x:c r="T28" s="32" t="n">
        <x:f>IF(O28="","",(1/'Metadata'!$B$5)^(O28-1))</x:f>
        <x:v>2818.382931264455</x:v>
      </x:c>
      <x:c r="U28" s="31" t="n">
        <x:f>IF(T28="","",I28*T28)</x:f>
        <x:v>2303861.137276798</x:v>
      </x:c>
    </x:row>
    <x:row r="29" ht="18" customHeight="1">
      <x:c r="A29" s="24" t="str">
        <x:v>EEZ_578</x:v>
      </x:c>
      <x:c r="B29" s="24" t="str">
        <x:v>Norway</x:v>
      </x:c>
      <x:c r="C29" s="24" t="str">
        <x:v>EEZ</x:v>
      </x:c>
      <x:c r="D29" s="30" t="n">
        <x:v>2019</x:v>
      </x:c>
      <x:c r="E29" s="24" t="str">
        <x:v>Pleuronectidae</x:v>
      </x:c>
      <x:c r="F29" s="24" t="str">
        <x:v>Righteye flounders</x:v>
      </x:c>
      <x:c r="G29" s="24" t="str">
        <x:v>Small to medium flatfishes (&lt;90 cm)</x:v>
      </x:c>
      <x:c r="H29" s="24" t="str">
        <x:v>Flatfishes</x:v>
      </x:c>
      <x:c r="I29" s="31" t="n">
        <x:v>772.6554795487001</x:v>
      </x:c>
      <x:c r="J29" s="31" t="n">
        <x:v>0.7212009435</x:v>
      </x:c>
      <x:c r="K29" s="31" t="n">
        <x:v>771.9342786052001</x:v>
      </x:c>
      <x:c r="L29" s="31" t="n">
        <x:v>0.7037986423</x:v>
      </x:c>
      <x:c r="M29" s="31" t="n">
        <x:v>771.9516809064</x:v>
      </x:c>
      <x:c r="N29" s="24" t="str">
        <x:v>pleuronectidae</x:v>
      </x:c>
      <x:c r="O29" s="32" t="n">
        <x:v>3.49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Pleuronectidae</x:v>
      </x:c>
      <x:c r="T29" s="32" t="n">
        <x:f>IF(O29="","",(1/'Metadata'!$B$5)^(O29-1))</x:f>
        <x:v>309.0295432513592</x:v>
      </x:c>
      <x:c r="U29" s="31" t="n">
        <x:f>IF(T29="","",I29*T29)</x:f>
        <x:v>238773.3699355947</x:v>
      </x:c>
    </x:row>
    <x:row r="30" ht="18" customHeight="1">
      <x:c r="A30" s="24" t="str">
        <x:v>EEZ_578</x:v>
      </x:c>
      <x:c r="B30" s="24" t="str">
        <x:v>Norway</x:v>
      </x:c>
      <x:c r="C30" s="24" t="str">
        <x:v>EEZ</x:v>
      </x:c>
      <x:c r="D30" s="30" t="n">
        <x:v>2019</x:v>
      </x:c>
      <x:c r="E30" s="24" t="str">
        <x:v>Hippoglossoides platessoides</x:v>
      </x:c>
      <x:c r="F30" s="24" t="str">
        <x:v>American plaice</x:v>
      </x:c>
      <x:c r="G30" s="24" t="str">
        <x:v>Small to medium flatfishes (&lt;90 cm)</x:v>
      </x:c>
      <x:c r="H30" s="24" t="str">
        <x:v>Flatfishes</x:v>
      </x:c>
      <x:c r="I30" s="31" t="n">
        <x:v>713.8883343883001</x:v>
      </x:c>
      <x:c r="J30" s="31" t="n">
        <x:v>710.3883415964001</x:v>
      </x:c>
      <x:c r="K30" s="31" t="n">
        <x:v>3.4999927918999996</x:v>
      </x:c>
      <x:c r="L30" s="31" t="n">
        <x:v>701.9620342271</x:v>
      </x:c>
      <x:c r="M30" s="31" t="n">
        <x:v>11.9263001612</x:v>
      </x:c>
      <x:c r="N30" s="24" t="str">
        <x:v>hippoglossoides platessoides</x:v>
      </x:c>
      <x:c r="O30" s="32" t="n">
        <x:v>4.08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Hippoglossoides platessoides</x:v>
      </x:c>
      <x:c r="T30" s="32" t="n">
        <x:f>IF(O30="","",(1/'Metadata'!$B$5)^(O30-1))</x:f>
        <x:v>1202.2644346174131</x:v>
      </x:c>
      <x:c r="U30" s="31" t="n">
        <x:f>IF(T30="","",I30*T30)</x:f>
        <x:v>858282.5547233165</x:v>
      </x:c>
    </x:row>
    <x:row r="31" ht="18" customHeight="1">
      <x:c r="A31" s="24" t="str">
        <x:v>EEZ_578</x:v>
      </x:c>
      <x:c r="B31" s="24" t="str">
        <x:v>Norway</x:v>
      </x:c>
      <x:c r="C31" s="24" t="str">
        <x:v>EEZ</x:v>
      </x:c>
      <x:c r="D31" s="30" t="n">
        <x:v>2019</x:v>
      </x:c>
      <x:c r="E31" s="24" t="str">
        <x:v>Anarhichas</x:v>
      </x:c>
      <x:c r="F31" s="24" t="str">
        <x:v>Wolffishes</x:v>
      </x:c>
      <x:c r="G31" s="24" t="str">
        <x:v>Large demersals (&gt;=90 cm)</x:v>
      </x:c>
      <x:c r="H31" s="24" t="str">
        <x:v>Perch-likes</x:v>
      </x:c>
      <x:c r="I31" s="31" t="n">
        <x:v>609.8384132834</x:v>
      </x:c>
      <x:c r="J31" s="31" t="n">
        <x:v>178.3678693275</x:v>
      </x:c>
      <x:c r="K31" s="31" t="n">
        <x:v>431.4705439559</x:v>
      </x:c>
      <x:c r="L31" s="31" t="n">
        <x:v>178.2498790636</x:v>
      </x:c>
      <x:c r="M31" s="31" t="n">
        <x:v>431.58853421979995</x:v>
      </x:c>
      <x:c r="N31" s="24" t="str">
        <x:v>anarhichas</x:v>
      </x:c>
      <x:c r="O31" s="32" t="n">
        <x:v>3.35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Anarhichas</x:v>
      </x:c>
      <x:c r="T31" s="32" t="n">
        <x:f>IF(O31="","",(1/'Metadata'!$B$5)^(O31-1))</x:f>
        <x:v>223.872113856834</x:v>
      </x:c>
      <x:c r="U31" s="31" t="n">
        <x:f>IF(T31="","",I31*T31)</x:f>
        <x:v>136525.81469285232</x:v>
      </x:c>
    </x:row>
    <x:row r="32" ht="18" customHeight="1">
      <x:c r="A32" s="24" t="str">
        <x:v>EEZ_578</x:v>
      </x:c>
      <x:c r="B32" s="24" t="str">
        <x:v>Norway</x:v>
      </x:c>
      <x:c r="C32" s="24" t="str">
        <x:v>EEZ</x:v>
      </x:c>
      <x:c r="D32" s="30" t="n">
        <x:v>2019</x:v>
      </x:c>
      <x:c r="E32" s="24" t="str">
        <x:v>Gadiformes</x:v>
      </x:c>
      <x:c r="F32" s="24" t="str">
        <x:v>Cods</x:v>
      </x:c>
      <x:c r="G32" s="24" t="str">
        <x:v>Medium benthopelagics (30 - 89 cm)</x:v>
      </x:c>
      <x:c r="H32" s="24" t="str">
        <x:v>Cod-likes</x:v>
      </x:c>
      <x:c r="I32" s="31" t="n">
        <x:v>530.461789321</x:v>
      </x:c>
      <x:c r="J32" s="31" t="n">
        <x:v>7.9485232965</x:v>
      </x:c>
      <x:c r="K32" s="31" t="n">
        <x:v>522.5132660245</x:v>
      </x:c>
      <x:c r="L32" s="31" t="n">
        <x:v>7.9485232965</x:v>
      </x:c>
      <x:c r="M32" s="31" t="n">
        <x:v>522.5132660245</x:v>
      </x:c>
      <x:c r="N32" s="24" t="str">
        <x:v>gadiformes</x:v>
      </x:c>
      <x:c r="O32" s="32" t="n">
        <x:v>3.91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Gadiformes</x:v>
      </x:c>
      <x:c r="T32" s="32" t="n">
        <x:f>IF(O32="","",(1/'Metadata'!$B$5)^(O32-1))</x:f>
        <x:v>812.8305161640995</x:v>
      </x:c>
      <x:c r="U32" s="31" t="n">
        <x:f>IF(T32="","",I32*T32)</x:f>
        <x:v>431175.53001912026</x:v>
      </x:c>
    </x:row>
    <x:row r="33" ht="18" customHeight="1">
      <x:c r="A33" s="24" t="str">
        <x:v>EEZ_578</x:v>
      </x:c>
      <x:c r="B33" s="24" t="str">
        <x:v>Norway</x:v>
      </x:c>
      <x:c r="C33" s="24" t="str">
        <x:v>EEZ</x:v>
      </x:c>
      <x:c r="D33" s="30" t="n">
        <x:v>2019</x:v>
      </x:c>
      <x:c r="E33" s="24" t="str">
        <x:v>Mytilus edulis</x:v>
      </x:c>
      <x:c r="F33" s="24" t="str">
        <x:v>Blue mussel</x:v>
      </x:c>
      <x:c r="G33" s="24" t="str">
        <x:v>Other demersal invertebrates</x:v>
      </x:c>
      <x:c r="H33" s="24" t="str">
        <x:v>Molluscs</x:v>
      </x:c>
      <x:c r="I33" s="31" t="n">
        <x:v>462.9835064554</x:v>
      </x:c>
      <x:c r="J33" s="31" t="n">
        <x:v>462.7732085089</x:v>
      </x:c>
      <x:c r="K33" s="31" t="n">
        <x:v>0.2102979465</x:v>
      </x:c>
      <x:c r="L33" s="31" t="n">
        <x:v>462.7438927766</x:v>
      </x:c>
      <x:c r="M33" s="31" t="n">
        <x:v>0.23961367879999998</x:v>
      </x:c>
      <x:c r="N33" s="24" t="str">
        <x:v>mytilus edulis</x:v>
      </x:c>
      <x:c r="O33" s="32" t="n">
        <x:v>2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Mytilus edulis</x:v>
      </x:c>
      <x:c r="T33" s="32" t="n">
        <x:f>IF(O33="","",(1/'Metadata'!$B$5)^(O33-1))</x:f>
        <x:v>10</x:v>
      </x:c>
      <x:c r="U33" s="31" t="n">
        <x:f>IF(T33="","",I33*T33)</x:f>
        <x:v>4629.835064554</x:v>
      </x:c>
    </x:row>
    <x:row r="34" ht="18" customHeight="1">
      <x:c r="A34" s="24" t="str">
        <x:v>EEZ_578</x:v>
      </x:c>
      <x:c r="B34" s="24" t="str">
        <x:v>Norway</x:v>
      </x:c>
      <x:c r="C34" s="24" t="str">
        <x:v>EEZ</x:v>
      </x:c>
      <x:c r="D34" s="30" t="n">
        <x:v>2019</x:v>
      </x:c>
      <x:c r="E34" s="24" t="str">
        <x:v>Limanda limanda</x:v>
      </x:c>
      <x:c r="F34" s="24" t="str">
        <x:v>Common dab</x:v>
      </x:c>
      <x:c r="G34" s="24" t="str">
        <x:v>Small to medium flatfishes (&lt;90 cm)</x:v>
      </x:c>
      <x:c r="H34" s="24" t="str">
        <x:v>Flatfishes</x:v>
      </x:c>
      <x:c r="I34" s="31" t="n">
        <x:v>417.4757414091</x:v>
      </x:c>
      <x:c r="J34" s="31" t="n">
        <x:v>407.6194686355</x:v>
      </x:c>
      <x:c r="K34" s="31" t="n">
        <x:v>9.8562727736</x:v>
      </x:c>
      <x:c r="L34" s="31" t="n">
        <x:v>387.2526129683</x:v>
      </x:c>
      <x:c r="M34" s="31" t="n">
        <x:v>30.2231284408</x:v>
      </x:c>
      <x:c r="N34" s="24" t="str">
        <x:v>limanda limanda</x:v>
      </x:c>
      <x:c r="O34" s="32" t="n">
        <x:v>3.29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Limanda limanda</x:v>
      </x:c>
      <x:c r="T34" s="32" t="n">
        <x:f>IF(O34="","",(1/'Metadata'!$B$5)^(O34-1))</x:f>
        <x:v>194.98445997580455</x:v>
      </x:c>
      <x:c r="U34" s="31" t="n">
        <x:f>IF(T34="","",I34*T34)</x:f>
        <x:v>81401.281991652</x:v>
      </x:c>
    </x:row>
    <x:row r="35" ht="18" customHeight="1">
      <x:c r="A35" s="24" t="str">
        <x:v>EEZ_578</x:v>
      </x:c>
      <x:c r="B35" s="24" t="str">
        <x:v>Norway</x:v>
      </x:c>
      <x:c r="C35" s="24" t="str">
        <x:v>EEZ</x:v>
      </x:c>
      <x:c r="D35" s="30" t="n">
        <x:v>2019</x:v>
      </x:c>
      <x:c r="E35" s="24" t="str">
        <x:v>Glyptocephalus cynoglossus</x:v>
      </x:c>
      <x:c r="F35" s="24" t="str">
        <x:v>Witch flounder</x:v>
      </x:c>
      <x:c r="G35" s="24" t="str">
        <x:v>Small to medium flatfishes (&lt;90 cm)</x:v>
      </x:c>
      <x:c r="H35" s="24" t="str">
        <x:v>Flatfishes</x:v>
      </x:c>
      <x:c r="I35" s="31" t="n">
        <x:v>384.241123102</x:v>
      </x:c>
      <x:c r="J35" s="31" t="n">
        <x:v>373.056982568</x:v>
      </x:c>
      <x:c r="K35" s="31" t="n">
        <x:v>11.184140533999999</x:v>
      </x:c>
      <x:c r="L35" s="31" t="n">
        <x:v>372.8816512174</x:v>
      </x:c>
      <x:c r="M35" s="31" t="n">
        <x:v>11.3594718846</x:v>
      </x:c>
      <x:c r="N35" s="24" t="str">
        <x:v>glyptocephalus cynoglossus</x:v>
      </x:c>
      <x:c r="O35" s="32" t="n">
        <x:v>3.17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Glyptocephalus cynoglossus</x:v>
      </x:c>
      <x:c r="T35" s="32" t="n">
        <x:f>IF(O35="","",(1/'Metadata'!$B$5)^(O35-1))</x:f>
        <x:v>147.91083881682073</x:v>
      </x:c>
      <x:c r="U35" s="31" t="n">
        <x:f>IF(T35="","",I35*T35)</x:f>
        <x:v>56833.4268259341</x:v>
      </x:c>
    </x:row>
    <x:row r="36" ht="18" customHeight="1">
      <x:c r="A36" s="24" t="str">
        <x:v>EEZ_578</x:v>
      </x:c>
      <x:c r="B36" s="24" t="str">
        <x:v>Norway</x:v>
      </x:c>
      <x:c r="C36" s="24" t="str">
        <x:v>EEZ</x:v>
      </x:c>
      <x:c r="D36" s="30" t="n">
        <x:v>2019</x:v>
      </x:c>
      <x:c r="E36" s="24" t="str">
        <x:v>Cancer pagurus</x:v>
      </x:c>
      <x:c r="F36" s="24" t="str">
        <x:v>Edible crab</x:v>
      </x:c>
      <x:c r="G36" s="24" t="str">
        <x:v>Lobsters, crabs</x:v>
      </x:c>
      <x:c r="H36" s="24" t="str">
        <x:v>Crustaceans</x:v>
      </x:c>
      <x:c r="I36" s="31" t="n">
        <x:v>329.3702850138</x:v>
      </x:c>
      <x:c r="J36" s="31" t="n">
        <x:v>326.6967943071</x:v>
      </x:c>
      <x:c r="K36" s="31" t="n">
        <x:v>2.6734907067</x:v>
      </x:c>
      <x:c r="L36" s="31" t="n">
        <x:v>326.58875112</x:v>
      </x:c>
      <x:c r="M36" s="31" t="n">
        <x:v>2.7815338938000003</x:v>
      </x:c>
      <x:c r="N36" s="24" t="str">
        <x:v>cancer pagurus</x:v>
      </x:c>
      <x:c r="O36" s="32" t="n">
        <x:v>3.1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Cancer pagurus</x:v>
      </x:c>
      <x:c r="T36" s="32" t="n">
        <x:f>IF(O36="","",(1/'Metadata'!$B$5)^(O36-1))</x:f>
        <x:v>125.89254117941675</x:v>
      </x:c>
      <x:c r="U36" s="31" t="n">
        <x:f>IF(T36="","",I36*T36)</x:f>
        <x:v>41465.26216937605</x:v>
      </x:c>
    </x:row>
    <x:row r="37" ht="18" customHeight="1">
      <x:c r="A37" s="24" t="str">
        <x:v>EEZ_578</x:v>
      </x:c>
      <x:c r="B37" s="24" t="str">
        <x:v>Norway</x:v>
      </x:c>
      <x:c r="C37" s="24" t="str">
        <x:v>EEZ</x:v>
      </x:c>
      <x:c r="D37" s="30" t="n">
        <x:v>2019</x:v>
      </x:c>
      <x:c r="E37" s="24" t="str">
        <x:v>Gadidae</x:v>
      </x:c>
      <x:c r="F37" s="24" t="str">
        <x:v>Cods, haddocks</x:v>
      </x:c>
      <x:c r="G37" s="24" t="str">
        <x:v>Medium demersals (30 - 89 cm)</x:v>
      </x:c>
      <x:c r="H37" s="24" t="str">
        <x:v>Cod-likes</x:v>
      </x:c>
      <x:c r="I37" s="31" t="n">
        <x:v>258.1459872547</x:v>
      </x:c>
      <x:c r="J37" s="31" t="n">
        <x:v>76.3155882649</x:v>
      </x:c>
      <x:c r="K37" s="31" t="n">
        <x:v>181.83039898980002</x:v>
      </x:c>
      <x:c r="L37" s="31" t="n">
        <x:v>76.3155882649</x:v>
      </x:c>
      <x:c r="M37" s="31" t="n">
        <x:v>181.83039898980002</x:v>
      </x:c>
      <x:c r="N37" s="24" t="str">
        <x:v>gadidae</x:v>
      </x:c>
      <x:c r="O37" s="32" t="n">
        <x:v>3.84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Gadidae</x:v>
      </x:c>
      <x:c r="T37" s="32" t="n">
        <x:f>IF(O37="","",(1/'Metadata'!$B$5)^(O37-1))</x:f>
        <x:v>691.8309709189363</x:v>
      </x:c>
      <x:c r="U37" s="31" t="n">
        <x:f>IF(T37="","",I37*T37)</x:f>
        <x:v>178593.38900124645</x:v>
      </x:c>
    </x:row>
    <x:row r="38" ht="18" customHeight="1">
      <x:c r="A38" s="24" t="str">
        <x:v>EEZ_578</x:v>
      </x:c>
      <x:c r="B38" s="24" t="str">
        <x:v>Norway</x:v>
      </x:c>
      <x:c r="C38" s="24" t="str">
        <x:v>EEZ</x:v>
      </x:c>
      <x:c r="D38" s="30" t="n">
        <x:v>2019</x:v>
      </x:c>
      <x:c r="E38" s="24" t="str">
        <x:v>Merlucciidae</x:v>
      </x:c>
      <x:c r="F38" s="24" t="str">
        <x:v>Merluccid hakes</x:v>
      </x:c>
      <x:c r="G38" s="24" t="str">
        <x:v>Large bathydemersals (&gt;=90 cm)</x:v>
      </x:c>
      <x:c r="H38" s="24" t="str">
        <x:v>Cod-likes</x:v>
      </x:c>
      <x:c r="I38" s="31" t="n">
        <x:v>257.11888688</x:v>
      </x:c>
      <x:c r="J38" s="31" t="n">
        <x:v>0</x:v>
      </x:c>
      <x:c r="K38" s="31" t="n">
        <x:v>257.11888688</x:v>
      </x:c>
      <x:c r="L38" s="31" t="n">
        <x:v>0</x:v>
      </x:c>
      <x:c r="M38" s="31" t="n">
        <x:v>257.11888688</x:v>
      </x:c>
      <x:c r="N38" s="24" t="str">
        <x:v>merlucciidae</x:v>
      </x:c>
      <x:c r="O38" s="32" t="n">
        <x:v>4.35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Merlucciidae</x:v>
      </x:c>
      <x:c r="T38" s="32" t="n">
        <x:f>IF(O38="","",(1/'Metadata'!$B$5)^(O38-1))</x:f>
        <x:v>2238.7211385683377</x:v>
      </x:c>
      <x:c r="U38" s="31" t="n">
        <x:f>IF(T38="","",I38*T38)</x:f>
        <x:v>575617.4871834172</x:v>
      </x:c>
    </x:row>
    <x:row r="39" ht="18" customHeight="1">
      <x:c r="A39" s="24" t="str">
        <x:v>EEZ_578</x:v>
      </x:c>
      <x:c r="B39" s="24" t="str">
        <x:v>Norway</x:v>
      </x:c>
      <x:c r="C39" s="24" t="str">
        <x:v>EEZ</x:v>
      </x:c>
      <x:c r="D39" s="30" t="n">
        <x:v>2019</x:v>
      </x:c>
      <x:c r="E39" s="24" t="str">
        <x:v>Anarhichas lupus</x:v>
      </x:c>
      <x:c r="F39" s="24" t="str">
        <x:v>Atlantic wolffish</x:v>
      </x:c>
      <x:c r="G39" s="24" t="str">
        <x:v>Large demersals (&gt;=90 cm)</x:v>
      </x:c>
      <x:c r="H39" s="24" t="str">
        <x:v>Perch-likes</x:v>
      </x:c>
      <x:c r="I39" s="31" t="n">
        <x:v>250.15796379749997</x:v>
      </x:c>
      <x:c r="J39" s="31" t="n">
        <x:v>250.08777627799998</x:v>
      </x:c>
      <x:c r="K39" s="31" t="n">
        <x:v>0.07018751949999999</x:v>
      </x:c>
      <x:c r="L39" s="31" t="n">
        <x:v>249.00731725079999</x:v>
      </x:c>
      <x:c r="M39" s="31" t="n">
        <x:v>1.1506465467</x:v>
      </x:c>
      <x:c r="N39" s="24" t="str">
        <x:v>anarhichas lupus</x:v>
      </x:c>
      <x:c r="O39" s="32" t="n">
        <x:v>3.55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Anarhichas lupus</x:v>
      </x:c>
      <x:c r="T39" s="32" t="n">
        <x:f>IF(O39="","",(1/'Metadata'!$B$5)^(O39-1))</x:f>
        <x:v>354.8133892335753</x:v>
      </x:c>
      <x:c r="U39" s="31" t="n">
        <x:f>IF(T39="","",I39*T39)</x:f>
        <x:v>88759.394978761</x:v>
      </x:c>
    </x:row>
    <x:row r="40" ht="18" customHeight="1">
      <x:c r="A40" s="24" t="str">
        <x:v>EEZ_578</x:v>
      </x:c>
      <x:c r="B40" s="24" t="str">
        <x:v>Norway</x:v>
      </x:c>
      <x:c r="C40" s="24" t="str">
        <x:v>EEZ</x:v>
      </x:c>
      <x:c r="D40" s="30" t="n">
        <x:v>2019</x:v>
      </x:c>
      <x:c r="E40" s="24" t="str">
        <x:v>Argentina silus</x:v>
      </x:c>
      <x:c r="F40" s="24" t="str">
        <x:v>Greater argentine</x:v>
      </x:c>
      <x:c r="G40" s="24" t="str">
        <x:v>Medium bathydemersals (30 - 89 cm)</x:v>
      </x:c>
      <x:c r="H40" s="24" t="str">
        <x:v>Salmon, smelts, etc</x:v>
      </x:c>
      <x:c r="I40" s="31" t="n">
        <x:v>245.5590243775</x:v>
      </x:c>
      <x:c r="J40" s="31" t="n">
        <x:v>245.5590243775</x:v>
      </x:c>
      <x:c r="K40" s="31" t="n">
        <x:v>0</x:v>
      </x:c>
      <x:c r="L40" s="31" t="n">
        <x:v>245.5590243775</x:v>
      </x:c>
      <x:c r="M40" s="31" t="n">
        <x:v>0</x:v>
      </x:c>
      <x:c r="N40" s="24" t="str">
        <x:v>argentina silus</x:v>
      </x:c>
      <x:c r="O40" s="32" t="n">
        <x:v>3.32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Argentina silus</x:v>
      </x:c>
      <x:c r="T40" s="32" t="n">
        <x:f>IF(O40="","",(1/'Metadata'!$B$5)^(O40-1))</x:f>
        <x:v>208.92961308540387</x:v>
      </x:c>
      <x:c r="U40" s="31" t="n">
        <x:f>IF(T40="","",I40*T40)</x:f>
        <x:v>51304.55195282034</x:v>
      </x:c>
    </x:row>
    <x:row r="41" ht="18" customHeight="1">
      <x:c r="A41" s="24" t="str">
        <x:v>EEZ_578</x:v>
      </x:c>
      <x:c r="B41" s="24" t="str">
        <x:v>Norway</x:v>
      </x:c>
      <x:c r="C41" s="24" t="str">
        <x:v>EEZ</x:v>
      </x:c>
      <x:c r="D41" s="30" t="n">
        <x:v>2019</x:v>
      </x:c>
      <x:c r="E41" s="24" t="str">
        <x:v>Lepidorhombus</x:v>
      </x:c>
      <x:c r="F41" s="24" t="str">
        <x:v>Megrims</x:v>
      </x:c>
      <x:c r="G41" s="24" t="str">
        <x:v>Small to medium flatfishes (&lt;90 cm)</x:v>
      </x:c>
      <x:c r="H41" s="24" t="str">
        <x:v>Flatfishes</x:v>
      </x:c>
      <x:c r="I41" s="31" t="n">
        <x:v>217.6083739089</x:v>
      </x:c>
      <x:c r="J41" s="31" t="n">
        <x:v>217.6083739089</x:v>
      </x:c>
      <x:c r="K41" s="31" t="n">
        <x:v>0</x:v>
      </x:c>
      <x:c r="L41" s="31" t="n">
        <x:v>217.6083739089</x:v>
      </x:c>
      <x:c r="M41" s="31" t="n">
        <x:v>0</x:v>
      </x:c>
      <x:c r="N41" s="24" t="str">
        <x:v>lepidorhombus</x:v>
      </x:c>
      <x:c r="O41" s="32" t="n">
        <x:v>3.96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Lepidorhombus</x:v>
      </x:c>
      <x:c r="T41" s="32" t="n">
        <x:f>IF(O41="","",(1/'Metadata'!$B$5)^(O41-1))</x:f>
        <x:v>912.0108393559096</x:v>
      </x:c>
      <x:c r="U41" s="31" t="n">
        <x:f>IF(T41="","",I41*T41)</x:f>
        <x:v>198461.19573953052</x:v>
      </x:c>
    </x:row>
    <x:row r="42" ht="18" customHeight="1">
      <x:c r="A42" s="24" t="str">
        <x:v>EEZ_578</x:v>
      </x:c>
      <x:c r="B42" s="24" t="str">
        <x:v>Norway</x:v>
      </x:c>
      <x:c r="C42" s="24" t="str">
        <x:v>EEZ</x:v>
      </x:c>
      <x:c r="D42" s="30" t="n">
        <x:v>2019</x:v>
      </x:c>
      <x:c r="E42" s="24" t="str">
        <x:v>Squalus acanthias</x:v>
      </x:c>
      <x:c r="F42" s="24" t="str">
        <x:v>Picked dogfish</x:v>
      </x:c>
      <x:c r="G42" s="24" t="str">
        <x:v>Large sharks (&gt;=90 cm)</x:v>
      </x:c>
      <x:c r="H42" s="24" t="str">
        <x:v>Sharks &amp; rays</x:v>
      </x:c>
      <x:c r="I42" s="31" t="n">
        <x:v>198.3351438039</x:v>
      </x:c>
      <x:c r="J42" s="31" t="n">
        <x:v>198.1663713673</x:v>
      </x:c>
      <x:c r="K42" s="31" t="n">
        <x:v>0.1687724366</x:v>
      </x:c>
      <x:c r="L42" s="31" t="n">
        <x:v>198.1395030757</x:v>
      </x:c>
      <x:c r="M42" s="31" t="n">
        <x:v>0.1956407282</x:v>
      </x:c>
      <x:c r="N42" s="24" t="str">
        <x:v>squalus acanthias</x:v>
      </x:c>
      <x:c r="O42" s="32" t="n">
        <x:v>4.37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Squalus acanthias</x:v>
      </x:c>
      <x:c r="T42" s="32" t="n">
        <x:f>IF(O42="","",(1/'Metadata'!$B$5)^(O42-1))</x:f>
        <x:v>2344.228815319923</x:v>
      </x:c>
      <x:c r="U42" s="31" t="n">
        <x:f>IF(T42="","",I42*T42)</x:f>
        <x:v>464942.95919572306</x:v>
      </x:c>
    </x:row>
    <x:row r="43" ht="18" customHeight="1">
      <x:c r="A43" s="24" t="str">
        <x:v>EEZ_578</x:v>
      </x:c>
      <x:c r="B43" s="24" t="str">
        <x:v>Norway</x:v>
      </x:c>
      <x:c r="C43" s="24" t="str">
        <x:v>EEZ</x:v>
      </x:c>
      <x:c r="D43" s="30" t="n">
        <x:v>2019</x:v>
      </x:c>
      <x:c r="E43" s="24" t="str">
        <x:v>Scombridae</x:v>
      </x:c>
      <x:c r="F43" s="24" t="str">
        <x:v>Mackerels, tunas, bonitos</x:v>
      </x:c>
      <x:c r="G43" s="24" t="str">
        <x:v>Medium pelagics (30 - 89 cm)</x:v>
      </x:c>
      <x:c r="H43" s="24" t="str">
        <x:v>Perch-likes</x:v>
      </x:c>
      <x:c r="I43" s="31" t="n">
        <x:v>193.5979620971</x:v>
      </x:c>
      <x:c r="J43" s="31" t="n">
        <x:v>0.7049853061</x:v>
      </x:c>
      <x:c r="K43" s="31" t="n">
        <x:v>192.892976791</x:v>
      </x:c>
      <x:c r="L43" s="31" t="n">
        <x:v>0.7049853061</x:v>
      </x:c>
      <x:c r="M43" s="31" t="n">
        <x:v>192.892976791</x:v>
      </x:c>
      <x:c r="N43" s="24" t="str">
        <x:v>scombridae</x:v>
      </x:c>
      <x:c r="O43" s="32" t="n">
        <x:v>4.26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Scombridae</x:v>
      </x:c>
      <x:c r="T43" s="32" t="n">
        <x:f>IF(O43="","",(1/'Metadata'!$B$5)^(O43-1))</x:f>
        <x:v>1819.7008586099826</x:v>
      </x:c>
      <x:c r="U43" s="31" t="n">
        <x:f>IF(T43="","",I43*T43)</x:f>
        <x:v>352290.37785323575</x:v>
      </x:c>
    </x:row>
    <x:row r="44" ht="18" customHeight="1">
      <x:c r="A44" s="24" t="str">
        <x:v>EEZ_578</x:v>
      </x:c>
      <x:c r="B44" s="24" t="str">
        <x:v>Norway</x:v>
      </x:c>
      <x:c r="C44" s="24" t="str">
        <x:v>EEZ</x:v>
      </x:c>
      <x:c r="D44" s="30" t="n">
        <x:v>2019</x:v>
      </x:c>
      <x:c r="E44" s="24" t="str">
        <x:v>Squalidae</x:v>
      </x:c>
      <x:c r="F44" s="24" t="str">
        <x:v>Dogfish sharks</x:v>
      </x:c>
      <x:c r="G44" s="24" t="str">
        <x:v>Large sharks (&gt;=90 cm)</x:v>
      </x:c>
      <x:c r="H44" s="24" t="str">
        <x:v>Sharks &amp; rays</x:v>
      </x:c>
      <x:c r="I44" s="31" t="n">
        <x:v>192.0174850999</x:v>
      </x:c>
      <x:c r="J44" s="31" t="n">
        <x:v>0</x:v>
      </x:c>
      <x:c r="K44" s="31" t="n">
        <x:v>192.0174850999</x:v>
      </x:c>
      <x:c r="L44" s="31" t="n">
        <x:v>0</x:v>
      </x:c>
      <x:c r="M44" s="31" t="n">
        <x:v>192.0174850999</x:v>
      </x:c>
      <x:c r="N44" s="24" t="str">
        <x:v>squalidae</x:v>
      </x:c>
      <x:c r="O44" s="32" t="n">
        <x:v>4.23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Squalidae</x:v>
      </x:c>
      <x:c r="T44" s="32" t="n">
        <x:f>IF(O44="","",(1/'Metadata'!$B$5)^(O44-1))</x:f>
        <x:v>1698.243652461746</x:v>
      </x:c>
      <x:c r="U44" s="31" t="n">
        <x:f>IF(T44="","",I44*T44)</x:f>
        <x:v>326092.47523257305</x:v>
      </x:c>
    </x:row>
    <x:row r="45" ht="18" customHeight="1">
      <x:c r="A45" s="24" t="str">
        <x:v>EEZ_578</x:v>
      </x:c>
      <x:c r="B45" s="24" t="str">
        <x:v>Norway</x:v>
      </x:c>
      <x:c r="C45" s="24" t="str">
        <x:v>EEZ</x:v>
      </x:c>
      <x:c r="D45" s="30" t="n">
        <x:v>2019</x:v>
      </x:c>
      <x:c r="E45" s="24" t="str">
        <x:v>Marine finfishes not identified</x:v>
      </x:c>
      <x:c r="F45" s="24" t="str">
        <x:v>Finfishes</x:v>
      </x:c>
      <x:c r="G45" s="24" t="str">
        <x:v>Medium demersals (30 - 89 cm)</x:v>
      </x:c>
      <x:c r="H45" s="24" t="str">
        <x:v>Other fishes &amp; inverts</x:v>
      </x:c>
      <x:c r="I45" s="31" t="n">
        <x:v>180.8672028067</x:v>
      </x:c>
      <x:c r="J45" s="31" t="n">
        <x:v>62.3497924909</x:v>
      </x:c>
      <x:c r="K45" s="31" t="n">
        <x:v>118.51741031579999</x:v>
      </x:c>
      <x:c r="L45" s="31" t="n">
        <x:v>62.3497924909</x:v>
      </x:c>
      <x:c r="M45" s="31" t="n">
        <x:v>118.51741031579999</x:v>
      </x:c>
      <x:c r="N45" s="24" t="str">
        <x:v>marine finfishes not identified</x:v>
      </x:c>
      <x:c r="O45" s="32" t="n">
        <x:v>3.23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Marine finfishes not identified</x:v>
      </x:c>
      <x:c r="T45" s="32" t="n">
        <x:f>IF(O45="","",(1/'Metadata'!$B$5)^(O45-1))</x:f>
        <x:v>169.82436524617444</x:v>
      </x:c>
      <x:c r="U45" s="31" t="n">
        <x:f>IF(T45="","",I45*T45)</x:f>
        <x:v>30715.657910498925</x:v>
      </x:c>
    </x:row>
    <x:row r="46" ht="18" customHeight="1">
      <x:c r="A46" s="24" t="str">
        <x:v>EEZ_578</x:v>
      </x:c>
      <x:c r="B46" s="24" t="str">
        <x:v>Norway</x:v>
      </x:c>
      <x:c r="C46" s="24" t="str">
        <x:v>EEZ</x:v>
      </x:c>
      <x:c r="D46" s="30" t="n">
        <x:v>2019</x:v>
      </x:c>
      <x:c r="E46" s="24" t="str">
        <x:v>Microstomus kitt</x:v>
      </x:c>
      <x:c r="F46" s="24" t="str">
        <x:v>Lemon sole</x:v>
      </x:c>
      <x:c r="G46" s="24" t="str">
        <x:v>Small to medium flatfishes (&lt;90 cm)</x:v>
      </x:c>
      <x:c r="H46" s="24" t="str">
        <x:v>Flatfishes</x:v>
      </x:c>
      <x:c r="I46" s="31" t="n">
        <x:v>171.2420187929</x:v>
      </x:c>
      <x:c r="J46" s="31" t="n">
        <x:v>170.705285385</x:v>
      </x:c>
      <x:c r="K46" s="31" t="n">
        <x:v>0.5367334079</x:v>
      </x:c>
      <x:c r="L46" s="31" t="n">
        <x:v>170.6905170807</x:v>
      </x:c>
      <x:c r="M46" s="31" t="n">
        <x:v>0.5515017122</x:v>
      </x:c>
      <x:c r="N46" s="24" t="str">
        <x:v>microstomus kitt</x:v>
      </x:c>
      <x:c r="O46" s="32" t="n">
        <x:v>3.22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Microstomus kitt</x:v>
      </x:c>
      <x:c r="T46" s="32" t="n">
        <x:f>IF(O46="","",(1/'Metadata'!$B$5)^(O46-1))</x:f>
        <x:v>165.95869074375614</x:v>
      </x:c>
      <x:c r="U46" s="31" t="n">
        <x:f>IF(T46="","",I46*T46)</x:f>
        <x:v>28419.10123918737</x:v>
      </x:c>
    </x:row>
    <x:row r="47" ht="18" customHeight="1">
      <x:c r="A47" s="24" t="str">
        <x:v>EEZ_578</x:v>
      </x:c>
      <x:c r="B47" s="24" t="str">
        <x:v>Norway</x:v>
      </x:c>
      <x:c r="C47" s="24" t="str">
        <x:v>EEZ</x:v>
      </x:c>
      <x:c r="D47" s="30" t="n">
        <x:v>2019</x:v>
      </x:c>
      <x:c r="E47" s="24" t="str">
        <x:v>Pollachius pollachius</x:v>
      </x:c>
      <x:c r="F47" s="24" t="str">
        <x:v>Pollack</x:v>
      </x:c>
      <x:c r="G47" s="24" t="str">
        <x:v>Large benthopelagics (&gt;=90 cm)</x:v>
      </x:c>
      <x:c r="H47" s="24" t="str">
        <x:v>Cod-likes</x:v>
      </x:c>
      <x:c r="I47" s="31" t="n">
        <x:v>163.4752860534</x:v>
      </x:c>
      <x:c r="J47" s="31" t="n">
        <x:v>163.0561437111</x:v>
      </x:c>
      <x:c r="K47" s="31" t="n">
        <x:v>0.41914234229999997</x:v>
      </x:c>
      <x:c r="L47" s="31" t="n">
        <x:v>162.7177087706</x:v>
      </x:c>
      <x:c r="M47" s="31" t="n">
        <x:v>0.7575772828</x:v>
      </x:c>
      <x:c r="N47" s="24" t="str">
        <x:v>pollachius pollachius</x:v>
      </x:c>
      <x:c r="O47" s="32" t="n">
        <x:v>4.32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Pollachius pollachius</x:v>
      </x:c>
      <x:c r="T47" s="32" t="n">
        <x:f>IF(O47="","",(1/'Metadata'!$B$5)^(O47-1))</x:f>
        <x:v>2089.2961308540407</x:v>
      </x:c>
      <x:c r="U47" s="31" t="n">
        <x:f>IF(T47="","",I47*T47)</x:f>
        <x:v>341548.28264162614</x:v>
      </x:c>
    </x:row>
    <x:row r="48" ht="18" customHeight="1">
      <x:c r="A48" s="24" t="str">
        <x:v>EEZ_578</x:v>
      </x:c>
      <x:c r="B48" s="24" t="str">
        <x:v>Norway</x:v>
      </x:c>
      <x:c r="C48" s="24" t="str">
        <x:v>EEZ</x:v>
      </x:c>
      <x:c r="D48" s="30" t="n">
        <x:v>2019</x:v>
      </x:c>
      <x:c r="E48" s="24" t="str">
        <x:v>Clupeidae</x:v>
      </x:c>
      <x:c r="F48" s="24" t="str">
        <x:v>Herrings, sardines, menhadens</x:v>
      </x:c>
      <x:c r="G48" s="24" t="str">
        <x:v>Small pelagics (&lt;30 cm)</x:v>
      </x:c>
      <x:c r="H48" s="24" t="str">
        <x:v>Herring-likes</x:v>
      </x:c>
      <x:c r="I48" s="31" t="n">
        <x:v>154.6222687844</x:v>
      </x:c>
      <x:c r="J48" s="31" t="n">
        <x:v>0.5835436944</x:v>
      </x:c>
      <x:c r="K48" s="31" t="n">
        <x:v>154.03872509</x:v>
      </x:c>
      <x:c r="L48" s="31" t="n">
        <x:v>0.5835436944</x:v>
      </x:c>
      <x:c r="M48" s="31" t="n">
        <x:v>154.03872509</x:v>
      </x:c>
      <x:c r="N48" s="24" t="str">
        <x:v>clupeidae</x:v>
      </x:c>
      <x:c r="O48" s="32" t="n">
        <x:v>3.16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Clupeidae</x:v>
      </x:c>
      <x:c r="T48" s="32" t="n">
        <x:f>IF(O48="","",(1/'Metadata'!$B$5)^(O48-1))</x:f>
        <x:v>144.5439770745928</x:v>
      </x:c>
      <x:c r="U48" s="31" t="n">
        <x:f>IF(T48="","",I48*T48)</x:f>
        <x:v>22349.71767439384</x:v>
      </x:c>
    </x:row>
    <x:row r="49" ht="18" customHeight="1">
      <x:c r="A49" s="24" t="str">
        <x:v>EEZ_578</x:v>
      </x:c>
      <x:c r="B49" s="24" t="str">
        <x:v>Norway</x:v>
      </x:c>
      <x:c r="C49" s="24" t="str">
        <x:v>EEZ</x:v>
      </x:c>
      <x:c r="D49" s="30" t="n">
        <x:v>2019</x:v>
      </x:c>
      <x:c r="E49" s="24" t="str">
        <x:v>Trachurus</x:v>
      </x:c>
      <x:c r="F49" s="24" t="str">
        <x:v>Jacks, horse mackerels</x:v>
      </x:c>
      <x:c r="G49" s="24" t="str">
        <x:v>Medium pelagics (30 - 89 cm)</x:v>
      </x:c>
      <x:c r="H49" s="24" t="str">
        <x:v>Perch-likes</x:v>
      </x:c>
      <x:c r="I49" s="31" t="n">
        <x:v>154.52044687860004</x:v>
      </x:c>
      <x:c r="J49" s="31" t="n">
        <x:v>154.52019225080002</x:v>
      </x:c>
      <x:c r="K49" s="31" t="n">
        <x:v>0.0002546278</x:v>
      </x:c>
      <x:c r="L49" s="31" t="n">
        <x:v>154.51959910380003</x:v>
      </x:c>
      <x:c r="M49" s="31" t="n">
        <x:v>0.0008477747999999999</x:v>
      </x:c>
      <x:c r="N49" s="24" t="str">
        <x:v>trachurus</x:v>
      </x:c>
      <x:c r="O49" s="32" t="n">
        <x:v>3.69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Trachurus</x:v>
      </x:c>
      <x:c r="T49" s="32" t="n">
        <x:f>IF(O49="","",(1/'Metadata'!$B$5)^(O49-1))</x:f>
        <x:v>489.77881936844614</x:v>
      </x:c>
      <x:c r="U49" s="31" t="n">
        <x:f>IF(T49="","",I49*T49)</x:f>
        <x:v>75680.84204048543</x:v>
      </x:c>
    </x:row>
    <x:row r="50" ht="18" customHeight="1">
      <x:c r="A50" s="24" t="str">
        <x:v>EEZ_578</x:v>
      </x:c>
      <x:c r="B50" s="24" t="str">
        <x:v>Norway</x:v>
      </x:c>
      <x:c r="C50" s="24" t="str">
        <x:v>EEZ</x:v>
      </x:c>
      <x:c r="D50" s="30" t="n">
        <x:v>2019</x:v>
      </x:c>
      <x:c r="E50" s="24" t="str">
        <x:v>Squaliformes</x:v>
      </x:c>
      <x:c r="F50" s="24" t="str">
        <x:v>Bramble, sleeper, dogfish sharks</x:v>
      </x:c>
      <x:c r="G50" s="24" t="str">
        <x:v>Large sharks (&gt;=90 cm)</x:v>
      </x:c>
      <x:c r="H50" s="24" t="str">
        <x:v>Sharks &amp; rays</x:v>
      </x:c>
      <x:c r="I50" s="31" t="n">
        <x:v>151.1876991627</x:v>
      </x:c>
      <x:c r="J50" s="31" t="n">
        <x:v>0</x:v>
      </x:c>
      <x:c r="K50" s="31" t="n">
        <x:v>151.1876991627</x:v>
      </x:c>
      <x:c r="L50" s="31" t="n">
        <x:v>0</x:v>
      </x:c>
      <x:c r="M50" s="31" t="n">
        <x:v>151.1876991627</x:v>
      </x:c>
      <x:c r="N50" s="24" t="str">
        <x:v>squaliformes</x:v>
      </x:c>
      <x:c r="O50" s="32" t="n">
        <x:v>4.19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Squaliformes</x:v>
      </x:c>
      <x:c r="T50" s="32" t="n">
        <x:f>IF(O50="","",(1/'Metadata'!$B$5)^(O50-1))</x:f>
        <x:v>1548.8166189124827</x:v>
      </x:c>
      <x:c r="U50" s="31" t="n">
        <x:f>IF(T50="","",I50*T50)</x:f>
        <x:v>234162.0210383306</x:v>
      </x:c>
    </x:row>
    <x:row r="51" ht="18" customHeight="1">
      <x:c r="A51" s="24" t="str">
        <x:v>EEZ_578</x:v>
      </x:c>
      <x:c r="B51" s="24" t="str">
        <x:v>Norway</x:v>
      </x:c>
      <x:c r="C51" s="24" t="str">
        <x:v>EEZ</x:v>
      </x:c>
      <x:c r="D51" s="30" t="n">
        <x:v>2019</x:v>
      </x:c>
      <x:c r="E51" s="24" t="str">
        <x:v>Miscellaneous marine crustaceans</x:v>
      </x:c>
      <x:c r="F51" s="24" t="str">
        <x:v>Marine crabs, shrimps, lobsters nei</x:v>
      </x:c>
      <x:c r="G51" s="24" t="str">
        <x:v>Shrimps</x:v>
      </x:c>
      <x:c r="H51" s="24" t="str">
        <x:v>Crustaceans</x:v>
      </x:c>
      <x:c r="I51" s="31" t="n">
        <x:v>150.2943621306</x:v>
      </x:c>
      <x:c r="J51" s="31" t="n">
        <x:v>0.2073208073</x:v>
      </x:c>
      <x:c r="K51" s="31" t="n">
        <x:v>150.0870413233</x:v>
      </x:c>
      <x:c r="L51" s="31" t="n">
        <x:v>0.2073208073</x:v>
      </x:c>
      <x:c r="M51" s="31" t="n">
        <x:v>150.0870413233</x:v>
      </x:c>
      <x:c r="N51" s="24" t="str">
        <x:v>miscellaneous marine crustaceans</x:v>
      </x:c>
      <x:c r="O51" s="32" t="n">
        <x:v>2.7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Miscellaneous marine crustaceans</x:v>
      </x:c>
      <x:c r="T51" s="32" t="n">
        <x:f>IF(O51="","",(1/'Metadata'!$B$5)^(O51-1))</x:f>
        <x:v>50.11872336272725</x:v>
      </x:c>
      <x:c r="U51" s="31" t="n">
        <x:f>IF(T51="","",I51*T51)</x:f>
        <x:v>7532.561558601093</x:v>
      </x:c>
    </x:row>
    <x:row r="52" ht="18" customHeight="1">
      <x:c r="A52" s="24" t="str">
        <x:v>EEZ_578</x:v>
      </x:c>
      <x:c r="B52" s="24" t="str">
        <x:v>Norway</x:v>
      </x:c>
      <x:c r="C52" s="24" t="str">
        <x:v>EEZ</x:v>
      </x:c>
      <x:c r="D52" s="30" t="n">
        <x:v>2019</x:v>
      </x:c>
      <x:c r="E52" s="24" t="str">
        <x:v>Triglidae</x:v>
      </x:c>
      <x:c r="F52" s="24" t="str">
        <x:v>Searobins, gurnards</x:v>
      </x:c>
      <x:c r="G52" s="24" t="str">
        <x:v>Medium demersals (30 - 89 cm)</x:v>
      </x:c>
      <x:c r="H52" s="24" t="str">
        <x:v>Scorpionfishes</x:v>
      </x:c>
      <x:c r="I52" s="31" t="n">
        <x:v>130.393983869</x:v>
      </x:c>
      <x:c r="J52" s="31" t="n">
        <x:v>40.007737452200004</x:v>
      </x:c>
      <x:c r="K52" s="31" t="n">
        <x:v>90.3862464168</x:v>
      </x:c>
      <x:c r="L52" s="31" t="n">
        <x:v>40.007737452200004</x:v>
      </x:c>
      <x:c r="M52" s="31" t="n">
        <x:v>90.3862464168</x:v>
      </x:c>
      <x:c r="N52" s="24" t="str">
        <x:v>triglidae</x:v>
      </x:c>
      <x:c r="O52" s="32" t="n">
        <x:v>3.74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Triglidae</x:v>
      </x:c>
      <x:c r="T52" s="32" t="n">
        <x:f>IF(O52="","",(1/'Metadata'!$B$5)^(O52-1))</x:f>
        <x:v>549.5408738576248</x:v>
      </x:c>
      <x:c r="U52" s="31" t="n">
        <x:f>IF(T52="","",I52*T52)</x:f>
        <x:v>71656.8238411473</x:v>
      </x:c>
    </x:row>
    <x:row r="53" ht="18" customHeight="1">
      <x:c r="A53" s="24" t="str">
        <x:v>EEZ_578</x:v>
      </x:c>
      <x:c r="B53" s="24" t="str">
        <x:v>Norway</x:v>
      </x:c>
      <x:c r="C53" s="24" t="str">
        <x:v>EEZ</x:v>
      </x:c>
      <x:c r="D53" s="30" t="n">
        <x:v>2019</x:v>
      </x:c>
      <x:c r="E53" s="24" t="str">
        <x:v>Macrouridae</x:v>
      </x:c>
      <x:c r="F53" s="24" t="str">
        <x:v>Grenadiers, rattails</x:v>
      </x:c>
      <x:c r="G53" s="24" t="str">
        <x:v>Medium benthopelagics (30 - 89 cm)</x:v>
      </x:c>
      <x:c r="H53" s="24" t="str">
        <x:v>Cod-likes</x:v>
      </x:c>
      <x:c r="I53" s="31" t="n">
        <x:v>126.8866742962</x:v>
      </x:c>
      <x:c r="J53" s="31" t="n">
        <x:v>0</x:v>
      </x:c>
      <x:c r="K53" s="31" t="n">
        <x:v>126.8866742962</x:v>
      </x:c>
      <x:c r="L53" s="31" t="n">
        <x:v>0</x:v>
      </x:c>
      <x:c r="M53" s="31" t="n">
        <x:v>126.8866742962</x:v>
      </x:c>
      <x:c r="N53" s="24" t="str">
        <x:v>macrouridae</x:v>
      </x:c>
      <x:c r="O53" s="32" t="n">
        <x:v>3.88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Macrouridae</x:v>
      </x:c>
      <x:c r="T53" s="32" t="n">
        <x:f>IF(O53="","",(1/'Metadata'!$B$5)^(O53-1))</x:f>
        <x:v>758.5775750291835</x:v>
      </x:c>
      <x:c r="U53" s="31" t="n">
        <x:f>IF(T53="","",I53*T53)</x:f>
        <x:v>96253.38569112922</x:v>
      </x:c>
    </x:row>
    <x:row r="54" ht="18" customHeight="1">
      <x:c r="A54" s="24" t="str">
        <x:v>EEZ_578</x:v>
      </x:c>
      <x:c r="B54" s="24" t="str">
        <x:v>Norway</x:v>
      </x:c>
      <x:c r="C54" s="24" t="str">
        <x:v>EEZ</x:v>
      </x:c>
      <x:c r="D54" s="30" t="n">
        <x:v>2019</x:v>
      </x:c>
      <x:c r="E54" s="24" t="str">
        <x:v>Raja</x:v>
      </x:c>
      <x:c r="F54" s="24" t="str">
        <x:v>Stingrays, skates</x:v>
      </x:c>
      <x:c r="G54" s="24" t="str">
        <x:v>Small to medium rays (&lt;90 cm)</x:v>
      </x:c>
      <x:c r="H54" s="24" t="str">
        <x:v>Sharks &amp; rays</x:v>
      </x:c>
      <x:c r="I54" s="31" t="n">
        <x:v>116.6829448387</x:v>
      </x:c>
      <x:c r="J54" s="31" t="n">
        <x:v>116.5866341326</x:v>
      </x:c>
      <x:c r="K54" s="31" t="n">
        <x:v>0.09631070609999999</x:v>
      </x:c>
      <x:c r="L54" s="31" t="n">
        <x:v>116.58653114</x:v>
      </x:c>
      <x:c r="M54" s="31" t="n">
        <x:v>0.0964136987</x:v>
      </x:c>
      <x:c r="N54" s="24" t="str">
        <x:v>raja</x:v>
      </x:c>
      <x:c r="O54" s="32" t="n">
        <x:v>3.8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Raja</x:v>
      </x:c>
      <x:c r="T54" s="32" t="n">
        <x:f>IF(O54="","",(1/'Metadata'!$B$5)^(O54-1))</x:f>
        <x:v>630.957344480193</x:v>
      </x:c>
      <x:c r="U54" s="31" t="n">
        <x:f>IF(T54="","",I54*T54)</x:f>
        <x:v>73621.96102155499</x:v>
      </x:c>
    </x:row>
    <x:row r="55" ht="18" customHeight="1">
      <x:c r="A55" s="24" t="str">
        <x:v>EEZ_578</x:v>
      </x:c>
      <x:c r="B55" s="24" t="str">
        <x:v>Norway</x:v>
      </x:c>
      <x:c r="C55" s="24" t="str">
        <x:v>EEZ</x:v>
      </x:c>
      <x:c r="D55" s="30" t="n">
        <x:v>2019</x:v>
      </x:c>
      <x:c r="E55" s="24" t="str">
        <x:v>Carangidae</x:v>
      </x:c>
      <x:c r="F55" s="24" t="str">
        <x:v>Jacks, pompanos</x:v>
      </x:c>
      <x:c r="G55" s="24" t="str">
        <x:v>Medium pelagics (30 - 89 cm)</x:v>
      </x:c>
      <x:c r="H55" s="24" t="str">
        <x:v>Perch-likes</x:v>
      </x:c>
      <x:c r="I55" s="31" t="n">
        <x:v>112.9671150931</x:v>
      </x:c>
      <x:c r="J55" s="31" t="n">
        <x:v>2.0628206499</x:v>
      </x:c>
      <x:c r="K55" s="31" t="n">
        <x:v>110.9042944432</x:v>
      </x:c>
      <x:c r="L55" s="31" t="n">
        <x:v>2.0628206499</x:v>
      </x:c>
      <x:c r="M55" s="31" t="n">
        <x:v>110.9042944432</x:v>
      </x:c>
      <x:c r="N55" s="24" t="str">
        <x:v>carangidae</x:v>
      </x:c>
      <x:c r="O55" s="32" t="n">
        <x:v>4.05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Carangidae</x:v>
      </x:c>
      <x:c r="T55" s="32" t="n">
        <x:f>IF(O55="","",(1/'Metadata'!$B$5)^(O55-1))</x:f>
        <x:v>1122.018454301963</x:v>
      </x:c>
      <x:c r="U55" s="31" t="n">
        <x:f>IF(T55="","",I55*T55)</x:f>
        <x:v>126751.18786371202</x:v>
      </x:c>
    </x:row>
    <x:row r="56" ht="18" customHeight="1">
      <x:c r="A56" s="24" t="str">
        <x:v>EEZ_578</x:v>
      </x:c>
      <x:c r="B56" s="24" t="str">
        <x:v>Norway</x:v>
      </x:c>
      <x:c r="C56" s="24" t="str">
        <x:v>EEZ</x:v>
      </x:c>
      <x:c r="D56" s="30" t="n">
        <x:v>2019</x:v>
      </x:c>
      <x:c r="E56" s="24" t="str">
        <x:v>Cephalopoda</x:v>
      </x:c>
      <x:c r="F56" s="24" t="str">
        <x:v>Squids, cuttlefishes, octopuses</x:v>
      </x:c>
      <x:c r="G56" s="24" t="str">
        <x:v>Cephalopods</x:v>
      </x:c>
      <x:c r="H56" s="24" t="str">
        <x:v>Other fishes &amp; inverts</x:v>
      </x:c>
      <x:c r="I56" s="31" t="n">
        <x:v>103.7637296237</x:v>
      </x:c>
      <x:c r="J56" s="31" t="n">
        <x:v>53.241622465</x:v>
      </x:c>
      <x:c r="K56" s="31" t="n">
        <x:v>50.5221071587</x:v>
      </x:c>
      <x:c r="L56" s="31" t="n">
        <x:v>53.241622465</x:v>
      </x:c>
      <x:c r="M56" s="31" t="n">
        <x:v>50.5221071587</x:v>
      </x:c>
      <x:c r="N56" s="24" t="str">
        <x:v>cephalopoda</x:v>
      </x:c>
      <x:c r="O56" s="32" t="n">
        <x:v>3.81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Cephalopoda</x:v>
      </x:c>
      <x:c r="T56" s="32" t="n">
        <x:f>IF(O56="","",(1/'Metadata'!$B$5)^(O56-1))</x:f>
        <x:v>645.6542290346556</x:v>
      </x:c>
      <x:c r="U56" s="31" t="n">
        <x:f>IF(T56="","",I56*T56)</x:f>
        <x:v>66995.49085195048</x:v>
      </x:c>
    </x:row>
    <x:row r="57" ht="18" customHeight="1">
      <x:c r="A57" s="24" t="str">
        <x:v>EEZ_578</x:v>
      </x:c>
      <x:c r="B57" s="24" t="str">
        <x:v>Norway</x:v>
      </x:c>
      <x:c r="C57" s="24" t="str">
        <x:v>EEZ</x:v>
      </x:c>
      <x:c r="D57" s="30" t="n">
        <x:v>2019</x:v>
      </x:c>
      <x:c r="E57" s="24" t="str">
        <x:v>Hippoglossus hippoglossus</x:v>
      </x:c>
      <x:c r="F57" s="24" t="str">
        <x:v>Atlantic halibut</x:v>
      </x:c>
      <x:c r="G57" s="24" t="str">
        <x:v>Large flatfishes (&gt;=90 cm)</x:v>
      </x:c>
      <x:c r="H57" s="24" t="str">
        <x:v>Flatfishes</x:v>
      </x:c>
      <x:c r="I57" s="31" t="n">
        <x:v>90.7316517024</x:v>
      </x:c>
      <x:c r="J57" s="31" t="n">
        <x:v>90.6512179721</x:v>
      </x:c>
      <x:c r="K57" s="31" t="n">
        <x:v>0.0804337303</x:v>
      </x:c>
      <x:c r="L57" s="31" t="n">
        <x:v>90.6184506937</x:v>
      </x:c>
      <x:c r="M57" s="31" t="n">
        <x:v>0.11320100870000001</x:v>
      </x:c>
      <x:c r="N57" s="24" t="str">
        <x:v>hippoglossus hippoglossus</x:v>
      </x:c>
      <x:c r="O57" s="32" t="n">
        <x:v>4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Hippoglossus hippoglossus</x:v>
      </x:c>
      <x:c r="T57" s="32" t="n">
        <x:f>IF(O57="","",(1/'Metadata'!$B$5)^(O57-1))</x:f>
        <x:v>1000</x:v>
      </x:c>
      <x:c r="U57" s="31" t="n">
        <x:f>IF(T57="","",I57*T57)</x:f>
        <x:v>90731.6517024</x:v>
      </x:c>
    </x:row>
    <x:row r="58" ht="18" customHeight="1">
      <x:c r="A58" s="24" t="str">
        <x:v>EEZ_578</x:v>
      </x:c>
      <x:c r="B58" s="24" t="str">
        <x:v>Norway</x:v>
      </x:c>
      <x:c r="C58" s="24" t="str">
        <x:v>EEZ</x:v>
      </x:c>
      <x:c r="D58" s="30" t="n">
        <x:v>2019</x:v>
      </x:c>
      <x:c r="E58" s="24" t="str">
        <x:v>Eleginus nawaga</x:v>
      </x:c>
      <x:c r="F58" s="24" t="str">
        <x:v>Navaga</x:v>
      </x:c>
      <x:c r="G58" s="24" t="str">
        <x:v>Medium demersals (30 - 89 cm)</x:v>
      </x:c>
      <x:c r="H58" s="24" t="str">
        <x:v>Cod-likes</x:v>
      </x:c>
      <x:c r="I58" s="31" t="n">
        <x:v>90.40408789290001</x:v>
      </x:c>
      <x:c r="J58" s="31" t="n">
        <x:v>90.40408789290001</x:v>
      </x:c>
      <x:c r="K58" s="31" t="n">
        <x:v>0</x:v>
      </x:c>
      <x:c r="L58" s="31" t="n">
        <x:v>89.7863645645</x:v>
      </x:c>
      <x:c r="M58" s="31" t="n">
        <x:v>0.6177233284</x:v>
      </x:c>
      <x:c r="N58" s="24" t="str">
        <x:v>eleginus nawaga</x:v>
      </x:c>
      <x:c r="O58" s="32" t="n">
        <x:v>4.24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Eleginus nawaga</x:v>
      </x:c>
      <x:c r="T58" s="32" t="n">
        <x:f>IF(O58="","",(1/'Metadata'!$B$5)^(O58-1))</x:f>
        <x:v>1737.8008287493763</x:v>
      </x:c>
      <x:c r="U58" s="31" t="n">
        <x:f>IF(T58="","",I58*T58)</x:f>
        <x:v>157104.2988626131</x:v>
      </x:c>
    </x:row>
    <x:row r="59" ht="18" customHeight="1">
      <x:c r="A59" s="24" t="str">
        <x:v>EEZ_578</x:v>
      </x:c>
      <x:c r="B59" s="24" t="str">
        <x:v>Norway</x:v>
      </x:c>
      <x:c r="C59" s="24" t="str">
        <x:v>EEZ</x:v>
      </x:c>
      <x:c r="D59" s="30" t="n">
        <x:v>2019</x:v>
      </x:c>
      <x:c r="E59" s="24" t="str">
        <x:v>Elasmobranchii</x:v>
      </x:c>
      <x:c r="F59" s="24" t="str">
        <x:v>Sharks, rays, skates</x:v>
      </x:c>
      <x:c r="G59" s="24" t="str">
        <x:v>Large sharks (&gt;=90 cm)</x:v>
      </x:c>
      <x:c r="H59" s="24" t="str">
        <x:v>Sharks &amp; rays</x:v>
      </x:c>
      <x:c r="I59" s="31" t="n">
        <x:v>86.9045746389</x:v>
      </x:c>
      <x:c r="J59" s="31" t="n">
        <x:v>0</x:v>
      </x:c>
      <x:c r="K59" s="31" t="n">
        <x:v>86.9045746389</x:v>
      </x:c>
      <x:c r="L59" s="31" t="n">
        <x:v>0</x:v>
      </x:c>
      <x:c r="M59" s="31" t="n">
        <x:v>86.9045746389</x:v>
      </x:c>
      <x:c r="N59" s="24" t="str">
        <x:v>elasmobranchii</x:v>
      </x:c>
      <x:c r="O59" s="32" t="n">
        <x:v>4.05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Elasmobranchii</x:v>
      </x:c>
      <x:c r="T59" s="32" t="n">
        <x:f>IF(O59="","",(1/'Metadata'!$B$5)^(O59-1))</x:f>
        <x:v>1122.018454301963</x:v>
      </x:c>
      <x:c r="U59" s="31" t="n">
        <x:f>IF(T59="","",I59*T59)</x:f>
        <x:v>97508.53650810815</x:v>
      </x:c>
    </x:row>
    <x:row r="60" ht="18" customHeight="1">
      <x:c r="A60" s="24" t="str">
        <x:v>EEZ_578</x:v>
      </x:c>
      <x:c r="B60" s="24" t="str">
        <x:v>Norway</x:v>
      </x:c>
      <x:c r="C60" s="24" t="str">
        <x:v>EEZ</x:v>
      </x:c>
      <x:c r="D60" s="30" t="n">
        <x:v>2019</x:v>
      </x:c>
      <x:c r="E60" s="24" t="str">
        <x:v>Mallotus villosus</x:v>
      </x:c>
      <x:c r="F60" s="24" t="str">
        <x:v>Capelin</x:v>
      </x:c>
      <x:c r="G60" s="24" t="str">
        <x:v>Small pelagics (&lt;30 cm)</x:v>
      </x:c>
      <x:c r="H60" s="24" t="str">
        <x:v>Salmon, smelts, etc</x:v>
      </x:c>
      <x:c r="I60" s="31" t="n">
        <x:v>86.6911630124</x:v>
      </x:c>
      <x:c r="J60" s="31" t="n">
        <x:v>37.5617166495</x:v>
      </x:c>
      <x:c r="K60" s="31" t="n">
        <x:v>49.1294463629</x:v>
      </x:c>
      <x:c r="L60" s="31" t="n">
        <x:v>9.6194874152</x:v>
      </x:c>
      <x:c r="M60" s="31" t="n">
        <x:v>77.0716755972</x:v>
      </x:c>
      <x:c r="N60" s="24" t="str">
        <x:v>mallotus villosus</x:v>
      </x:c>
      <x:c r="O60" s="32" t="n">
        <x:v>3.15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Mallotus villosus</x:v>
      </x:c>
      <x:c r="T60" s="32" t="n">
        <x:f>IF(O60="","",(1/'Metadata'!$B$5)^(O60-1))</x:f>
        <x:v>141.2537544622754</x:v>
      </x:c>
      <x:c r="U60" s="31" t="n">
        <x:f>IF(T60="","",I60*T60)</x:f>
        <x:v>12245.45225420264</x:v>
      </x:c>
    </x:row>
    <x:row r="61" ht="18" customHeight="1">
      <x:c r="A61" s="24" t="str">
        <x:v>EEZ_578</x:v>
      </x:c>
      <x:c r="B61" s="24" t="str">
        <x:v>Norway</x:v>
      </x:c>
      <x:c r="C61" s="24" t="str">
        <x:v>EEZ</x:v>
      </x:c>
      <x:c r="D61" s="30" t="n">
        <x:v>2019</x:v>
      </x:c>
      <x:c r="E61" s="24" t="str">
        <x:v>Soleidae</x:v>
      </x:c>
      <x:c r="F61" s="24" t="str">
        <x:v>Soles</x:v>
      </x:c>
      <x:c r="G61" s="24" t="str">
        <x:v>Small to medium flatfishes (&lt;90 cm)</x:v>
      </x:c>
      <x:c r="H61" s="24" t="str">
        <x:v>Flatfishes</x:v>
      </x:c>
      <x:c r="I61" s="31" t="n">
        <x:v>82.374493138</x:v>
      </x:c>
      <x:c r="J61" s="31" t="n">
        <x:v>0.211130442</x:v>
      </x:c>
      <x:c r="K61" s="31" t="n">
        <x:v>82.16336269600001</x:v>
      </x:c>
      <x:c r="L61" s="31" t="n">
        <x:v>0.211130442</x:v>
      </x:c>
      <x:c r="M61" s="31" t="n">
        <x:v>82.16336269600001</x:v>
      </x:c>
      <x:c r="N61" s="24" t="str">
        <x:v>soleidae</x:v>
      </x:c>
      <x:c r="O61" s="32" t="n">
        <x:v>3.15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Soleidae</x:v>
      </x:c>
      <x:c r="T61" s="32" t="n">
        <x:f>IF(O61="","",(1/'Metadata'!$B$5)^(O61-1))</x:f>
        <x:v>141.2537544622754</x:v>
      </x:c>
      <x:c r="U61" s="31" t="n">
        <x:f>IF(T61="","",I61*T61)</x:f>
        <x:v>11635.706427669442</x:v>
      </x:c>
    </x:row>
    <x:row r="62" ht="18" customHeight="1">
      <x:c r="A62" s="24" t="str">
        <x:v>EEZ_578</x:v>
      </x:c>
      <x:c r="B62" s="24" t="str">
        <x:v>Norway</x:v>
      </x:c>
      <x:c r="C62" s="24" t="str">
        <x:v>EEZ</x:v>
      </x:c>
      <x:c r="D62" s="30" t="n">
        <x:v>2019</x:v>
      </x:c>
      <x:c r="E62" s="24" t="str">
        <x:v>Trachinus draco</x:v>
      </x:c>
      <x:c r="F62" s="24" t="str">
        <x:v>Greater weever</x:v>
      </x:c>
      <x:c r="G62" s="24" t="str">
        <x:v>Medium demersals (30 - 89 cm)</x:v>
      </x:c>
      <x:c r="H62" s="24" t="str">
        <x:v>Perch-likes</x:v>
      </x:c>
      <x:c r="I62" s="31" t="n">
        <x:v>79.56430700950001</x:v>
      </x:c>
      <x:c r="J62" s="31" t="n">
        <x:v>67.3928728538</x:v>
      </x:c>
      <x:c r="K62" s="31" t="n">
        <x:v>12.1714341557</x:v>
      </x:c>
      <x:c r="L62" s="31" t="n">
        <x:v>67.3817170943</x:v>
      </x:c>
      <x:c r="M62" s="31" t="n">
        <x:v>12.1825899152</x:v>
      </x:c>
      <x:c r="N62" s="24" t="str">
        <x:v>trachinus draco</x:v>
      </x:c>
      <x:c r="O62" s="32" t="n">
        <x:v>4.18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Trachinus draco</x:v>
      </x:c>
      <x:c r="T62" s="32" t="n">
        <x:f>IF(O62="","",(1/'Metadata'!$B$5)^(O62-1))</x:f>
        <x:v>1513.5612484362073</x:v>
      </x:c>
      <x:c r="U62" s="31" t="n">
        <x:f>IF(T62="","",I62*T62)</x:f>
        <x:v>120425.45184826052</x:v>
      </x:c>
    </x:row>
    <x:row r="63" ht="18" customHeight="1">
      <x:c r="A63" s="24" t="str">
        <x:v>EEZ_578</x:v>
      </x:c>
      <x:c r="B63" s="24" t="str">
        <x:v>Norway</x:v>
      </x:c>
      <x:c r="C63" s="24" t="str">
        <x:v>EEZ</x:v>
      </x:c>
      <x:c r="D63" s="30" t="n">
        <x:v>2019</x:v>
      </x:c>
      <x:c r="E63" s="24" t="str">
        <x:v>Solea solea</x:v>
      </x:c>
      <x:c r="F63" s="24" t="str">
        <x:v>Common sole</x:v>
      </x:c>
      <x:c r="G63" s="24" t="str">
        <x:v>Small to medium flatfishes (&lt;90 cm)</x:v>
      </x:c>
      <x:c r="H63" s="24" t="str">
        <x:v>Flatfishes</x:v>
      </x:c>
      <x:c r="I63" s="31" t="n">
        <x:v>78.8395950022</x:v>
      </x:c>
      <x:c r="J63" s="31" t="n">
        <x:v>70.3603975015</x:v>
      </x:c>
      <x:c r="K63" s="31" t="n">
        <x:v>8.4791975007</x:v>
      </x:c>
      <x:c r="L63" s="31" t="n">
        <x:v>67.5035967906</x:v>
      </x:c>
      <x:c r="M63" s="31" t="n">
        <x:v>11.3359982116</x:v>
      </x:c>
      <x:c r="N63" s="24" t="str">
        <x:v>solea solea</x:v>
      </x:c>
      <x:c r="O63" s="32" t="n">
        <x:v>3.21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Solea solea</x:v>
      </x:c>
      <x:c r="T63" s="32" t="n">
        <x:f>IF(O63="","",(1/'Metadata'!$B$5)^(O63-1))</x:f>
        <x:v>162.18100973589299</x:v>
      </x:c>
      <x:c r="U63" s="31" t="n">
        <x:f>IF(T63="","",I63*T63)</x:f>
        <x:v>12786.285124625658</x:v>
      </x:c>
    </x:row>
    <x:row r="64" ht="18" customHeight="1">
      <x:c r="A64" s="24" t="str">
        <x:v>EEZ_578</x:v>
      </x:c>
      <x:c r="B64" s="24" t="str">
        <x:v>Norway</x:v>
      </x:c>
      <x:c r="C64" s="24" t="str">
        <x:v>EEZ</x:v>
      </x:c>
      <x:c r="D64" s="30" t="n">
        <x:v>2019</x:v>
      </x:c>
      <x:c r="E64" s="24" t="str">
        <x:v>Scophthalmus maximus</x:v>
      </x:c>
      <x:c r="F64" s="24" t="str">
        <x:v>Turbot</x:v>
      </x:c>
      <x:c r="G64" s="24" t="str">
        <x:v>Large flatfishes (&gt;=90 cm)</x:v>
      </x:c>
      <x:c r="H64" s="24" t="str">
        <x:v>Flatfishes</x:v>
      </x:c>
      <x:c r="I64" s="31" t="n">
        <x:v>75.1479726181</x:v>
      </x:c>
      <x:c r="J64" s="31" t="n">
        <x:v>74.8278149077</x:v>
      </x:c>
      <x:c r="K64" s="31" t="n">
        <x:v>0.32015771039999996</x:v>
      </x:c>
      <x:c r="L64" s="31" t="n">
        <x:v>74.8278149077</x:v>
      </x:c>
      <x:c r="M64" s="31" t="n">
        <x:v>0.32015771039999996</x:v>
      </x:c>
      <x:c r="N64" s="24" t="str">
        <x:v>scophthalmus maximus</x:v>
      </x:c>
      <x:c r="O64" s="32" t="n">
        <x:v>4.36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Scophthalmus maximus</x:v>
      </x:c>
      <x:c r="T64" s="32" t="n">
        <x:f>IF(O64="","",(1/'Metadata'!$B$5)^(O64-1))</x:f>
        <x:v>2290.867652767775</x:v>
      </x:c>
      <x:c r="U64" s="31" t="n">
        <x:f>IF(T64="","",I64*T64)</x:f>
        <x:v>172154.05964188377</x:v>
      </x:c>
    </x:row>
    <x:row r="65" ht="18" customHeight="1">
      <x:c r="A65" s="24" t="str">
        <x:v>EEZ_578</x:v>
      </x:c>
      <x:c r="B65" s="24" t="str">
        <x:v>Norway</x:v>
      </x:c>
      <x:c r="C65" s="24" t="str">
        <x:v>EEZ</x:v>
      </x:c>
      <x:c r="D65" s="30" t="n">
        <x:v>2019</x:v>
      </x:c>
      <x:c r="E65" s="24" t="str">
        <x:v>Argentina sphyraena</x:v>
      </x:c>
      <x:c r="F65" s="24" t="str">
        <x:v>European argentine</x:v>
      </x:c>
      <x:c r="G65" s="24" t="str">
        <x:v>Medium pelagics (30 - 89 cm)</x:v>
      </x:c>
      <x:c r="H65" s="24" t="str">
        <x:v>Salmon, smelts, etc</x:v>
      </x:c>
      <x:c r="I65" s="31" t="n">
        <x:v>73.2020663032</x:v>
      </x:c>
      <x:c r="J65" s="31" t="n">
        <x:v>73.2020663032</x:v>
      </x:c>
      <x:c r="K65" s="31" t="n">
        <x:v>0</x:v>
      </x:c>
      <x:c r="L65" s="31" t="n">
        <x:v>73.2020663032</x:v>
      </x:c>
      <x:c r="M65" s="31" t="n">
        <x:v>0</x:v>
      </x:c>
      <x:c r="N65" s="24" t="str">
        <x:v>argentina sphyraena</x:v>
      </x:c>
      <x:c r="O65" s="32" t="n">
        <x:v>3.62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Argentina sphyraena</x:v>
      </x:c>
      <x:c r="T65" s="32" t="n">
        <x:f>IF(O65="","",(1/'Metadata'!$B$5)^(O65-1))</x:f>
        <x:v>416.8693834703355</x:v>
      </x:c>
      <x:c r="U65" s="31" t="n">
        <x:f>IF(T65="","",I65*T65)</x:f>
        <x:v>30515.700248569603</x:v>
      </x:c>
    </x:row>
    <x:row r="66" ht="18" customHeight="1">
      <x:c r="A66" s="24" t="str">
        <x:v>EEZ_578</x:v>
      </x:c>
      <x:c r="B66" s="24" t="str">
        <x:v>Norway</x:v>
      </x:c>
      <x:c r="C66" s="24" t="str">
        <x:v>EEZ</x:v>
      </x:c>
      <x:c r="D66" s="30" t="n">
        <x:v>2019</x:v>
      </x:c>
      <x:c r="E66" s="24" t="str">
        <x:v>Perciformes</x:v>
      </x:c>
      <x:c r="F66" s="24" t="str">
        <x:v>Perch-likes</x:v>
      </x:c>
      <x:c r="G66" s="24" t="str">
        <x:v>Medium demersals (30 - 89 cm)</x:v>
      </x:c>
      <x:c r="H66" s="24" t="str">
        <x:v>Perch-likes</x:v>
      </x:c>
      <x:c r="I66" s="31" t="n">
        <x:v>70.0812968469</x:v>
      </x:c>
      <x:c r="J66" s="31" t="n">
        <x:v>69.2034388852</x:v>
      </x:c>
      <x:c r="K66" s="31" t="n">
        <x:v>0.8778579617</x:v>
      </x:c>
      <x:c r="L66" s="31" t="n">
        <x:v>69.2034388852</x:v>
      </x:c>
      <x:c r="M66" s="31" t="n">
        <x:v>0.8778579617</x:v>
      </x:c>
      <x:c r="N66" s="24" t="str">
        <x:v>perciformes</x:v>
      </x:c>
      <x:c r="O66" s="32" t="n">
        <x:v>3.53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Perciformes</x:v>
      </x:c>
      <x:c r="T66" s="32" t="n">
        <x:f>IF(O66="","",(1/'Metadata'!$B$5)^(O66-1))</x:f>
        <x:v>338.84415613920237</x:v>
      </x:c>
      <x:c r="U66" s="31" t="n">
        <x:f>IF(T66="","",I66*T66)</x:f>
        <x:v>23746.637891228776</x:v>
      </x:c>
    </x:row>
    <x:row r="67" ht="18" customHeight="1">
      <x:c r="A67" s="24" t="str">
        <x:v>EEZ_578</x:v>
      </x:c>
      <x:c r="B67" s="24" t="str">
        <x:v>Norway</x:v>
      </x:c>
      <x:c r="C67" s="24" t="str">
        <x:v>EEZ</x:v>
      </x:c>
      <x:c r="D67" s="30" t="n">
        <x:v>2019</x:v>
      </x:c>
      <x:c r="E67" s="24" t="str">
        <x:v>Scophthalmidae</x:v>
      </x:c>
      <x:c r="F67" s="24" t="str">
        <x:v>Turbots</x:v>
      </x:c>
      <x:c r="G67" s="24" t="str">
        <x:v>Small to medium flatfishes (&lt;90 cm)</x:v>
      </x:c>
      <x:c r="H67" s="24" t="str">
        <x:v>Flatfishes</x:v>
      </x:c>
      <x:c r="I67" s="31" t="n">
        <x:v>66.56123368589999</x:v>
      </x:c>
      <x:c r="J67" s="31" t="n">
        <x:v>0.020223011</x:v>
      </x:c>
      <x:c r="K67" s="31" t="n">
        <x:v>66.5410106749</x:v>
      </x:c>
      <x:c r="L67" s="31" t="n">
        <x:v>0.020223011</x:v>
      </x:c>
      <x:c r="M67" s="31" t="n">
        <x:v>66.5410106749</x:v>
      </x:c>
      <x:c r="N67" s="24" t="str">
        <x:v>scophthalmidae</x:v>
      </x:c>
      <x:c r="O67" s="32" t="n">
        <x:v>3.71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Scophthalmidae</x:v>
      </x:c>
      <x:c r="T67" s="32" t="n">
        <x:f>IF(O67="","",(1/'Metadata'!$B$5)^(O67-1))</x:f>
        <x:v>512.8613839913648</x:v>
      </x:c>
      <x:c r="U67" s="31" t="n">
        <x:f>IF(T67="","",I67*T67)</x:f>
        <x:v>34136.68642832332</x:v>
      </x:c>
    </x:row>
    <x:row r="68" ht="18" customHeight="1">
      <x:c r="A68" s="24" t="str">
        <x:v>EEZ_578</x:v>
      </x:c>
      <x:c r="B68" s="24" t="str">
        <x:v>Norway</x:v>
      </x:c>
      <x:c r="C68" s="24" t="str">
        <x:v>EEZ</x:v>
      </x:c>
      <x:c r="D68" s="30" t="n">
        <x:v>2019</x:v>
      </x:c>
      <x:c r="E68" s="24" t="str">
        <x:v>Bivalvia</x:v>
      </x:c>
      <x:c r="F68" s="24" t="str">
        <x:v>Clams</x:v>
      </x:c>
      <x:c r="G68" s="24" t="str">
        <x:v>Other demersal invertebrates</x:v>
      </x:c>
      <x:c r="H68" s="24" t="str">
        <x:v>Molluscs</x:v>
      </x:c>
      <x:c r="I68" s="31" t="n">
        <x:v>62.616383782</x:v>
      </x:c>
      <x:c r="J68" s="31" t="n">
        <x:v>0.028804362099999998</x:v>
      </x:c>
      <x:c r="K68" s="31" t="n">
        <x:v>62.587579419899996</x:v>
      </x:c>
      <x:c r="L68" s="31" t="n">
        <x:v>0.028804362099999998</x:v>
      </x:c>
      <x:c r="M68" s="31" t="n">
        <x:v>62.587579419899996</x:v>
      </x:c>
      <x:c r="N68" s="24" t="str">
        <x:v>bivalvia</x:v>
      </x:c>
      <x:c r="O68" s="32" t="n">
        <x:v>2.23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Bivalvia</x:v>
      </x:c>
      <x:c r="T68" s="32" t="n">
        <x:f>IF(O68="","",(1/'Metadata'!$B$5)^(O68-1))</x:f>
        <x:v>16.982436524617444</x:v>
      </x:c>
      <x:c r="U68" s="31" t="n">
        <x:f>IF(T68="","",I68*T68)</x:f>
        <x:v>1063.3787629789</x:v>
      </x:c>
    </x:row>
    <x:row r="69" ht="18" customHeight="1">
      <x:c r="A69" s="24" t="str">
        <x:v>EEZ_578</x:v>
      </x:c>
      <x:c r="B69" s="24" t="str">
        <x:v>Norway</x:v>
      </x:c>
      <x:c r="C69" s="24" t="str">
        <x:v>EEZ</x:v>
      </x:c>
      <x:c r="D69" s="30" t="n">
        <x:v>2019</x:v>
      </x:c>
      <x:c r="E69" s="24" t="str">
        <x:v>Crangonidae</x:v>
      </x:c>
      <x:c r="F69" s="24" t="str">
        <x:v>Brown shrimps</x:v>
      </x:c>
      <x:c r="G69" s="24" t="str">
        <x:v>Shrimps</x:v>
      </x:c>
      <x:c r="H69" s="24" t="str">
        <x:v>Crustaceans</x:v>
      </x:c>
      <x:c r="I69" s="31" t="n">
        <x:v>60.7523729394</x:v>
      </x:c>
      <x:c r="J69" s="31" t="n">
        <x:v>0</x:v>
      </x:c>
      <x:c r="K69" s="31" t="n">
        <x:v>60.7523729394</x:v>
      </x:c>
      <x:c r="L69" s="31" t="n">
        <x:v>0</x:v>
      </x:c>
      <x:c r="M69" s="31" t="n">
        <x:v>60.7523729394</x:v>
      </x:c>
      <x:c r="N69" s="24" t="str">
        <x:v>crangonidae</x:v>
      </x:c>
      <x:c r="O69" s="32" t="n">
        <x:v>3.19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Crangonidae</x:v>
      </x:c>
      <x:c r="T69" s="32" t="n">
        <x:f>IF(O69="","",(1/'Metadata'!$B$5)^(O69-1))</x:f>
        <x:v>154.88166189124811</x:v>
      </x:c>
      <x:c r="U69" s="31" t="n">
        <x:f>IF(T69="","",I69*T69)</x:f>
        <x:v>9409.428484691161</x:v>
      </x:c>
    </x:row>
    <x:row r="70" ht="18" customHeight="1">
      <x:c r="A70" s="24" t="str">
        <x:v>EEZ_578</x:v>
      </x:c>
      <x:c r="B70" s="24" t="str">
        <x:v>Norway</x:v>
      </x:c>
      <x:c r="C70" s="24" t="str">
        <x:v>EEZ</x:v>
      </x:c>
      <x:c r="D70" s="30" t="n">
        <x:v>2019</x:v>
      </x:c>
      <x:c r="E70" s="24" t="str">
        <x:v>Loligo</x:v>
      </x:c>
      <x:c r="F70" s="24" t="str">
        <x:v>Common squids</x:v>
      </x:c>
      <x:c r="G70" s="24" t="str">
        <x:v>Cephalopods</x:v>
      </x:c>
      <x:c r="H70" s="24" t="str">
        <x:v>Other fishes &amp; inverts</x:v>
      </x:c>
      <x:c r="I70" s="31" t="n">
        <x:v>59.7752916866</x:v>
      </x:c>
      <x:c r="J70" s="31" t="n">
        <x:v>59.767168147199996</x:v>
      </x:c>
      <x:c r="K70" s="31" t="n">
        <x:v>0.0081235394</x:v>
      </x:c>
      <x:c r="L70" s="31" t="n">
        <x:v>59.7509063183</x:v>
      </x:c>
      <x:c r="M70" s="31" t="n">
        <x:v>0.024385368299999998</x:v>
      </x:c>
      <x:c r="N70" s="24" t="str">
        <x:v>loligo</x:v>
      </x:c>
      <x:c r="O70" s="32" t="n">
        <x:v>3.99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Loligo</x:v>
      </x:c>
      <x:c r="T70" s="32" t="n">
        <x:f>IF(O70="","",(1/'Metadata'!$B$5)^(O70-1))</x:f>
        <x:v>977.2372209558112</x:v>
      </x:c>
      <x:c r="U70" s="31" t="n">
        <x:f>IF(T70="","",I70*T70)</x:f>
        <x:v>58414.63992963598</x:v>
      </x:c>
    </x:row>
    <x:row r="71" ht="18" customHeight="1">
      <x:c r="A71" s="24" t="str">
        <x:v>EEZ_578</x:v>
      </x:c>
      <x:c r="B71" s="24" t="str">
        <x:v>Norway</x:v>
      </x:c>
      <x:c r="C71" s="24" t="str">
        <x:v>EEZ</x:v>
      </x:c>
      <x:c r="D71" s="30" t="n">
        <x:v>2019</x:v>
      </x:c>
      <x:c r="E71" s="24" t="str">
        <x:v>Sebastidae</x:v>
      </x:c>
      <x:c r="F71" s="24" t="str">
        <x:v>Rockfishes, rockcods, thornyheads</x:v>
      </x:c>
      <x:c r="G71" s="24" t="str">
        <x:v>Medium demersals (30 - 89 cm)</x:v>
      </x:c>
      <x:c r="H71" s="24" t="str">
        <x:v>Scorpionfishes</x:v>
      </x:c>
      <x:c r="I71" s="31" t="n">
        <x:v>49.4133688393</x:v>
      </x:c>
      <x:c r="J71" s="31" t="n">
        <x:v>0</x:v>
      </x:c>
      <x:c r="K71" s="31" t="n">
        <x:v>49.4133688393</x:v>
      </x:c>
      <x:c r="L71" s="31" t="n">
        <x:v>0</x:v>
      </x:c>
      <x:c r="M71" s="31" t="n">
        <x:v>49.4133688393</x:v>
      </x:c>
      <x:c r="N71" s="24" t="str">
        <x:v>sebastidae</x:v>
      </x:c>
      <x:c r="O71" s="32" t="n">
        <x:v>3.74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Sebastidae</x:v>
      </x:c>
      <x:c r="T71" s="32" t="n">
        <x:f>IF(O71="","",(1/'Metadata'!$B$5)^(O71-1))</x:f>
        <x:v>549.5408738576248</x:v>
      </x:c>
      <x:c r="U71" s="31" t="n">
        <x:f>IF(T71="","",I71*T71)</x:f>
        <x:v>27154.66589219805</x:v>
      </x:c>
    </x:row>
    <x:row r="72" ht="18" customHeight="1">
      <x:c r="A72" s="24" t="str">
        <x:v>EEZ_578</x:v>
      </x:c>
      <x:c r="B72" s="24" t="str">
        <x:v>Norway</x:v>
      </x:c>
      <x:c r="C72" s="24" t="str">
        <x:v>EEZ</x:v>
      </x:c>
      <x:c r="D72" s="30" t="n">
        <x:v>2019</x:v>
      </x:c>
      <x:c r="E72" s="24" t="str">
        <x:v>Thunnus thynnus</x:v>
      </x:c>
      <x:c r="F72" s="24" t="str">
        <x:v>Atlantic bluefin tuna</x:v>
      </x:c>
      <x:c r="G72" s="24" t="str">
        <x:v>Large pelagics (&gt;=90 cm)</x:v>
      </x:c>
      <x:c r="H72" s="24" t="str">
        <x:v>Tuna &amp; billfishes</x:v>
      </x:c>
      <x:c r="I72" s="31" t="n">
        <x:v>48.4778751076</x:v>
      </x:c>
      <x:c r="J72" s="31" t="n">
        <x:v>48.4778751076</x:v>
      </x:c>
      <x:c r="K72" s="31" t="n">
        <x:v>0</x:v>
      </x:c>
      <x:c r="L72" s="31" t="n">
        <x:v>48.4778751076</x:v>
      </x:c>
      <x:c r="M72" s="31" t="n">
        <x:v>0</x:v>
      </x:c>
      <x:c r="N72" s="24" t="str">
        <x:v>thunnus thynnus</x:v>
      </x:c>
      <x:c r="O72" s="32" t="n">
        <x:v>4.45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Thunnus thynnus</x:v>
      </x:c>
      <x:c r="T72" s="32" t="n">
        <x:f>IF(O72="","",(1/'Metadata'!$B$5)^(O72-1))</x:f>
        <x:v>2818.382931264455</x:v>
      </x:c>
      <x:c r="U72" s="31" t="n">
        <x:f>IF(T72="","",I72*T72)</x:f>
        <x:v>136629.21574722984</x:v>
      </x:c>
    </x:row>
    <x:row r="73" ht="18" customHeight="1">
      <x:c r="A73" s="24" t="str">
        <x:v>EEZ_578</x:v>
      </x:c>
      <x:c r="B73" s="24" t="str">
        <x:v>Norway</x:v>
      </x:c>
      <x:c r="C73" s="24" t="str">
        <x:v>EEZ</x:v>
      </x:c>
      <x:c r="D73" s="30" t="n">
        <x:v>2019</x:v>
      </x:c>
      <x:c r="E73" s="24" t="str">
        <x:v>Chelon labrosus</x:v>
      </x:c>
      <x:c r="F73" s="24" t="str">
        <x:v>Thicklip grey mullet</x:v>
      </x:c>
      <x:c r="G73" s="24" t="str">
        <x:v>Medium demersals (30 - 89 cm)</x:v>
      </x:c>
      <x:c r="H73" s="24" t="str">
        <x:v>Perch-likes</x:v>
      </x:c>
      <x:c r="I73" s="31" t="n">
        <x:v>48.2143561221</x:v>
      </x:c>
      <x:c r="J73" s="31" t="n">
        <x:v>48.214170687599996</x:v>
      </x:c>
      <x:c r="K73" s="31" t="n">
        <x:v>0.0001854345</x:v>
      </x:c>
      <x:c r="L73" s="31" t="n">
        <x:v>48.2137387241</x:v>
      </x:c>
      <x:c r="M73" s="31" t="n">
        <x:v>0.000617398</x:v>
      </x:c>
      <x:c r="N73" s="24" t="str">
        <x:v>chelon labrosus</x:v>
      </x:c>
      <x:c r="O73" s="32" t="n">
        <x:v>2.59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Chelon labrosus</x:v>
      </x:c>
      <x:c r="T73" s="32" t="n">
        <x:f>IF(O73="","",(1/'Metadata'!$B$5)^(O73-1))</x:f>
        <x:v>38.904514499428046</x:v>
      </x:c>
      <x:c r="U73" s="31" t="n">
        <x:f>IF(T73="","",I73*T73)</x:f>
        <x:v>1875.7561168328268</x:v>
      </x:c>
    </x:row>
    <x:row r="74" ht="18" customHeight="1">
      <x:c r="A74" s="24" t="str">
        <x:v>EEZ_578</x:v>
      </x:c>
      <x:c r="B74" s="24" t="str">
        <x:v>Norway</x:v>
      </x:c>
      <x:c r="C74" s="24" t="str">
        <x:v>EEZ</x:v>
      </x:c>
      <x:c r="D74" s="30" t="n">
        <x:v>2019</x:v>
      </x:c>
      <x:c r="E74" s="24" t="str">
        <x:v>Congridae</x:v>
      </x:c>
      <x:c r="F74" s="24" t="str">
        <x:v>Conger, garden eels</x:v>
      </x:c>
      <x:c r="G74" s="24" t="str">
        <x:v>Large demersals (&gt;=90 cm)</x:v>
      </x:c>
      <x:c r="H74" s="24" t="str">
        <x:v>Other fishes &amp; inverts</x:v>
      </x:c>
      <x:c r="I74" s="31" t="n">
        <x:v>47.2678211837</x:v>
      </x:c>
      <x:c r="J74" s="31" t="n">
        <x:v>0.007858648000000001</x:v>
      </x:c>
      <x:c r="K74" s="31" t="n">
        <x:v>47.2599625357</x:v>
      </x:c>
      <x:c r="L74" s="31" t="n">
        <x:v>0.007858648000000001</x:v>
      </x:c>
      <x:c r="M74" s="31" t="n">
        <x:v>47.2599625357</x:v>
      </x:c>
      <x:c r="N74" s="24" t="str">
        <x:v>congridae</x:v>
      </x:c>
      <x:c r="O74" s="32" t="n">
        <x:v>4.18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Congridae</x:v>
      </x:c>
      <x:c r="T74" s="32" t="n">
        <x:f>IF(O74="","",(1/'Metadata'!$B$5)^(O74-1))</x:f>
        <x:v>1513.5612484362073</x:v>
      </x:c>
      <x:c r="U74" s="31" t="n">
        <x:f>IF(T74="","",I74*T74)</x:f>
        <x:v>71542.74244166038</x:v>
      </x:c>
    </x:row>
    <x:row r="75" ht="18" customHeight="1">
      <x:c r="A75" s="24" t="str">
        <x:v>EEZ_578</x:v>
      </x:c>
      <x:c r="B75" s="24" t="str">
        <x:v>Norway</x:v>
      </x:c>
      <x:c r="C75" s="24" t="str">
        <x:v>EEZ</x:v>
      </x:c>
      <x:c r="D75" s="30" t="n">
        <x:v>2019</x:v>
      </x:c>
      <x:c r="E75" s="24" t="str">
        <x:v>Gastropoda</x:v>
      </x:c>
      <x:c r="F75" s="24" t="str">
        <x:v>Sea snails</x:v>
      </x:c>
      <x:c r="G75" s="24" t="str">
        <x:v>Other demersal invertebrates</x:v>
      </x:c>
      <x:c r="H75" s="24" t="str">
        <x:v>Molluscs</x:v>
      </x:c>
      <x:c r="I75" s="31" t="n">
        <x:v>45.9065582239</x:v>
      </x:c>
      <x:c r="J75" s="31" t="n">
        <x:v>2.9760122182999997</x:v>
      </x:c>
      <x:c r="K75" s="31" t="n">
        <x:v>42.9305460056</x:v>
      </x:c>
      <x:c r="L75" s="31" t="n">
        <x:v>2.9760122182999997</x:v>
      </x:c>
      <x:c r="M75" s="31" t="n">
        <x:v>42.9305460056</x:v>
      </x:c>
      <x:c r="N75" s="24" t="str">
        <x:v>gastropoda</x:v>
      </x:c>
      <x:c r="O75" s="32" t="n">
        <x:v>3.06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Gastropoda</x:v>
      </x:c>
      <x:c r="T75" s="32" t="n">
        <x:f>IF(O75="","",(1/'Metadata'!$B$5)^(O75-1))</x:f>
        <x:v>114.81536214968828</x:v>
      </x:c>
      <x:c r="U75" s="31" t="n">
        <x:f>IF(T75="","",I75*T75)</x:f>
        <x:v>5270.7781075228295</x:v>
      </x:c>
    </x:row>
    <x:row r="76" ht="18" customHeight="1">
      <x:c r="A76" s="24" t="str">
        <x:v>EEZ_578</x:v>
      </x:c>
      <x:c r="B76" s="24" t="str">
        <x:v>Norway</x:v>
      </x:c>
      <x:c r="C76" s="24" t="str">
        <x:v>EEZ</x:v>
      </x:c>
      <x:c r="D76" s="30" t="n">
        <x:v>2019</x:v>
      </x:c>
      <x:c r="E76" s="24" t="str">
        <x:v>Boreogadus saida</x:v>
      </x:c>
      <x:c r="F76" s="24" t="str">
        <x:v>Polar cod</x:v>
      </x:c>
      <x:c r="G76" s="24" t="str">
        <x:v>Medium demersals (30 - 89 cm)</x:v>
      </x:c>
      <x:c r="H76" s="24" t="str">
        <x:v>Cod-likes</x:v>
      </x:c>
      <x:c r="I76" s="31" t="n">
        <x:v>44.725308436300004</x:v>
      </x:c>
      <x:c r="J76" s="31" t="n">
        <x:v>2.3006482546</x:v>
      </x:c>
      <x:c r="K76" s="31" t="n">
        <x:v>42.424660181700006</x:v>
      </x:c>
      <x:c r="L76" s="31" t="n">
        <x:v>2.2972422238</x:v>
      </x:c>
      <x:c r="M76" s="31" t="n">
        <x:v>42.428066212500006</x:v>
      </x:c>
      <x:c r="N76" s="24" t="str">
        <x:v>boreogadus saida</x:v>
      </x:c>
      <x:c r="O76" s="32" t="n">
        <x:v>3.12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Boreogadus saida</x:v>
      </x:c>
      <x:c r="T76" s="32" t="n">
        <x:f>IF(O76="","",(1/'Metadata'!$B$5)^(O76-1))</x:f>
        <x:v>131.82567385564073</x:v>
      </x:c>
      <x:c r="U76" s="31" t="n">
        <x:f>IF(T76="","",I76*T76)</x:f>
        <x:v>5895.943923016621</x:v>
      </x:c>
    </x:row>
    <x:row r="77" ht="18" customHeight="1">
      <x:c r="A77" s="24" t="str">
        <x:v>EEZ_578</x:v>
      </x:c>
      <x:c r="B77" s="24" t="str">
        <x:v>Norway</x:v>
      </x:c>
      <x:c r="C77" s="24" t="str">
        <x:v>EEZ</x:v>
      </x:c>
      <x:c r="D77" s="30" t="n">
        <x:v>2019</x:v>
      </x:c>
      <x:c r="E77" s="24" t="str">
        <x:v>Lophius</x:v>
      </x:c>
      <x:c r="F77" s="24" t="str">
        <x:v>Frogfishes</x:v>
      </x:c>
      <x:c r="G77" s="24" t="str">
        <x:v>Medium bathydemersals (30 - 89 cm)</x:v>
      </x:c>
      <x:c r="H77" s="24" t="str">
        <x:v>Other fishes &amp; inverts</x:v>
      </x:c>
      <x:c r="I77" s="31" t="n">
        <x:v>43.516213832999995</x:v>
      </x:c>
      <x:c r="J77" s="31" t="n">
        <x:v>43.516213832999995</x:v>
      </x:c>
      <x:c r="K77" s="31" t="n">
        <x:v>0</x:v>
      </x:c>
      <x:c r="L77" s="31" t="n">
        <x:v>43.516213832999995</x:v>
      </x:c>
      <x:c r="M77" s="31" t="n">
        <x:v>0</x:v>
      </x:c>
      <x:c r="N77" s="24" t="str">
        <x:v>lophius</x:v>
      </x:c>
      <x:c r="O77" s="32" t="n">
        <x:v>4.46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Lophius</x:v>
      </x:c>
      <x:c r="T77" s="32" t="n">
        <x:f>IF(O77="","",(1/'Metadata'!$B$5)^(O77-1))</x:f>
        <x:v>2884.031503126606</x:v>
      </x:c>
      <x:c r="U77" s="31" t="n">
        <x:f>IF(T77="","",I77*T77)</x:f>
        <x:v>125502.13159116577</x:v>
      </x:c>
    </x:row>
    <x:row r="78" ht="18" customHeight="1">
      <x:c r="A78" s="24" t="str">
        <x:v>EEZ_578</x:v>
      </x:c>
      <x:c r="B78" s="24" t="str">
        <x:v>Norway</x:v>
      </x:c>
      <x:c r="C78" s="24" t="str">
        <x:v>EEZ</x:v>
      </x:c>
      <x:c r="D78" s="30" t="n">
        <x:v>2019</x:v>
      </x:c>
      <x:c r="E78" s="24" t="str">
        <x:v>Platichthys flesus</x:v>
      </x:c>
      <x:c r="F78" s="24" t="str">
        <x:v>European flounder</x:v>
      </x:c>
      <x:c r="G78" s="24" t="str">
        <x:v>Small to medium flatfishes (&lt;90 cm)</x:v>
      </x:c>
      <x:c r="H78" s="24" t="str">
        <x:v>Flatfishes</x:v>
      </x:c>
      <x:c r="I78" s="31" t="n">
        <x:v>41.847285906799996</x:v>
      </x:c>
      <x:c r="J78" s="31" t="n">
        <x:v>41.7185527014</x:v>
      </x:c>
      <x:c r="K78" s="31" t="n">
        <x:v>0.1287332054</x:v>
      </x:c>
      <x:c r="L78" s="31" t="n">
        <x:v>41.6662442591</x:v>
      </x:c>
      <x:c r="M78" s="31" t="n">
        <x:v>0.1810416477</x:v>
      </x:c>
      <x:c r="N78" s="24" t="str">
        <x:v>platichthys flesus</x:v>
      </x:c>
      <x:c r="O78" s="32" t="n">
        <x:v>3.32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Platichthys flesus</x:v>
      </x:c>
      <x:c r="T78" s="32" t="n">
        <x:f>IF(O78="","",(1/'Metadata'!$B$5)^(O78-1))</x:f>
        <x:v>208.92961308540387</x:v>
      </x:c>
      <x:c r="U78" s="31" t="n">
        <x:f>IF(T78="","",I78*T78)</x:f>
        <x:v>8743.137253181998</x:v>
      </x:c>
    </x:row>
    <x:row r="79" ht="18" customHeight="1">
      <x:c r="A79" s="24" t="str">
        <x:v>EEZ_578</x:v>
      </x:c>
      <x:c r="B79" s="24" t="str">
        <x:v>Norway</x:v>
      </x:c>
      <x:c r="C79" s="24" t="str">
        <x:v>EEZ</x:v>
      </x:c>
      <x:c r="D79" s="30" t="n">
        <x:v>2019</x:v>
      </x:c>
      <x:c r="E79" s="24" t="str">
        <x:v>Carcinus maenas</x:v>
      </x:c>
      <x:c r="F79" s="24" t="str">
        <x:v>Green crab</x:v>
      </x:c>
      <x:c r="G79" s="24" t="str">
        <x:v>Lobsters, crabs</x:v>
      </x:c>
      <x:c r="H79" s="24" t="str">
        <x:v>Crustaceans</x:v>
      </x:c>
      <x:c r="I79" s="31" t="n">
        <x:v>41.0566863902</x:v>
      </x:c>
      <x:c r="J79" s="31" t="n">
        <x:v>41.0566863902</x:v>
      </x:c>
      <x:c r="K79" s="31" t="n">
        <x:v>0</x:v>
      </x:c>
      <x:c r="L79" s="31" t="n">
        <x:v>41.0566863902</x:v>
      </x:c>
      <x:c r="M79" s="31" t="n">
        <x:v>0</x:v>
      </x:c>
      <x:c r="N79" s="24" t="str">
        <x:v>carcinus maenas</x:v>
      </x:c>
      <x:c r="O79" s="32" t="n">
        <x:v>3.5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Carcinus maenas</x:v>
      </x:c>
      <x:c r="T79" s="32" t="n">
        <x:f>IF(O79="","",(1/'Metadata'!$B$5)^(O79-1))</x:f>
        <x:v>316.22776601683796</x:v>
      </x:c>
      <x:c r="U79" s="31" t="n">
        <x:f>IF(T79="","",I79*T79)</x:f>
        <x:v>12983.26421722686</x:v>
      </x:c>
    </x:row>
    <x:row r="80" ht="18" customHeight="1">
      <x:c r="A80" s="24" t="str">
        <x:v>EEZ_578</x:v>
      </x:c>
      <x:c r="B80" s="24" t="str">
        <x:v>Norway</x:v>
      </x:c>
      <x:c r="C80" s="24" t="str">
        <x:v>EEZ</x:v>
      </x:c>
      <x:c r="D80" s="30" t="n">
        <x:v>2019</x:v>
      </x:c>
      <x:c r="E80" s="24" t="str">
        <x:v>Scophthalmus rhombus</x:v>
      </x:c>
      <x:c r="F80" s="24" t="str">
        <x:v>Brill</x:v>
      </x:c>
      <x:c r="G80" s="24" t="str">
        <x:v>Small to medium flatfishes (&lt;90 cm)</x:v>
      </x:c>
      <x:c r="H80" s="24" t="str">
        <x:v>Flatfishes</x:v>
      </x:c>
      <x:c r="I80" s="31" t="n">
        <x:v>39.4340592617</x:v>
      </x:c>
      <x:c r="J80" s="31" t="n">
        <x:v>38.8014172679</x:v>
      </x:c>
      <x:c r="K80" s="31" t="n">
        <x:v>0.6326419938</x:v>
      </x:c>
      <x:c r="L80" s="31" t="n">
        <x:v>38.667805736300004</x:v>
      </x:c>
      <x:c r="M80" s="31" t="n">
        <x:v>0.7662535254</x:v>
      </x:c>
      <x:c r="N80" s="24" t="str">
        <x:v>scophthalmus rhombus</x:v>
      </x:c>
      <x:c r="O80" s="32" t="n">
        <x:v>4.42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Scophthalmus rhombus</x:v>
      </x:c>
      <x:c r="T80" s="32" t="n">
        <x:f>IF(O80="","",(1/'Metadata'!$B$5)^(O80-1))</x:f>
        <x:v>2630.2679918953813</x:v>
      </x:c>
      <x:c r="U80" s="31" t="n">
        <x:f>IF(T80="","",I80*T80)</x:f>
        <x:v>103722.14386655512</x:v>
      </x:c>
    </x:row>
    <x:row r="81" ht="18" customHeight="1">
      <x:c r="A81" s="24" t="str">
        <x:v>EEZ_578</x:v>
      </x:c>
      <x:c r="B81" s="24" t="str">
        <x:v>Norway</x:v>
      </x:c>
      <x:c r="C81" s="24" t="str">
        <x:v>EEZ</x:v>
      </x:c>
      <x:c r="D81" s="30" t="n">
        <x:v>2019</x:v>
      </x:c>
      <x:c r="E81" s="24" t="str">
        <x:v>Phycis blennoides</x:v>
      </x:c>
      <x:c r="F81" s="24" t="str">
        <x:v>Greater forkbeard</x:v>
      </x:c>
      <x:c r="G81" s="24" t="str">
        <x:v>Large benthopelagics (&gt;=90 cm)</x:v>
      </x:c>
      <x:c r="H81" s="24" t="str">
        <x:v>Cod-likes</x:v>
      </x:c>
      <x:c r="I81" s="31" t="n">
        <x:v>37.10661319</x:v>
      </x:c>
      <x:c r="J81" s="31" t="n">
        <x:v>37.1065559534</x:v>
      </x:c>
      <x:c r="K81" s="31" t="n">
        <x:v>0.0000572366</x:v>
      </x:c>
      <x:c r="L81" s="31" t="n">
        <x:v>37.1064284116</x:v>
      </x:c>
      <x:c r="M81" s="31" t="n">
        <x:v>0.0001847784</x:v>
      </x:c>
      <x:c r="N81" s="24" t="str">
        <x:v>phycis blennoides</x:v>
      </x:c>
      <x:c r="O81" s="32" t="n">
        <x:v>3.87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Phycis blennoides</x:v>
      </x:c>
      <x:c r="T81" s="32" t="n">
        <x:f>IF(O81="","",(1/'Metadata'!$B$5)^(O81-1))</x:f>
        <x:v>741.3102413009177</x:v>
      </x:c>
      <x:c r="U81" s="31" t="n">
        <x:f>IF(T81="","",I81*T81)</x:f>
        <x:v>27507.512377738713</x:v>
      </x:c>
    </x:row>
    <x:row r="82" ht="18" customHeight="1">
      <x:c r="A82" s="24" t="str">
        <x:v>EEZ_578</x:v>
      </x:c>
      <x:c r="B82" s="24" t="str">
        <x:v>Norway</x:v>
      </x:c>
      <x:c r="C82" s="24" t="str">
        <x:v>EEZ</x:v>
      </x:c>
      <x:c r="D82" s="30" t="n">
        <x:v>2019</x:v>
      </x:c>
      <x:c r="E82" s="24" t="str">
        <x:v>Cyclopterus lumpus</x:v>
      </x:c>
      <x:c r="F82" s="24" t="str">
        <x:v>Lumpfish</x:v>
      </x:c>
      <x:c r="G82" s="24" t="str">
        <x:v>Medium benthopelagics (30 - 89 cm)</x:v>
      </x:c>
      <x:c r="H82" s="24" t="str">
        <x:v>Scorpionfishes</x:v>
      </x:c>
      <x:c r="I82" s="31" t="n">
        <x:v>36.6877452158</x:v>
      </x:c>
      <x:c r="J82" s="31" t="n">
        <x:v>27.532589040500003</x:v>
      </x:c>
      <x:c r="K82" s="31" t="n">
        <x:v>9.1551561753</x:v>
      </x:c>
      <x:c r="L82" s="31" t="n">
        <x:v>27.503009985800002</x:v>
      </x:c>
      <x:c r="M82" s="31" t="n">
        <x:v>9.18473523</x:v>
      </x:c>
      <x:c r="N82" s="24" t="str">
        <x:v>cyclopterus lumpus</x:v>
      </x:c>
      <x:c r="O82" s="32" t="n">
        <x:v>3.89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Cyclopterus lumpus</x:v>
      </x:c>
      <x:c r="T82" s="32" t="n">
        <x:f>IF(O82="","",(1/'Metadata'!$B$5)^(O82-1))</x:f>
        <x:v>776.247116628692</x:v>
      </x:c>
      <x:c r="U82" s="31" t="n">
        <x:f>IF(T82="","",I82*T82)</x:f>
        <x:v>28478.75643937284</x:v>
      </x:c>
    </x:row>
    <x:row r="83" ht="18" customHeight="1">
      <x:c r="A83" s="24" t="str">
        <x:v>EEZ_578</x:v>
      </x:c>
      <x:c r="B83" s="24" t="str">
        <x:v>Norway</x:v>
      </x:c>
      <x:c r="C83" s="24" t="str">
        <x:v>EEZ</x:v>
      </x:c>
      <x:c r="D83" s="30" t="n">
        <x:v>2019</x:v>
      </x:c>
      <x:c r="E83" s="24" t="str">
        <x:v>Necora puber</x:v>
      </x:c>
      <x:c r="F83" s="24" t="str">
        <x:v>Velvet swimcrab</x:v>
      </x:c>
      <x:c r="G83" s="24" t="str">
        <x:v>Lobsters, crabs</x:v>
      </x:c>
      <x:c r="H83" s="24" t="str">
        <x:v>Crustaceans</x:v>
      </x:c>
      <x:c r="I83" s="31" t="n">
        <x:v>36.3047772887</x:v>
      </x:c>
      <x:c r="J83" s="31" t="n">
        <x:v>36.3047772887</x:v>
      </x:c>
      <x:c r="K83" s="31" t="n">
        <x:v>0</x:v>
      </x:c>
      <x:c r="L83" s="31" t="n">
        <x:v>36.3047772887</x:v>
      </x:c>
      <x:c r="M83" s="31" t="n">
        <x:v>0</x:v>
      </x:c>
      <x:c r="N83" s="24" t="str">
        <x:v>necora puber</x:v>
      </x:c>
      <x:c r="O83" s="32" t="n">
        <x:v>2.6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Necora puber</x:v>
      </x:c>
      <x:c r="T83" s="32" t="n">
        <x:f>IF(O83="","",(1/'Metadata'!$B$5)^(O83-1))</x:f>
        <x:v>39.810717055349734</x:v>
      </x:c>
      <x:c r="U83" s="31" t="n">
        <x:f>IF(T83="","",I83*T83)</x:f>
        <x:v>1445.319216397923</x:v>
      </x:c>
    </x:row>
    <x:row r="84" ht="18" customHeight="1">
      <x:c r="A84" s="24" t="str">
        <x:v>EEZ_578</x:v>
      </x:c>
      <x:c r="B84" s="24" t="str">
        <x:v>Norway</x:v>
      </x:c>
      <x:c r="C84" s="24" t="str">
        <x:v>EEZ</x:v>
      </x:c>
      <x:c r="D84" s="30" t="n">
        <x:v>2019</x:v>
      </x:c>
      <x:c r="E84" s="24" t="str">
        <x:v>Coryphaenoides rupestris</x:v>
      </x:c>
      <x:c r="F84" s="24" t="str">
        <x:v>Roundnose grenadier</x:v>
      </x:c>
      <x:c r="G84" s="24" t="str">
        <x:v>Large bathypelagics (&gt;=90 cm)</x:v>
      </x:c>
      <x:c r="H84" s="24" t="str">
        <x:v>Cod-likes</x:v>
      </x:c>
      <x:c r="I84" s="31" t="n">
        <x:v>34.578235615299995</x:v>
      </x:c>
      <x:c r="J84" s="31" t="n">
        <x:v>34.5780686524</x:v>
      </x:c>
      <x:c r="K84" s="31" t="n">
        <x:v>0.0001669629</x:v>
      </x:c>
      <x:c r="L84" s="31" t="n">
        <x:v>34.5777667243</x:v>
      </x:c>
      <x:c r="M84" s="31" t="n">
        <x:v>0.000468891</x:v>
      </x:c>
      <x:c r="N84" s="24" t="str">
        <x:v>coryphaenoides rupestris</x:v>
      </x:c>
      <x:c r="O84" s="32" t="n">
        <x:v>3.54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Coryphaenoides rupestris</x:v>
      </x:c>
      <x:c r="T84" s="32" t="n">
        <x:f>IF(O84="","",(1/'Metadata'!$B$5)^(O84-1))</x:f>
        <x:v>346.73685045253166</x:v>
      </x:c>
      <x:c r="U84" s="31" t="n">
        <x:f>IF(T84="","",I84*T84)</x:f>
        <x:v>11989.54851145468</x:v>
      </x:c>
    </x:row>
    <x:row r="85" ht="18" customHeight="1">
      <x:c r="A85" s="24" t="str">
        <x:v>EEZ_578</x:v>
      </x:c>
      <x:c r="B85" s="24" t="str">
        <x:v>Norway</x:v>
      </x:c>
      <x:c r="C85" s="24" t="str">
        <x:v>EEZ</x:v>
      </x:c>
      <x:c r="D85" s="30" t="n">
        <x:v>2019</x:v>
      </x:c>
      <x:c r="E85" s="24" t="str">
        <x:v>Brachyura</x:v>
      </x:c>
      <x:c r="F85" s="24" t="str">
        <x:v>Marine crabs</x:v>
      </x:c>
      <x:c r="G85" s="24" t="str">
        <x:v>Lobsters, crabs</x:v>
      </x:c>
      <x:c r="H85" s="24" t="str">
        <x:v>Crustaceans</x:v>
      </x:c>
      <x:c r="I85" s="31" t="n">
        <x:v>34.4280827924</x:v>
      </x:c>
      <x:c r="J85" s="31" t="n">
        <x:v>34.4280827924</x:v>
      </x:c>
      <x:c r="K85" s="31" t="n">
        <x:v>0</x:v>
      </x:c>
      <x:c r="L85" s="31" t="n">
        <x:v>34.4280827924</x:v>
      </x:c>
      <x:c r="M85" s="31" t="n">
        <x:v>0</x:v>
      </x:c>
      <x:c r="N85" s="24" t="str">
        <x:v>brachyura</x:v>
      </x:c>
      <x:c r="O85" s="32" t="n">
        <x:v>2.6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Brachyura</x:v>
      </x:c>
      <x:c r="T85" s="32" t="n">
        <x:f>IF(O85="","",(1/'Metadata'!$B$5)^(O85-1))</x:f>
        <x:v>39.810717055349734</x:v>
      </x:c>
      <x:c r="U85" s="31" t="n">
        <x:f>IF(T85="","",I85*T85)</x:f>
        <x:v>1370.6066628063913</x:v>
      </x:c>
    </x:row>
    <x:row r="86" ht="18" customHeight="1">
      <x:c r="A86" s="24" t="str">
        <x:v>EEZ_578</x:v>
      </x:c>
      <x:c r="B86" s="24" t="str">
        <x:v>Norway</x:v>
      </x:c>
      <x:c r="C86" s="24" t="str">
        <x:v>EEZ</x:v>
      </x:c>
      <x:c r="D86" s="30" t="n">
        <x:v>2019</x:v>
      </x:c>
      <x:c r="E86" s="24" t="str">
        <x:v>Conger conger</x:v>
      </x:c>
      <x:c r="F86" s="24" t="str">
        <x:v>European conger</x:v>
      </x:c>
      <x:c r="G86" s="24" t="str">
        <x:v>Large demersals (&gt;=90 cm)</x:v>
      </x:c>
      <x:c r="H86" s="24" t="str">
        <x:v>Other fishes &amp; inverts</x:v>
      </x:c>
      <x:c r="I86" s="31" t="n">
        <x:v>33.679460481599996</x:v>
      </x:c>
      <x:c r="J86" s="31" t="n">
        <x:v>33.6793219315</x:v>
      </x:c>
      <x:c r="K86" s="31" t="n">
        <x:v>0.0001385501</x:v>
      </x:c>
      <x:c r="L86" s="31" t="n">
        <x:v>33.6790313331</x:v>
      </x:c>
      <x:c r="M86" s="31" t="n">
        <x:v>0.0004291485</x:v>
      </x:c>
      <x:c r="N86" s="24" t="str">
        <x:v>conger conger</x:v>
      </x:c>
      <x:c r="O86" s="32" t="n">
        <x:v>4.31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Conger conger</x:v>
      </x:c>
      <x:c r="T86" s="32" t="n">
        <x:f>IF(O86="","",(1/'Metadata'!$B$5)^(O86-1))</x:f>
        <x:v>2041.7379446695275</x:v>
      </x:c>
      <x:c r="U86" s="31" t="n">
        <x:f>IF(T86="","",I86*T86)</x:f>
        <x:v>68764.63242128055</x:v>
      </x:c>
    </x:row>
    <x:row r="87" ht="18" customHeight="1">
      <x:c r="A87" s="24" t="str">
        <x:v>EEZ_578</x:v>
      </x:c>
      <x:c r="B87" s="24" t="str">
        <x:v>Norway</x:v>
      </x:c>
      <x:c r="C87" s="24" t="str">
        <x:v>EEZ</x:v>
      </x:c>
      <x:c r="D87" s="30" t="n">
        <x:v>2019</x:v>
      </x:c>
      <x:c r="E87" s="24" t="str">
        <x:v>Sciaenidae</x:v>
      </x:c>
      <x:c r="F87" s="24" t="str">
        <x:v>Drums, croakers</x:v>
      </x:c>
      <x:c r="G87" s="24" t="str">
        <x:v>Medium demersals (30 - 89 cm)</x:v>
      </x:c>
      <x:c r="H87" s="24" t="str">
        <x:v>Perch-likes</x:v>
      </x:c>
      <x:c r="I87" s="31" t="n">
        <x:v>33.3627121579</x:v>
      </x:c>
      <x:c r="J87" s="31" t="n">
        <x:v>0.067336985</x:v>
      </x:c>
      <x:c r="K87" s="31" t="n">
        <x:v>33.2953751729</x:v>
      </x:c>
      <x:c r="L87" s="31" t="n">
        <x:v>0.067336985</x:v>
      </x:c>
      <x:c r="M87" s="31" t="n">
        <x:v>33.2953751729</x:v>
      </x:c>
      <x:c r="N87" s="24" t="str">
        <x:v>sciaenidae</x:v>
      </x:c>
      <x:c r="O87" s="32" t="n">
        <x:v>3.76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Sciaenidae</x:v>
      </x:c>
      <x:c r="T87" s="32" t="n">
        <x:f>IF(O87="","",(1/'Metadata'!$B$5)^(O87-1))</x:f>
        <x:v>575.4399373371566</x:v>
      </x:c>
      <x:c r="U87" s="31" t="n">
        <x:f>IF(T87="","",I87*T87)</x:f>
        <x:v>19198.23699353957</x:v>
      </x:c>
    </x:row>
    <x:row r="88" ht="18" customHeight="1">
      <x:c r="A88" s="24" t="str">
        <x:v>EEZ_578</x:v>
      </x:c>
      <x:c r="B88" s="24" t="str">
        <x:v>Norway</x:v>
      </x:c>
      <x:c r="C88" s="24" t="str">
        <x:v>EEZ</x:v>
      </x:c>
      <x:c r="D88" s="30" t="n">
        <x:v>2019</x:v>
      </x:c>
      <x:c r="E88" s="24" t="str">
        <x:v>Echinoidea</x:v>
      </x:c>
      <x:c r="F88" s="24" t="str">
        <x:v>Sea urchins, sea hedgehogs</x:v>
      </x:c>
      <x:c r="G88" s="24" t="str">
        <x:v>Other demersal invertebrates</x:v>
      </x:c>
      <x:c r="H88" s="24" t="str">
        <x:v>Other fishes &amp; inverts</x:v>
      </x:c>
      <x:c r="I88" s="31" t="n">
        <x:v>31.367587473900002</x:v>
      </x:c>
      <x:c r="J88" s="31" t="n">
        <x:v>31.367587473900002</x:v>
      </x:c>
      <x:c r="K88" s="31" t="n">
        <x:v>0</x:v>
      </x:c>
      <x:c r="L88" s="31" t="n">
        <x:v>31.366930094700002</x:v>
      </x:c>
      <x:c r="M88" s="31" t="n">
        <x:v>0.0006573792</x:v>
      </x:c>
      <x:c r="N88" s="24" t="str">
        <x:v>echinoidea</x:v>
      </x:c>
      <x:c r="O88" s="32" t="n">
        <x:v>2.51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Echinoidea</x:v>
      </x:c>
      <x:c r="T88" s="32" t="n">
        <x:f>IF(O88="","",(1/'Metadata'!$B$5)^(O88-1))</x:f>
        <x:v>32.35936569296281</x:v>
      </x:c>
      <x:c r="U88" s="31" t="n">
        <x:f>IF(T88="","",I88*T88)</x:f>
        <x:v>1015.0352339739297</x:v>
      </x:c>
    </x:row>
    <x:row r="89" ht="18" customHeight="1">
      <x:c r="A89" s="24" t="str">
        <x:v>EEZ_578</x:v>
      </x:c>
      <x:c r="B89" s="24" t="str">
        <x:v>Norway</x:v>
      </x:c>
      <x:c r="C89" s="24" t="str">
        <x:v>EEZ</x:v>
      </x:c>
      <x:c r="D89" s="30" t="n">
        <x:v>2019</x:v>
      </x:c>
      <x:c r="E89" s="24" t="str">
        <x:v>Sepia officinalis</x:v>
      </x:c>
      <x:c r="F89" s="24" t="str">
        <x:v>Common cuttlefish</x:v>
      </x:c>
      <x:c r="G89" s="24" t="str">
        <x:v>Cephalopods</x:v>
      </x:c>
      <x:c r="H89" s="24" t="str">
        <x:v>Other fishes &amp; inverts</x:v>
      </x:c>
      <x:c r="I89" s="31" t="n">
        <x:v>28.9170288754</x:v>
      </x:c>
      <x:c r="J89" s="31" t="n">
        <x:v>28.9169820368</x:v>
      </x:c>
      <x:c r="K89" s="31" t="n">
        <x:v>0.0000468386</x:v>
      </x:c>
      <x:c r="L89" s="31" t="n">
        <x:v>28.9168729277</x:v>
      </x:c>
      <x:c r="M89" s="31" t="n">
        <x:v>0.0001559477</x:v>
      </x:c>
      <x:c r="N89" s="24" t="str">
        <x:v>sepia officinalis</x:v>
      </x:c>
      <x:c r="O89" s="32" t="n">
        <x:v>4.27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Sepia officinalis</x:v>
      </x:c>
      <x:c r="T89" s="32" t="n">
        <x:f>IF(O89="","",(1/'Metadata'!$B$5)^(O89-1))</x:f>
        <x:v>1862.0871366628655</x:v>
      </x:c>
      <x:c r="U89" s="31" t="n">
        <x:f>IF(T89="","",I89*T89)</x:f>
        <x:v>53846.02749939099</x:v>
      </x:c>
    </x:row>
    <x:row r="90" ht="18" customHeight="1">
      <x:c r="A90" s="24" t="str">
        <x:v>EEZ_578</x:v>
      </x:c>
      <x:c r="B90" s="24" t="str">
        <x:v>Norway</x:v>
      </x:c>
      <x:c r="C90" s="24" t="str">
        <x:v>EEZ</x:v>
      </x:c>
      <x:c r="D90" s="30" t="n">
        <x:v>2019</x:v>
      </x:c>
      <x:c r="E90" s="24" t="str">
        <x:v>Molva dypterygia</x:v>
      </x:c>
      <x:c r="F90" s="24" t="str">
        <x:v>Blue ling</x:v>
      </x:c>
      <x:c r="G90" s="24" t="str">
        <x:v>Large demersals (&gt;=90 cm)</x:v>
      </x:c>
      <x:c r="H90" s="24" t="str">
        <x:v>Cod-likes</x:v>
      </x:c>
      <x:c r="I90" s="31" t="n">
        <x:v>28.466088948000003</x:v>
      </x:c>
      <x:c r="J90" s="31" t="n">
        <x:v>28.465624769300003</x:v>
      </x:c>
      <x:c r="K90" s="31" t="n">
        <x:v>0.0004641787</x:v>
      </x:c>
      <x:c r="L90" s="31" t="n">
        <x:v>28.464590428700003</x:v>
      </x:c>
      <x:c r="M90" s="31" t="n">
        <x:v>0.0014985193</x:v>
      </x:c>
      <x:c r="N90" s="24" t="str">
        <x:v>molva dypterygia</x:v>
      </x:c>
      <x:c r="O90" s="32" t="n">
        <x:v>4.49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Molva dypterygia</x:v>
      </x:c>
      <x:c r="T90" s="32" t="n">
        <x:f>IF(O90="","",(1/'Metadata'!$B$5)^(O90-1))</x:f>
        <x:v>3090.295432513592</x:v>
      </x:c>
      <x:c r="U90" s="31" t="n">
        <x:f>IF(T90="","",I90*T90)</x:f>
        <x:v>87968.62465753005</x:v>
      </x:c>
    </x:row>
    <x:row r="91" ht="18" customHeight="1">
      <x:c r="A91" s="24" t="str">
        <x:v>EEZ_578</x:v>
      </x:c>
      <x:c r="B91" s="24" t="str">
        <x:v>Norway</x:v>
      </x:c>
      <x:c r="C91" s="24" t="str">
        <x:v>EEZ</x:v>
      </x:c>
      <x:c r="D91" s="30" t="n">
        <x:v>2019</x:v>
      </x:c>
      <x:c r="E91" s="24" t="str">
        <x:v>Homarus gammarus</x:v>
      </x:c>
      <x:c r="F91" s="24" t="str">
        <x:v>European lobster</x:v>
      </x:c>
      <x:c r="G91" s="24" t="str">
        <x:v>Lobsters, crabs</x:v>
      </x:c>
      <x:c r="H91" s="24" t="str">
        <x:v>Crustaceans</x:v>
      </x:c>
      <x:c r="I91" s="31" t="n">
        <x:v>26.5442449519</x:v>
      </x:c>
      <x:c r="J91" s="31" t="n">
        <x:v>25.6346690549</x:v>
      </x:c>
      <x:c r="K91" s="31" t="n">
        <x:v>0.909575897</x:v>
      </x:c>
      <x:c r="L91" s="31" t="n">
        <x:v>25.6346690549</x:v>
      </x:c>
      <x:c r="M91" s="31" t="n">
        <x:v>0.909575897</x:v>
      </x:c>
      <x:c r="N91" s="24" t="str">
        <x:v>homarus gammarus</x:v>
      </x:c>
      <x:c r="O91" s="32" t="n">
        <x:v>3.7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Homarus gammarus</x:v>
      </x:c>
      <x:c r="T91" s="32" t="n">
        <x:f>IF(O91="","",(1/'Metadata'!$B$5)^(O91-1))</x:f>
        <x:v>501.18723362727246</x:v>
      </x:c>
      <x:c r="U91" s="31" t="n">
        <x:f>IF(T91="","",I91*T91)</x:f>
        <x:v>13303.636696167454</x:v>
      </x:c>
    </x:row>
    <x:row r="92" ht="18" customHeight="1">
      <x:c r="A92" s="24" t="str">
        <x:v>EEZ_578</x:v>
      </x:c>
      <x:c r="B92" s="24" t="str">
        <x:v>Norway</x:v>
      </x:c>
      <x:c r="C92" s="24" t="str">
        <x:v>EEZ</x:v>
      </x:c>
      <x:c r="D92" s="30" t="n">
        <x:v>2019</x:v>
      </x:c>
      <x:c r="E92" s="24" t="str">
        <x:v>Eutrigla gurnardus</x:v>
      </x:c>
      <x:c r="F92" s="24" t="str">
        <x:v>Grey gurnard</x:v>
      </x:c>
      <x:c r="G92" s="24" t="str">
        <x:v>Medium demersals (30 - 89 cm)</x:v>
      </x:c>
      <x:c r="H92" s="24" t="str">
        <x:v>Scorpionfishes</x:v>
      </x:c>
      <x:c r="I92" s="31" t="n">
        <x:v>24.892293194500002</x:v>
      </x:c>
      <x:c r="J92" s="31" t="n">
        <x:v>24.8723868947</x:v>
      </x:c>
      <x:c r="K92" s="31" t="n">
        <x:v>0.019906299800000003</x:v>
      </x:c>
      <x:c r="L92" s="31" t="n">
        <x:v>24.8390755026</x:v>
      </x:c>
      <x:c r="M92" s="31" t="n">
        <x:v>0.0532176919</x:v>
      </x:c>
      <x:c r="N92" s="24" t="str">
        <x:v>eutrigla gurnardus</x:v>
      </x:c>
      <x:c r="O92" s="32" t="n">
        <x:v>3.87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Eutrigla gurnardus</x:v>
      </x:c>
      <x:c r="T92" s="32" t="n">
        <x:f>IF(O92="","",(1/'Metadata'!$B$5)^(O92-1))</x:f>
        <x:v>741.3102413009177</x:v>
      </x:c>
      <x:c r="U92" s="31" t="n">
        <x:f>IF(T92="","",I92*T92)</x:f>
        <x:v>18452.91187454799</x:v>
      </x:c>
    </x:row>
    <x:row r="93" ht="18" customHeight="1">
      <x:c r="A93" s="24" t="str">
        <x:v>EEZ_578</x:v>
      </x:c>
      <x:c r="B93" s="24" t="str">
        <x:v>Norway</x:v>
      </x:c>
      <x:c r="C93" s="24" t="str">
        <x:v>EEZ</x:v>
      </x:c>
      <x:c r="D93" s="30" t="n">
        <x:v>2019</x:v>
      </x:c>
      <x:c r="E93" s="24" t="str">
        <x:v>Leucoraja naevus</x:v>
      </x:c>
      <x:c r="F93" s="24" t="str">
        <x:v>Cuckoo ray</x:v>
      </x:c>
      <x:c r="G93" s="24" t="str">
        <x:v>Small to medium rays (&lt;90 cm)</x:v>
      </x:c>
      <x:c r="H93" s="24" t="str">
        <x:v>Sharks &amp; rays</x:v>
      </x:c>
      <x:c r="I93" s="31" t="n">
        <x:v>23.720668648</x:v>
      </x:c>
      <x:c r="J93" s="31" t="n">
        <x:v>23.720668648</x:v>
      </x:c>
      <x:c r="K93" s="31" t="n">
        <x:v>0</x:v>
      </x:c>
      <x:c r="L93" s="31" t="n">
        <x:v>23.720668648</x:v>
      </x:c>
      <x:c r="M93" s="31" t="n">
        <x:v>0</x:v>
      </x:c>
      <x:c r="N93" s="24" t="str">
        <x:v>leucoraja naevus</x:v>
      </x:c>
      <x:c r="O93" s="32" t="n">
        <x:v>4.21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Leucoraja naevus</x:v>
      </x:c>
      <x:c r="T93" s="32" t="n">
        <x:f>IF(O93="","",(1/'Metadata'!$B$5)^(O93-1))</x:f>
        <x:v>1621.8100973589299</x:v>
      </x:c>
      <x:c r="U93" s="31" t="n">
        <x:f>IF(T93="","",I93*T93)</x:f>
        <x:v>38470.419929431795</x:v>
      </x:c>
    </x:row>
    <x:row r="94" ht="18" customHeight="1">
      <x:c r="A94" s="24" t="str">
        <x:v>EEZ_578</x:v>
      </x:c>
      <x:c r="B94" s="24" t="str">
        <x:v>Norway</x:v>
      </x:c>
      <x:c r="C94" s="24" t="str">
        <x:v>EEZ</x:v>
      </x:c>
      <x:c r="D94" s="30" t="n">
        <x:v>2019</x:v>
      </x:c>
      <x:c r="E94" s="24" t="str">
        <x:v>Teuthida</x:v>
      </x:c>
      <x:c r="F94" s="24" t="str">
        <x:v>Squids</x:v>
      </x:c>
      <x:c r="G94" s="24" t="str">
        <x:v>Cephalopods</x:v>
      </x:c>
      <x:c r="H94" s="24" t="str">
        <x:v>Other fishes &amp; inverts</x:v>
      </x:c>
      <x:c r="I94" s="31" t="n">
        <x:v>23.511237923099998</x:v>
      </x:c>
      <x:c r="J94" s="31" t="n">
        <x:v>23.511237923099998</x:v>
      </x:c>
      <x:c r="K94" s="31" t="n">
        <x:v>0</x:v>
      </x:c>
      <x:c r="L94" s="31" t="n">
        <x:v>23.511237923099998</x:v>
      </x:c>
      <x:c r="M94" s="31" t="n">
        <x:v>0</x:v>
      </x:c>
      <x:c r="N94" s="24" t="str">
        <x:v>teuthida</x:v>
      </x:c>
      <x:c r="O94" s="32" t="n">
        <x:v>4.13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Teuthida</x:v>
      </x:c>
      <x:c r="T94" s="32" t="n">
        <x:f>IF(O94="","",(1/'Metadata'!$B$5)^(O94-1))</x:f>
        <x:v>1348.9628825916532</x:v>
      </x:c>
      <x:c r="U94" s="31" t="n">
        <x:f>IF(T94="","",I94*T94)</x:f>
        <x:v>31715.787282043166</x:v>
      </x:c>
    </x:row>
    <x:row r="95" ht="18" customHeight="1">
      <x:c r="A95" s="24" t="str">
        <x:v>EEZ_578</x:v>
      </x:c>
      <x:c r="B95" s="24" t="str">
        <x:v>Norway</x:v>
      </x:c>
      <x:c r="C95" s="24" t="str">
        <x:v>EEZ</x:v>
      </x:c>
      <x:c r="D95" s="30" t="n">
        <x:v>2019</x:v>
      </x:c>
      <x:c r="E95" s="24" t="str">
        <x:v>Lepidorhombus whiffiagonis</x:v>
      </x:c>
      <x:c r="F95" s="24" t="str">
        <x:v>Megrim</x:v>
      </x:c>
      <x:c r="G95" s="24" t="str">
        <x:v>Small to medium flatfishes (&lt;90 cm)</x:v>
      </x:c>
      <x:c r="H95" s="24" t="str">
        <x:v>Flatfishes</x:v>
      </x:c>
      <x:c r="I95" s="31" t="n">
        <x:v>22.8039347864</x:v>
      </x:c>
      <x:c r="J95" s="31" t="n">
        <x:v>22.7934977841</x:v>
      </x:c>
      <x:c r="K95" s="31" t="n">
        <x:v>0.0104370023</x:v>
      </x:c>
      <x:c r="L95" s="31" t="n">
        <x:v>22.7934977841</x:v>
      </x:c>
      <x:c r="M95" s="31" t="n">
        <x:v>0.0104370023</x:v>
      </x:c>
      <x:c r="N95" s="24" t="str">
        <x:v>lepidorhombus whiffiagonis</x:v>
      </x:c>
      <x:c r="O95" s="32" t="n">
        <x:v>4.34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Lepidorhombus whiffiagonis</x:v>
      </x:c>
      <x:c r="T95" s="32" t="n">
        <x:f>IF(O95="","",(1/'Metadata'!$B$5)^(O95-1))</x:f>
        <x:v>2187.761623949552</x:v>
      </x:c>
      <x:c r="U95" s="31" t="n">
        <x:f>IF(T95="","",I95*T95)</x:f>
        <x:v>49889.57340073414</x:v>
      </x:c>
    </x:row>
    <x:row r="96" ht="18" customHeight="1">
      <x:c r="A96" s="24" t="str">
        <x:v>EEZ_578</x:v>
      </x:c>
      <x:c r="B96" s="24" t="str">
        <x:v>Norway</x:v>
      </x:c>
      <x:c r="C96" s="24" t="str">
        <x:v>EEZ</x:v>
      </x:c>
      <x:c r="D96" s="30" t="n">
        <x:v>2019</x:v>
      </x:c>
      <x:c r="E96" s="24" t="str">
        <x:v>Brama brama</x:v>
      </x:c>
      <x:c r="F96" s="24" t="str">
        <x:v>Atlantic pomfret</x:v>
      </x:c>
      <x:c r="G96" s="24" t="str">
        <x:v>Medium bathypelagics (30 - 89 cm)</x:v>
      </x:c>
      <x:c r="H96" s="24" t="str">
        <x:v>Perch-likes</x:v>
      </x:c>
      <x:c r="I96" s="31" t="n">
        <x:v>18.1444724869</x:v>
      </x:c>
      <x:c r="J96" s="31" t="n">
        <x:v>18.1444724869</x:v>
      </x:c>
      <x:c r="K96" s="31" t="n">
        <x:v>0</x:v>
      </x:c>
      <x:c r="L96" s="31" t="n">
        <x:v>18.1444724869</x:v>
      </x:c>
      <x:c r="M96" s="31" t="n">
        <x:v>0</x:v>
      </x:c>
      <x:c r="N96" s="24" t="str">
        <x:v>brama brama</x:v>
      </x:c>
      <x:c r="O96" s="32" t="n">
        <x:v>4.08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Brama brama</x:v>
      </x:c>
      <x:c r="T96" s="32" t="n">
        <x:f>IF(O96="","",(1/'Metadata'!$B$5)^(O96-1))</x:f>
        <x:v>1202.2644346174131</x:v>
      </x:c>
      <x:c r="U96" s="31" t="n">
        <x:f>IF(T96="","",I96*T96)</x:f>
        <x:v>21814.453955894038</x:v>
      </x:c>
    </x:row>
    <x:row r="97" ht="18" customHeight="1">
      <x:c r="A97" s="24" t="str">
        <x:v>EEZ_578</x:v>
      </x:c>
      <x:c r="B97" s="24" t="str">
        <x:v>Norway</x:v>
      </x:c>
      <x:c r="C97" s="24" t="str">
        <x:v>EEZ</x:v>
      </x:c>
      <x:c r="D97" s="30" t="n">
        <x:v>2019</x:v>
      </x:c>
      <x:c r="E97" s="24" t="str">
        <x:v>Sarda sarda</x:v>
      </x:c>
      <x:c r="F97" s="24" t="str">
        <x:v>Atlantic bonito</x:v>
      </x:c>
      <x:c r="G97" s="24" t="str">
        <x:v>Medium pelagics (30 - 89 cm)</x:v>
      </x:c>
      <x:c r="H97" s="24" t="str">
        <x:v>Tuna &amp; billfishes</x:v>
      </x:c>
      <x:c r="I97" s="31" t="n">
        <x:v>14.2490339161</x:v>
      </x:c>
      <x:c r="J97" s="31" t="n">
        <x:v>14.2490339161</x:v>
      </x:c>
      <x:c r="K97" s="31" t="n">
        <x:v>0</x:v>
      </x:c>
      <x:c r="L97" s="31" t="n">
        <x:v>14.2490339161</x:v>
      </x:c>
      <x:c r="M97" s="31" t="n">
        <x:v>0</x:v>
      </x:c>
      <x:c r="N97" s="24" t="str">
        <x:v>sarda sarda</x:v>
      </x:c>
      <x:c r="O97" s="32" t="n">
        <x:v>4.5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Sarda sarda</x:v>
      </x:c>
      <x:c r="T97" s="32" t="n">
        <x:f>IF(O97="","",(1/'Metadata'!$B$5)^(O97-1))</x:f>
        <x:v>3162.2776601683795</x:v>
      </x:c>
      <x:c r="U97" s="31" t="n">
        <x:f>IF(T97="","",I97*T97)</x:f>
        <x:v>45059.40163186459</x:v>
      </x:c>
    </x:row>
    <x:row r="98" ht="18" customHeight="1">
      <x:c r="A98" s="24" t="str">
        <x:v>EEZ_578</x:v>
      </x:c>
      <x:c r="B98" s="24" t="str">
        <x:v>Norway</x:v>
      </x:c>
      <x:c r="C98" s="24" t="str">
        <x:v>EEZ</x:v>
      </x:c>
      <x:c r="D98" s="30" t="n">
        <x:v>2019</x:v>
      </x:c>
      <x:c r="E98" s="24" t="str">
        <x:v>Palaemon serratus</x:v>
      </x:c>
      <x:c r="F98" s="24" t="str">
        <x:v>Common prawn</x:v>
      </x:c>
      <x:c r="G98" s="24" t="str">
        <x:v>Shrimps</x:v>
      </x:c>
      <x:c r="H98" s="24" t="str">
        <x:v>Crustaceans</x:v>
      </x:c>
      <x:c r="I98" s="31" t="n">
        <x:v>13.3820266209</x:v>
      </x:c>
      <x:c r="J98" s="31" t="n">
        <x:v>13.3820266209</x:v>
      </x:c>
      <x:c r="K98" s="31" t="n">
        <x:v>0</x:v>
      </x:c>
      <x:c r="L98" s="31" t="n">
        <x:v>13.3820266209</x:v>
      </x:c>
      <x:c r="M98" s="31" t="n">
        <x:v>0</x:v>
      </x:c>
      <x:c r="N98" s="24" t="str">
        <x:v>palaemon serratus</x:v>
      </x:c>
      <x:c r="O98" s="32" t="n">
        <x:v>2.69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Palaemon serratus</x:v>
      </x:c>
      <x:c r="T98" s="32" t="n">
        <x:f>IF(O98="","",(1/'Metadata'!$B$5)^(O98-1))</x:f>
        <x:v>48.97788193684461</x:v>
      </x:c>
      <x:c r="U98" s="31" t="n">
        <x:f>IF(T98="","",I98*T98)</x:f>
        <x:v>655.4233199141518</x:v>
      </x:c>
    </x:row>
    <x:row r="99" ht="18" customHeight="1">
      <x:c r="A99" s="24" t="str">
        <x:v>EEZ_578</x:v>
      </x:c>
      <x:c r="B99" s="24" t="str">
        <x:v>Norway</x:v>
      </x:c>
      <x:c r="C99" s="24" t="str">
        <x:v>EEZ</x:v>
      </x:c>
      <x:c r="D99" s="30" t="n">
        <x:v>2019</x:v>
      </x:c>
      <x:c r="E99" s="24" t="str">
        <x:v>Scomberesox saurus</x:v>
      </x:c>
      <x:c r="F99" s="24" t="str">
        <x:v>Atlantic saury</x:v>
      </x:c>
      <x:c r="G99" s="24" t="str">
        <x:v>Medium pelagics (30 - 89 cm)</x:v>
      </x:c>
      <x:c r="H99" s="24" t="str">
        <x:v>Other fishes &amp; inverts</x:v>
      </x:c>
      <x:c r="I99" s="31" t="n">
        <x:v>11.126573329100001</x:v>
      </x:c>
      <x:c r="J99" s="31" t="n">
        <x:v>11.126573329100001</x:v>
      </x:c>
      <x:c r="K99" s="31" t="n">
        <x:v>0</x:v>
      </x:c>
      <x:c r="L99" s="31" t="n">
        <x:v>11.126573329100001</x:v>
      </x:c>
      <x:c r="M99" s="31" t="n">
        <x:v>0</x:v>
      </x:c>
      <x:c r="N99" s="24" t="str">
        <x:v>scomberesox saurus</x:v>
      </x:c>
      <x:c r="O99" s="32" t="n">
        <x:v>3.91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Scomberesox saurus</x:v>
      </x:c>
      <x:c r="T99" s="32" t="n">
        <x:f>IF(O99="","",(1/'Metadata'!$B$5)^(O99-1))</x:f>
        <x:v>812.8305161640995</x:v>
      </x:c>
      <x:c r="U99" s="31" t="n">
        <x:f>IF(T99="","",I99*T99)</x:f>
        <x:v>9044.018342230058</x:v>
      </x:c>
    </x:row>
    <x:row r="100" ht="18" customHeight="1">
      <x:c r="A100" s="24" t="str">
        <x:v>EEZ_578</x:v>
      </x:c>
      <x:c r="B100" s="24" t="str">
        <x:v>Norway</x:v>
      </x:c>
      <x:c r="C100" s="24" t="str">
        <x:v>EEZ</x:v>
      </x:c>
      <x:c r="D100" s="30" t="n">
        <x:v>2019</x:v>
      </x:c>
      <x:c r="E100" s="24" t="str">
        <x:v>Osteichthyes</x:v>
      </x:c>
      <x:c r="F100" s="24" t="str">
        <x:v>Bony fishes</x:v>
      </x:c>
      <x:c r="G100" s="24" t="str">
        <x:v>Medium demersals (30 - 89 cm)</x:v>
      </x:c>
      <x:c r="H100" s="24" t="str">
        <x:v>Other fishes &amp; inverts</x:v>
      </x:c>
      <x:c r="I100" s="31" t="n">
        <x:v>10.602851689300001</x:v>
      </x:c>
      <x:c r="J100" s="31" t="n">
        <x:v>10.602851689300001</x:v>
      </x:c>
      <x:c r="K100" s="31" t="n">
        <x:v>0</x:v>
      </x:c>
      <x:c r="L100" s="31" t="n">
        <x:v>10.602851689300001</x:v>
      </x:c>
      <x:c r="M100" s="31" t="n">
        <x:v>0</x:v>
      </x:c>
      <x:c r="N100" s="24" t="str">
        <x:v>osteichthyes</x:v>
      </x:c>
      <x:c r="O100" s="32" t="n">
        <x:v>3.79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Osteichthyes</x:v>
      </x:c>
      <x:c r="T100" s="32" t="n">
        <x:f>IF(O100="","",(1/'Metadata'!$B$5)^(O100-1))</x:f>
        <x:v>616.5950018614822</x:v>
      </x:c>
      <x:c r="U100" s="31" t="n">
        <x:f>IF(T100="","",I100*T100)</x:f>
        <x:v>6537.665357100954</x:v>
      </x:c>
    </x:row>
    <x:row r="101" ht="18" customHeight="1">
      <x:c r="A101" s="24" t="str">
        <x:v>EEZ_578</x:v>
      </x:c>
      <x:c r="B101" s="24" t="str">
        <x:v>Norway</x:v>
      </x:c>
      <x:c r="C101" s="24" t="str">
        <x:v>EEZ</x:v>
      </x:c>
      <x:c r="D101" s="30" t="n">
        <x:v>2019</x:v>
      </x:c>
      <x:c r="E101" s="24" t="str">
        <x:v>Raja montagui</x:v>
      </x:c>
      <x:c r="F101" s="24" t="str">
        <x:v>Spotted ray</x:v>
      </x:c>
      <x:c r="G101" s="24" t="str">
        <x:v>Small to medium rays (&lt;90 cm)</x:v>
      </x:c>
      <x:c r="H101" s="24" t="str">
        <x:v>Sharks &amp; rays</x:v>
      </x:c>
      <x:c r="I101" s="31" t="n">
        <x:v>9.565769525799999</x:v>
      </x:c>
      <x:c r="J101" s="31" t="n">
        <x:v>9.565769525799999</x:v>
      </x:c>
      <x:c r="K101" s="31" t="n">
        <x:v>0</x:v>
      </x:c>
      <x:c r="L101" s="31" t="n">
        <x:v>9.565769525799999</x:v>
      </x:c>
      <x:c r="M101" s="31" t="n">
        <x:v>0</x:v>
      </x:c>
      <x:c r="N101" s="24" t="str">
        <x:v>raja montagui</x:v>
      </x:c>
      <x:c r="O101" s="32" t="n">
        <x:v>3.88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Raja montagui</x:v>
      </x:c>
      <x:c r="T101" s="32" t="n">
        <x:f>IF(O101="","",(1/'Metadata'!$B$5)^(O101-1))</x:f>
        <x:v>758.5775750291835</x:v>
      </x:c>
      <x:c r="U101" s="31" t="n">
        <x:f>IF(T101="","",I101*T101)</x:f>
        <x:v>7256.378250169426</x:v>
      </x:c>
    </x:row>
    <x:row r="102" ht="18" customHeight="1">
      <x:c r="A102" s="24" t="str">
        <x:v>EEZ_578</x:v>
      </x:c>
      <x:c r="B102" s="24" t="str">
        <x:v>Norway</x:v>
      </x:c>
      <x:c r="C102" s="24" t="str">
        <x:v>EEZ</x:v>
      </x:c>
      <x:c r="D102" s="30" t="n">
        <x:v>2019</x:v>
      </x:c>
      <x:c r="E102" s="24" t="str">
        <x:v>Coregonus</x:v>
      </x:c>
      <x:c r="F102" s="24" t="str">
        <x:v>Whitefishes</x:v>
      </x:c>
      <x:c r="G102" s="24" t="str">
        <x:v>Medium pelagics (30 - 89 cm)</x:v>
      </x:c>
      <x:c r="H102" s="24" t="str">
        <x:v>Salmon, smelts, etc</x:v>
      </x:c>
      <x:c r="I102" s="31" t="n">
        <x:v>9.2875722993</x:v>
      </x:c>
      <x:c r="J102" s="31" t="n">
        <x:v>1.3287756447</x:v>
      </x:c>
      <x:c r="K102" s="31" t="n">
        <x:v>7.9587966546</x:v>
      </x:c>
      <x:c r="L102" s="31" t="n">
        <x:v>0</x:v>
      </x:c>
      <x:c r="M102" s="31" t="n">
        <x:v>9.2875722993</x:v>
      </x:c>
      <x:c r="N102" s="24" t="str">
        <x:v>coregonus</x:v>
      </x:c>
      <x:c r="O102" s="32" t="n">
        <x:v>3.3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Coregonus</x:v>
      </x:c>
      <x:c r="T102" s="32" t="n">
        <x:f>IF(O102="","",(1/'Metadata'!$B$5)^(O102-1))</x:f>
        <x:v>199.52623149688787</x:v>
      </x:c>
      <x:c r="U102" s="31" t="n">
        <x:f>IF(T102="","",I102*T102)</x:f>
        <x:v>1853.1143006342152</x:v>
      </x:c>
    </x:row>
    <x:row r="103" ht="18" customHeight="1">
      <x:c r="A103" s="24" t="str">
        <x:v>EEZ_578</x:v>
      </x:c>
      <x:c r="B103" s="24" t="str">
        <x:v>Norway</x:v>
      </x:c>
      <x:c r="C103" s="24" t="str">
        <x:v>EEZ</x:v>
      </x:c>
      <x:c r="D103" s="30" t="n">
        <x:v>2019</x:v>
      </x:c>
      <x:c r="E103" s="24" t="str">
        <x:v>Raja clavata</x:v>
      </x:c>
      <x:c r="F103" s="24" t="str">
        <x:v>Thornback ray</x:v>
      </x:c>
      <x:c r="G103" s="24" t="str">
        <x:v>Large rays (&gt;=90 cm)</x:v>
      </x:c>
      <x:c r="H103" s="24" t="str">
        <x:v>Sharks &amp; rays</x:v>
      </x:c>
      <x:c r="I103" s="31" t="n">
        <x:v>9.1668769074</x:v>
      </x:c>
      <x:c r="J103" s="31" t="n">
        <x:v>9.1662773164</x:v>
      </x:c>
      <x:c r="K103" s="31" t="n">
        <x:v>0.000599591</x:v>
      </x:c>
      <x:c r="L103" s="31" t="n">
        <x:v>9.1649412336</x:v>
      </x:c>
      <x:c r="M103" s="31" t="n">
        <x:v>0.0019356738</x:v>
      </x:c>
      <x:c r="N103" s="24" t="str">
        <x:v>raja clavata</x:v>
      </x:c>
      <x:c r="O103" s="32" t="n">
        <x:v>3.84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Raja clavata</x:v>
      </x:c>
      <x:c r="T103" s="32" t="n">
        <x:f>IF(O103="","",(1/'Metadata'!$B$5)^(O103-1))</x:f>
        <x:v>691.8309709189363</x:v>
      </x:c>
      <x:c r="U103" s="31" t="n">
        <x:f>IF(T103="","",I103*T103)</x:f>
        <x:v>6341.929351140919</x:v>
      </x:c>
    </x:row>
    <x:row r="104" ht="18" customHeight="1">
      <x:c r="A104" s="24" t="str">
        <x:v>EEZ_578</x:v>
      </x:c>
      <x:c r="B104" s="24" t="str">
        <x:v>Norway</x:v>
      </x:c>
      <x:c r="C104" s="24" t="str">
        <x:v>EEZ</x:v>
      </x:c>
      <x:c r="D104" s="30" t="n">
        <x:v>2019</x:v>
      </x:c>
      <x:c r="E104" s="24" t="str">
        <x:v>Salmo salar</x:v>
      </x:c>
      <x:c r="F104" s="24" t="str">
        <x:v>Atlantic salmon</x:v>
      </x:c>
      <x:c r="G104" s="24" t="str">
        <x:v>Large benthopelagics (&gt;=90 cm)</x:v>
      </x:c>
      <x:c r="H104" s="24" t="str">
        <x:v>Salmon, smelts, etc</x:v>
      </x:c>
      <x:c r="I104" s="31" t="n">
        <x:v>8.4939611816</x:v>
      </x:c>
      <x:c r="J104" s="31" t="n">
        <x:v>7.9734829301</x:v>
      </x:c>
      <x:c r="K104" s="31" t="n">
        <x:v>0.5204782515</x:v>
      </x:c>
      <x:c r="L104" s="31" t="n">
        <x:v>5.0904887212</x:v>
      </x:c>
      <x:c r="M104" s="31" t="n">
        <x:v>3.4034724604</x:v>
      </x:c>
      <x:c r="N104" s="24" t="str">
        <x:v>salmo salar</x:v>
      </x:c>
      <x:c r="O104" s="32" t="n">
        <x:v>4.5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Salmo salar</x:v>
      </x:c>
      <x:c r="T104" s="32" t="n">
        <x:f>IF(O104="","",(1/'Metadata'!$B$5)^(O104-1))</x:f>
        <x:v>3162.2776601683795</x:v>
      </x:c>
      <x:c r="U104" s="31" t="n">
        <x:f>IF(T104="","",I104*T104)</x:f>
        <x:v>26860.26369091109</x:v>
      </x:c>
    </x:row>
    <x:row r="105" ht="18" customHeight="1">
      <x:c r="A105" s="24" t="str">
        <x:v>EEZ_578</x:v>
      </x:c>
      <x:c r="B105" s="24" t="str">
        <x:v>Norway</x:v>
      </x:c>
      <x:c r="C105" s="24" t="str">
        <x:v>EEZ</x:v>
      </x:c>
      <x:c r="D105" s="30" t="n">
        <x:v>2019</x:v>
      </x:c>
      <x:c r="E105" s="24" t="str">
        <x:v>Argentina</x:v>
      </x:c>
      <x:c r="F105" s="24" t="str">
        <x:v>Argentines</x:v>
      </x:c>
      <x:c r="G105" s="24" t="str">
        <x:v>Medium bathydemersals (30 - 89 cm)</x:v>
      </x:c>
      <x:c r="H105" s="24" t="str">
        <x:v>Salmon, smelts, etc</x:v>
      </x:c>
      <x:c r="I105" s="31" t="n">
        <x:v>8.4174338899</x:v>
      </x:c>
      <x:c r="J105" s="31" t="n">
        <x:v>8.1691885356</x:v>
      </x:c>
      <x:c r="K105" s="31" t="n">
        <x:v>0.2482453543</x:v>
      </x:c>
      <x:c r="L105" s="31" t="n">
        <x:v>8.1587823054</x:v>
      </x:c>
      <x:c r="M105" s="31" t="n">
        <x:v>0.2586515845</x:v>
      </x:c>
      <x:c r="N105" s="24" t="str">
        <x:v>argentina</x:v>
      </x:c>
      <x:c r="O105" s="32" t="n">
        <x:v>3.35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Argentina</x:v>
      </x:c>
      <x:c r="T105" s="32" t="n">
        <x:f>IF(O105="","",(1/'Metadata'!$B$5)^(O105-1))</x:f>
        <x:v>223.872113856834</x:v>
      </x:c>
      <x:c r="U105" s="31" t="n">
        <x:f>IF(T105="","",I105*T105)</x:f>
        <x:v>1884.428718182066</x:v>
      </x:c>
    </x:row>
    <x:row r="106" ht="18" customHeight="1">
      <x:c r="A106" s="24" t="str">
        <x:v>EEZ_578</x:v>
      </x:c>
      <x:c r="B106" s="24" t="str">
        <x:v>Norway</x:v>
      </x:c>
      <x:c r="C106" s="24" t="str">
        <x:v>EEZ</x:v>
      </x:c>
      <x:c r="D106" s="30" t="n">
        <x:v>2019</x:v>
      </x:c>
      <x:c r="E106" s="24" t="str">
        <x:v>Belone belone</x:v>
      </x:c>
      <x:c r="F106" s="24" t="str">
        <x:v>Garfish</x:v>
      </x:c>
      <x:c r="G106" s="24" t="str">
        <x:v>Medium pelagics (30 - 89 cm)</x:v>
      </x:c>
      <x:c r="H106" s="24" t="str">
        <x:v>Other fishes &amp; inverts</x:v>
      </x:c>
      <x:c r="I106" s="31" t="n">
        <x:v>8.2990280607</x:v>
      </x:c>
      <x:c r="J106" s="31" t="n">
        <x:v>8.2990280607</x:v>
      </x:c>
      <x:c r="K106" s="31" t="n">
        <x:v>0</x:v>
      </x:c>
      <x:c r="L106" s="31" t="n">
        <x:v>8.2990280607</x:v>
      </x:c>
      <x:c r="M106" s="31" t="n">
        <x:v>0</x:v>
      </x:c>
      <x:c r="N106" s="24" t="str">
        <x:v>belone belone</x:v>
      </x:c>
      <x:c r="O106" s="32" t="n">
        <x:v>4.16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Belone belone</x:v>
      </x:c>
      <x:c r="T106" s="32" t="n">
        <x:f>IF(O106="","",(1/'Metadata'!$B$5)^(O106-1))</x:f>
        <x:v>1445.439770745928</x:v>
      </x:c>
      <x:c r="U106" s="31" t="n">
        <x:f>IF(T106="","",I106*T106)</x:f>
        <x:v>11995.745217472231</x:v>
      </x:c>
    </x:row>
    <x:row r="107" ht="18" customHeight="1">
      <x:c r="A107" s="24" t="str">
        <x:v>EEZ_578</x:v>
      </x:c>
      <x:c r="B107" s="24" t="str">
        <x:v>Norway</x:v>
      </x:c>
      <x:c r="C107" s="24" t="str">
        <x:v>EEZ</x:v>
      </x:c>
      <x:c r="D107" s="30" t="n">
        <x:v>2019</x:v>
      </x:c>
      <x:c r="E107" s="24" t="str">
        <x:v>Anguilla anguilla</x:v>
      </x:c>
      <x:c r="F107" s="24" t="str">
        <x:v>European eel</x:v>
      </x:c>
      <x:c r="G107" s="24" t="str">
        <x:v>Large demersals (&gt;=90 cm)</x:v>
      </x:c>
      <x:c r="H107" s="24" t="str">
        <x:v>Other fishes &amp; inverts</x:v>
      </x:c>
      <x:c r="I107" s="31" t="n">
        <x:v>8.2117033697</x:v>
      </x:c>
      <x:c r="J107" s="31" t="n">
        <x:v>8.1873691161</x:v>
      </x:c>
      <x:c r="K107" s="31" t="n">
        <x:v>0.024334253599999998</x:v>
      </x:c>
      <x:c r="L107" s="31" t="n">
        <x:v>8.1872830778</x:v>
      </x:c>
      <x:c r="M107" s="31" t="n">
        <x:v>0.0244202919</x:v>
      </x:c>
      <x:c r="N107" s="24" t="str">
        <x:v>anguilla anguilla</x:v>
      </x:c>
      <x:c r="O107" s="32" t="n">
        <x:v>3.55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Anguilla anguilla</x:v>
      </x:c>
      <x:c r="T107" s="32" t="n">
        <x:f>IF(O107="","",(1/'Metadata'!$B$5)^(O107-1))</x:f>
        <x:v>354.8133892335753</x:v>
      </x:c>
      <x:c r="U107" s="31" t="n">
        <x:f>IF(T107="","",I107*T107)</x:f>
        <x:v>2913.6223039840283</x:v>
      </x:c>
    </x:row>
    <x:row r="108" ht="18" customHeight="1">
      <x:c r="A108" s="24" t="str">
        <x:v>EEZ_578</x:v>
      </x:c>
      <x:c r="B108" s="24" t="str">
        <x:v>Norway</x:v>
      </x:c>
      <x:c r="C108" s="24" t="str">
        <x:v>EEZ</x:v>
      </x:c>
      <x:c r="D108" s="30" t="n">
        <x:v>2019</x:v>
      </x:c>
      <x:c r="E108" s="24" t="str">
        <x:v>Chelidonichthys cuculus</x:v>
      </x:c>
      <x:c r="F108" s="24" t="str">
        <x:v>Red gurnard</x:v>
      </x:c>
      <x:c r="G108" s="24" t="str">
        <x:v>Medium demersals (30 - 89 cm)</x:v>
      </x:c>
      <x:c r="H108" s="24" t="str">
        <x:v>Scorpionfishes</x:v>
      </x:c>
      <x:c r="I108" s="31" t="n">
        <x:v>8.1238378349</x:v>
      </x:c>
      <x:c r="J108" s="31" t="n">
        <x:v>8.1238378349</x:v>
      </x:c>
      <x:c r="K108" s="31" t="n">
        <x:v>0</x:v>
      </x:c>
      <x:c r="L108" s="31" t="n">
        <x:v>8.1238378349</x:v>
      </x:c>
      <x:c r="M108" s="31" t="n">
        <x:v>0</x:v>
      </x:c>
      <x:c r="N108" s="24" t="str">
        <x:v>chelidonichthys cuculus</x:v>
      </x:c>
      <x:c r="O108" s="32" t="n">
        <x:v>3.81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Chelidonichthys cuculus</x:v>
      </x:c>
      <x:c r="T108" s="32" t="n">
        <x:f>IF(O108="","",(1/'Metadata'!$B$5)^(O108-1))</x:f>
        <x:v>645.6542290346556</x:v>
      </x:c>
      <x:c r="U108" s="31" t="n">
        <x:f>IF(T108="","",I108*T108)</x:f>
        <x:v>5245.190254094925</x:v>
      </x:c>
    </x:row>
    <x:row r="109" ht="18" customHeight="1">
      <x:c r="A109" s="24" t="str">
        <x:v>EEZ_578</x:v>
      </x:c>
      <x:c r="B109" s="24" t="str">
        <x:v>Norway</x:v>
      </x:c>
      <x:c r="C109" s="24" t="str">
        <x:v>EEZ</x:v>
      </x:c>
      <x:c r="D109" s="30" t="n">
        <x:v>2019</x:v>
      </x:c>
      <x:c r="E109" s="24" t="str">
        <x:v>Alepocephalus bairdii</x:v>
      </x:c>
      <x:c r="F109" s="24" t="str">
        <x:v>Baird's slickhead</x:v>
      </x:c>
      <x:c r="G109" s="24" t="str">
        <x:v>Large bathydemersals (&gt;=90 cm)</x:v>
      </x:c>
      <x:c r="H109" s="24" t="str">
        <x:v>Salmon, smelts, etc</x:v>
      </x:c>
      <x:c r="I109" s="31" t="n">
        <x:v>8.0369612622</x:v>
      </x:c>
      <x:c r="J109" s="31" t="n">
        <x:v>8.0369612622</x:v>
      </x:c>
      <x:c r="K109" s="31" t="n">
        <x:v>0</x:v>
      </x:c>
      <x:c r="L109" s="31" t="n">
        <x:v>8.0369612622</x:v>
      </x:c>
      <x:c r="M109" s="31" t="n">
        <x:v>0</x:v>
      </x:c>
      <x:c r="N109" s="24" t="str">
        <x:v>alepocephalus bairdii</x:v>
      </x:c>
      <x:c r="O109" s="32" t="n">
        <x:v>3.69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Alepocephalus bairdii</x:v>
      </x:c>
      <x:c r="T109" s="32" t="n">
        <x:f>IF(O109="","",(1/'Metadata'!$B$5)^(O109-1))</x:f>
        <x:v>489.77881936844614</x:v>
      </x:c>
      <x:c r="U109" s="31" t="n">
        <x:f>IF(T109="","",I109*T109)</x:f>
        <x:v>3936.333398310253</x:v>
      </x:c>
    </x:row>
    <x:row r="110" ht="18" customHeight="1">
      <x:c r="A110" s="24" t="str">
        <x:v>EEZ_578</x:v>
      </x:c>
      <x:c r="B110" s="24" t="str">
        <x:v>Norway</x:v>
      </x:c>
      <x:c r="C110" s="24" t="str">
        <x:v>EEZ</x:v>
      </x:c>
      <x:c r="D110" s="30" t="n">
        <x:v>2019</x:v>
      </x:c>
      <x:c r="E110" s="24" t="str">
        <x:v>Zeus faber</x:v>
      </x:c>
      <x:c r="F110" s="24" t="str">
        <x:v>John dory</x:v>
      </x:c>
      <x:c r="G110" s="24" t="str">
        <x:v>Medium benthopelagics (30 - 89 cm)</x:v>
      </x:c>
      <x:c r="H110" s="24" t="str">
        <x:v>Other fishes &amp; inverts</x:v>
      </x:c>
      <x:c r="I110" s="31" t="n">
        <x:v>7.9436230745</x:v>
      </x:c>
      <x:c r="J110" s="31" t="n">
        <x:v>7.9324804984</x:v>
      </x:c>
      <x:c r="K110" s="31" t="n">
        <x:v>0.0111425761</x:v>
      </x:c>
      <x:c r="L110" s="31" t="n">
        <x:v>7.9324804984</x:v>
      </x:c>
      <x:c r="M110" s="31" t="n">
        <x:v>0.0111425761</x:v>
      </x:c>
      <x:c r="N110" s="24" t="str">
        <x:v>zeus faber</x:v>
      </x:c>
      <x:c r="O110" s="32" t="n">
        <x:v>4.5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Zeus faber</x:v>
      </x:c>
      <x:c r="T110" s="32" t="n">
        <x:f>IF(O110="","",(1/'Metadata'!$B$5)^(O110-1))</x:f>
        <x:v>3162.2776601683795</x:v>
      </x:c>
      <x:c r="U110" s="31" t="n">
        <x:f>IF(T110="","",I110*T110)</x:f>
        <x:v>25119.94178928941</x:v>
      </x:c>
    </x:row>
    <x:row r="111" ht="18" customHeight="1">
      <x:c r="A111" s="24" t="str">
        <x:v>EEZ_578</x:v>
      </x:c>
      <x:c r="B111" s="24" t="str">
        <x:v>Norway</x:v>
      </x:c>
      <x:c r="C111" s="24" t="str">
        <x:v>EEZ</x:v>
      </x:c>
      <x:c r="D111" s="30" t="n">
        <x:v>2019</x:v>
      </x:c>
      <x:c r="E111" s="24" t="str">
        <x:v>Myxine glutinosa</x:v>
      </x:c>
      <x:c r="F111" s="24" t="str">
        <x:v>Hagfish</x:v>
      </x:c>
      <x:c r="G111" s="24" t="str">
        <x:v>Medium demersals (30 - 89 cm)</x:v>
      </x:c>
      <x:c r="H111" s="24" t="str">
        <x:v>Other fishes &amp; inverts</x:v>
      </x:c>
      <x:c r="I111" s="31" t="n">
        <x:v>7.4798739105</x:v>
      </x:c>
      <x:c r="J111" s="31" t="n">
        <x:v>7.4798739105</x:v>
      </x:c>
      <x:c r="K111" s="31" t="n">
        <x:v>0</x:v>
      </x:c>
      <x:c r="L111" s="31" t="n">
        <x:v>7.4798739105</x:v>
      </x:c>
      <x:c r="M111" s="31" t="n">
        <x:v>0</x:v>
      </x:c>
      <x:c r="N111" s="24" t="str">
        <x:v>myxine glutinosa</x:v>
      </x:c>
      <x:c r="O111" s="32" t="n">
        <x:v>4.54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Myxine glutinosa</x:v>
      </x:c>
      <x:c r="T111" s="32" t="n">
        <x:f>IF(O111="","",(1/'Metadata'!$B$5)^(O111-1))</x:f>
        <x:v>3467.368504525317</x:v>
      </x:c>
      <x:c r="U111" s="31" t="n">
        <x:f>IF(T111="","",I111*T111)</x:f>
        <x:v>25935.47921508832</x:v>
      </x:c>
    </x:row>
    <x:row r="112" ht="18" customHeight="1">
      <x:c r="A112" s="24" t="str">
        <x:v>EEZ_578</x:v>
      </x:c>
      <x:c r="B112" s="24" t="str">
        <x:v>Norway</x:v>
      </x:c>
      <x:c r="C112" s="24" t="str">
        <x:v>EEZ</x:v>
      </x:c>
      <x:c r="D112" s="30" t="n">
        <x:v>2019</x:v>
      </x:c>
      <x:c r="E112" s="24" t="str">
        <x:v>Ammodytidae</x:v>
      </x:c>
      <x:c r="F112" s="24" t="str">
        <x:v>Sand lances</x:v>
      </x:c>
      <x:c r="G112" s="24" t="str">
        <x:v>Large reef assoc. fish (&gt;=90 cm)</x:v>
      </x:c>
      <x:c r="H112" s="24" t="str">
        <x:v>Perch-likes</x:v>
      </x:c>
      <x:c r="I112" s="31" t="n">
        <x:v>7.3883962493</x:v>
      </x:c>
      <x:c r="J112" s="31" t="n">
        <x:v>0</x:v>
      </x:c>
      <x:c r="K112" s="31" t="n">
        <x:v>7.3883962493</x:v>
      </x:c>
      <x:c r="L112" s="31" t="n">
        <x:v>0</x:v>
      </x:c>
      <x:c r="M112" s="31" t="n">
        <x:v>7.3883962493</x:v>
      </x:c>
      <x:c r="N112" s="24" t="str">
        <x:v>ammodytidae</x:v>
      </x:c>
      <x:c r="O112" s="32" t="n">
        <x:v>3.11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Ammodytidae</x:v>
      </x:c>
      <x:c r="T112" s="32" t="n">
        <x:f>IF(O112="","",(1/'Metadata'!$B$5)^(O112-1))</x:f>
        <x:v>128.82495516931337</x:v>
      </x:c>
      <x:c r="U112" s="31" t="n">
        <x:f>IF(T112="","",I112*T112)</x:f>
        <x:v>951.8098155891956</x:v>
      </x:c>
    </x:row>
    <x:row r="113" ht="18" customHeight="1">
      <x:c r="A113" s="24" t="str">
        <x:v>EEZ_578</x:v>
      </x:c>
      <x:c r="B113" s="24" t="str">
        <x:v>Norway</x:v>
      </x:c>
      <x:c r="C113" s="24" t="str">
        <x:v>EEZ</x:v>
      </x:c>
      <x:c r="D113" s="30" t="n">
        <x:v>2019</x:v>
      </x:c>
      <x:c r="E113" s="24" t="str">
        <x:v>Scyliorhinus canicula</x:v>
      </x:c>
      <x:c r="F113" s="24" t="str">
        <x:v>Small-spotted catshark</x:v>
      </x:c>
      <x:c r="G113" s="24" t="str">
        <x:v>Small to medium sharks (&lt;90 cm)</x:v>
      </x:c>
      <x:c r="H113" s="24" t="str">
        <x:v>Sharks &amp; rays</x:v>
      </x:c>
      <x:c r="I113" s="31" t="n">
        <x:v>7.0112347146000005</x:v>
      </x:c>
      <x:c r="J113" s="31" t="n">
        <x:v>7.0112347146000005</x:v>
      </x:c>
      <x:c r="K113" s="31" t="n">
        <x:v>0</x:v>
      </x:c>
      <x:c r="L113" s="31" t="n">
        <x:v>7.0112347146000005</x:v>
      </x:c>
      <x:c r="M113" s="31" t="n">
        <x:v>0</x:v>
      </x:c>
      <x:c r="N113" s="24" t="str">
        <x:v>scyliorhinus canicula</x:v>
      </x:c>
      <x:c r="O113" s="32" t="n">
        <x:v>3.82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Scyliorhinus canicula</x:v>
      </x:c>
      <x:c r="T113" s="32" t="n">
        <x:f>IF(O113="","",(1/'Metadata'!$B$5)^(O113-1))</x:f>
        <x:v>660.6934480075957</x:v>
      </x:c>
      <x:c r="U113" s="31" t="n">
        <x:f>IF(T113="","",I113*T113)</x:f>
        <x:v>4632.276838379626</x:v>
      </x:c>
    </x:row>
    <x:row r="114" ht="18" customHeight="1">
      <x:c r="A114" s="24" t="str">
        <x:v>EEZ_578</x:v>
      </x:c>
      <x:c r="B114" s="24" t="str">
        <x:v>Norway</x:v>
      </x:c>
      <x:c r="C114" s="24" t="str">
        <x:v>EEZ</x:v>
      </x:c>
      <x:c r="D114" s="30" t="n">
        <x:v>2019</x:v>
      </x:c>
      <x:c r="E114" s="24" t="str">
        <x:v>Macrourus berglax</x:v>
      </x:c>
      <x:c r="F114" s="24" t="str">
        <x:v>Roughhead grenadier</x:v>
      </x:c>
      <x:c r="G114" s="24" t="str">
        <x:v>Large benthopelagics (&gt;=90 cm)</x:v>
      </x:c>
      <x:c r="H114" s="24" t="str">
        <x:v>Cod-likes</x:v>
      </x:c>
      <x:c r="I114" s="31" t="n">
        <x:v>6.9087063786</x:v>
      </x:c>
      <x:c r="J114" s="31" t="n">
        <x:v>6.9087063786</x:v>
      </x:c>
      <x:c r="K114" s="31" t="n">
        <x:v>0</x:v>
      </x:c>
      <x:c r="L114" s="31" t="n">
        <x:v>6.9087063786</x:v>
      </x:c>
      <x:c r="M114" s="31" t="n">
        <x:v>0</x:v>
      </x:c>
      <x:c r="N114" s="24" t="str">
        <x:v>macrourus berglax</x:v>
      </x:c>
      <x:c r="O114" s="32" t="n">
        <x:v>4.48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Macrourus berglax</x:v>
      </x:c>
      <x:c r="T114" s="32" t="n">
        <x:f>IF(O114="","",(1/'Metadata'!$B$5)^(O114-1))</x:f>
        <x:v>3019.951720402019</x:v>
      </x:c>
      <x:c r="U114" s="31" t="n">
        <x:f>IF(T114="","",I114*T114)</x:f>
        <x:v>20863.95971380547</x:v>
      </x:c>
    </x:row>
    <x:row r="115" ht="18" customHeight="1">
      <x:c r="A115" s="24" t="str">
        <x:v>EEZ_578</x:v>
      </x:c>
      <x:c r="B115" s="24" t="str">
        <x:v>Norway</x:v>
      </x:c>
      <x:c r="C115" s="24" t="str">
        <x:v>EEZ</x:v>
      </x:c>
      <x:c r="D115" s="30" t="n">
        <x:v>2019</x:v>
      </x:c>
      <x:c r="E115" s="24" t="str">
        <x:v>Dicentrarchus labrax</x:v>
      </x:c>
      <x:c r="F115" s="24" t="str">
        <x:v>European seabass</x:v>
      </x:c>
      <x:c r="G115" s="24" t="str">
        <x:v>Large demersals (&gt;=90 cm)</x:v>
      </x:c>
      <x:c r="H115" s="24" t="str">
        <x:v>Perch-likes</x:v>
      </x:c>
      <x:c r="I115" s="31" t="n">
        <x:v>6.0726797973</x:v>
      </x:c>
      <x:c r="J115" s="31" t="n">
        <x:v>6.0726797973</x:v>
      </x:c>
      <x:c r="K115" s="31" t="n">
        <x:v>0</x:v>
      </x:c>
      <x:c r="L115" s="31" t="n">
        <x:v>6.0726797973</x:v>
      </x:c>
      <x:c r="M115" s="31" t="n">
        <x:v>0</x:v>
      </x:c>
      <x:c r="N115" s="24" t="str">
        <x:v>dicentrarchus labrax</x:v>
      </x:c>
      <x:c r="O115" s="32" t="n">
        <x:v>3.79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Dicentrarchus labrax</x:v>
      </x:c>
      <x:c r="T115" s="32" t="n">
        <x:f>IF(O115="","",(1/'Metadata'!$B$5)^(O115-1))</x:f>
        <x:v>616.5950018614822</x:v>
      </x:c>
      <x:c r="U115" s="31" t="n">
        <x:f>IF(T115="","",I115*T115)</x:f>
        <x:v>3744.384010920379</x:v>
      </x:c>
    </x:row>
    <x:row r="116" ht="18" customHeight="1">
      <x:c r="A116" s="24" t="str">
        <x:v>EEZ_578</x:v>
      </x:c>
      <x:c r="B116" s="24" t="str">
        <x:v>Norway</x:v>
      </x:c>
      <x:c r="C116" s="24" t="str">
        <x:v>EEZ</x:v>
      </x:c>
      <x:c r="D116" s="30" t="n">
        <x:v>2019</x:v>
      </x:c>
      <x:c r="E116" s="24" t="str">
        <x:v>Spondyliosoma cantharus</x:v>
      </x:c>
      <x:c r="F116" s="24" t="str">
        <x:v>Black seabream</x:v>
      </x:c>
      <x:c r="G116" s="24" t="str">
        <x:v>Medium benthopelagics (30 - 89 cm)</x:v>
      </x:c>
      <x:c r="H116" s="24" t="str">
        <x:v>Perch-likes</x:v>
      </x:c>
      <x:c r="I116" s="31" t="n">
        <x:v>5.507046555</x:v>
      </x:c>
      <x:c r="J116" s="31" t="n">
        <x:v>5.507046555</x:v>
      </x:c>
      <x:c r="K116" s="31" t="n">
        <x:v>0</x:v>
      </x:c>
      <x:c r="L116" s="31" t="n">
        <x:v>5.507046555</x:v>
      </x:c>
      <x:c r="M116" s="31" t="n">
        <x:v>0</x:v>
      </x:c>
      <x:c r="N116" s="24" t="str">
        <x:v>spondyliosoma cantharus</x:v>
      </x:c>
      <x:c r="O116" s="32" t="n">
        <x:v>3.34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Spondyliosoma cantharus</x:v>
      </x:c>
      <x:c r="T116" s="32" t="n">
        <x:f>IF(O116="","",(1/'Metadata'!$B$5)^(O116-1))</x:f>
        <x:v>218.77616239495518</x:v>
      </x:c>
      <x:c r="U116" s="31" t="n">
        <x:f>IF(T116="","",I116*T116)</x:f>
        <x:v>1204.8105114332584</x:v>
      </x:c>
    </x:row>
    <x:row r="117" ht="18" customHeight="1">
      <x:c r="A117" s="24" t="str">
        <x:v>EEZ_578</x:v>
      </x:c>
      <x:c r="B117" s="24" t="str">
        <x:v>Norway</x:v>
      </x:c>
      <x:c r="C117" s="24" t="str">
        <x:v>EEZ</x:v>
      </x:c>
      <x:c r="D117" s="30" t="n">
        <x:v>2019</x:v>
      </x:c>
      <x:c r="E117" s="24" t="str">
        <x:v>Lepidopus caudatus</x:v>
      </x:c>
      <x:c r="F117" s="24" t="str">
        <x:v>Silver scabbardfish</x:v>
      </x:c>
      <x:c r="G117" s="24" t="str">
        <x:v>Large bathydemersals (&gt;=90 cm)</x:v>
      </x:c>
      <x:c r="H117" s="24" t="str">
        <x:v>Perch-likes</x:v>
      </x:c>
      <x:c r="I117" s="31" t="n">
        <x:v>4.68729178</x:v>
      </x:c>
      <x:c r="J117" s="31" t="n">
        <x:v>4.68729178</x:v>
      </x:c>
      <x:c r="K117" s="31" t="n">
        <x:v>0</x:v>
      </x:c>
      <x:c r="L117" s="31" t="n">
        <x:v>4.68729178</x:v>
      </x:c>
      <x:c r="M117" s="31" t="n">
        <x:v>0</x:v>
      </x:c>
      <x:c r="N117" s="24" t="str">
        <x:v>lepidopus caudatus</x:v>
      </x:c>
      <x:c r="O117" s="32" t="n">
        <x:v>3.82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Lepidopus caudatus</x:v>
      </x:c>
      <x:c r="T117" s="32" t="n">
        <x:f>IF(O117="","",(1/'Metadata'!$B$5)^(O117-1))</x:f>
        <x:v>660.6934480075957</x:v>
      </x:c>
      <x:c r="U117" s="31" t="n">
        <x:f>IF(T117="","",I117*T117)</x:f>
        <x:v>3096.862967945861</x:v>
      </x:c>
    </x:row>
    <x:row r="118" ht="18" customHeight="1">
      <x:c r="A118" s="24" t="str">
        <x:v>EEZ_578</x:v>
      </x:c>
      <x:c r="B118" s="24" t="str">
        <x:v>Norway</x:v>
      </x:c>
      <x:c r="C118" s="24" t="str">
        <x:v>EEZ</x:v>
      </x:c>
      <x:c r="D118" s="30" t="n">
        <x:v>2019</x:v>
      </x:c>
      <x:c r="E118" s="24" t="str">
        <x:v>Lamna nasus</x:v>
      </x:c>
      <x:c r="F118" s="24" t="str">
        <x:v>Porbeagle</x:v>
      </x:c>
      <x:c r="G118" s="24" t="str">
        <x:v>Large sharks (&gt;=90 cm)</x:v>
      </x:c>
      <x:c r="H118" s="24" t="str">
        <x:v>Sharks &amp; rays</x:v>
      </x:c>
      <x:c r="I118" s="31" t="n">
        <x:v>4.6152016279999994</x:v>
      </x:c>
      <x:c r="J118" s="31" t="n">
        <x:v>4.6152016279999994</x:v>
      </x:c>
      <x:c r="K118" s="31" t="n">
        <x:v>0</x:v>
      </x:c>
      <x:c r="L118" s="31" t="n">
        <x:v>4.6152016279999994</x:v>
      </x:c>
      <x:c r="M118" s="31" t="n">
        <x:v>0</x:v>
      </x:c>
      <x:c r="N118" s="24" t="str">
        <x:v>lamna nasus</x:v>
      </x:c>
      <x:c r="O118" s="32" t="n">
        <x:v>4.57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Lamna nasus</x:v>
      </x:c>
      <x:c r="T118" s="32" t="n">
        <x:f>IF(O118="","",(1/'Metadata'!$B$5)^(O118-1))</x:f>
        <x:v>3715.3522909717276</x:v>
      </x:c>
      <x:c r="U118" s="31" t="n">
        <x:f>IF(T118="","",I118*T118)</x:f>
        <x:v>17147.099941886245</x:v>
      </x:c>
    </x:row>
    <x:row r="119" ht="18" customHeight="1">
      <x:c r="A119" s="24" t="str">
        <x:v>EEZ_578</x:v>
      </x:c>
      <x:c r="B119" s="24" t="str">
        <x:v>Norway</x:v>
      </x:c>
      <x:c r="C119" s="24" t="str">
        <x:v>EEZ</x:v>
      </x:c>
      <x:c r="D119" s="30" t="n">
        <x:v>2019</x:v>
      </x:c>
      <x:c r="E119" s="24" t="str">
        <x:v>Clupeiformes</x:v>
      </x:c>
      <x:c r="F119" s="24" t="str">
        <x:v>Herrings, shads, anchovies</x:v>
      </x:c>
      <x:c r="G119" s="24" t="str">
        <x:v>Small pelagics (&lt;30 cm)</x:v>
      </x:c>
      <x:c r="H119" s="24" t="str">
        <x:v>Other fishes &amp; inverts</x:v>
      </x:c>
      <x:c r="I119" s="31" t="n">
        <x:v>4.5246667831</x:v>
      </x:c>
      <x:c r="J119" s="31" t="n">
        <x:v>4.5246667831</x:v>
      </x:c>
      <x:c r="K119" s="31" t="n">
        <x:v>0</x:v>
      </x:c>
      <x:c r="L119" s="31" t="n">
        <x:v>4.5246667831</x:v>
      </x:c>
      <x:c r="M119" s="31" t="n">
        <x:v>0</x:v>
      </x:c>
      <x:c r="N119" s="24" t="str">
        <x:v>clupeiformes</x:v>
      </x:c>
      <x:c r="O119" s="32" t="n">
        <x:v>3.24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Clupeiformes</x:v>
      </x:c>
      <x:c r="T119" s="32" t="n">
        <x:f>IF(O119="","",(1/'Metadata'!$B$5)^(O119-1))</x:f>
        <x:v>173.78008287493762</x:v>
      </x:c>
      <x:c r="U119" s="31" t="n">
        <x:f>IF(T119="","",I119*T119)</x:f>
        <x:v>786.2969685485954</x:v>
      </x:c>
    </x:row>
    <x:row r="120" ht="18" customHeight="1">
      <x:c r="A120" s="24" t="str">
        <x:v>EEZ_578</x:v>
      </x:c>
      <x:c r="B120" s="24" t="str">
        <x:v>Norway</x:v>
      </x:c>
      <x:c r="C120" s="24" t="str">
        <x:v>EEZ</x:v>
      </x:c>
      <x:c r="D120" s="30" t="n">
        <x:v>2019</x:v>
      </x:c>
      <x:c r="E120" s="24" t="str">
        <x:v>Labrus bergylta</x:v>
      </x:c>
      <x:c r="F120" s="24" t="str">
        <x:v>Ballan wrasse</x:v>
      </x:c>
      <x:c r="G120" s="24" t="str">
        <x:v>Medium reef assoc. fish (30 - 89 cm)</x:v>
      </x:c>
      <x:c r="H120" s="24" t="str">
        <x:v>Perch-likes</x:v>
      </x:c>
      <x:c r="I120" s="31" t="n">
        <x:v>4.4360489209</x:v>
      </x:c>
      <x:c r="J120" s="31" t="n">
        <x:v>4.4360489209</x:v>
      </x:c>
      <x:c r="K120" s="31" t="n">
        <x:v>0</x:v>
      </x:c>
      <x:c r="L120" s="31" t="n">
        <x:v>4.4360489209</x:v>
      </x:c>
      <x:c r="M120" s="31" t="n">
        <x:v>0</x:v>
      </x:c>
      <x:c r="N120" s="24" t="str">
        <x:v>labrus bergylta</x:v>
      </x:c>
      <x:c r="O120" s="32" t="n">
        <x:v>3.2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Labrus bergylta</x:v>
      </x:c>
      <x:c r="T120" s="32" t="n">
        <x:f>IF(O120="","",(1/'Metadata'!$B$5)^(O120-1))</x:f>
        <x:v>158.48931924611142</x:v>
      </x:c>
      <x:c r="U120" s="31" t="n">
        <x:f>IF(T120="","",I120*T120)</x:f>
        <x:v>703.0663736158882</x:v>
      </x:c>
    </x:row>
    <x:row r="121" ht="18" customHeight="1">
      <x:c r="A121" s="24" t="str">
        <x:v>EEZ_578</x:v>
      </x:c>
      <x:c r="B121" s="24" t="str">
        <x:v>Norway</x:v>
      </x:c>
      <x:c r="C121" s="24" t="str">
        <x:v>EEZ</x:v>
      </x:c>
      <x:c r="D121" s="30" t="n">
        <x:v>2019</x:v>
      </x:c>
      <x:c r="E121" s="24" t="str">
        <x:v>Chelidonichthys lucerna</x:v>
      </x:c>
      <x:c r="F121" s="24" t="str">
        <x:v>Tub gurnard</x:v>
      </x:c>
      <x:c r="G121" s="24" t="str">
        <x:v>Medium demersals (30 - 89 cm)</x:v>
      </x:c>
      <x:c r="H121" s="24" t="str">
        <x:v>Scorpionfishes</x:v>
      </x:c>
      <x:c r="I121" s="31" t="n">
        <x:v>4.3605555646</x:v>
      </x:c>
      <x:c r="J121" s="31" t="n">
        <x:v>4.3605555646</x:v>
      </x:c>
      <x:c r="K121" s="31" t="n">
        <x:v>0</x:v>
      </x:c>
      <x:c r="L121" s="31" t="n">
        <x:v>4.3605555646</x:v>
      </x:c>
      <x:c r="M121" s="31" t="n">
        <x:v>0</x:v>
      </x:c>
      <x:c r="N121" s="24" t="str">
        <x:v>chelidonichthys lucerna</x:v>
      </x:c>
      <x:c r="O121" s="32" t="n">
        <x:v>3.98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Chelidonichthys lucerna</x:v>
      </x:c>
      <x:c r="T121" s="32" t="n">
        <x:f>IF(O121="","",(1/'Metadata'!$B$5)^(O121-1))</x:f>
        <x:v>954.992586021436</x:v>
      </x:c>
      <x:c r="U121" s="31" t="n">
        <x:f>IF(T121="","",I121*T121)</x:f>
        <x:v>4164.298235127517</x:v>
      </x:c>
    </x:row>
    <x:row r="122" ht="18" customHeight="1">
      <x:c r="A122" s="24" t="str">
        <x:v>EEZ_578</x:v>
      </x:c>
      <x:c r="B122" s="24" t="str">
        <x:v>Norway</x:v>
      </x:c>
      <x:c r="C122" s="24" t="str">
        <x:v>EEZ</x:v>
      </x:c>
      <x:c r="D122" s="30" t="n">
        <x:v>2019</x:v>
      </x:c>
      <x:c r="E122" s="24" t="str">
        <x:v>Ostrea edulis</x:v>
      </x:c>
      <x:c r="F122" s="24" t="str">
        <x:v>European flat oyster</x:v>
      </x:c>
      <x:c r="G122" s="24" t="str">
        <x:v>Other demersal invertebrates</x:v>
      </x:c>
      <x:c r="H122" s="24" t="str">
        <x:v>Molluscs</x:v>
      </x:c>
      <x:c r="I122" s="31" t="n">
        <x:v>4.2381026663</x:v>
      </x:c>
      <x:c r="J122" s="31" t="n">
        <x:v>4.1055844956</x:v>
      </x:c>
      <x:c r="K122" s="31" t="n">
        <x:v>0.13251817070000002</x:v>
      </x:c>
      <x:c r="L122" s="31" t="n">
        <x:v>4.0288030316</x:v>
      </x:c>
      <x:c r="M122" s="31" t="n">
        <x:v>0.20929963470000001</x:v>
      </x:c>
      <x:c r="N122" s="24" t="str">
        <x:v>ostrea edulis</x:v>
      </x:c>
      <x:c r="O122" s="32" t="n">
        <x:v>2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Ostrea edulis</x:v>
      </x:c>
      <x:c r="T122" s="32" t="n">
        <x:f>IF(O122="","",(1/'Metadata'!$B$5)^(O122-1))</x:f>
        <x:v>10</x:v>
      </x:c>
      <x:c r="U122" s="31" t="n">
        <x:f>IF(T122="","",I122*T122)</x:f>
        <x:v>42.381026663</x:v>
      </x:c>
    </x:row>
    <x:row r="123" ht="18" customHeight="1">
      <x:c r="A123" s="24" t="str">
        <x:v>EEZ_578</x:v>
      </x:c>
      <x:c r="B123" s="24" t="str">
        <x:v>Norway</x:v>
      </x:c>
      <x:c r="C123" s="24" t="str">
        <x:v>EEZ</x:v>
      </x:c>
      <x:c r="D123" s="30" t="n">
        <x:v>2019</x:v>
      </x:c>
      <x:c r="E123" s="24" t="str">
        <x:v>Aphanopus carbo</x:v>
      </x:c>
      <x:c r="F123" s="24" t="str">
        <x:v>Black scabbardfish</x:v>
      </x:c>
      <x:c r="G123" s="24" t="str">
        <x:v>Large benthopelagics (&gt;=90 cm)</x:v>
      </x:c>
      <x:c r="H123" s="24" t="str">
        <x:v>Perch-likes</x:v>
      </x:c>
      <x:c r="I123" s="31" t="n">
        <x:v>4.2186713656</x:v>
      </x:c>
      <x:c r="J123" s="31" t="n">
        <x:v>4.2186713656</x:v>
      </x:c>
      <x:c r="K123" s="31" t="n">
        <x:v>0</x:v>
      </x:c>
      <x:c r="L123" s="31" t="n">
        <x:v>4.2186713656</x:v>
      </x:c>
      <x:c r="M123" s="31" t="n">
        <x:v>0</x:v>
      </x:c>
      <x:c r="N123" s="24" t="str">
        <x:v>aphanopus carbo</x:v>
      </x:c>
      <x:c r="O123" s="32" t="n">
        <x:v>4.48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Aphanopus carbo</x:v>
      </x:c>
      <x:c r="T123" s="32" t="n">
        <x:f>IF(O123="","",(1/'Metadata'!$B$5)^(O123-1))</x:f>
        <x:v>3019.951720402019</x:v>
      </x:c>
      <x:c r="U123" s="31" t="n">
        <x:f>IF(T123="","",I123*T123)</x:f>
        <x:v>12740.183848354454</x:v>
      </x:c>
    </x:row>
    <x:row r="124" ht="18" customHeight="1">
      <x:c r="A124" s="24" t="str">
        <x:v>EEZ_578</x:v>
      </x:c>
      <x:c r="B124" s="24" t="str">
        <x:v>Norway</x:v>
      </x:c>
      <x:c r="C124" s="24" t="str">
        <x:v>EEZ</x:v>
      </x:c>
      <x:c r="D124" s="30" t="n">
        <x:v>2019</x:v>
      </x:c>
      <x:c r="E124" s="24" t="str">
        <x:v>Trisopterus minutus</x:v>
      </x:c>
      <x:c r="F124" s="24" t="str">
        <x:v>Poor cod</x:v>
      </x:c>
      <x:c r="G124" s="24" t="str">
        <x:v>Medium benthopelagics (30 - 89 cm)</x:v>
      </x:c>
      <x:c r="H124" s="24" t="str">
        <x:v>Cod-likes</x:v>
      </x:c>
      <x:c r="I124" s="31" t="n">
        <x:v>3.6447879148</x:v>
      </x:c>
      <x:c r="J124" s="31" t="n">
        <x:v>0.35189233750000004</x:v>
      </x:c>
      <x:c r="K124" s="31" t="n">
        <x:v>3.2928955773</x:v>
      </x:c>
      <x:c r="L124" s="31" t="n">
        <x:v>0.3516935164</x:v>
      </x:c>
      <x:c r="M124" s="31" t="n">
        <x:v>3.2930943984</x:v>
      </x:c>
      <x:c r="N124" s="24" t="str">
        <x:v>trisopterus minutus</x:v>
      </x:c>
      <x:c r="O124" s="32" t="n">
        <x:v>3.73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Trisopterus minutus</x:v>
      </x:c>
      <x:c r="T124" s="32" t="n">
        <x:f>IF(O124="","",(1/'Metadata'!$B$5)^(O124-1))</x:f>
        <x:v>537.0317963702527</x:v>
      </x:c>
      <x:c r="U124" s="31" t="n">
        <x:f>IF(T124="","",I124*T124)</x:f>
        <x:v>1957.3670012736316</x:v>
      </x:c>
    </x:row>
    <x:row r="125" ht="18" customHeight="1">
      <x:c r="A125" s="24" t="str">
        <x:v>EEZ_578</x:v>
      </x:c>
      <x:c r="B125" s="24" t="str">
        <x:v>Norway</x:v>
      </x:c>
      <x:c r="C125" s="24" t="str">
        <x:v>EEZ</x:v>
      </x:c>
      <x:c r="D125" s="30" t="n">
        <x:v>2019</x:v>
      </x:c>
      <x:c r="E125" s="24" t="str">
        <x:v>Dipturus batis</x:v>
      </x:c>
      <x:c r="F125" s="24" t="str">
        <x:v>Blue skate</x:v>
      </x:c>
      <x:c r="G125" s="24" t="str">
        <x:v>Large rays (&gt;=90 cm)</x:v>
      </x:c>
      <x:c r="H125" s="24" t="str">
        <x:v>Sharks &amp; rays</x:v>
      </x:c>
      <x:c r="I125" s="31" t="n">
        <x:v>3.6426513647</x:v>
      </x:c>
      <x:c r="J125" s="31" t="n">
        <x:v>3.6426513647</x:v>
      </x:c>
      <x:c r="K125" s="31" t="n">
        <x:v>0</x:v>
      </x:c>
      <x:c r="L125" s="31" t="n">
        <x:v>3.6426513647</x:v>
      </x:c>
      <x:c r="M125" s="31" t="n">
        <x:v>0</x:v>
      </x:c>
      <x:c r="N125" s="24" t="str">
        <x:v>dipturus batis</x:v>
      </x:c>
      <x:c r="O125" s="32" t="n">
        <x:v>3.52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Dipturus batis</x:v>
      </x:c>
      <x:c r="T125" s="32" t="n">
        <x:f>IF(O125="","",(1/'Metadata'!$B$5)^(O125-1))</x:f>
        <x:v>331.1311214825911</x:v>
      </x:c>
      <x:c r="U125" s="31" t="n">
        <x:f>IF(T125="","",I125*T125)</x:f>
        <x:v>1206.1952315632018</x:v>
      </x:c>
    </x:row>
    <x:row r="126" ht="18" customHeight="1">
      <x:c r="A126" s="24" t="str">
        <x:v>EEZ_578</x:v>
      </x:c>
      <x:c r="B126" s="24" t="str">
        <x:v>Norway</x:v>
      </x:c>
      <x:c r="C126" s="24" t="str">
        <x:v>EEZ</x:v>
      </x:c>
      <x:c r="D126" s="30" t="n">
        <x:v>2019</x:v>
      </x:c>
      <x:c r="E126" s="24" t="str">
        <x:v>Alosa fallax</x:v>
      </x:c>
      <x:c r="F126" s="24" t="str">
        <x:v>Twaite shad</x:v>
      </x:c>
      <x:c r="G126" s="24" t="str">
        <x:v>Medium pelagics (30 - 89 cm)</x:v>
      </x:c>
      <x:c r="H126" s="24" t="str">
        <x:v>Herring-likes</x:v>
      </x:c>
      <x:c r="I126" s="31" t="n">
        <x:v>3.619470803</x:v>
      </x:c>
      <x:c r="J126" s="31" t="n">
        <x:v>3.619470803</x:v>
      </x:c>
      <x:c r="K126" s="31" t="n">
        <x:v>0</x:v>
      </x:c>
      <x:c r="L126" s="31" t="n">
        <x:v>3.619470803</x:v>
      </x:c>
      <x:c r="M126" s="31" t="n">
        <x:v>0</x:v>
      </x:c>
      <x:c r="N126" s="24" t="str">
        <x:v>alosa fallax</x:v>
      </x:c>
      <x:c r="O126" s="32" t="n">
        <x:v>4.03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Alosa fallax</x:v>
      </x:c>
      <x:c r="T126" s="32" t="n">
        <x:f>IF(O126="","",(1/'Metadata'!$B$5)^(O126-1))</x:f>
        <x:v>1071.519305237607</x:v>
      </x:c>
      <x:c r="U126" s="31" t="n">
        <x:f>IF(T126="","",I126*T126)</x:f>
        <x:v>3878.332840158364</x:v>
      </x:c>
    </x:row>
    <x:row r="127" ht="18" customHeight="1">
      <x:c r="A127" s="24" t="str">
        <x:v>EEZ_578</x:v>
      </x:c>
      <x:c r="B127" s="24" t="str">
        <x:v>Norway</x:v>
      </x:c>
      <x:c r="C127" s="24" t="str">
        <x:v>EEZ</x:v>
      </x:c>
      <x:c r="D127" s="30" t="n">
        <x:v>2019</x:v>
      </x:c>
      <x:c r="E127" s="24" t="str">
        <x:v>Veneridae</x:v>
      </x:c>
      <x:c r="F127" s="24" t="str">
        <x:v>Venus clams</x:v>
      </x:c>
      <x:c r="G127" s="24" t="str">
        <x:v>Other demersal invertebrates</x:v>
      </x:c>
      <x:c r="H127" s="24" t="str">
        <x:v>Molluscs</x:v>
      </x:c>
      <x:c r="I127" s="31" t="n">
        <x:v>3.087874625</x:v>
      </x:c>
      <x:c r="J127" s="31" t="n">
        <x:v>3.087874625</x:v>
      </x:c>
      <x:c r="K127" s="31" t="n">
        <x:v>0</x:v>
      </x:c>
      <x:c r="L127" s="31" t="n">
        <x:v>3.087874625</x:v>
      </x:c>
      <x:c r="M127" s="31" t="n">
        <x:v>0</x:v>
      </x:c>
      <x:c r="N127" s="24" t="str">
        <x:v>veneridae</x:v>
      </x:c>
      <x:c r="O127" s="32" t="n">
        <x:v>2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Veneridae</x:v>
      </x:c>
      <x:c r="T127" s="32" t="n">
        <x:f>IF(O127="","",(1/'Metadata'!$B$5)^(O127-1))</x:f>
        <x:v>10</x:v>
      </x:c>
      <x:c r="U127" s="31" t="n">
        <x:f>IF(T127="","",I127*T127)</x:f>
        <x:v>30.87874625</x:v>
      </x:c>
    </x:row>
    <x:row r="128" ht="18" customHeight="1">
      <x:c r="A128" s="24" t="str">
        <x:v>EEZ_578</x:v>
      </x:c>
      <x:c r="B128" s="24" t="str">
        <x:v>Norway</x:v>
      </x:c>
      <x:c r="C128" s="24" t="str">
        <x:v>EEZ</x:v>
      </x:c>
      <x:c r="D128" s="30" t="n">
        <x:v>2019</x:v>
      </x:c>
      <x:c r="E128" s="24" t="str">
        <x:v>Glycymeris glycymeris</x:v>
      </x:c>
      <x:c r="F128" s="24" t="str">
        <x:v>Dog cockle</x:v>
      </x:c>
      <x:c r="G128" s="24" t="str">
        <x:v>Other demersal invertebrates</x:v>
      </x:c>
      <x:c r="H128" s="24" t="str">
        <x:v>Molluscs</x:v>
      </x:c>
      <x:c r="I128" s="31" t="n">
        <x:v>3.0149999999999997</x:v>
      </x:c>
      <x:c r="J128" s="31" t="n">
        <x:v>3.0149999999999997</x:v>
      </x:c>
      <x:c r="K128" s="31" t="n">
        <x:v>0</x:v>
      </x:c>
      <x:c r="L128" s="31" t="n">
        <x:v>3.0149999999999997</x:v>
      </x:c>
      <x:c r="M128" s="31" t="n">
        <x:v>0</x:v>
      </x:c>
      <x:c r="N128" s="24" t="str">
        <x:v>glycymeris glycymeris</x:v>
      </x:c>
      <x:c r="O128" s="32" t="n">
        <x:v>2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Glycymeris glycymeris</x:v>
      </x:c>
      <x:c r="T128" s="32" t="n">
        <x:f>IF(O128="","",(1/'Metadata'!$B$5)^(O128-1))</x:f>
        <x:v>10</x:v>
      </x:c>
      <x:c r="U128" s="31" t="n">
        <x:f>IF(T128="","",I128*T128)</x:f>
        <x:v>30.15</x:v>
      </x:c>
    </x:row>
    <x:row r="129" ht="18" customHeight="1">
      <x:c r="A129" s="24" t="str">
        <x:v>EEZ_578</x:v>
      </x:c>
      <x:c r="B129" s="24" t="str">
        <x:v>Norway</x:v>
      </x:c>
      <x:c r="C129" s="24" t="str">
        <x:v>EEZ</x:v>
      </x:c>
      <x:c r="D129" s="30" t="n">
        <x:v>2019</x:v>
      </x:c>
      <x:c r="E129" s="24" t="str">
        <x:v>Berycidae</x:v>
      </x:c>
      <x:c r="F129" s="24" t="str">
        <x:v>Alfonsinos, redfishes</x:v>
      </x:c>
      <x:c r="G129" s="24" t="str">
        <x:v>Medium benthopelagics (30 - 89 cm)</x:v>
      </x:c>
      <x:c r="H129" s="24" t="str">
        <x:v>Other fishes &amp; inverts</x:v>
      </x:c>
      <x:c r="I129" s="31" t="n">
        <x:v>2.6977019306999996</x:v>
      </x:c>
      <x:c r="J129" s="31" t="n">
        <x:v>2.6977019306999996</x:v>
      </x:c>
      <x:c r="K129" s="31" t="n">
        <x:v>0</x:v>
      </x:c>
      <x:c r="L129" s="31" t="n">
        <x:v>2.6977019306999996</x:v>
      </x:c>
      <x:c r="M129" s="31" t="n">
        <x:v>0</x:v>
      </x:c>
      <x:c r="N129" s="24" t="str">
        <x:v>berycidae</x:v>
      </x:c>
      <x:c r="O129" s="32" t="n">
        <x:v>3.99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Berycidae</x:v>
      </x:c>
      <x:c r="T129" s="32" t="n">
        <x:f>IF(O129="","",(1/'Metadata'!$B$5)^(O129-1))</x:f>
        <x:v>977.2372209558112</x:v>
      </x:c>
      <x:c r="U129" s="31" t="n">
        <x:f>IF(T129="","",I129*T129)</x:f>
        <x:v>2636.294737724394</x:v>
      </x:c>
    </x:row>
    <x:row r="130" ht="18" customHeight="1">
      <x:c r="A130" s="24" t="str">
        <x:v>EEZ_578</x:v>
      </x:c>
      <x:c r="B130" s="24" t="str">
        <x:v>Norway</x:v>
      </x:c>
      <x:c r="C130" s="24" t="str">
        <x:v>EEZ</x:v>
      </x:c>
      <x:c r="D130" s="30" t="n">
        <x:v>2019</x:v>
      </x:c>
      <x:c r="E130" s="24" t="str">
        <x:v>Rajidae</x:v>
      </x:c>
      <x:c r="F130" s="24" t="str">
        <x:v>Stingrays</x:v>
      </x:c>
      <x:c r="G130" s="24" t="str">
        <x:v>Large rays (&gt;=90 cm)</x:v>
      </x:c>
      <x:c r="H130" s="24" t="str">
        <x:v>Sharks &amp; rays</x:v>
      </x:c>
      <x:c r="I130" s="31" t="n">
        <x:v>2.2959074677</x:v>
      </x:c>
      <x:c r="J130" s="31" t="n">
        <x:v>2.293756797</x:v>
      </x:c>
      <x:c r="K130" s="31" t="n">
        <x:v>0.0021506707</x:v>
      </x:c>
      <x:c r="L130" s="31" t="n">
        <x:v>2.2890624534</x:v>
      </x:c>
      <x:c r="M130" s="31" t="n">
        <x:v>0.0068450143</x:v>
      </x:c>
      <x:c r="N130" s="24" t="str">
        <x:v>rajidae</x:v>
      </x:c>
      <x:c r="O130" s="32" t="n">
        <x:v>3.82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Rajidae</x:v>
      </x:c>
      <x:c r="T130" s="32" t="n">
        <x:f>IF(O130="","",(1/'Metadata'!$B$5)^(O130-1))</x:f>
        <x:v>660.6934480075957</x:v>
      </x:c>
      <x:c r="U130" s="31" t="n">
        <x:f>IF(T130="","",I130*T130)</x:f>
        <x:v>1516.891021141101</x:v>
      </x:c>
    </x:row>
    <x:row r="131" ht="18" customHeight="1">
      <x:c r="A131" s="24" t="str">
        <x:v>EEZ_578</x:v>
      </x:c>
      <x:c r="B131" s="24" t="str">
        <x:v>Norway</x:v>
      </x:c>
      <x:c r="C131" s="24" t="str">
        <x:v>EEZ</x:v>
      </x:c>
      <x:c r="D131" s="30" t="n">
        <x:v>2019</x:v>
      </x:c>
      <x:c r="E131" s="24" t="str">
        <x:v>Mytilidae</x:v>
      </x:c>
      <x:c r="F131" s="24" t="str">
        <x:v>Sea mussels</x:v>
      </x:c>
      <x:c r="G131" s="24" t="str">
        <x:v>Other demersal invertebrates</x:v>
      </x:c>
      <x:c r="H131" s="24" t="str">
        <x:v>Molluscs</x:v>
      </x:c>
      <x:c r="I131" s="31" t="n">
        <x:v>2.2262851755</x:v>
      </x:c>
      <x:c r="J131" s="31" t="n">
        <x:v>2.2262851755</x:v>
      </x:c>
      <x:c r="K131" s="31" t="n">
        <x:v>0</x:v>
      </x:c>
      <x:c r="L131" s="31" t="n">
        <x:v>2.2169472731</x:v>
      </x:c>
      <x:c r="M131" s="31" t="n">
        <x:v>0.009337902399999999</x:v>
      </x:c>
      <x:c r="N131" s="24" t="str">
        <x:v>mytilidae</x:v>
      </x:c>
      <x:c r="O131" s="32" t="n">
        <x:v>2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Mytilidae</x:v>
      </x:c>
      <x:c r="T131" s="32" t="n">
        <x:f>IF(O131="","",(1/'Metadata'!$B$5)^(O131-1))</x:f>
        <x:v>10</x:v>
      </x:c>
      <x:c r="U131" s="31" t="n">
        <x:f>IF(T131="","",I131*T131)</x:f>
        <x:v>22.262851755</x:v>
      </x:c>
    </x:row>
    <x:row r="132" ht="18" customHeight="1">
      <x:c r="A132" s="24" t="str">
        <x:v>EEZ_578</x:v>
      </x:c>
      <x:c r="B132" s="24" t="str">
        <x:v>Norway</x:v>
      </x:c>
      <x:c r="C132" s="24" t="str">
        <x:v>EEZ</x:v>
      </x:c>
      <x:c r="D132" s="30" t="n">
        <x:v>2019</x:v>
      </x:c>
      <x:c r="E132" s="24" t="str">
        <x:v>Chimaera monstrosa</x:v>
      </x:c>
      <x:c r="F132" s="24" t="str">
        <x:v>Rabbit fish</x:v>
      </x:c>
      <x:c r="G132" s="24" t="str">
        <x:v>Large rays (&gt;=90 cm)</x:v>
      </x:c>
      <x:c r="H132" s="24" t="str">
        <x:v>Sharks &amp; rays</x:v>
      </x:c>
      <x:c r="I132" s="31" t="n">
        <x:v>2.1759479634</x:v>
      </x:c>
      <x:c r="J132" s="31" t="n">
        <x:v>2.1758402592</x:v>
      </x:c>
      <x:c r="K132" s="31" t="n">
        <x:v>0.0001077042</x:v>
      </x:c>
      <x:c r="L132" s="31" t="n">
        <x:v>2.175589366</x:v>
      </x:c>
      <x:c r="M132" s="31" t="n">
        <x:v>0.00035859739999999997</x:v>
      </x:c>
      <x:c r="N132" s="24" t="str">
        <x:v>chimaera monstrosa</x:v>
      </x:c>
      <x:c r="O132" s="32" t="n">
        <x:v>3.52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Chimaera monstrosa</x:v>
      </x:c>
      <x:c r="T132" s="32" t="n">
        <x:f>IF(O132="","",(1/'Metadata'!$B$5)^(O132-1))</x:f>
        <x:v>331.1311214825911</x:v>
      </x:c>
      <x:c r="U132" s="31" t="n">
        <x:f>IF(T132="","",I132*T132)</x:f>
        <x:v>720.5240894084021</x:v>
      </x:c>
    </x:row>
    <x:row r="133" ht="18" customHeight="1">
      <x:c r="A133" s="24" t="str">
        <x:v>EEZ_578</x:v>
      </x:c>
      <x:c r="B133" s="24" t="str">
        <x:v>Norway</x:v>
      </x:c>
      <x:c r="C133" s="24" t="str">
        <x:v>EEZ</x:v>
      </x:c>
      <x:c r="D133" s="30" t="n">
        <x:v>2019</x:v>
      </x:c>
      <x:c r="E133" s="24" t="str">
        <x:v>Dipturus oxyrinchus</x:v>
      </x:c>
      <x:c r="F133" s="24" t="str">
        <x:v>Longnosed skate</x:v>
      </x:c>
      <x:c r="G133" s="24" t="str">
        <x:v>Large rays (&gt;=90 cm)</x:v>
      </x:c>
      <x:c r="H133" s="24" t="str">
        <x:v>Sharks &amp; rays</x:v>
      </x:c>
      <x:c r="I133" s="31" t="n">
        <x:v>2.006621634</x:v>
      </x:c>
      <x:c r="J133" s="31" t="n">
        <x:v>2.006621634</x:v>
      </x:c>
      <x:c r="K133" s="31" t="n">
        <x:v>0</x:v>
      </x:c>
      <x:c r="L133" s="31" t="n">
        <x:v>2.006621634</x:v>
      </x:c>
      <x:c r="M133" s="31" t="n">
        <x:v>0</x:v>
      </x:c>
      <x:c r="N133" s="24" t="str">
        <x:v>dipturus oxyrinchus</x:v>
      </x:c>
      <x:c r="O133" s="32" t="n">
        <x:v>3.5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Dipturus oxyrinchus</x:v>
      </x:c>
      <x:c r="T133" s="32" t="n">
        <x:f>IF(O133="","",(1/'Metadata'!$B$5)^(O133-1))</x:f>
        <x:v>316.22776601683796</x:v>
      </x:c>
      <x:c r="U133" s="31" t="n">
        <x:f>IF(T133="","",I133*T133)</x:f>
        <x:v>634.5494765608771</x:v>
      </x:c>
    </x:row>
    <x:row r="134" ht="18" customHeight="1">
      <x:c r="A134" s="24" t="str">
        <x:v>EEZ_578</x:v>
      </x:c>
      <x:c r="B134" s="24" t="str">
        <x:v>Norway</x:v>
      </x:c>
      <x:c r="C134" s="24" t="str">
        <x:v>EEZ</x:v>
      </x:c>
      <x:c r="D134" s="30" t="n">
        <x:v>2019</x:v>
      </x:c>
      <x:c r="E134" s="24" t="str">
        <x:v>Pagellus bogaraveo</x:v>
      </x:c>
      <x:c r="F134" s="24" t="str">
        <x:v>Blackspot seabream</x:v>
      </x:c>
      <x:c r="G134" s="24" t="str">
        <x:v>Medium benthopelagics (30 - 89 cm)</x:v>
      </x:c>
      <x:c r="H134" s="24" t="str">
        <x:v>Perch-likes</x:v>
      </x:c>
      <x:c r="I134" s="31" t="n">
        <x:v>1.9230792854</x:v>
      </x:c>
      <x:c r="J134" s="31" t="n">
        <x:v>1.9230792854</x:v>
      </x:c>
      <x:c r="K134" s="31" t="n">
        <x:v>0</x:v>
      </x:c>
      <x:c r="L134" s="31" t="n">
        <x:v>1.9230792854</x:v>
      </x:c>
      <x:c r="M134" s="31" t="n">
        <x:v>0</x:v>
      </x:c>
      <x:c r="N134" s="24" t="str">
        <x:v>pagellus bogaraveo</x:v>
      </x:c>
      <x:c r="O134" s="32" t="n">
        <x:v>4.21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Pagellus bogaraveo</x:v>
      </x:c>
      <x:c r="T134" s="32" t="n">
        <x:f>IF(O134="","",(1/'Metadata'!$B$5)^(O134-1))</x:f>
        <x:v>1621.8100973589299</x:v>
      </x:c>
      <x:c r="U134" s="31" t="n">
        <x:f>IF(T134="","",I134*T134)</x:f>
        <x:v>3118.8694030835154</x:v>
      </x:c>
    </x:row>
    <x:row r="135" ht="18" customHeight="1">
      <x:c r="A135" s="24" t="str">
        <x:v>EEZ_578</x:v>
      </x:c>
      <x:c r="B135" s="24" t="str">
        <x:v>Norway</x:v>
      </x:c>
      <x:c r="C135" s="24" t="str">
        <x:v>EEZ</x:v>
      </x:c>
      <x:c r="D135" s="30" t="n">
        <x:v>2019</x:v>
      </x:c>
      <x:c r="E135" s="24" t="str">
        <x:v>Leucoraja circularis</x:v>
      </x:c>
      <x:c r="F135" s="24" t="str">
        <x:v>Sandy ray</x:v>
      </x:c>
      <x:c r="G135" s="24" t="str">
        <x:v>Large rays (&gt;=90 cm)</x:v>
      </x:c>
      <x:c r="H135" s="24" t="str">
        <x:v>Sharks &amp; rays</x:v>
      </x:c>
      <x:c r="I135" s="31" t="n">
        <x:v>1.7978286746</x:v>
      </x:c>
      <x:c r="J135" s="31" t="n">
        <x:v>1.7978286746</x:v>
      </x:c>
      <x:c r="K135" s="31" t="n">
        <x:v>0</x:v>
      </x:c>
      <x:c r="L135" s="31" t="n">
        <x:v>1.7978286746</x:v>
      </x:c>
      <x:c r="M135" s="31" t="n">
        <x:v>0</x:v>
      </x:c>
      <x:c r="N135" s="24" t="str">
        <x:v>leucoraja circularis</x:v>
      </x:c>
      <x:c r="O135" s="32" t="n">
        <x:v>3.5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Leucoraja circularis</x:v>
      </x:c>
      <x:c r="T135" s="32" t="n">
        <x:f>IF(O135="","",(1/'Metadata'!$B$5)^(O135-1))</x:f>
        <x:v>316.22776601683796</x:v>
      </x:c>
      <x:c r="U135" s="31" t="n">
        <x:f>IF(T135="","",I135*T135)</x:f>
        <x:v>568.5233454497708</x:v>
      </x:c>
    </x:row>
    <x:row r="136" ht="18" customHeight="1">
      <x:c r="A136" s="24" t="str">
        <x:v>EEZ_578</x:v>
      </x:c>
      <x:c r="B136" s="24" t="str">
        <x:v>Norway</x:v>
      </x:c>
      <x:c r="C136" s="24" t="str">
        <x:v>EEZ</x:v>
      </x:c>
      <x:c r="D136" s="30" t="n">
        <x:v>2019</x:v>
      </x:c>
      <x:c r="E136" s="24" t="str">
        <x:v>Gadiculus thori</x:v>
      </x:c>
      <x:c r="F136" s="24" t="str">
        <x:v>Silvery cod</x:v>
      </x:c>
      <x:c r="G136" s="24" t="str">
        <x:v>Small pelagics (&lt;30 cm)</x:v>
      </x:c>
      <x:c r="H136" s="24" t="str">
        <x:v>Cod-likes</x:v>
      </x:c>
      <x:c r="I136" s="31" t="n">
        <x:v>1.7893493443000001</x:v>
      </x:c>
      <x:c r="J136" s="31" t="n">
        <x:v>1.7893493443000001</x:v>
      </x:c>
      <x:c r="K136" s="31" t="n">
        <x:v>0</x:v>
      </x:c>
      <x:c r="L136" s="31" t="n">
        <x:v>1.7893493443000001</x:v>
      </x:c>
      <x:c r="M136" s="31" t="n">
        <x:v>0</x:v>
      </x:c>
      <x:c r="N136" s="24" t="str">
        <x:v>gadiculus thori</x:v>
      </x:c>
      <x:c r="O136" s="32" t="n">
        <x:v>3.51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Gadiculus thori</x:v>
      </x:c>
      <x:c r="T136" s="32" t="n">
        <x:f>IF(O136="","",(1/'Metadata'!$B$5)^(O136-1))</x:f>
        <x:v>323.5936569296281</x:v>
      </x:c>
      <x:c r="U136" s="31" t="n">
        <x:f>IF(T136="","",I136*T136)</x:f>
        <x:v>579.0220978466692</x:v>
      </x:c>
    </x:row>
    <x:row r="137" ht="18" customHeight="1">
      <x:c r="A137" s="24" t="str">
        <x:v>EEZ_578</x:v>
      </x:c>
      <x:c r="B137" s="24" t="str">
        <x:v>Norway</x:v>
      </x:c>
      <x:c r="C137" s="24" t="str">
        <x:v>EEZ</x:v>
      </x:c>
      <x:c r="D137" s="30" t="n">
        <x:v>2019</x:v>
      </x:c>
      <x:c r="E137" s="24" t="str">
        <x:v>Todarodes sagittatus</x:v>
      </x:c>
      <x:c r="F137" s="24" t="str">
        <x:v>European flying squid</x:v>
      </x:c>
      <x:c r="G137" s="24" t="str">
        <x:v>Cephalopods</x:v>
      </x:c>
      <x:c r="H137" s="24" t="str">
        <x:v>Other fishes &amp; inverts</x:v>
      </x:c>
      <x:c r="I137" s="31" t="n">
        <x:v>1.7599808635</x:v>
      </x:c>
      <x:c r="J137" s="31" t="n">
        <x:v>1.7599808635</x:v>
      </x:c>
      <x:c r="K137" s="31" t="n">
        <x:v>0</x:v>
      </x:c>
      <x:c r="L137" s="31" t="n">
        <x:v>1.7599808635</x:v>
      </x:c>
      <x:c r="M137" s="31" t="n">
        <x:v>0</x:v>
      </x:c>
      <x:c r="N137" s="24" t="str">
        <x:v>todarodes sagittatus</x:v>
      </x:c>
      <x:c r="O137" s="32" t="n">
        <x:v>4.01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Todarodes sagittatus</x:v>
      </x:c>
      <x:c r="T137" s="32" t="n">
        <x:f>IF(O137="","",(1/'Metadata'!$B$5)^(O137-1))</x:f>
        <x:v>1023.2929922807537</x:v>
      </x:c>
      <x:c r="U137" s="31" t="n">
        <x:f>IF(T137="","",I137*T137)</x:f>
        <x:v>1800.9760841677796</x:v>
      </x:c>
    </x:row>
    <x:row r="138" ht="18" customHeight="1">
      <x:c r="A138" s="24" t="str">
        <x:v>EEZ_578</x:v>
      </x:c>
      <x:c r="B138" s="24" t="str">
        <x:v>Norway</x:v>
      </x:c>
      <x:c r="C138" s="24" t="str">
        <x:v>EEZ</x:v>
      </x:c>
      <x:c r="D138" s="30" t="n">
        <x:v>2019</x:v>
      </x:c>
      <x:c r="E138" s="24" t="str">
        <x:v>Ctenolabrus rupestris</x:v>
      </x:c>
      <x:c r="F138" s="24" t="str">
        <x:v>Goldsinny-wrasse</x:v>
      </x:c>
      <x:c r="G138" s="24" t="str">
        <x:v>Small reef assoc. fish (&lt;30 cm)</x:v>
      </x:c>
      <x:c r="H138" s="24" t="str">
        <x:v>Perch-likes</x:v>
      </x:c>
      <x:c r="I138" s="31" t="n">
        <x:v>1.6914491794000002</x:v>
      </x:c>
      <x:c r="J138" s="31" t="n">
        <x:v>1.6664346533</x:v>
      </x:c>
      <x:c r="K138" s="31" t="n">
        <x:v>0.0250145261</x:v>
      </x:c>
      <x:c r="L138" s="31" t="n">
        <x:v>1.6123748962</x:v>
      </x:c>
      <x:c r="M138" s="31" t="n">
        <x:v>0.07907428320000001</x:v>
      </x:c>
      <x:c r="N138" s="24" t="str">
        <x:v>ctenolabrus rupestris</x:v>
      </x:c>
      <x:c r="O138" s="32" t="n">
        <x:v>3.58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Ctenolabrus rupestris</x:v>
      </x:c>
      <x:c r="T138" s="32" t="n">
        <x:f>IF(O138="","",(1/'Metadata'!$B$5)^(O138-1))</x:f>
        <x:v>380.1893963205613</x:v>
      </x:c>
      <x:c r="U138" s="31" t="n">
        <x:f>IF(T138="","",I138*T138)</x:f>
        <x:v>643.0710424229949</x:v>
      </x:c>
    </x:row>
    <x:row r="139" ht="18" customHeight="1">
      <x:c r="A139" s="24" t="str">
        <x:v>EEZ_578</x:v>
      </x:c>
      <x:c r="B139" s="24" t="str">
        <x:v>Norway</x:v>
      </x:c>
      <x:c r="C139" s="24" t="str">
        <x:v>EEZ</x:v>
      </x:c>
      <x:c r="D139" s="30" t="n">
        <x:v>2019</x:v>
      </x:c>
      <x:c r="E139" s="24" t="str">
        <x:v>Rajella lintea</x:v>
      </x:c>
      <x:c r="F139" s="24" t="str">
        <x:v>Sailray</x:v>
      </x:c>
      <x:c r="G139" s="24" t="str">
        <x:v>Large rays (&gt;=90 cm)</x:v>
      </x:c>
      <x:c r="H139" s="24" t="str">
        <x:v>Sharks &amp; rays</x:v>
      </x:c>
      <x:c r="I139" s="31" t="n">
        <x:v>1.5065182975</x:v>
      </x:c>
      <x:c r="J139" s="31" t="n">
        <x:v>1.5065182975</x:v>
      </x:c>
      <x:c r="K139" s="31" t="n">
        <x:v>0</x:v>
      </x:c>
      <x:c r="L139" s="31" t="n">
        <x:v>1.5065182975</x:v>
      </x:c>
      <x:c r="M139" s="31" t="n">
        <x:v>0</x:v>
      </x:c>
      <x:c r="N139" s="24" t="str">
        <x:v>rajella lintea</x:v>
      </x:c>
      <x:c r="O139" s="32" t="n">
        <x:v>3.62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Rajella lintea</x:v>
      </x:c>
      <x:c r="T139" s="32" t="n">
        <x:f>IF(O139="","",(1/'Metadata'!$B$5)^(O139-1))</x:f>
        <x:v>416.8693834703355</x:v>
      </x:c>
      <x:c r="U139" s="31" t="n">
        <x:f>IF(T139="","",I139*T139)</x:f>
        <x:v>628.0213538656045</x:v>
      </x:c>
    </x:row>
    <x:row r="140" ht="18" customHeight="1">
      <x:c r="A140" s="24" t="str">
        <x:v>EEZ_578</x:v>
      </x:c>
      <x:c r="B140" s="24" t="str">
        <x:v>Norway</x:v>
      </x:c>
      <x:c r="C140" s="24" t="str">
        <x:v>EEZ</x:v>
      </x:c>
      <x:c r="D140" s="30" t="n">
        <x:v>2019</x:v>
      </x:c>
      <x:c r="E140" s="24" t="str">
        <x:v>Venerupis corrugata</x:v>
      </x:c>
      <x:c r="F140" s="24" t="str">
        <x:v>Corrugated venus</x:v>
      </x:c>
      <x:c r="G140" s="24" t="str">
        <x:v>Other demersal invertebrates</x:v>
      </x:c>
      <x:c r="H140" s="24" t="str">
        <x:v>Molluscs</x:v>
      </x:c>
      <x:c r="I140" s="31" t="n">
        <x:v>1.468812792</x:v>
      </x:c>
      <x:c r="J140" s="31" t="n">
        <x:v>1.468812792</x:v>
      </x:c>
      <x:c r="K140" s="31" t="n">
        <x:v>0</x:v>
      </x:c>
      <x:c r="L140" s="31" t="n">
        <x:v>1.468812792</x:v>
      </x:c>
      <x:c r="M140" s="31" t="n">
        <x:v>0</x:v>
      </x:c>
      <x:c r="N140" s="24" t="str">
        <x:v>venerupis corrugata</x:v>
      </x:c>
      <x:c r="O140" s="32" t="n">
        <x:v>2.1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Venerupis corrugata</x:v>
      </x:c>
      <x:c r="T140" s="32" t="n">
        <x:f>IF(O140="","",(1/'Metadata'!$B$5)^(O140-1))</x:f>
        <x:v>12.589254117941675</x:v>
      </x:c>
      <x:c r="U140" s="31" t="n">
        <x:f>IF(T140="","",I140*T140)</x:f>
        <x:v>18.49125749017141</x:v>
      </x:c>
    </x:row>
    <x:row r="141" ht="18" customHeight="1">
      <x:c r="A141" s="24" t="str">
        <x:v>EEZ_578</x:v>
      </x:c>
      <x:c r="B141" s="24" t="str">
        <x:v>Norway</x:v>
      </x:c>
      <x:c r="C141" s="24" t="str">
        <x:v>EEZ</x:v>
      </x:c>
      <x:c r="D141" s="30" t="n">
        <x:v>2019</x:v>
      </x:c>
      <x:c r="E141" s="24" t="str">
        <x:v>Octopodidae</x:v>
      </x:c>
      <x:c r="F141" s="24" t="str">
        <x:v>Octopuses</x:v>
      </x:c>
      <x:c r="G141" s="24" t="str">
        <x:v>Cephalopods</x:v>
      </x:c>
      <x:c r="H141" s="24" t="str">
        <x:v>Other fishes &amp; inverts</x:v>
      </x:c>
      <x:c r="I141" s="31" t="n">
        <x:v>1.3488422965</x:v>
      </x:c>
      <x:c r="J141" s="31" t="n">
        <x:v>1.3332608974</x:v>
      </x:c>
      <x:c r="K141" s="31" t="n">
        <x:v>0.0155813991</x:v>
      </x:c>
      <x:c r="L141" s="31" t="n">
        <x:v>1.2969645552</x:v>
      </x:c>
      <x:c r="M141" s="31" t="n">
        <x:v>0.0518777413</x:v>
      </x:c>
      <x:c r="N141" s="24" t="str">
        <x:v>octopodidae</x:v>
      </x:c>
      <x:c r="O141" s="32" t="n">
        <x:v>3.59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Octopodidae</x:v>
      </x:c>
      <x:c r="T141" s="32" t="n">
        <x:f>IF(O141="","",(1/'Metadata'!$B$5)^(O141-1))</x:f>
        <x:v>389.04514499428046</x:v>
      </x:c>
      <x:c r="U141" s="31" t="n">
        <x:f>IF(T141="","",I141*T141)</x:f>
        <x:v>524.7605468162608</x:v>
      </x:c>
    </x:row>
    <x:row r="142" ht="18" customHeight="1">
      <x:c r="A142" s="24" t="str">
        <x:v>EEZ_578</x:v>
      </x:c>
      <x:c r="B142" s="24" t="str">
        <x:v>Norway</x:v>
      </x:c>
      <x:c r="C142" s="24" t="str">
        <x:v>EEZ</x:v>
      </x:c>
      <x:c r="D142" s="30" t="n">
        <x:v>2019</x:v>
      </x:c>
      <x:c r="E142" s="24" t="str">
        <x:v>Symphodus melops</x:v>
      </x:c>
      <x:c r="F142" s="24" t="str">
        <x:v>Corkwing wrasse</x:v>
      </x:c>
      <x:c r="G142" s="24" t="str">
        <x:v>Small reef assoc. fish (&lt;30 cm)</x:v>
      </x:c>
      <x:c r="H142" s="24" t="str">
        <x:v>Perch-likes</x:v>
      </x:c>
      <x:c r="I142" s="31" t="n">
        <x:v>1.2945247251</x:v>
      </x:c>
      <x:c r="J142" s="31" t="n">
        <x:v>1.2359263782</x:v>
      </x:c>
      <x:c r="K142" s="31" t="n">
        <x:v>0.0585983469</x:v>
      </x:c>
      <x:c r="L142" s="31" t="n">
        <x:v>1.1053502829</x:v>
      </x:c>
      <x:c r="M142" s="31" t="n">
        <x:v>0.1891744422</x:v>
      </x:c>
      <x:c r="N142" s="24" t="str">
        <x:v>symphodus melops</x:v>
      </x:c>
      <x:c r="O142" s="32" t="n">
        <x:v>3.38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Symphodus melops</x:v>
      </x:c>
      <x:c r="T142" s="32" t="n">
        <x:f>IF(O142="","",(1/'Metadata'!$B$5)^(O142-1))</x:f>
        <x:v>239.88329190194898</x:v>
      </x:c>
      <x:c r="U142" s="31" t="n">
        <x:f>IF(T142="","",I142*T142)</x:f>
        <x:v>310.53485250545356</x:v>
      </x:c>
    </x:row>
    <x:row r="143" ht="18" customHeight="1">
      <x:c r="A143" s="24" t="str">
        <x:v>EEZ_578</x:v>
      </x:c>
      <x:c r="B143" s="24" t="str">
        <x:v>Norway</x:v>
      </x:c>
      <x:c r="C143" s="24" t="str">
        <x:v>EEZ</x:v>
      </x:c>
      <x:c r="D143" s="30" t="n">
        <x:v>2019</x:v>
      </x:c>
      <x:c r="E143" s="24" t="str">
        <x:v>Buccinum undatum</x:v>
      </x:c>
      <x:c r="F143" s="24" t="str">
        <x:v>Whelk</x:v>
      </x:c>
      <x:c r="G143" s="24" t="str">
        <x:v>Other demersal invertebrates</x:v>
      </x:c>
      <x:c r="H143" s="24" t="str">
        <x:v>Molluscs</x:v>
      </x:c>
      <x:c r="I143" s="31" t="n">
        <x:v>1.2668590815</x:v>
      </x:c>
      <x:c r="J143" s="31" t="n">
        <x:v>1.2668590815</x:v>
      </x:c>
      <x:c r="K143" s="31" t="n">
        <x:v>0</x:v>
      </x:c>
      <x:c r="L143" s="31" t="n">
        <x:v>1.2668590815</x:v>
      </x:c>
      <x:c r="M143" s="31" t="n">
        <x:v>0</x:v>
      </x:c>
      <x:c r="N143" s="24" t="str">
        <x:v>buccinum undatum</x:v>
      </x:c>
      <x:c r="O143" s="32" t="n">
        <x:v>3.75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Buccinum undatum</x:v>
      </x:c>
      <x:c r="T143" s="32" t="n">
        <x:f>IF(O143="","",(1/'Metadata'!$B$5)^(O143-1))</x:f>
        <x:v>562.341325190349</x:v>
      </x:c>
      <x:c r="U143" s="31" t="n">
        <x:f>IF(T143="","",I143*T143)</x:f>
        <x:v>712.4072147201384</x:v>
      </x:c>
    </x:row>
    <x:row r="144" ht="18" customHeight="1">
      <x:c r="A144" s="24" t="str">
        <x:v>EEZ_578</x:v>
      </x:c>
      <x:c r="B144" s="24" t="str">
        <x:v>Norway</x:v>
      </x:c>
      <x:c r="C144" s="24" t="str">
        <x:v>EEZ</x:v>
      </x:c>
      <x:c r="D144" s="30" t="n">
        <x:v>2019</x:v>
      </x:c>
      <x:c r="E144" s="24" t="str">
        <x:v>Loliginidae</x:v>
      </x:c>
      <x:c r="F144" s="24" t="str">
        <x:v>Common pencil squids</x:v>
      </x:c>
      <x:c r="G144" s="24" t="str">
        <x:v>Cephalopods</x:v>
      </x:c>
      <x:c r="H144" s="24" t="str">
        <x:v>Other fishes &amp; inverts</x:v>
      </x:c>
      <x:c r="I144" s="31" t="n">
        <x:v>1.2422315491</x:v>
      </x:c>
      <x:c r="J144" s="31" t="n">
        <x:v>1.2350519137</x:v>
      </x:c>
      <x:c r="K144" s="31" t="n">
        <x:v>0.0071796354</x:v>
      </x:c>
      <x:c r="L144" s="31" t="n">
        <x:v>1.2220685894</x:v>
      </x:c>
      <x:c r="M144" s="31" t="n">
        <x:v>0.0201629597</x:v>
      </x:c>
      <x:c r="N144" s="24" t="str">
        <x:v>loliginidae</x:v>
      </x:c>
      <x:c r="O144" s="32" t="n">
        <x:v>3.9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Loliginidae</x:v>
      </x:c>
      <x:c r="T144" s="32" t="n">
        <x:f>IF(O144="","",(1/'Metadata'!$B$5)^(O144-1))</x:f>
        <x:v>794.3282347242813</x:v>
      </x:c>
      <x:c r="U144" s="31" t="n">
        <x:f>IF(T144="","",I144*T144)</x:f>
        <x:v>986.7395935154124</x:v>
      </x:c>
    </x:row>
    <x:row r="145" ht="18" customHeight="1">
      <x:c r="A145" s="24" t="str">
        <x:v>EEZ_578</x:v>
      </x:c>
      <x:c r="B145" s="24" t="str">
        <x:v>Norway</x:v>
      </x:c>
      <x:c r="C145" s="24" t="str">
        <x:v>EEZ</x:v>
      </x:c>
      <x:c r="D145" s="30" t="n">
        <x:v>2019</x:v>
      </x:c>
      <x:c r="E145" s="24" t="str">
        <x:v>Pecten maximus</x:v>
      </x:c>
      <x:c r="F145" s="24" t="str">
        <x:v>Great Atlantic scallop</x:v>
      </x:c>
      <x:c r="G145" s="24" t="str">
        <x:v>Other demersal invertebrates</x:v>
      </x:c>
      <x:c r="H145" s="24" t="str">
        <x:v>Molluscs</x:v>
      </x:c>
      <x:c r="I145" s="31" t="n">
        <x:v>1.1696906316</x:v>
      </x:c>
      <x:c r="J145" s="31" t="n">
        <x:v>1.1696906316</x:v>
      </x:c>
      <x:c r="K145" s="31" t="n">
        <x:v>0</x:v>
      </x:c>
      <x:c r="L145" s="31" t="n">
        <x:v>1.1696906316</x:v>
      </x:c>
      <x:c r="M145" s="31" t="n">
        <x:v>0</x:v>
      </x:c>
      <x:c r="N145" s="24" t="str">
        <x:v>pecten maximus</x:v>
      </x:c>
      <x:c r="O145" s="32" t="n">
        <x:v>2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Pecten maximus</x:v>
      </x:c>
      <x:c r="T145" s="32" t="n">
        <x:f>IF(O145="","",(1/'Metadata'!$B$5)^(O145-1))</x:f>
        <x:v>10</x:v>
      </x:c>
      <x:c r="U145" s="31" t="n">
        <x:f>IF(T145="","",I145*T145)</x:f>
        <x:v>11.696906316</x:v>
      </x:c>
    </x:row>
    <x:row r="146" ht="18" customHeight="1">
      <x:c r="A146" s="24" t="str">
        <x:v>EEZ_578</x:v>
      </x:c>
      <x:c r="B146" s="24" t="str">
        <x:v>Norway</x:v>
      </x:c>
      <x:c r="C146" s="24" t="str">
        <x:v>EEZ</x:v>
      </x:c>
      <x:c r="D146" s="30" t="n">
        <x:v>2019</x:v>
      </x:c>
      <x:c r="E146" s="24" t="str">
        <x:v>Leucoraja fullonica</x:v>
      </x:c>
      <x:c r="F146" s="24" t="str">
        <x:v>Shagreen ray</x:v>
      </x:c>
      <x:c r="G146" s="24" t="str">
        <x:v>Large rays (&gt;=90 cm)</x:v>
      </x:c>
      <x:c r="H146" s="24" t="str">
        <x:v>Sharks &amp; rays</x:v>
      </x:c>
      <x:c r="I146" s="31" t="n">
        <x:v>0.9659628444999999</x:v>
      </x:c>
      <x:c r="J146" s="31" t="n">
        <x:v>0.9659628444999999</x:v>
      </x:c>
      <x:c r="K146" s="31" t="n">
        <x:v>0</x:v>
      </x:c>
      <x:c r="L146" s="31" t="n">
        <x:v>0.9659628444999999</x:v>
      </x:c>
      <x:c r="M146" s="31" t="n">
        <x:v>0</x:v>
      </x:c>
      <x:c r="N146" s="24" t="str">
        <x:v>leucoraja fullonica</x:v>
      </x:c>
      <x:c r="O146" s="32" t="n">
        <x:v>3.5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Leucoraja fullonica</x:v>
      </x:c>
      <x:c r="T146" s="32" t="n">
        <x:f>IF(O146="","",(1/'Metadata'!$B$5)^(O146-1))</x:f>
        <x:v>316.22776601683796</x:v>
      </x:c>
      <x:c r="U146" s="31" t="n">
        <x:f>IF(T146="","",I146*T146)</x:f>
        <x:v>305.4642723715052</x:v>
      </x:c>
    </x:row>
    <x:row r="147" ht="18" customHeight="1">
      <x:c r="A147" s="24" t="str">
        <x:v>EEZ_578</x:v>
      </x:c>
      <x:c r="B147" s="24" t="str">
        <x:v>Norway</x:v>
      </x:c>
      <x:c r="C147" s="24" t="str">
        <x:v>EEZ</x:v>
      </x:c>
      <x:c r="D147" s="30" t="n">
        <x:v>2019</x:v>
      </x:c>
      <x:c r="E147" s="24" t="str">
        <x:v>Magallana gigas</x:v>
      </x:c>
      <x:c r="F147" s="24" t="str">
        <x:v>Pacific cupped oyster</x:v>
      </x:c>
      <x:c r="G147" s="24" t="str">
        <x:v>Other demersal invertebrates</x:v>
      </x:c>
      <x:c r="H147" s="24" t="str">
        <x:v>Molluscs</x:v>
      </x:c>
      <x:c r="I147" s="31" t="n">
        <x:v>0.9461231231</x:v>
      </x:c>
      <x:c r="J147" s="31" t="n">
        <x:v>0.9461231231</x:v>
      </x:c>
      <x:c r="K147" s="31" t="n">
        <x:v>0</x:v>
      </x:c>
      <x:c r="L147" s="31" t="n">
        <x:v>0.9461231231</x:v>
      </x:c>
      <x:c r="M147" s="31" t="n">
        <x:v>0</x:v>
      </x:c>
      <x:c r="N147" s="24" t="str">
        <x:v>magallana gigas</x:v>
      </x:c>
      <x:c r="O147" s="32" t="n">
        <x:v>2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Magallana gigas</x:v>
      </x:c>
      <x:c r="T147" s="32" t="n">
        <x:f>IF(O147="","",(1/'Metadata'!$B$5)^(O147-1))</x:f>
        <x:v>10</x:v>
      </x:c>
      <x:c r="U147" s="31" t="n">
        <x:f>IF(T147="","",I147*T147)</x:f>
        <x:v>9.461231231</x:v>
      </x:c>
    </x:row>
    <x:row r="148" ht="18" customHeight="1">
      <x:c r="A148" s="24" t="str">
        <x:v>EEZ_578</x:v>
      </x:c>
      <x:c r="B148" s="24" t="str">
        <x:v>Norway</x:v>
      </x:c>
      <x:c r="C148" s="24" t="str">
        <x:v>EEZ</x:v>
      </x:c>
      <x:c r="D148" s="30" t="n">
        <x:v>2019</x:v>
      </x:c>
      <x:c r="E148" s="24" t="str">
        <x:v>Rajiformes</x:v>
      </x:c>
      <x:c r="F148" s="24" t="str">
        <x:v>Skates and rays</x:v>
      </x:c>
      <x:c r="G148" s="24" t="str">
        <x:v>Large rays (&gt;=90 cm)</x:v>
      </x:c>
      <x:c r="H148" s="24" t="str">
        <x:v>Sharks &amp; rays</x:v>
      </x:c>
      <x:c r="I148" s="31" t="n">
        <x:v>0.8704136565999999</x:v>
      </x:c>
      <x:c r="J148" s="31" t="n">
        <x:v>0.8704136565999999</x:v>
      </x:c>
      <x:c r="K148" s="31" t="n">
        <x:v>0</x:v>
      </x:c>
      <x:c r="L148" s="31" t="n">
        <x:v>0.8704136565999999</x:v>
      </x:c>
      <x:c r="M148" s="31" t="n">
        <x:v>0</x:v>
      </x:c>
      <x:c r="N148" s="24" t="str">
        <x:v>rajiformes</x:v>
      </x:c>
      <x:c r="O148" s="32" t="n">
        <x:v>3.61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Rajiformes</x:v>
      </x:c>
      <x:c r="T148" s="32" t="n">
        <x:f>IF(O148="","",(1/'Metadata'!$B$5)^(O148-1))</x:f>
        <x:v>407.3802778041126</x:v>
      </x:c>
      <x:c r="U148" s="31" t="n">
        <x:f>IF(T148="","",I148*T148)</x:f>
        <x:v>354.5893572302014</x:v>
      </x:c>
    </x:row>
    <x:row r="149" ht="18" customHeight="1">
      <x:c r="A149" s="24" t="str">
        <x:v>EEZ_578</x:v>
      </x:c>
      <x:c r="B149" s="24" t="str">
        <x:v>Norway</x:v>
      </x:c>
      <x:c r="C149" s="24" t="str">
        <x:v>EEZ</x:v>
      </x:c>
      <x:c r="D149" s="30" t="n">
        <x:v>2019</x:v>
      </x:c>
      <x:c r="E149" s="24" t="str">
        <x:v>Decapoda</x:v>
      </x:c>
      <x:c r="F149" s="24" t="str">
        <x:v>Crabs, lobsters, shrimps</x:v>
      </x:c>
      <x:c r="G149" s="24" t="str">
        <x:v>Lobsters, crabs</x:v>
      </x:c>
      <x:c r="H149" s="24" t="str">
        <x:v>Crustaceans</x:v>
      </x:c>
      <x:c r="I149" s="31" t="n">
        <x:v>0.8193444957</x:v>
      </x:c>
      <x:c r="J149" s="31" t="n">
        <x:v>0.8193444957</x:v>
      </x:c>
      <x:c r="K149" s="31" t="n">
        <x:v>0</x:v>
      </x:c>
      <x:c r="L149" s="31" t="n">
        <x:v>0.8193444957</x:v>
      </x:c>
      <x:c r="M149" s="31" t="n">
        <x:v>0</x:v>
      </x:c>
      <x:c r="N149" s="24" t="str">
        <x:v>decapoda</x:v>
      </x:c>
      <x:c r="O149" s="32" t="n">
        <x:v>3.43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Decapoda</x:v>
      </x:c>
      <x:c r="T149" s="32" t="n">
        <x:f>IF(O149="","",(1/'Metadata'!$B$5)^(O149-1))</x:f>
        <x:v>269.1534803926917</x:v>
      </x:c>
      <x:c r="U149" s="31" t="n">
        <x:f>IF(T149="","",I149*T149)</x:f>
        <x:v>220.5294226582498</x:v>
      </x:c>
    </x:row>
    <x:row r="150" ht="18" customHeight="1">
      <x:c r="A150" s="24" t="str">
        <x:v>EEZ_578</x:v>
      </x:c>
      <x:c r="B150" s="24" t="str">
        <x:v>Norway</x:v>
      </x:c>
      <x:c r="C150" s="24" t="str">
        <x:v>EEZ</x:v>
      </x:c>
      <x:c r="D150" s="30" t="n">
        <x:v>2019</x:v>
      </x:c>
      <x:c r="E150" s="24" t="str">
        <x:v>Polyprion americanus</x:v>
      </x:c>
      <x:c r="F150" s="24" t="str">
        <x:v>Wreckfish</x:v>
      </x:c>
      <x:c r="G150" s="24" t="str">
        <x:v>Large bathydemersals (&gt;=90 cm)</x:v>
      </x:c>
      <x:c r="H150" s="24" t="str">
        <x:v>Perch-likes</x:v>
      </x:c>
      <x:c r="I150" s="31" t="n">
        <x:v>0.8122402557</x:v>
      </x:c>
      <x:c r="J150" s="31" t="n">
        <x:v>0.8122402557</x:v>
      </x:c>
      <x:c r="K150" s="31" t="n">
        <x:v>0</x:v>
      </x:c>
      <x:c r="L150" s="31" t="n">
        <x:v>0.8122402557</x:v>
      </x:c>
      <x:c r="M150" s="31" t="n">
        <x:v>0</x:v>
      </x:c>
      <x:c r="N150" s="24" t="str">
        <x:v>polyprion americanus</x:v>
      </x:c>
      <x:c r="O150" s="32" t="n">
        <x:v>4.14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Polyprion americanus</x:v>
      </x:c>
      <x:c r="T150" s="32" t="n">
        <x:f>IF(O150="","",(1/'Metadata'!$B$5)^(O150-1))</x:f>
        <x:v>1380.3842646028838</x:v>
      </x:c>
      <x:c r="U150" s="31" t="n">
        <x:f>IF(T150="","",I150*T150)</x:f>
        <x:v>1121.203668045303</x:v>
      </x:c>
    </x:row>
    <x:row r="151" ht="18" customHeight="1">
      <x:c r="A151" s="24" t="str">
        <x:v>EEZ_578</x:v>
      </x:c>
      <x:c r="B151" s="24" t="str">
        <x:v>Norway</x:v>
      </x:c>
      <x:c r="C151" s="24" t="str">
        <x:v>EEZ</x:v>
      </x:c>
      <x:c r="D151" s="30" t="n">
        <x:v>2019</x:v>
      </x:c>
      <x:c r="E151" s="24" t="str">
        <x:v>Merluccius</x:v>
      </x:c>
      <x:c r="F151" s="24" t="str">
        <x:v>Hakes</x:v>
      </x:c>
      <x:c r="G151" s="24" t="str">
        <x:v>Medium bathydemersals (30 - 89 cm)</x:v>
      </x:c>
      <x:c r="H151" s="24" t="str">
        <x:v>Cod-likes</x:v>
      </x:c>
      <x:c r="I151" s="31" t="n">
        <x:v>0.7708411701000001</x:v>
      </x:c>
      <x:c r="J151" s="31" t="n">
        <x:v>0.7708411701000001</x:v>
      </x:c>
      <x:c r="K151" s="31" t="n">
        <x:v>0</x:v>
      </x:c>
      <x:c r="L151" s="31" t="n">
        <x:v>0.7708411701000001</x:v>
      </x:c>
      <x:c r="M151" s="31" t="n">
        <x:v>0</x:v>
      </x:c>
      <x:c r="N151" s="24" t="str">
        <x:v>merluccius</x:v>
      </x:c>
      <x:c r="O151" s="32" t="n">
        <x:v>4.27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Merluccius</x:v>
      </x:c>
      <x:c r="T151" s="32" t="n">
        <x:f>IF(O151="","",(1/'Metadata'!$B$5)^(O151-1))</x:f>
        <x:v>1862.0871366628655</x:v>
      </x:c>
      <x:c r="U151" s="31" t="n">
        <x:f>IF(T151="","",I151*T151)</x:f>
        <x:v>1435.373427253362</x:v>
      </x:c>
    </x:row>
    <x:row r="152" ht="18" customHeight="1">
      <x:c r="A152" s="24" t="str">
        <x:v>EEZ_578</x:v>
      </x:c>
      <x:c r="B152" s="24" t="str">
        <x:v>Norway</x:v>
      </x:c>
      <x:c r="C152" s="24" t="str">
        <x:v>EEZ</x:v>
      </x:c>
      <x:c r="D152" s="30" t="n">
        <x:v>2019</x:v>
      </x:c>
      <x:c r="E152" s="24" t="str">
        <x:v>Argyrosomus regius</x:v>
      </x:c>
      <x:c r="F152" s="24" t="str">
        <x:v>Meagre</x:v>
      </x:c>
      <x:c r="G152" s="24" t="str">
        <x:v>Large benthopelagics (&gt;=90 cm)</x:v>
      </x:c>
      <x:c r="H152" s="24" t="str">
        <x:v>Perch-likes</x:v>
      </x:c>
      <x:c r="I152" s="31" t="n">
        <x:v>0.7392629361</x:v>
      </x:c>
      <x:c r="J152" s="31" t="n">
        <x:v>0.7392629361</x:v>
      </x:c>
      <x:c r="K152" s="31" t="n">
        <x:v>0</x:v>
      </x:c>
      <x:c r="L152" s="31" t="n">
        <x:v>0.7392629361</x:v>
      </x:c>
      <x:c r="M152" s="31" t="n">
        <x:v>0</x:v>
      </x:c>
      <x:c r="N152" s="24" t="str">
        <x:v>argyrosomus regius</x:v>
      </x:c>
      <x:c r="O152" s="32" t="n">
        <x:v>4.29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Argyrosomus regius</x:v>
      </x:c>
      <x:c r="T152" s="32" t="n">
        <x:f>IF(O152="","",(1/'Metadata'!$B$5)^(O152-1))</x:f>
        <x:v>1949.8445997580454</x:v>
      </x:c>
      <x:c r="U152" s="31" t="n">
        <x:f>IF(T152="","",I152*T152)</x:f>
        <x:v>1441.447843755862</x:v>
      </x:c>
    </x:row>
    <x:row r="153" ht="18" customHeight="1">
      <x:c r="A153" s="24" t="str">
        <x:v>EEZ_578</x:v>
      </x:c>
      <x:c r="B153" s="24" t="str">
        <x:v>Norway</x:v>
      </x:c>
      <x:c r="C153" s="24" t="str">
        <x:v>EEZ</x:v>
      </x:c>
      <x:c r="D153" s="30" t="n">
        <x:v>2019</x:v>
      </x:c>
      <x:c r="E153" s="24" t="str">
        <x:v>Pandalus</x:v>
      </x:c>
      <x:c r="F153" s="24" t="str">
        <x:v>Seabed shrimps</x:v>
      </x:c>
      <x:c r="G153" s="24" t="str">
        <x:v>Shrimps</x:v>
      </x:c>
      <x:c r="H153" s="24" t="str">
        <x:v>Crustaceans</x:v>
      </x:c>
      <x:c r="I153" s="31" t="n">
        <x:v>0.6809368244999999</x:v>
      </x:c>
      <x:c r="J153" s="31" t="n">
        <x:v>0.4313361649</x:v>
      </x:c>
      <x:c r="K153" s="31" t="n">
        <x:v>0.2496006596</x:v>
      </x:c>
      <x:c r="L153" s="31" t="n">
        <x:v>0</x:v>
      </x:c>
      <x:c r="M153" s="31" t="n">
        <x:v>0.6809368244999999</x:v>
      </x:c>
      <x:c r="N153" s="24" t="str">
        <x:v>pandalus</x:v>
      </x:c>
      <x:c r="O153" s="32" t="n">
        <x:v>2.6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Pandalus</x:v>
      </x:c>
      <x:c r="T153" s="32" t="n">
        <x:f>IF(O153="","",(1/'Metadata'!$B$5)^(O153-1))</x:f>
        <x:v>39.810717055349734</x:v>
      </x:c>
      <x:c r="U153" s="31" t="n">
        <x:f>IF(T153="","",I153*T153)</x:f>
        <x:v>27.108583252737837</x:v>
      </x:c>
    </x:row>
    <x:row r="154" ht="18" customHeight="1">
      <x:c r="A154" s="24" t="str">
        <x:v>EEZ_578</x:v>
      </x:c>
      <x:c r="B154" s="24" t="str">
        <x:v>Norway</x:v>
      </x:c>
      <x:c r="C154" s="24" t="str">
        <x:v>EEZ</x:v>
      </x:c>
      <x:c r="D154" s="30" t="n">
        <x:v>2019</x:v>
      </x:c>
      <x:c r="E154" s="24" t="str">
        <x:v>Miscellaneous aquatic invertebrates</x:v>
      </x:c>
      <x:c r="F154" s="24" t="str">
        <x:v>Aquatic invertebrates</x:v>
      </x:c>
      <x:c r="G154" s="24" t="str">
        <x:v>Other demersal invertebrates</x:v>
      </x:c>
      <x:c r="H154" s="24" t="str">
        <x:v>Other fishes &amp; inverts</x:v>
      </x:c>
      <x:c r="I154" s="31" t="n">
        <x:v>0.6684577749</x:v>
      </x:c>
      <x:c r="J154" s="31" t="n">
        <x:v>0.6684577749</x:v>
      </x:c>
      <x:c r="K154" s="31" t="n">
        <x:v>0</x:v>
      </x:c>
      <x:c r="L154" s="31" t="n">
        <x:v>0.6684577749</x:v>
      </x:c>
      <x:c r="M154" s="31" t="n">
        <x:v>0</x:v>
      </x:c>
      <x:c r="N154" s="24" t="str">
        <x:v>miscellaneous aquatic invertebrates</x:v>
      </x:c>
      <x:c r="O154" s="32" t="n">
        <x:v>2.43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Miscellaneous aquatic invertebrates</x:v>
      </x:c>
      <x:c r="T154" s="32" t="n">
        <x:f>IF(O154="","",(1/'Metadata'!$B$5)^(O154-1))</x:f>
        <x:v>26.915348039269166</x:v>
      </x:c>
      <x:c r="U154" s="31" t="n">
        <x:f>IF(T154="","",I154*T154)</x:f>
        <x:v>17.991773660988944</x:v>
      </x:c>
    </x:row>
    <x:row r="155" ht="18" customHeight="1">
      <x:c r="A155" s="24" t="str">
        <x:v>EEZ_578</x:v>
      </x:c>
      <x:c r="B155" s="24" t="str">
        <x:v>Norway</x:v>
      </x:c>
      <x:c r="C155" s="24" t="str">
        <x:v>EEZ</x:v>
      </x:c>
      <x:c r="D155" s="30" t="n">
        <x:v>2019</x:v>
      </x:c>
      <x:c r="E155" s="24" t="str">
        <x:v>Trachinus</x:v>
      </x:c>
      <x:c r="F155" s="24" t="str">
        <x:v>Weevers</x:v>
      </x:c>
      <x:c r="G155" s="24" t="str">
        <x:v>Medium demersals (30 - 89 cm)</x:v>
      </x:c>
      <x:c r="H155" s="24" t="str">
        <x:v>Perch-likes</x:v>
      </x:c>
      <x:c r="I155" s="31" t="n">
        <x:v>0.6146345304999999</x:v>
      </x:c>
      <x:c r="J155" s="31" t="n">
        <x:v>0.6146345304999999</x:v>
      </x:c>
      <x:c r="K155" s="31" t="n">
        <x:v>0</x:v>
      </x:c>
      <x:c r="L155" s="31" t="n">
        <x:v>0.6146345304999999</x:v>
      </x:c>
      <x:c r="M155" s="31" t="n">
        <x:v>0</x:v>
      </x:c>
      <x:c r="N155" s="24" t="str">
        <x:v>trachinus</x:v>
      </x:c>
      <x:c r="O155" s="32" t="n">
        <x:v>3.95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Trachinus</x:v>
      </x:c>
      <x:c r="T155" s="32" t="n">
        <x:f>IF(O155="","",(1/'Metadata'!$B$5)^(O155-1))</x:f>
        <x:v>891.2509381337459</x:v>
      </x:c>
      <x:c r="U155" s="31" t="n">
        <x:f>IF(T155="","",I155*T155)</x:f>
        <x:v>547.7936019175194</x:v>
      </x:c>
    </x:row>
    <x:row r="156" ht="18" customHeight="1">
      <x:c r="A156" s="24" t="str">
        <x:v>EEZ_578</x:v>
      </x:c>
      <x:c r="B156" s="24" t="str">
        <x:v>Norway</x:v>
      </x:c>
      <x:c r="C156" s="24" t="str">
        <x:v>EEZ</x:v>
      </x:c>
      <x:c r="D156" s="30" t="n">
        <x:v>2019</x:v>
      </x:c>
      <x:c r="E156" s="24" t="str">
        <x:v>Trachinidae</x:v>
      </x:c>
      <x:c r="F156" s="24" t="str">
        <x:v>Weeverfishes</x:v>
      </x:c>
      <x:c r="G156" s="24" t="str">
        <x:v>Medium demersals (30 - 89 cm)</x:v>
      </x:c>
      <x:c r="H156" s="24" t="str">
        <x:v>Perch-likes</x:v>
      </x:c>
      <x:c r="I156" s="31" t="n">
        <x:v>0.5893405151000001</x:v>
      </x:c>
      <x:c r="J156" s="31" t="n">
        <x:v>0.5893405151000001</x:v>
      </x:c>
      <x:c r="K156" s="31" t="n">
        <x:v>0</x:v>
      </x:c>
      <x:c r="L156" s="31" t="n">
        <x:v>0.5893405151000001</x:v>
      </x:c>
      <x:c r="M156" s="31" t="n">
        <x:v>0</x:v>
      </x:c>
      <x:c r="N156" s="24" t="str">
        <x:v>trachinidae</x:v>
      </x:c>
      <x:c r="O156" s="32" t="n">
        <x:v>3.95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Trachinidae</x:v>
      </x:c>
      <x:c r="T156" s="32" t="n">
        <x:f>IF(O156="","",(1/'Metadata'!$B$5)^(O156-1))</x:f>
        <x:v>891.2509381337459</x:v>
      </x:c>
      <x:c r="U156" s="31" t="n">
        <x:f>IF(T156="","",I156*T156)</x:f>
        <x:v>525.2502869631</x:v>
      </x:c>
    </x:row>
    <x:row r="157" ht="18" customHeight="1">
      <x:c r="A157" s="24" t="str">
        <x:v>EEZ_578</x:v>
      </x:c>
      <x:c r="B157" s="24" t="str">
        <x:v>Norway</x:v>
      </x:c>
      <x:c r="C157" s="24" t="str">
        <x:v>EEZ</x:v>
      </x:c>
      <x:c r="D157" s="30" t="n">
        <x:v>2019</x:v>
      </x:c>
      <x:c r="E157" s="24" t="str">
        <x:v>Scyliorhinus stellaris</x:v>
      </x:c>
      <x:c r="F157" s="24" t="str">
        <x:v>Nursehound</x:v>
      </x:c>
      <x:c r="G157" s="24" t="str">
        <x:v>Large sharks (&gt;=90 cm)</x:v>
      </x:c>
      <x:c r="H157" s="24" t="str">
        <x:v>Sharks &amp; rays</x:v>
      </x:c>
      <x:c r="I157" s="31" t="n">
        <x:v>0.585365616</x:v>
      </x:c>
      <x:c r="J157" s="31" t="n">
        <x:v>0.585365616</x:v>
      </x:c>
      <x:c r="K157" s="31" t="n">
        <x:v>0</x:v>
      </x:c>
      <x:c r="L157" s="31" t="n">
        <x:v>0.585365616</x:v>
      </x:c>
      <x:c r="M157" s="31" t="n">
        <x:v>0</x:v>
      </x:c>
      <x:c r="N157" s="24" t="str">
        <x:v>scyliorhinus stellaris</x:v>
      </x:c>
      <x:c r="O157" s="32" t="n">
        <x:v>4.03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Scyliorhinus stellaris</x:v>
      </x:c>
      <x:c r="T157" s="32" t="n">
        <x:f>IF(O157="","",(1/'Metadata'!$B$5)^(O157-1))</x:f>
        <x:v>1071.519305237607</x:v>
      </x:c>
      <x:c r="U157" s="31" t="n">
        <x:f>IF(T157="","",I157*T157)</x:f>
        <x:v>627.2305581663039</x:v>
      </x:c>
    </x:row>
    <x:row r="158" ht="18" customHeight="1">
      <x:c r="A158" s="24" t="str">
        <x:v>EEZ_578</x:v>
      </x:c>
      <x:c r="B158" s="24" t="str">
        <x:v>Norway</x:v>
      </x:c>
      <x:c r="C158" s="24" t="str">
        <x:v>EEZ</x:v>
      </x:c>
      <x:c r="D158" s="30" t="n">
        <x:v>2019</x:v>
      </x:c>
      <x:c r="E158" s="24" t="str">
        <x:v>Lycodes</x:v>
      </x:c>
      <x:c r="F158" s="24" t="str">
        <x:v>Eelpouts</x:v>
      </x:c>
      <x:c r="G158" s="24" t="str">
        <x:v>Medium bathydemersals (30 - 89 cm)</x:v>
      </x:c>
      <x:c r="H158" s="24" t="str">
        <x:v>Perch-likes</x:v>
      </x:c>
      <x:c r="I158" s="31" t="n">
        <x:v>0.5635578921</x:v>
      </x:c>
      <x:c r="J158" s="31" t="n">
        <x:v>0</x:v>
      </x:c>
      <x:c r="K158" s="31" t="n">
        <x:v>0.5635578921</x:v>
      </x:c>
      <x:c r="L158" s="31" t="n">
        <x:v>0</x:v>
      </x:c>
      <x:c r="M158" s="31" t="n">
        <x:v>0.5635578921</x:v>
      </x:c>
      <x:c r="N158" s="24" t="str">
        <x:v>lycodes</x:v>
      </x:c>
      <x:c r="O158" s="32" t="n">
        <x:v>3.3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Lycodes</x:v>
      </x:c>
      <x:c r="T158" s="32" t="n">
        <x:f>IF(O158="","",(1/'Metadata'!$B$5)^(O158-1))</x:f>
        <x:v>199.52623149688787</x:v>
      </x:c>
      <x:c r="U158" s="31" t="n">
        <x:f>IF(T158="","",I158*T158)</x:f>
        <x:v>112.44458244104275</x:v>
      </x:c>
    </x:row>
    <x:row r="159" ht="18" customHeight="1">
      <x:c r="A159" s="24" t="str">
        <x:v>EEZ_578</x:v>
      </x:c>
      <x:c r="B159" s="24" t="str">
        <x:v>Norway</x:v>
      </x:c>
      <x:c r="C159" s="24" t="str">
        <x:v>EEZ</x:v>
      </x:c>
      <x:c r="D159" s="30" t="n">
        <x:v>2019</x:v>
      </x:c>
      <x:c r="E159" s="24" t="str">
        <x:v>Beryx</x:v>
      </x:c>
      <x:c r="F159" s="24" t="str">
        <x:v>Alfonsinos</x:v>
      </x:c>
      <x:c r="G159" s="24" t="str">
        <x:v>Medium benthopelagics (30 - 89 cm)</x:v>
      </x:c>
      <x:c r="H159" s="24" t="str">
        <x:v>Other fishes &amp; inverts</x:v>
      </x:c>
      <x:c r="I159" s="31" t="n">
        <x:v>0.46511657479999996</x:v>
      </x:c>
      <x:c r="J159" s="31" t="n">
        <x:v>0.46511657479999996</x:v>
      </x:c>
      <x:c r="K159" s="31" t="n">
        <x:v>0</x:v>
      </x:c>
      <x:c r="L159" s="31" t="n">
        <x:v>0.46511657479999996</x:v>
      </x:c>
      <x:c r="M159" s="31" t="n">
        <x:v>0</x:v>
      </x:c>
      <x:c r="N159" s="24" t="str">
        <x:v>beryx</x:v>
      </x:c>
      <x:c r="O159" s="32" t="n">
        <x:v>3.97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Beryx</x:v>
      </x:c>
      <x:c r="T159" s="32" t="n">
        <x:f>IF(O159="","",(1/'Metadata'!$B$5)^(O159-1))</x:f>
        <x:v>933.2543007969915</x:v>
      </x:c>
      <x:c r="U159" s="31" t="n">
        <x:f>IF(T159="","",I159*T159)</x:f>
        <x:v>434.0720438040656</x:v>
      </x:c>
    </x:row>
    <x:row r="160" ht="18" customHeight="1">
      <x:c r="A160" s="24" t="str">
        <x:v>EEZ_578</x:v>
      </x:c>
      <x:c r="B160" s="24" t="str">
        <x:v>Norway</x:v>
      </x:c>
      <x:c r="C160" s="24" t="str">
        <x:v>EEZ</x:v>
      </x:c>
      <x:c r="D160" s="30" t="n">
        <x:v>2019</x:v>
      </x:c>
      <x:c r="E160" s="24" t="str">
        <x:v>Beryx decadactylus</x:v>
      </x:c>
      <x:c r="F160" s="24" t="str">
        <x:v>Alfonsino</x:v>
      </x:c>
      <x:c r="G160" s="24" t="str">
        <x:v>Medium bathydemersals (30 - 89 cm)</x:v>
      </x:c>
      <x:c r="H160" s="24" t="str">
        <x:v>Other fishes &amp; inverts</x:v>
      </x:c>
      <x:c r="I160" s="31" t="n">
        <x:v>0.4648088924</x:v>
      </x:c>
      <x:c r="J160" s="31" t="n">
        <x:v>0.4648088924</x:v>
      </x:c>
      <x:c r="K160" s="31" t="n">
        <x:v>0</x:v>
      </x:c>
      <x:c r="L160" s="31" t="n">
        <x:v>0.4648088924</x:v>
      </x:c>
      <x:c r="M160" s="31" t="n">
        <x:v>0</x:v>
      </x:c>
      <x:c r="N160" s="24" t="str">
        <x:v>beryx decadactylus</x:v>
      </x:c>
      <x:c r="O160" s="32" t="n">
        <x:v>4.13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Beryx decadactylus</x:v>
      </x:c>
      <x:c r="T160" s="32" t="n">
        <x:f>IF(O160="","",(1/'Metadata'!$B$5)^(O160-1))</x:f>
        <x:v>1348.9628825916532</x:v>
      </x:c>
      <x:c r="U160" s="31" t="n">
        <x:f>IF(T160="","",I160*T160)</x:f>
        <x:v>627.0099433461376</x:v>
      </x:c>
    </x:row>
    <x:row r="161" ht="18" customHeight="1">
      <x:c r="A161" s="24" t="str">
        <x:v>EEZ_578</x:v>
      </x:c>
      <x:c r="B161" s="24" t="str">
        <x:v>Norway</x:v>
      </x:c>
      <x:c r="C161" s="24" t="str">
        <x:v>EEZ</x:v>
      </x:c>
      <x:c r="D161" s="30" t="n">
        <x:v>2019</x:v>
      </x:c>
      <x:c r="E161" s="24" t="str">
        <x:v>Crangon crangon</x:v>
      </x:c>
      <x:c r="F161" s="24" t="str">
        <x:v>Common shrimp</x:v>
      </x:c>
      <x:c r="G161" s="24" t="str">
        <x:v>Shrimps</x:v>
      </x:c>
      <x:c r="H161" s="24" t="str">
        <x:v>Crustaceans</x:v>
      </x:c>
      <x:c r="I161" s="31" t="n">
        <x:v>0.4403247069</x:v>
      </x:c>
      <x:c r="J161" s="31" t="n">
        <x:v>0.4403247069</x:v>
      </x:c>
      <x:c r="K161" s="31" t="n">
        <x:v>0</x:v>
      </x:c>
      <x:c r="L161" s="31" t="n">
        <x:v>0.4403247069</x:v>
      </x:c>
      <x:c r="M161" s="31" t="n">
        <x:v>0</x:v>
      </x:c>
      <x:c r="N161" s="24" t="str">
        <x:v>crangon crangon</x:v>
      </x:c>
      <x:c r="O161" s="32" t="n">
        <x:v>3.19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Crangon crangon</x:v>
      </x:c>
      <x:c r="T161" s="32" t="n">
        <x:f>IF(O161="","",(1/'Metadata'!$B$5)^(O161-1))</x:f>
        <x:v>154.88166189124811</x:v>
      </x:c>
      <x:c r="U161" s="31" t="n">
        <x:f>IF(T161="","",I161*T161)</x:f>
        <x:v>68.19822237644873</x:v>
      </x:c>
    </x:row>
    <x:row r="162" ht="18" customHeight="1">
      <x:c r="A162" s="24" t="str">
        <x:v>EEZ_578</x:v>
      </x:c>
      <x:c r="B162" s="24" t="str">
        <x:v>Norway</x:v>
      </x:c>
      <x:c r="C162" s="24" t="str">
        <x:v>EEZ</x:v>
      </x:c>
      <x:c r="D162" s="30" t="n">
        <x:v>2019</x:v>
      </x:c>
      <x:c r="E162" s="24" t="str">
        <x:v>Echinus esculentus</x:v>
      </x:c>
      <x:c r="F162" s="24" t="str">
        <x:v>European edible sea urchin</x:v>
      </x:c>
      <x:c r="G162" s="24" t="str">
        <x:v>Other demersal invertebrates</x:v>
      </x:c>
      <x:c r="H162" s="24" t="str">
        <x:v>Other fishes &amp; inverts</x:v>
      </x:c>
      <x:c r="I162" s="31" t="n">
        <x:v>0.4269628018</x:v>
      </x:c>
      <x:c r="J162" s="31" t="n">
        <x:v>0.4269628018</x:v>
      </x:c>
      <x:c r="K162" s="31" t="n">
        <x:v>0</x:v>
      </x:c>
      <x:c r="L162" s="31" t="n">
        <x:v>0.4269628018</x:v>
      </x:c>
      <x:c r="M162" s="31" t="n">
        <x:v>0</x:v>
      </x:c>
      <x:c r="N162" s="24" t="str">
        <x:v>echinus esculentus</x:v>
      </x:c>
      <x:c r="O162" s="32" t="n">
        <x:v>2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Echinus esculentus</x:v>
      </x:c>
      <x:c r="T162" s="32" t="n">
        <x:f>IF(O162="","",(1/'Metadata'!$B$5)^(O162-1))</x:f>
        <x:v>10</x:v>
      </x:c>
      <x:c r="U162" s="31" t="n">
        <x:f>IF(T162="","",I162*T162)</x:f>
        <x:v>4.269628018000001</x:v>
      </x:c>
    </x:row>
    <x:row r="163" ht="18" customHeight="1">
      <x:c r="A163" s="24" t="str">
        <x:v>EEZ_578</x:v>
      </x:c>
      <x:c r="B163" s="24" t="str">
        <x:v>Norway</x:v>
      </x:c>
      <x:c r="C163" s="24" t="str">
        <x:v>EEZ</x:v>
      </x:c>
      <x:c r="D163" s="30" t="n">
        <x:v>2019</x:v>
      </x:c>
      <x:c r="E163" s="24" t="str">
        <x:v>Sparidae</x:v>
      </x:c>
      <x:c r="F163" s="24" t="str">
        <x:v>Porgies, seabreams</x:v>
      </x:c>
      <x:c r="G163" s="24" t="str">
        <x:v>Medium benthopelagics (30 - 89 cm)</x:v>
      </x:c>
      <x:c r="H163" s="24" t="str">
        <x:v>Perch-likes</x:v>
      </x:c>
      <x:c r="I163" s="31" t="n">
        <x:v>0.42618719759999996</x:v>
      </x:c>
      <x:c r="J163" s="31" t="n">
        <x:v>0.42618719759999996</x:v>
      </x:c>
      <x:c r="K163" s="31" t="n">
        <x:v>0</x:v>
      </x:c>
      <x:c r="L163" s="31" t="n">
        <x:v>0.42618719759999996</x:v>
      </x:c>
      <x:c r="M163" s="31" t="n">
        <x:v>0</x:v>
      </x:c>
      <x:c r="N163" s="24" t="str">
        <x:v>sparidae</x:v>
      </x:c>
      <x:c r="O163" s="32" t="n">
        <x:v>3.31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Sparidae</x:v>
      </x:c>
      <x:c r="T163" s="32" t="n">
        <x:f>IF(O163="","",(1/'Metadata'!$B$5)^(O163-1))</x:f>
        <x:v>204.17379446695296</x:v>
      </x:c>
      <x:c r="U163" s="31" t="n">
        <x:f>IF(T163="","",I163*T163)</x:f>
        <x:v>87.01625728722905</x:v>
      </x:c>
    </x:row>
    <x:row r="164" ht="18" customHeight="1">
      <x:c r="A164" s="24" t="str">
        <x:v>EEZ_578</x:v>
      </x:c>
      <x:c r="B164" s="24" t="str">
        <x:v>Norway</x:v>
      </x:c>
      <x:c r="C164" s="24" t="str">
        <x:v>EEZ</x:v>
      </x:c>
      <x:c r="D164" s="30" t="n">
        <x:v>2019</x:v>
      </x:c>
      <x:c r="E164" s="24" t="str">
        <x:v>Sepiidae</x:v>
      </x:c>
      <x:c r="F164" s="24" t="str">
        <x:v>Cuttlefishes</x:v>
      </x:c>
      <x:c r="G164" s="24" t="str">
        <x:v>Cephalopods</x:v>
      </x:c>
      <x:c r="H164" s="24" t="str">
        <x:v>Other fishes &amp; inverts</x:v>
      </x:c>
      <x:c r="I164" s="31" t="n">
        <x:v>0.39</x:v>
      </x:c>
      <x:c r="J164" s="31" t="n">
        <x:v>0.39</x:v>
      </x:c>
      <x:c r="K164" s="31" t="n">
        <x:v>0</x:v>
      </x:c>
      <x:c r="L164" s="31" t="n">
        <x:v>0.39</x:v>
      </x:c>
      <x:c r="M164" s="31" t="n">
        <x:v>0</x:v>
      </x:c>
      <x:c r="N164" s="24" t="str">
        <x:v>sepiidae</x:v>
      </x:c>
      <x:c r="O164" s="32" t="n">
        <x:v>3.6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Sepiidae</x:v>
      </x:c>
      <x:c r="T164" s="32" t="n">
        <x:f>IF(O164="","",(1/'Metadata'!$B$5)^(O164-1))</x:f>
        <x:v>398.1071705534973</x:v>
      </x:c>
      <x:c r="U164" s="31" t="n">
        <x:f>IF(T164="","",I164*T164)</x:f>
        <x:v>155.26179651586395</x:v>
      </x:c>
    </x:row>
    <x:row r="165" ht="18" customHeight="1">
      <x:c r="A165" s="24" t="str">
        <x:v>EEZ_578</x:v>
      </x:c>
      <x:c r="B165" s="24" t="str">
        <x:v>Norway</x:v>
      </x:c>
      <x:c r="C165" s="24" t="str">
        <x:v>EEZ</x:v>
      </x:c>
      <x:c r="D165" s="30" t="n">
        <x:v>2019</x:v>
      </x:c>
      <x:c r="E165" s="24" t="str">
        <x:v>Scomber</x:v>
      </x:c>
      <x:c r="F165" s="24" t="str">
        <x:v>Chub mackerels</x:v>
      </x:c>
      <x:c r="G165" s="24" t="str">
        <x:v>Medium pelagics (30 - 89 cm)</x:v>
      </x:c>
      <x:c r="H165" s="24" t="str">
        <x:v>Perch-likes</x:v>
      </x:c>
      <x:c r="I165" s="31" t="n">
        <x:v>0.3874605171</x:v>
      </x:c>
      <x:c r="J165" s="31" t="n">
        <x:v>0.3874605171</x:v>
      </x:c>
      <x:c r="K165" s="31" t="n">
        <x:v>0</x:v>
      </x:c>
      <x:c r="L165" s="31" t="n">
        <x:v>0.3874605171</x:v>
      </x:c>
      <x:c r="M165" s="31" t="n">
        <x:v>0</x:v>
      </x:c>
      <x:c r="N165" s="24" t="str">
        <x:v>scomber</x:v>
      </x:c>
      <x:c r="O165" s="32" t="n">
        <x:v>3.65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Scomber</x:v>
      </x:c>
      <x:c r="T165" s="32" t="n">
        <x:f>IF(O165="","",(1/'Metadata'!$B$5)^(O165-1))</x:f>
        <x:v>446.683592150963</x:v>
      </x:c>
      <x:c r="U165" s="31" t="n">
        <x:f>IF(T165="","",I165*T165)</x:f>
        <x:v>173.07225559489763</x:v>
      </x:c>
    </x:row>
    <x:row r="166" ht="18" customHeight="1">
      <x:c r="A166" s="24" t="str">
        <x:v>EEZ_578</x:v>
      </x:c>
      <x:c r="B166" s="24" t="str">
        <x:v>Norway</x:v>
      </x:c>
      <x:c r="C166" s="24" t="str">
        <x:v>EEZ</x:v>
      </x:c>
      <x:c r="D166" s="30" t="n">
        <x:v>2019</x:v>
      </x:c>
      <x:c r="E166" s="24" t="str">
        <x:v>Scomberesocidae</x:v>
      </x:c>
      <x:c r="F166" s="24" t="str">
        <x:v>Sauries</x:v>
      </x:c>
      <x:c r="G166" s="24" t="str">
        <x:v>Medium pelagics (30 - 89 cm)</x:v>
      </x:c>
      <x:c r="H166" s="24" t="str">
        <x:v>Other fishes &amp; inverts</x:v>
      </x:c>
      <x:c r="I166" s="31" t="n">
        <x:v>0.34475287190000004</x:v>
      </x:c>
      <x:c r="J166" s="31" t="n">
        <x:v>0.34475287190000004</x:v>
      </x:c>
      <x:c r="K166" s="31" t="n">
        <x:v>0</x:v>
      </x:c>
      <x:c r="L166" s="31" t="n">
        <x:v>0.34475287190000004</x:v>
      </x:c>
      <x:c r="M166" s="31" t="n">
        <x:v>0</x:v>
      </x:c>
      <x:c r="N166" s="24" t="str">
        <x:v>scomberesocidae</x:v>
      </x:c>
      <x:c r="O166" s="32" t="n">
        <x:v>4.01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Scomberesocidae</x:v>
      </x:c>
      <x:c r="T166" s="32" t="n">
        <x:f>IF(O166="","",(1/'Metadata'!$B$5)^(O166-1))</x:f>
        <x:v>1023.2929922807537</x:v>
      </x:c>
      <x:c r="U166" s="31" t="n">
        <x:f>IF(T166="","",I166*T166)</x:f>
        <x:v>352.7831978839344</x:v>
      </x:c>
    </x:row>
    <x:row r="167" ht="18" customHeight="1">
      <x:c r="A167" s="24" t="str">
        <x:v>EEZ_578</x:v>
      </x:c>
      <x:c r="B167" s="24" t="str">
        <x:v>Norway</x:v>
      </x:c>
      <x:c r="C167" s="24" t="str">
        <x:v>EEZ</x:v>
      </x:c>
      <x:c r="D167" s="30" t="n">
        <x:v>2019</x:v>
      </x:c>
      <x:c r="E167" s="24" t="str">
        <x:v>Pandalus montagui</x:v>
      </x:c>
      <x:c r="F167" s="24" t="str">
        <x:v>Aesop shrimp</x:v>
      </x:c>
      <x:c r="G167" s="24" t="str">
        <x:v>Shrimps</x:v>
      </x:c>
      <x:c r="H167" s="24" t="str">
        <x:v>Crustaceans</x:v>
      </x:c>
      <x:c r="I167" s="31" t="n">
        <x:v>0.34142776560000004</x:v>
      </x:c>
      <x:c r="J167" s="31" t="n">
        <x:v>0.33503890690000004</x:v>
      </x:c>
      <x:c r="K167" s="31" t="n">
        <x:v>0.0063888587</x:v>
      </x:c>
      <x:c r="L167" s="31" t="n">
        <x:v>0.3208024606</x:v>
      </x:c>
      <x:c r="M167" s="31" t="n">
        <x:v>0.020625305</x:v>
      </x:c>
      <x:c r="N167" s="24" t="str">
        <x:v>pandalus montagui</x:v>
      </x:c>
      <x:c r="O167" s="32" t="n">
        <x:v>2.3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Pandalus montagui</x:v>
      </x:c>
      <x:c r="T167" s="32" t="n">
        <x:f>IF(O167="","",(1/'Metadata'!$B$5)^(O167-1))</x:f>
        <x:v>19.952623149688787</x:v>
      </x:c>
      <x:c r="U167" s="31" t="n">
        <x:f>IF(T167="","",I167*T167)</x:f>
        <x:v>6.812379539857077</x:v>
      </x:c>
    </x:row>
    <x:row r="168" ht="18" customHeight="1">
      <x:c r="A168" s="24" t="str">
        <x:v>EEZ_578</x:v>
      </x:c>
      <x:c r="B168" s="24" t="str">
        <x:v>Norway</x:v>
      </x:c>
      <x:c r="C168" s="24" t="str">
        <x:v>EEZ</x:v>
      </x:c>
      <x:c r="D168" s="30" t="n">
        <x:v>2019</x:v>
      </x:c>
      <x:c r="E168" s="24" t="str">
        <x:v>Mollusca</x:v>
      </x:c>
      <x:c r="F168" s="24" t="str">
        <x:v>Clams, seasnails, squids, octopuses</x:v>
      </x:c>
      <x:c r="G168" s="24" t="str">
        <x:v>Other demersal invertebrates</x:v>
      </x:c>
      <x:c r="H168" s="24" t="str">
        <x:v>Molluscs</x:v>
      </x:c>
      <x:c r="I168" s="31" t="n">
        <x:v>0.3152605017</x:v>
      </x:c>
      <x:c r="J168" s="31" t="n">
        <x:v>0.3152605017</x:v>
      </x:c>
      <x:c r="K168" s="31" t="n">
        <x:v>0</x:v>
      </x:c>
      <x:c r="L168" s="31" t="n">
        <x:v>0.3152605017</x:v>
      </x:c>
      <x:c r="M168" s="31" t="n">
        <x:v>0</x:v>
      </x:c>
      <x:c r="N168" s="24" t="str">
        <x:v>mollusca</x:v>
      </x:c>
      <x:c r="O168" s="32" t="n">
        <x:v>2.1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Mollusca</x:v>
      </x:c>
      <x:c r="T168" s="32" t="n">
        <x:f>IF(O168="","",(1/'Metadata'!$B$5)^(O168-1))</x:f>
        <x:v>12.589254117941675</x:v>
      </x:c>
      <x:c r="U168" s="31" t="n">
        <x:f>IF(T168="","",I168*T168)</x:f>
        <x:v>3.968894569251083</x:v>
      </x:c>
    </x:row>
    <x:row r="169" ht="18" customHeight="1">
      <x:c r="A169" s="24" t="str">
        <x:v>EEZ_578</x:v>
      </x:c>
      <x:c r="B169" s="24" t="str">
        <x:v>Norway</x:v>
      </x:c>
      <x:c r="C169" s="24" t="str">
        <x:v>EEZ</x:v>
      </x:c>
      <x:c r="D169" s="30" t="n">
        <x:v>2019</x:v>
      </x:c>
      <x:c r="E169" s="24" t="str">
        <x:v>Anarhichadidae</x:v>
      </x:c>
      <x:c r="F169" s="24" t="str">
        <x:v>Wolffishes, wolfeels</x:v>
      </x:c>
      <x:c r="G169" s="24" t="str">
        <x:v>Large demersals (&gt;=90 cm)</x:v>
      </x:c>
      <x:c r="H169" s="24" t="str">
        <x:v>Perch-likes</x:v>
      </x:c>
      <x:c r="I169" s="31" t="n">
        <x:v>0.2915867998</x:v>
      </x:c>
      <x:c r="J169" s="31" t="n">
        <x:v>0.2915867998</x:v>
      </x:c>
      <x:c r="K169" s="31" t="n">
        <x:v>0</x:v>
      </x:c>
      <x:c r="L169" s="31" t="n">
        <x:v>0.2915867998</x:v>
      </x:c>
      <x:c r="M169" s="31" t="n">
        <x:v>0</x:v>
      </x:c>
      <x:c r="N169" s="24" t="str">
        <x:v>anarhichadidae</x:v>
      </x:c>
      <x:c r="O169" s="32" t="n">
        <x:v>3.47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Anarhichadidae</x:v>
      </x:c>
      <x:c r="T169" s="32" t="n">
        <x:f>IF(O169="","",(1/'Metadata'!$B$5)^(O169-1))</x:f>
        <x:v>295.1209226666387</x:v>
      </x:c>
      <x:c r="U169" s="31" t="n">
        <x:f>IF(T169="","",I169*T169)</x:f>
        <x:v>86.05336539438846</x:v>
      </x:c>
    </x:row>
    <x:row r="170" ht="18" customHeight="1">
      <x:c r="A170" s="24" t="str">
        <x:v>EEZ_578</x:v>
      </x:c>
      <x:c r="B170" s="24" t="str">
        <x:v>Norway</x:v>
      </x:c>
      <x:c r="C170" s="24" t="str">
        <x:v>EEZ</x:v>
      </x:c>
      <x:c r="D170" s="30" t="n">
        <x:v>2019</x:v>
      </x:c>
      <x:c r="E170" s="24" t="str">
        <x:v>Engraulis encrasicolus</x:v>
      </x:c>
      <x:c r="F170" s="24" t="str">
        <x:v>European anchovy</x:v>
      </x:c>
      <x:c r="G170" s="24" t="str">
        <x:v>Small pelagics (&lt;30 cm)</x:v>
      </x:c>
      <x:c r="H170" s="24" t="str">
        <x:v>Anchovies</x:v>
      </x:c>
      <x:c r="I170" s="31" t="n">
        <x:v>0.2427879896</x:v>
      </x:c>
      <x:c r="J170" s="31" t="n">
        <x:v>0.2423370899</x:v>
      </x:c>
      <x:c r="K170" s="31" t="n">
        <x:v>0.0004508997</x:v>
      </x:c>
      <x:c r="L170" s="31" t="n">
        <x:v>0.2412867342</x:v>
      </x:c>
      <x:c r="M170" s="31" t="n">
        <x:v>0.0015012554</x:v>
      </x:c>
      <x:c r="N170" s="24" t="str">
        <x:v>engraulis encrasicolus</x:v>
      </x:c>
      <x:c r="O170" s="32" t="n">
        <x:v>3.11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Engraulis encrasicolus</x:v>
      </x:c>
      <x:c r="T170" s="32" t="n">
        <x:f>IF(O170="","",(1/'Metadata'!$B$5)^(O170-1))</x:f>
        <x:v>128.82495516931337</x:v>
      </x:c>
      <x:c r="U170" s="31" t="n">
        <x:f>IF(T170="","",I170*T170)</x:f>
        <x:v>31.27715187586772</x:v>
      </x:c>
    </x:row>
    <x:row r="171" ht="18" customHeight="1">
      <x:c r="A171" s="24" t="str">
        <x:v>EEZ_578</x:v>
      </x:c>
      <x:c r="B171" s="24" t="str">
        <x:v>Norway</x:v>
      </x:c>
      <x:c r="C171" s="24" t="str">
        <x:v>EEZ</x:v>
      </x:c>
      <x:c r="D171" s="30" t="n">
        <x:v>2019</x:v>
      </x:c>
      <x:c r="E171" s="24" t="str">
        <x:v>Ensis ensis</x:v>
      </x:c>
      <x:c r="F171" s="24" t="str">
        <x:v>Pod razor</x:v>
      </x:c>
      <x:c r="G171" s="24" t="str">
        <x:v>Other demersal invertebrates</x:v>
      </x:c>
      <x:c r="H171" s="24" t="str">
        <x:v>Molluscs</x:v>
      </x:c>
      <x:c r="I171" s="31" t="n">
        <x:v>0.236537998</x:v>
      </x:c>
      <x:c r="J171" s="31" t="n">
        <x:v>0.236537998</x:v>
      </x:c>
      <x:c r="K171" s="31" t="n">
        <x:v>0</x:v>
      </x:c>
      <x:c r="L171" s="31" t="n">
        <x:v>0.236537998</x:v>
      </x:c>
      <x:c r="M171" s="31" t="n">
        <x:v>0</x:v>
      </x:c>
      <x:c r="N171" s="24" t="str">
        <x:v>ensis ensis</x:v>
      </x:c>
      <x:c r="O171" s="32" t="n">
        <x:v>2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Ensis ensis</x:v>
      </x:c>
      <x:c r="T171" s="32" t="n">
        <x:f>IF(O171="","",(1/'Metadata'!$B$5)^(O171-1))</x:f>
        <x:v>10</x:v>
      </x:c>
      <x:c r="U171" s="31" t="n">
        <x:f>IF(T171="","",I171*T171)</x:f>
        <x:v>2.36537998</x:v>
      </x:c>
    </x:row>
    <x:row r="172" ht="18" customHeight="1">
      <x:c r="A172" s="24" t="str">
        <x:v>EEZ_578</x:v>
      </x:c>
      <x:c r="B172" s="24" t="str">
        <x:v>Norway</x:v>
      </x:c>
      <x:c r="C172" s="24" t="str">
        <x:v>EEZ</x:v>
      </x:c>
      <x:c r="D172" s="30" t="n">
        <x:v>2019</x:v>
      </x:c>
      <x:c r="E172" s="24" t="str">
        <x:v>Phycis</x:v>
      </x:c>
      <x:c r="F172" s="24" t="str">
        <x:v>Gunnels, forkbeards</x:v>
      </x:c>
      <x:c r="G172" s="24" t="str">
        <x:v>Medium benthopelagics (30 - 89 cm)</x:v>
      </x:c>
      <x:c r="H172" s="24" t="str">
        <x:v>Cod-likes</x:v>
      </x:c>
      <x:c r="I172" s="31" t="n">
        <x:v>0.2089541101</x:v>
      </x:c>
      <x:c r="J172" s="31" t="n">
        <x:v>0.2089541101</x:v>
      </x:c>
      <x:c r="K172" s="31" t="n">
        <x:v>0</x:v>
      </x:c>
      <x:c r="L172" s="31" t="n">
        <x:v>0.2089541101</x:v>
      </x:c>
      <x:c r="M172" s="31" t="n">
        <x:v>0</x:v>
      </x:c>
      <x:c r="N172" s="24" t="str">
        <x:v>phycis</x:v>
      </x:c>
      <x:c r="O172" s="32" t="n">
        <x:v>3.99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Phycis</x:v>
      </x:c>
      <x:c r="T172" s="32" t="n">
        <x:f>IF(O172="","",(1/'Metadata'!$B$5)^(O172-1))</x:f>
        <x:v>977.2372209558112</x:v>
      </x:c>
      <x:c r="U172" s="31" t="n">
        <x:f>IF(T172="","",I172*T172)</x:f>
        <x:v>204.19773386141858</x:v>
      </x:c>
    </x:row>
    <x:row r="173" ht="18" customHeight="1">
      <x:c r="A173" s="24" t="str">
        <x:v>EEZ_578</x:v>
      </x:c>
      <x:c r="B173" s="24" t="str">
        <x:v>Norway</x:v>
      </x:c>
      <x:c r="C173" s="24" t="str">
        <x:v>EEZ</x:v>
      </x:c>
      <x:c r="D173" s="30" t="n">
        <x:v>2019</x:v>
      </x:c>
      <x:c r="E173" s="24" t="str">
        <x:v>Modiolus</x:v>
      </x:c>
      <x:c r="F173" s="24" t="str">
        <x:v>Horse mussels</x:v>
      </x:c>
      <x:c r="G173" s="24" t="str">
        <x:v>Other demersal invertebrates</x:v>
      </x:c>
      <x:c r="H173" s="24" t="str">
        <x:v>Molluscs</x:v>
      </x:c>
      <x:c r="I173" s="31" t="n">
        <x:v>0.20878864830000002</x:v>
      </x:c>
      <x:c r="J173" s="31" t="n">
        <x:v>0.20878864830000002</x:v>
      </x:c>
      <x:c r="K173" s="31" t="n">
        <x:v>0</x:v>
      </x:c>
      <x:c r="L173" s="31" t="n">
        <x:v>0.20878864830000002</x:v>
      </x:c>
      <x:c r="M173" s="31" t="n">
        <x:v>0</x:v>
      </x:c>
      <x:c r="N173" s="24" t="str">
        <x:v>modiolus</x:v>
      </x:c>
      <x:c r="O173" s="32" t="n">
        <x:v>2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Modiolus</x:v>
      </x:c>
      <x:c r="T173" s="32" t="n">
        <x:f>IF(O173="","",(1/'Metadata'!$B$5)^(O173-1))</x:f>
        <x:v>10</x:v>
      </x:c>
      <x:c r="U173" s="31" t="n">
        <x:f>IF(T173="","",I173*T173)</x:f>
        <x:v>2.087886483</x:v>
      </x:c>
    </x:row>
    <x:row r="174" ht="18" customHeight="1">
      <x:c r="A174" s="24" t="str">
        <x:v>EEZ_578</x:v>
      </x:c>
      <x:c r="B174" s="24" t="str">
        <x:v>Norway</x:v>
      </x:c>
      <x:c r="C174" s="24" t="str">
        <x:v>EEZ</x:v>
      </x:c>
      <x:c r="D174" s="30" t="n">
        <x:v>2019</x:v>
      </x:c>
      <x:c r="E174" s="24" t="str">
        <x:v>Solea</x:v>
      </x:c>
      <x:c r="F174" s="24" t="str">
        <x:v>Soles</x:v>
      </x:c>
      <x:c r="G174" s="24" t="str">
        <x:v>Small to medium flatfishes (&lt;90 cm)</x:v>
      </x:c>
      <x:c r="H174" s="24" t="str">
        <x:v>Flatfishes</x:v>
      </x:c>
      <x:c r="I174" s="31" t="n">
        <x:v>0.19206304</x:v>
      </x:c>
      <x:c r="J174" s="31" t="n">
        <x:v>0.19206304</x:v>
      </x:c>
      <x:c r="K174" s="31" t="n">
        <x:v>0</x:v>
      </x:c>
      <x:c r="L174" s="31" t="n">
        <x:v>0.19206304</x:v>
      </x:c>
      <x:c r="M174" s="31" t="n">
        <x:v>0</x:v>
      </x:c>
      <x:c r="N174" s="24" t="str">
        <x:v>solea</x:v>
      </x:c>
      <x:c r="O174" s="32" t="n">
        <x:v>3.13</x:v>
      </x:c>
      <x:c r="P174" s="24" t="str">
        <x:v>exact_sea_around_us</x:v>
      </x:c>
      <x:c r="Q174" s="32" t="str">
        <x:v>Sea Around Us exploited organisms</x:v>
      </x:c>
      <x:c r="R174" s="24" t="str">
        <x:v>high</x:v>
      </x:c>
      <x:c r="S174" s="24" t="str">
        <x:v>Solea</x:v>
      </x:c>
      <x:c r="T174" s="32" t="n">
        <x:f>IF(O174="","",(1/'Metadata'!$B$5)^(O174-1))</x:f>
        <x:v>134.89628825916532</x:v>
      </x:c>
      <x:c r="U174" s="31" t="n">
        <x:f>IF(T174="","",I174*T174)</x:f>
        <x:v>25.908591207771597</x:v>
      </x:c>
    </x:row>
    <x:row r="175" ht="18" customHeight="1">
      <x:c r="A175" s="24" t="str">
        <x:v>EEZ_578</x:v>
      </x:c>
      <x:c r="B175" s="24" t="str">
        <x:v>Norway</x:v>
      </x:c>
      <x:c r="C175" s="24" t="str">
        <x:v>EEZ</x:v>
      </x:c>
      <x:c r="D175" s="30" t="n">
        <x:v>2019</x:v>
      </x:c>
      <x:c r="E175" s="24" t="str">
        <x:v>Diplodus</x:v>
      </x:c>
      <x:c r="F175" s="24" t="str">
        <x:v>Two-toothed seabreams</x:v>
      </x:c>
      <x:c r="G175" s="24" t="str">
        <x:v>Medium benthopelagics (30 - 89 cm)</x:v>
      </x:c>
      <x:c r="H175" s="24" t="str">
        <x:v>Perch-likes</x:v>
      </x:c>
      <x:c r="I175" s="31" t="n">
        <x:v>0.15342031409999998</x:v>
      </x:c>
      <x:c r="J175" s="31" t="n">
        <x:v>0.15342031409999998</x:v>
      </x:c>
      <x:c r="K175" s="31" t="n">
        <x:v>0</x:v>
      </x:c>
      <x:c r="L175" s="31" t="n">
        <x:v>0.15342031409999998</x:v>
      </x:c>
      <x:c r="M175" s="31" t="n">
        <x:v>0</x:v>
      </x:c>
      <x:c r="N175" s="24" t="str">
        <x:v>diplodus</x:v>
      </x:c>
      <x:c r="O175" s="32" t="n">
        <x:v>2.97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Diplodus</x:v>
      </x:c>
      <x:c r="T175" s="32" t="n">
        <x:f>IF(O175="","",(1/'Metadata'!$B$5)^(O175-1))</x:f>
        <x:v>93.32543007969915</x:v>
      </x:c>
      <x:c r="U175" s="31" t="n">
        <x:f>IF(T175="","",I175*T175)</x:f>
        <x:v>14.318016796345029</x:v>
      </x:c>
    </x:row>
    <x:row r="176" ht="18" customHeight="1">
      <x:c r="A176" s="24" t="str">
        <x:v>EEZ_578</x:v>
      </x:c>
      <x:c r="B176" s="24" t="str">
        <x:v>Norway</x:v>
      </x:c>
      <x:c r="C176" s="24" t="str">
        <x:v>EEZ</x:v>
      </x:c>
      <x:c r="D176" s="30" t="n">
        <x:v>2019</x:v>
      </x:c>
      <x:c r="E176" s="24" t="str">
        <x:v>Trisopterus luscus</x:v>
      </x:c>
      <x:c r="F176" s="24" t="str">
        <x:v>Pouting</x:v>
      </x:c>
      <x:c r="G176" s="24" t="str">
        <x:v>Medium benthopelagics (30 - 89 cm)</x:v>
      </x:c>
      <x:c r="H176" s="24" t="str">
        <x:v>Cod-likes</x:v>
      </x:c>
      <x:c r="I176" s="31" t="n">
        <x:v>0.14054463979999998</x:v>
      </x:c>
      <x:c r="J176" s="31" t="n">
        <x:v>0.0118852521</x:v>
      </x:c>
      <x:c r="K176" s="31" t="n">
        <x:v>0.1286593877</x:v>
      </x:c>
      <x:c r="L176" s="31" t="n">
        <x:v>0.0118852521</x:v>
      </x:c>
      <x:c r="M176" s="31" t="n">
        <x:v>0.1286593877</x:v>
      </x:c>
      <x:c r="N176" s="24" t="str">
        <x:v>trisopterus luscus</x:v>
      </x:c>
      <x:c r="O176" s="32" t="n">
        <x:v>3.73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Trisopterus luscus</x:v>
      </x:c>
      <x:c r="T176" s="32" t="n">
        <x:f>IF(O176="","",(1/'Metadata'!$B$5)^(O176-1))</x:f>
        <x:v>537.0317963702527</x:v>
      </x:c>
      <x:c r="U176" s="31" t="n">
        <x:f>IF(T176="","",I176*T176)</x:f>
        <x:v>75.4769403820041</x:v>
      </x:c>
    </x:row>
    <x:row r="177" ht="18" customHeight="1">
      <x:c r="A177" s="24" t="str">
        <x:v>EEZ_578</x:v>
      </x:c>
      <x:c r="B177" s="24" t="str">
        <x:v>Norway</x:v>
      </x:c>
      <x:c r="C177" s="24" t="str">
        <x:v>EEZ</x:v>
      </x:c>
      <x:c r="D177" s="30" t="n">
        <x:v>2019</x:v>
      </x:c>
      <x:c r="E177" s="24" t="str">
        <x:v>Gobiidae</x:v>
      </x:c>
      <x:c r="F177" s="24" t="str">
        <x:v>Gobies</x:v>
      </x:c>
      <x:c r="G177" s="24" t="str">
        <x:v>Small reef assoc. fish (&lt;30 cm)</x:v>
      </x:c>
      <x:c r="H177" s="24" t="str">
        <x:v>Perch-likes</x:v>
      </x:c>
      <x:c r="I177" s="31" t="n">
        <x:v>0.1247705651</x:v>
      </x:c>
      <x:c r="J177" s="31" t="n">
        <x:v>0</x:v>
      </x:c>
      <x:c r="K177" s="31" t="n">
        <x:v>0.1247705651</x:v>
      </x:c>
      <x:c r="L177" s="31" t="n">
        <x:v>0</x:v>
      </x:c>
      <x:c r="M177" s="31" t="n">
        <x:v>0.1247705651</x:v>
      </x:c>
      <x:c r="N177" s="24" t="str">
        <x:v>gobiidae</x:v>
      </x:c>
      <x:c r="O177" s="32" t="n">
        <x:v>3.11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Gobiidae</x:v>
      </x:c>
      <x:c r="T177" s="32" t="n">
        <x:f>IF(O177="","",(1/'Metadata'!$B$5)^(O177-1))</x:f>
        <x:v>128.82495516931337</x:v>
      </x:c>
      <x:c r="U177" s="31" t="n">
        <x:f>IF(T177="","",I177*T177)</x:f>
        <x:v>16.073562455457395</x:v>
      </x:c>
    </x:row>
    <x:row r="178" ht="18" customHeight="1">
      <x:c r="A178" s="24" t="str">
        <x:v>EEZ_578</x:v>
      </x:c>
      <x:c r="B178" s="24" t="str">
        <x:v>Norway</x:v>
      </x:c>
      <x:c r="C178" s="24" t="str">
        <x:v>EEZ</x:v>
      </x:c>
      <x:c r="D178" s="30" t="n">
        <x:v>2019</x:v>
      </x:c>
      <x:c r="E178" s="24" t="str">
        <x:v>Amblyraja radiata</x:v>
      </x:c>
      <x:c r="F178" s="24" t="str">
        <x:v>Starry ray</x:v>
      </x:c>
      <x:c r="G178" s="24" t="str">
        <x:v>Large rays (&gt;=90 cm)</x:v>
      </x:c>
      <x:c r="H178" s="24" t="str">
        <x:v>Sharks &amp; rays</x:v>
      </x:c>
      <x:c r="I178" s="31" t="n">
        <x:v>0.12454569830000001</x:v>
      </x:c>
      <x:c r="J178" s="31" t="n">
        <x:v>0.12454569830000001</x:v>
      </x:c>
      <x:c r="K178" s="31" t="n">
        <x:v>0</x:v>
      </x:c>
      <x:c r="L178" s="31" t="n">
        <x:v>0.12454569830000001</x:v>
      </x:c>
      <x:c r="M178" s="31" t="n">
        <x:v>0</x:v>
      </x:c>
      <x:c r="N178" s="24" t="str">
        <x:v>amblyraja radiata</x:v>
      </x:c>
      <x:c r="O178" s="32" t="n">
        <x:v>4.2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Amblyraja radiata</x:v>
      </x:c>
      <x:c r="T178" s="32" t="n">
        <x:f>IF(O178="","",(1/'Metadata'!$B$5)^(O178-1))</x:f>
        <x:v>1584.893192461114</x:v>
      </x:c>
      <x:c r="U178" s="31" t="n">
        <x:f>IF(T178="","",I178*T178)</x:f>
        <x:v>197.39162938598577</x:v>
      </x:c>
    </x:row>
    <x:row r="179" ht="18" customHeight="1">
      <x:c r="A179" s="24" t="str">
        <x:v>EEZ_578</x:v>
      </x:c>
      <x:c r="B179" s="24" t="str">
        <x:v>Norway</x:v>
      </x:c>
      <x:c r="C179" s="24" t="str">
        <x:v>EEZ</x:v>
      </x:c>
      <x:c r="D179" s="30" t="n">
        <x:v>2019</x:v>
      </x:c>
      <x:c r="E179" s="24" t="str">
        <x:v>Anomura</x:v>
      </x:c>
      <x:c r="F179" s="24" t="str">
        <x:v>Craylets, squat lobsters, hermits</x:v>
      </x:c>
      <x:c r="G179" s="24" t="str">
        <x:v>Lobsters, crabs</x:v>
      </x:c>
      <x:c r="H179" s="24" t="str">
        <x:v>Crustaceans</x:v>
      </x:c>
      <x:c r="I179" s="31" t="n">
        <x:v>0.1187199012</x:v>
      </x:c>
      <x:c r="J179" s="31" t="n">
        <x:v>0.1187199012</x:v>
      </x:c>
      <x:c r="K179" s="31" t="n">
        <x:v>0</x:v>
      </x:c>
      <x:c r="L179" s="31" t="n">
        <x:v>0.1187199012</x:v>
      </x:c>
      <x:c r="M179" s="31" t="n">
        <x:v>0</x:v>
      </x:c>
      <x:c r="N179" s="24" t="str">
        <x:v>anomura</x:v>
      </x:c>
      <x:c r="O179" s="32" t="n">
        <x:v>3.1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Anomura</x:v>
      </x:c>
      <x:c r="T179" s="32" t="n">
        <x:f>IF(O179="","",(1/'Metadata'!$B$5)^(O179-1))</x:f>
        <x:v>125.89254117941675</x:v>
      </x:c>
      <x:c r="U179" s="31" t="n">
        <x:f>IF(T179="","",I179*T179)</x:f>
        <x:v>14.94595005063729</x:v>
      </x:c>
    </x:row>
    <x:row r="180" ht="18" customHeight="1">
      <x:c r="A180" s="24" t="str">
        <x:v>EEZ_578</x:v>
      </x:c>
      <x:c r="B180" s="24" t="str">
        <x:v>Norway</x:v>
      </x:c>
      <x:c r="C180" s="24" t="str">
        <x:v>EEZ</x:v>
      </x:c>
      <x:c r="D180" s="30" t="n">
        <x:v>2019</x:v>
      </x:c>
      <x:c r="E180" s="24" t="str">
        <x:v>Beryx splendens</x:v>
      </x:c>
      <x:c r="F180" s="24" t="str">
        <x:v>Splendid alfonsino</x:v>
      </x:c>
      <x:c r="G180" s="24" t="str">
        <x:v>Medium benthopelagics (30 - 89 cm)</x:v>
      </x:c>
      <x:c r="H180" s="24" t="str">
        <x:v>Other fishes &amp; inverts</x:v>
      </x:c>
      <x:c r="I180" s="31" t="n">
        <x:v>0.1142700759</x:v>
      </x:c>
      <x:c r="J180" s="31" t="n">
        <x:v>0.1142700759</x:v>
      </x:c>
      <x:c r="K180" s="31" t="n">
        <x:v>0</x:v>
      </x:c>
      <x:c r="L180" s="31" t="n">
        <x:v>0.1142700759</x:v>
      </x:c>
      <x:c r="M180" s="31" t="n">
        <x:v>0</x:v>
      </x:c>
      <x:c r="N180" s="24" t="str">
        <x:v>beryx splendens</x:v>
      </x:c>
      <x:c r="O180" s="32" t="n">
        <x:v>4.27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Beryx splendens</x:v>
      </x:c>
      <x:c r="T180" s="32" t="n">
        <x:f>IF(O180="","",(1/'Metadata'!$B$5)^(O180-1))</x:f>
        <x:v>1862.0871366628655</x:v>
      </x:c>
      <x:c r="U180" s="31" t="n">
        <x:f>IF(T180="","",I180*T180)</x:f>
        <x:v>212.78083843887933</x:v>
      </x:c>
    </x:row>
    <x:row r="181" ht="18" customHeight="1">
      <x:c r="A181" s="24" t="str">
        <x:v>EEZ_578</x:v>
      </x:c>
      <x:c r="B181" s="24" t="str">
        <x:v>Norway</x:v>
      </x:c>
      <x:c r="C181" s="24" t="str">
        <x:v>EEZ</x:v>
      </x:c>
      <x:c r="D181" s="30" t="n">
        <x:v>2019</x:v>
      </x:c>
      <x:c r="E181" s="24" t="str">
        <x:v>Ensis siliqua</x:v>
      </x:c>
      <x:c r="F181" s="24" t="str">
        <x:v>Sword razor shell</x:v>
      </x:c>
      <x:c r="G181" s="24" t="str">
        <x:v>Other demersal invertebrates</x:v>
      </x:c>
      <x:c r="H181" s="24" t="str">
        <x:v>Molluscs</x:v>
      </x:c>
      <x:c r="I181" s="31" t="n">
        <x:v>0.1132853061</x:v>
      </x:c>
      <x:c r="J181" s="31" t="n">
        <x:v>0.1132853061</x:v>
      </x:c>
      <x:c r="K181" s="31" t="n">
        <x:v>0</x:v>
      </x:c>
      <x:c r="L181" s="31" t="n">
        <x:v>0.1132853061</x:v>
      </x:c>
      <x:c r="M181" s="31" t="n">
        <x:v>0</x:v>
      </x:c>
      <x:c r="N181" s="24" t="str">
        <x:v>ensis siliqua</x:v>
      </x:c>
      <x:c r="O181" s="32" t="n">
        <x:v>2</x:v>
      </x:c>
      <x:c r="P181" s="24" t="str">
        <x:v>exact_2020_supplement</x:v>
      </x:c>
      <x:c r="Q181" s="32" t="str">
        <x:v>2020 supplement MeanTL</x:v>
      </x:c>
      <x:c r="R181" s="24" t="str">
        <x:v>high</x:v>
      </x:c>
      <x:c r="S181" s="24" t="str">
        <x:v>Ensis siliqua</x:v>
      </x:c>
      <x:c r="T181" s="32" t="n">
        <x:f>IF(O181="","",(1/'Metadata'!$B$5)^(O181-1))</x:f>
        <x:v>10</x:v>
      </x:c>
      <x:c r="U181" s="31" t="n">
        <x:f>IF(T181="","",I181*T181)</x:f>
        <x:v>1.132853061</x:v>
      </x:c>
    </x:row>
    <x:row r="182" ht="18" customHeight="1">
      <x:c r="A182" s="24" t="str">
        <x:v>EEZ_578</x:v>
      </x:c>
      <x:c r="B182" s="24" t="str">
        <x:v>Norway</x:v>
      </x:c>
      <x:c r="C182" s="24" t="str">
        <x:v>EEZ</x:v>
      </x:c>
      <x:c r="D182" s="30" t="n">
        <x:v>2019</x:v>
      </x:c>
      <x:c r="E182" s="24" t="str">
        <x:v>Salmo trutta</x:v>
      </x:c>
      <x:c r="F182" s="24" t="str">
        <x:v>Sea trout</x:v>
      </x:c>
      <x:c r="G182" s="24" t="str">
        <x:v>Large pelagics (&gt;=90 cm)</x:v>
      </x:c>
      <x:c r="H182" s="24" t="str">
        <x:v>Salmon, smelts, etc</x:v>
      </x:c>
      <x:c r="I182" s="31" t="n">
        <x:v>0.1101673171</x:v>
      </x:c>
      <x:c r="J182" s="31" t="n">
        <x:v>0.1097550348</x:v>
      </x:c>
      <x:c r="K182" s="31" t="n">
        <x:v>0.0004122823</x:v>
      </x:c>
      <x:c r="L182" s="31" t="n">
        <x:v>0.0131377355</x:v>
      </x:c>
      <x:c r="M182" s="31" t="n">
        <x:v>0.0970295816</x:v>
      </x:c>
      <x:c r="N182" s="24" t="str">
        <x:v>salmo trutta</x:v>
      </x:c>
      <x:c r="O182" s="32" t="n">
        <x:v>3.36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Salmo trutta</x:v>
      </x:c>
      <x:c r="T182" s="32" t="n">
        <x:f>IF(O182="","",(1/'Metadata'!$B$5)^(O182-1))</x:f>
        <x:v>229.08676527677724</x:v>
      </x:c>
      <x:c r="U182" s="31" t="n">
        <x:f>IF(T182="","",I182*T182)</x:f>
        <x:v>25.237874313659987</x:v>
      </x:c>
    </x:row>
    <x:row r="183" ht="18" customHeight="1">
      <x:c r="A183" s="24" t="str">
        <x:v>EEZ_578</x:v>
      </x:c>
      <x:c r="B183" s="24" t="str">
        <x:v>Norway</x:v>
      </x:c>
      <x:c r="C183" s="24" t="str">
        <x:v>EEZ</x:v>
      </x:c>
      <x:c r="D183" s="30" t="n">
        <x:v>2019</x:v>
      </x:c>
      <x:c r="E183" s="24" t="str">
        <x:v>Eledone</x:v>
      </x:c>
      <x:c r="F183" s="24" t="str">
        <x:v>Horned, musky octopuses</x:v>
      </x:c>
      <x:c r="G183" s="24" t="str">
        <x:v>Cephalopods</x:v>
      </x:c>
      <x:c r="H183" s="24" t="str">
        <x:v>Other fishes &amp; inverts</x:v>
      </x:c>
      <x:c r="I183" s="31" t="n">
        <x:v>0.10711919680000001</x:v>
      </x:c>
      <x:c r="J183" s="31" t="n">
        <x:v>0.10711919680000001</x:v>
      </x:c>
      <x:c r="K183" s="31" t="n">
        <x:v>0</x:v>
      </x:c>
      <x:c r="L183" s="31" t="n">
        <x:v>0.10711919680000001</x:v>
      </x:c>
      <x:c r="M183" s="31" t="n">
        <x:v>0</x:v>
      </x:c>
      <x:c r="N183" s="24" t="str">
        <x:v>eledone</x:v>
      </x:c>
      <x:c r="O183" s="32" t="n">
        <x:v>3.67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Eledone</x:v>
      </x:c>
      <x:c r="T183" s="32" t="n">
        <x:f>IF(O183="","",(1/'Metadata'!$B$5)^(O183-1))</x:f>
        <x:v>467.73514128719813</x:v>
      </x:c>
      <x:c r="U183" s="31" t="n">
        <x:f>IF(T183="","",I183*T183)</x:f>
        <x:v>50.103412649819184</x:v>
      </x:c>
    </x:row>
    <x:row r="184" ht="18" customHeight="1">
      <x:c r="A184" s="24" t="str">
        <x:v>EEZ_578</x:v>
      </x:c>
      <x:c r="B184" s="24" t="str">
        <x:v>Norway</x:v>
      </x:c>
      <x:c r="C184" s="24" t="str">
        <x:v>EEZ</x:v>
      </x:c>
      <x:c r="D184" s="30" t="n">
        <x:v>2019</x:v>
      </x:c>
      <x:c r="E184" s="24" t="str">
        <x:v>Illex</x:v>
      </x:c>
      <x:c r="F184" s="24" t="str">
        <x:v>Shortfin squid</x:v>
      </x:c>
      <x:c r="G184" s="24" t="str">
        <x:v>Cephalopods</x:v>
      </x:c>
      <x:c r="H184" s="24" t="str">
        <x:v>Other fishes &amp; inverts</x:v>
      </x:c>
      <x:c r="I184" s="31" t="n">
        <x:v>0.1040767143</x:v>
      </x:c>
      <x:c r="J184" s="31" t="n">
        <x:v>0.1040767143</x:v>
      </x:c>
      <x:c r="K184" s="31" t="n">
        <x:v>0</x:v>
      </x:c>
      <x:c r="L184" s="31" t="n">
        <x:v>0.1040767143</x:v>
      </x:c>
      <x:c r="M184" s="31" t="n">
        <x:v>0</x:v>
      </x:c>
      <x:c r="N184" s="24" t="str">
        <x:v>illex</x:v>
      </x:c>
      <x:c r="O184" s="32" t="n">
        <x:v>3.98</x:v>
      </x:c>
      <x:c r="P184" s="24" t="str">
        <x:v>exact_sea_around_us</x:v>
      </x:c>
      <x:c r="Q184" s="32" t="str">
        <x:v>Sea Around Us exploited organisms</x:v>
      </x:c>
      <x:c r="R184" s="24" t="str">
        <x:v>high</x:v>
      </x:c>
      <x:c r="S184" s="24" t="str">
        <x:v>Illex</x:v>
      </x:c>
      <x:c r="T184" s="32" t="n">
        <x:f>IF(O184="","",(1/'Metadata'!$B$5)^(O184-1))</x:f>
        <x:v>954.992586021436</x:v>
      </x:c>
      <x:c r="U184" s="31" t="n">
        <x:f>IF(T184="","",I184*T184)</x:f>
        <x:v>99.39249053397116</x:v>
      </x:c>
    </x:row>
    <x:row r="185" ht="18" customHeight="1">
      <x:c r="A185" s="24" t="str">
        <x:v>EEZ_578</x:v>
      </x:c>
      <x:c r="B185" s="24" t="str">
        <x:v>Norway</x:v>
      </x:c>
      <x:c r="C185" s="24" t="str">
        <x:v>EEZ</x:v>
      </x:c>
      <x:c r="D185" s="30" t="n">
        <x:v>2019</x:v>
      </x:c>
      <x:c r="E185" s="24" t="str">
        <x:v>Gaidropsarus</x:v>
      </x:c>
      <x:c r="F185" s="24" t="str">
        <x:v>Rocklings</x:v>
      </x:c>
      <x:c r="G185" s="24" t="str">
        <x:v>Medium benthopelagics (30 - 89 cm)</x:v>
      </x:c>
      <x:c r="H185" s="24" t="str">
        <x:v>Cod-likes</x:v>
      </x:c>
      <x:c r="I185" s="31" t="n">
        <x:v>0.0929403537</x:v>
      </x:c>
      <x:c r="J185" s="31" t="n">
        <x:v>0.0929403537</x:v>
      </x:c>
      <x:c r="K185" s="31" t="n">
        <x:v>0</x:v>
      </x:c>
      <x:c r="L185" s="31" t="n">
        <x:v>0.0929403537</x:v>
      </x:c>
      <x:c r="M185" s="31" t="n">
        <x:v>0</x:v>
      </x:c>
      <x:c r="N185" s="24" t="str">
        <x:v>gaidropsarus</x:v>
      </x:c>
      <x:c r="O185" s="32" t="n">
        <x:v>3.4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Gaidropsarus</x:v>
      </x:c>
      <x:c r="T185" s="32" t="n">
        <x:f>IF(O185="","",(1/'Metadata'!$B$5)^(O185-1))</x:f>
        <x:v>251.18864315095797</x:v>
      </x:c>
      <x:c r="U185" s="31" t="n">
        <x:f>IF(T185="","",I185*T185)</x:f>
        <x:v>23.345561339873118</x:v>
      </x:c>
    </x:row>
    <x:row r="186" ht="18" customHeight="1">
      <x:c r="A186" s="24" t="str">
        <x:v>EEZ_578</x:v>
      </x:c>
      <x:c r="B186" s="24" t="str">
        <x:v>Norway</x:v>
      </x:c>
      <x:c r="C186" s="24" t="str">
        <x:v>EEZ</x:v>
      </x:c>
      <x:c r="D186" s="30" t="n">
        <x:v>2019</x:v>
      </x:c>
      <x:c r="E186" s="24" t="str">
        <x:v>Donax</x:v>
      </x:c>
      <x:c r="F186" s="24" t="str">
        <x:v>Bean clams</x:v>
      </x:c>
      <x:c r="G186" s="24" t="str">
        <x:v>Other demersal invertebrates</x:v>
      </x:c>
      <x:c r="H186" s="24" t="str">
        <x:v>Molluscs</x:v>
      </x:c>
      <x:c r="I186" s="31" t="n">
        <x:v>0.085044466</x:v>
      </x:c>
      <x:c r="J186" s="31" t="n">
        <x:v>0.085044466</x:v>
      </x:c>
      <x:c r="K186" s="31" t="n">
        <x:v>0</x:v>
      </x:c>
      <x:c r="L186" s="31" t="n">
        <x:v>0.085044466</x:v>
      </x:c>
      <x:c r="M186" s="31" t="n">
        <x:v>0</x:v>
      </x:c>
      <x:c r="N186" s="24" t="str">
        <x:v>donax</x:v>
      </x:c>
      <x:c r="O186" s="32" t="n">
        <x:v>2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Donax</x:v>
      </x:c>
      <x:c r="T186" s="32" t="n">
        <x:f>IF(O186="","",(1/'Metadata'!$B$5)^(O186-1))</x:f>
        <x:v>10</x:v>
      </x:c>
      <x:c r="U186" s="31" t="n">
        <x:f>IF(T186="","",I186*T186)</x:f>
        <x:v>0.85044466</x:v>
      </x:c>
    </x:row>
    <x:row r="187" ht="18" customHeight="1">
      <x:c r="A187" s="24" t="str">
        <x:v>EEZ_578</x:v>
      </x:c>
      <x:c r="B187" s="24" t="str">
        <x:v>Norway</x:v>
      </x:c>
      <x:c r="C187" s="24" t="str">
        <x:v>EEZ</x:v>
      </x:c>
      <x:c r="D187" s="30" t="n">
        <x:v>2019</x:v>
      </x:c>
      <x:c r="E187" s="24" t="str">
        <x:v>Helicolenus dactylopterus</x:v>
      </x:c>
      <x:c r="F187" s="24" t="str">
        <x:v>Blackbelly rosefish</x:v>
      </x:c>
      <x:c r="G187" s="24" t="str">
        <x:v>Medium bathydemersals (30 - 89 cm)</x:v>
      </x:c>
      <x:c r="H187" s="24" t="str">
        <x:v>Scorpionfishes</x:v>
      </x:c>
      <x:c r="I187" s="31" t="n">
        <x:v>0.0787430294</x:v>
      </x:c>
      <x:c r="J187" s="31" t="n">
        <x:v>0.0787430294</x:v>
      </x:c>
      <x:c r="K187" s="31" t="n">
        <x:v>0</x:v>
      </x:c>
      <x:c r="L187" s="31" t="n">
        <x:v>0.0787430294</x:v>
      </x:c>
      <x:c r="M187" s="31" t="n">
        <x:v>0</x:v>
      </x:c>
      <x:c r="N187" s="24" t="str">
        <x:v>helicolenus dactylopterus</x:v>
      </x:c>
      <x:c r="O187" s="32" t="n">
        <x:v>3.54</x:v>
      </x:c>
      <x:c r="P187" s="24" t="str">
        <x:v>exact_2020_supplement</x:v>
      </x:c>
      <x:c r="Q187" s="32" t="str">
        <x:v>2020 supplement MeanTL</x:v>
      </x:c>
      <x:c r="R187" s="24" t="str">
        <x:v>high</x:v>
      </x:c>
      <x:c r="S187" s="24" t="str">
        <x:v>Helicolenus dactylopterus</x:v>
      </x:c>
      <x:c r="T187" s="32" t="n">
        <x:f>IF(O187="","",(1/'Metadata'!$B$5)^(O187-1))</x:f>
        <x:v>346.73685045253166</x:v>
      </x:c>
      <x:c r="U187" s="31" t="n">
        <x:f>IF(T187="","",I187*T187)</x:f>
        <x:v>27.303110009247103</x:v>
      </x:c>
    </x:row>
    <x:row r="188" ht="18" customHeight="1">
      <x:c r="A188" s="24" t="str">
        <x:v>EEZ_578</x:v>
      </x:c>
      <x:c r="B188" s="24" t="str">
        <x:v>Norway</x:v>
      </x:c>
      <x:c r="C188" s="24" t="str">
        <x:v>EEZ</x:v>
      </x:c>
      <x:c r="D188" s="30" t="n">
        <x:v>2019</x:v>
      </x:c>
      <x:c r="E188" s="24" t="str">
        <x:v>Amblyraja hyperborea</x:v>
      </x:c>
      <x:c r="F188" s="24" t="str">
        <x:v>Arctic skate</x:v>
      </x:c>
      <x:c r="G188" s="24" t="str">
        <x:v>Small to medium rays (&lt;90 cm)</x:v>
      </x:c>
      <x:c r="H188" s="24" t="str">
        <x:v>Sharks &amp; rays</x:v>
      </x:c>
      <x:c r="I188" s="31" t="n">
        <x:v>0.07733900540000001</x:v>
      </x:c>
      <x:c r="J188" s="31" t="n">
        <x:v>0.07733900540000001</x:v>
      </x:c>
      <x:c r="K188" s="31" t="n">
        <x:v>0</x:v>
      </x:c>
      <x:c r="L188" s="31" t="n">
        <x:v>0.07733900540000001</x:v>
      </x:c>
      <x:c r="M188" s="31" t="n">
        <x:v>0</x:v>
      </x:c>
      <x:c r="N188" s="24" t="str">
        <x:v>amblyraja hyperborea</x:v>
      </x:c>
      <x:c r="O188" s="32" t="n">
        <x:v>4.31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Amblyraja hyperborea</x:v>
      </x:c>
      <x:c r="T188" s="32" t="n">
        <x:f>IF(O188="","",(1/'Metadata'!$B$5)^(O188-1))</x:f>
        <x:v>2041.7379446695275</x:v>
      </x:c>
      <x:c r="U188" s="31" t="n">
        <x:f>IF(T188="","",I188*T188)</x:f>
        <x:v>157.9059819281815</x:v>
      </x:c>
    </x:row>
    <x:row r="189" ht="18" customHeight="1">
      <x:c r="A189" s="24" t="str">
        <x:v>EEZ_578</x:v>
      </x:c>
      <x:c r="B189" s="24" t="str">
        <x:v>Norway</x:v>
      </x:c>
      <x:c r="C189" s="24" t="str">
        <x:v>EEZ</x:v>
      </x:c>
      <x:c r="D189" s="30" t="n">
        <x:v>2019</x:v>
      </x:c>
      <x:c r="E189" s="24" t="str">
        <x:v>Portunidae</x:v>
      </x:c>
      <x:c r="F189" s="24" t="str">
        <x:v>Swimming crabs</x:v>
      </x:c>
      <x:c r="G189" s="24" t="str">
        <x:v>Lobsters, crabs</x:v>
      </x:c>
      <x:c r="H189" s="24" t="str">
        <x:v>Crustaceans</x:v>
      </x:c>
      <x:c r="I189" s="31" t="n">
        <x:v>0.0702094202</x:v>
      </x:c>
      <x:c r="J189" s="31" t="n">
        <x:v>0.0702094202</x:v>
      </x:c>
      <x:c r="K189" s="31" t="n">
        <x:v>0</x:v>
      </x:c>
      <x:c r="L189" s="31" t="n">
        <x:v>0.0702094202</x:v>
      </x:c>
      <x:c r="M189" s="31" t="n">
        <x:v>0</x:v>
      </x:c>
      <x:c r="N189" s="24" t="str">
        <x:v>portunidae</x:v>
      </x:c>
      <x:c r="O189" s="32" t="n">
        <x:v>3.56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Portunidae</x:v>
      </x:c>
      <x:c r="T189" s="32" t="n">
        <x:f>IF(O189="","",(1/'Metadata'!$B$5)^(O189-1))</x:f>
        <x:v>363.0780547701014</x:v>
      </x:c>
      <x:c r="U189" s="31" t="n">
        <x:f>IF(T189="","",I189*T189)</x:f>
        <x:v>25.491499712752663</x:v>
      </x:c>
    </x:row>
    <x:row r="190" ht="18" customHeight="1">
      <x:c r="A190" s="24" t="str">
        <x:v>EEZ_578</x:v>
      </x:c>
      <x:c r="B190" s="24" t="str">
        <x:v>Norway</x:v>
      </x:c>
      <x:c r="C190" s="24" t="str">
        <x:v>EEZ</x:v>
      </x:c>
      <x:c r="D190" s="30" t="n">
        <x:v>2019</x:v>
      </x:c>
      <x:c r="E190" s="24" t="str">
        <x:v>Pagellus</x:v>
      </x:c>
      <x:c r="F190" s="24" t="str">
        <x:v>Pandoras</x:v>
      </x:c>
      <x:c r="G190" s="24" t="str">
        <x:v>Medium benthopelagics (30 - 89 cm)</x:v>
      </x:c>
      <x:c r="H190" s="24" t="str">
        <x:v>Perch-likes</x:v>
      </x:c>
      <x:c r="I190" s="31" t="n">
        <x:v>0.0643065051</x:v>
      </x:c>
      <x:c r="J190" s="31" t="n">
        <x:v>0.0643065051</x:v>
      </x:c>
      <x:c r="K190" s="31" t="n">
        <x:v>0</x:v>
      </x:c>
      <x:c r="L190" s="31" t="n">
        <x:v>0.0643065051</x:v>
      </x:c>
      <x:c r="M190" s="31" t="n">
        <x:v>0</x:v>
      </x:c>
      <x:c r="N190" s="24" t="str">
        <x:v>pagellus</x:v>
      </x:c>
      <x:c r="O190" s="32" t="n">
        <x:v>3.44</x:v>
      </x:c>
      <x:c r="P190" s="24" t="str">
        <x:v>exact_sea_around_us</x:v>
      </x:c>
      <x:c r="Q190" s="32" t="str">
        <x:v>Sea Around Us exploited organisms</x:v>
      </x:c>
      <x:c r="R190" s="24" t="str">
        <x:v>high</x:v>
      </x:c>
      <x:c r="S190" s="24" t="str">
        <x:v>Pagellus</x:v>
      </x:c>
      <x:c r="T190" s="32" t="n">
        <x:f>IF(O190="","",(1/'Metadata'!$B$5)^(O190-1))</x:f>
        <x:v>275.4228703338166</x:v>
      </x:c>
      <x:c r="U190" s="31" t="n">
        <x:f>IF(T190="","",I190*T190)</x:f>
        <x:v>17.711482215778215</x:v>
      </x:c>
    </x:row>
    <x:row r="191" ht="18" customHeight="1">
      <x:c r="A191" s="24" t="str">
        <x:v>EEZ_578</x:v>
      </x:c>
      <x:c r="B191" s="24" t="str">
        <x:v>Norway</x:v>
      </x:c>
      <x:c r="C191" s="24" t="str">
        <x:v>EEZ</x:v>
      </x:c>
      <x:c r="D191" s="30" t="n">
        <x:v>2019</x:v>
      </x:c>
      <x:c r="E191" s="24" t="str">
        <x:v>Mugil</x:v>
      </x:c>
      <x:c r="F191" s="24" t="str">
        <x:v>Grey mullets</x:v>
      </x:c>
      <x:c r="G191" s="24" t="str">
        <x:v>Medium demersals (30 - 89 cm)</x:v>
      </x:c>
      <x:c r="H191" s="24" t="str">
        <x:v>Perch-likes</x:v>
      </x:c>
      <x:c r="I191" s="31" t="n">
        <x:v>0.0637627011</x:v>
      </x:c>
      <x:c r="J191" s="31" t="n">
        <x:v>0.0637627011</x:v>
      </x:c>
      <x:c r="K191" s="31" t="n">
        <x:v>0</x:v>
      </x:c>
      <x:c r="L191" s="31" t="n">
        <x:v>0.0637627011</x:v>
      </x:c>
      <x:c r="M191" s="31" t="n">
        <x:v>0</x:v>
      </x:c>
      <x:c r="N191" s="24" t="str">
        <x:v>mugil</x:v>
      </x:c>
      <x:c r="O191" s="32" t="n">
        <x:v>2.26</x:v>
      </x:c>
      <x:c r="P191" s="24" t="str">
        <x:v>exact_sea_around_us</x:v>
      </x:c>
      <x:c r="Q191" s="32" t="str">
        <x:v>Sea Around Us exploited organisms</x:v>
      </x:c>
      <x:c r="R191" s="24" t="str">
        <x:v>high</x:v>
      </x:c>
      <x:c r="S191" s="24" t="str">
        <x:v>Mugil</x:v>
      </x:c>
      <x:c r="T191" s="32" t="n">
        <x:f>IF(O191="","",(1/'Metadata'!$B$5)^(O191-1))</x:f>
        <x:v>18.197008586099827</x:v>
      </x:c>
      <x:c r="U191" s="31" t="n">
        <x:f>IF(T191="","",I191*T191)</x:f>
        <x:v>1.1602904193896169</x:v>
      </x:c>
    </x:row>
    <x:row r="192" ht="18" customHeight="1">
      <x:c r="A192" s="24" t="str">
        <x:v>EEZ_578</x:v>
      </x:c>
      <x:c r="B192" s="24" t="str">
        <x:v>Norway</x:v>
      </x:c>
      <x:c r="C192" s="24" t="str">
        <x:v>EEZ</x:v>
      </x:c>
      <x:c r="D192" s="30" t="n">
        <x:v>2019</x:v>
      </x:c>
      <x:c r="E192" s="24" t="str">
        <x:v>Pleuronectiformes</x:v>
      </x:c>
      <x:c r="F192" s="24" t="str">
        <x:v>Flatfishes</x:v>
      </x:c>
      <x:c r="G192" s="24" t="str">
        <x:v>Small to medium flatfishes (&lt;90 cm)</x:v>
      </x:c>
      <x:c r="H192" s="24" t="str">
        <x:v>Flatfishes</x:v>
      </x:c>
      <x:c r="I192" s="31" t="n">
        <x:v>0.048153404</x:v>
      </x:c>
      <x:c r="J192" s="31" t="n">
        <x:v>0.048153404</x:v>
      </x:c>
      <x:c r="K192" s="31" t="n">
        <x:v>0</x:v>
      </x:c>
      <x:c r="L192" s="31" t="n">
        <x:v>0.048153404</x:v>
      </x:c>
      <x:c r="M192" s="31" t="n">
        <x:v>0</x:v>
      </x:c>
      <x:c r="N192" s="24" t="str">
        <x:v>pleuronectiformes</x:v>
      </x:c>
      <x:c r="O192" s="32" t="n">
        <x:v>3.57</x:v>
      </x:c>
      <x:c r="P192" s="24" t="str">
        <x:v>exact_sea_around_us</x:v>
      </x:c>
      <x:c r="Q192" s="32" t="str">
        <x:v>Sea Around Us exploited organisms</x:v>
      </x:c>
      <x:c r="R192" s="24" t="str">
        <x:v>high</x:v>
      </x:c>
      <x:c r="S192" s="24" t="str">
        <x:v>Pleuronectiformes</x:v>
      </x:c>
      <x:c r="T192" s="32" t="n">
        <x:f>IF(O192="","",(1/'Metadata'!$B$5)^(O192-1))</x:f>
        <x:v>371.5352290971724</x:v>
      </x:c>
      <x:c r="U192" s="31" t="n">
        <x:f>IF(T192="","",I192*T192)</x:f>
        <x:v>17.890685986948696</x:v>
      </x:c>
    </x:row>
    <x:row r="193" ht="18" customHeight="1">
      <x:c r="A193" s="24" t="str">
        <x:v>EEZ_578</x:v>
      </x:c>
      <x:c r="B193" s="24" t="str">
        <x:v>Norway</x:v>
      </x:c>
      <x:c r="C193" s="24" t="str">
        <x:v>EEZ</x:v>
      </x:c>
      <x:c r="D193" s="30" t="n">
        <x:v>2019</x:v>
      </x:c>
      <x:c r="E193" s="24" t="str">
        <x:v>Liocarcinus depurator</x:v>
      </x:c>
      <x:c r="F193" s="24" t="str">
        <x:v>Blueleg swimcrab</x:v>
      </x:c>
      <x:c r="G193" s="24" t="str">
        <x:v>Lobsters, crabs</x:v>
      </x:c>
      <x:c r="H193" s="24" t="str">
        <x:v>Crustaceans</x:v>
      </x:c>
      <x:c r="I193" s="31" t="n">
        <x:v>0.0447518423</x:v>
      </x:c>
      <x:c r="J193" s="31" t="n">
        <x:v>0.0433080297</x:v>
      </x:c>
      <x:c r="K193" s="31" t="n">
        <x:v>0.0014438126</x:v>
      </x:c>
      <x:c r="L193" s="31" t="n">
        <x:v>0.0402014869</x:v>
      </x:c>
      <x:c r="M193" s="31" t="n">
        <x:v>0.0045503554</x:v>
      </x:c>
      <x:c r="N193" s="24" t="str">
        <x:v>liocarcinus depurator</x:v>
      </x:c>
      <x:c r="O193" s="32" t="n">
        <x:v>2.6</x:v>
      </x:c>
      <x:c r="P193" s="24" t="str">
        <x:v>exact_sea_around_us</x:v>
      </x:c>
      <x:c r="Q193" s="32" t="str">
        <x:v>Sea Around Us exploited organisms</x:v>
      </x:c>
      <x:c r="R193" s="24" t="str">
        <x:v>high</x:v>
      </x:c>
      <x:c r="S193" s="24" t="str">
        <x:v>Liocarcinus depurator</x:v>
      </x:c>
      <x:c r="T193" s="32" t="n">
        <x:f>IF(O193="","",(1/'Metadata'!$B$5)^(O193-1))</x:f>
        <x:v>39.810717055349734</x:v>
      </x:c>
      <x:c r="U193" s="31" t="n">
        <x:f>IF(T193="","",I193*T193)</x:f>
        <x:v>1.7816029315109316</x:v>
      </x:c>
    </x:row>
    <x:row r="194" ht="18" customHeight="1">
      <x:c r="A194" s="24" t="str">
        <x:v>EEZ_578</x:v>
      </x:c>
      <x:c r="B194" s="24" t="str">
        <x:v>Norway</x:v>
      </x:c>
      <x:c r="C194" s="24" t="str">
        <x:v>EEZ</x:v>
      </x:c>
      <x:c r="D194" s="30" t="n">
        <x:v>2019</x:v>
      </x:c>
      <x:c r="E194" s="24" t="str">
        <x:v>Alosa</x:v>
      </x:c>
      <x:c r="F194" s="24" t="str">
        <x:v>Shads</x:v>
      </x:c>
      <x:c r="G194" s="24" t="str">
        <x:v>Medium pelagics (30 - 89 cm)</x:v>
      </x:c>
      <x:c r="H194" s="24" t="str">
        <x:v>Herring-likes</x:v>
      </x:c>
      <x:c r="I194" s="31" t="n">
        <x:v>0.039870739100000004</x:v>
      </x:c>
      <x:c r="J194" s="31" t="n">
        <x:v>0.039870739100000004</x:v>
      </x:c>
      <x:c r="K194" s="31" t="n">
        <x:v>0</x:v>
      </x:c>
      <x:c r="L194" s="31" t="n">
        <x:v>0.039870739100000004</x:v>
      </x:c>
      <x:c r="M194" s="31" t="n">
        <x:v>0</x:v>
      </x:c>
      <x:c r="N194" s="24" t="str">
        <x:v>alosa</x:v>
      </x:c>
      <x:c r="O194" s="32" t="n">
        <x:v>3.89</x:v>
      </x:c>
      <x:c r="P194" s="24" t="str">
        <x:v>exact_sea_around_us</x:v>
      </x:c>
      <x:c r="Q194" s="32" t="str">
        <x:v>Sea Around Us exploited organisms</x:v>
      </x:c>
      <x:c r="R194" s="24" t="str">
        <x:v>high</x:v>
      </x:c>
      <x:c r="S194" s="24" t="str">
        <x:v>Alosa</x:v>
      </x:c>
      <x:c r="T194" s="32" t="n">
        <x:f>IF(O194="","",(1/'Metadata'!$B$5)^(O194-1))</x:f>
        <x:v>776.247116628692</x:v>
      </x:c>
      <x:c r="U194" s="31" t="n">
        <x:f>IF(T194="","",I194*T194)</x:f>
        <x:v>30.949546264229852</x:v>
      </x:c>
    </x:row>
    <x:row r="195" ht="18" customHeight="1">
      <x:c r="A195" s="24" t="str">
        <x:v>EEZ_578</x:v>
      </x:c>
      <x:c r="B195" s="24" t="str">
        <x:v>Norway</x:v>
      </x:c>
      <x:c r="C195" s="24" t="str">
        <x:v>EEZ</x:v>
      </x:c>
      <x:c r="D195" s="30" t="n">
        <x:v>2019</x:v>
      </x:c>
      <x:c r="E195" s="24" t="str">
        <x:v>Spisula</x:v>
      </x:c>
      <x:c r="F195" s="24" t="str">
        <x:v>Surf clams</x:v>
      </x:c>
      <x:c r="G195" s="24" t="str">
        <x:v>Other demersal invertebrates</x:v>
      </x:c>
      <x:c r="H195" s="24" t="str">
        <x:v>Molluscs</x:v>
      </x:c>
      <x:c r="I195" s="31" t="n">
        <x:v>0.0390614384</x:v>
      </x:c>
      <x:c r="J195" s="31" t="n">
        <x:v>0.0230889303</x:v>
      </x:c>
      <x:c r="K195" s="31" t="n">
        <x:v>0.0159725081</x:v>
      </x:c>
      <x:c r="L195" s="31" t="n">
        <x:v>0</x:v>
      </x:c>
      <x:c r="M195" s="31" t="n">
        <x:v>0.0390614384</x:v>
      </x:c>
      <x:c r="N195" s="24" t="str">
        <x:v>spisula</x:v>
      </x:c>
      <x:c r="O195" s="32" t="n">
        <x:v>2</x:v>
      </x:c>
      <x:c r="P195" s="24" t="str">
        <x:v>exact_sea_around_us</x:v>
      </x:c>
      <x:c r="Q195" s="32" t="str">
        <x:v>Sea Around Us exploited organisms</x:v>
      </x:c>
      <x:c r="R195" s="24" t="str">
        <x:v>high</x:v>
      </x:c>
      <x:c r="S195" s="24" t="str">
        <x:v>Spisula</x:v>
      </x:c>
      <x:c r="T195" s="32" t="n">
        <x:f>IF(O195="","",(1/'Metadata'!$B$5)^(O195-1))</x:f>
        <x:v>10</x:v>
      </x:c>
      <x:c r="U195" s="31" t="n">
        <x:f>IF(T195="","",I195*T195)</x:f>
        <x:v>0.39061438400000004</x:v>
      </x:c>
    </x:row>
    <x:row r="196" ht="18" customHeight="1">
      <x:c r="A196" s="24" t="str">
        <x:v>EEZ_578</x:v>
      </x:c>
      <x:c r="B196" s="24" t="str">
        <x:v>Norway</x:v>
      </x:c>
      <x:c r="C196" s="24" t="str">
        <x:v>EEZ</x:v>
      </x:c>
      <x:c r="D196" s="30" t="n">
        <x:v>2019</x:v>
      </x:c>
      <x:c r="E196" s="24" t="str">
        <x:v>Alosa alosa</x:v>
      </x:c>
      <x:c r="F196" s="24" t="str">
        <x:v>Allis shad</x:v>
      </x:c>
      <x:c r="G196" s="24" t="str">
        <x:v>Medium pelagics (30 - 89 cm)</x:v>
      </x:c>
      <x:c r="H196" s="24" t="str">
        <x:v>Herring-likes</x:v>
      </x:c>
      <x:c r="I196" s="31" t="n">
        <x:v>0.0328833331</x:v>
      </x:c>
      <x:c r="J196" s="31" t="n">
        <x:v>0.0328833331</x:v>
      </x:c>
      <x:c r="K196" s="31" t="n">
        <x:v>0</x:v>
      </x:c>
      <x:c r="L196" s="31" t="n">
        <x:v>0.0328833331</x:v>
      </x:c>
      <x:c r="M196" s="31" t="n">
        <x:v>0</x:v>
      </x:c>
      <x:c r="N196" s="24" t="str">
        <x:v>alosa alosa</x:v>
      </x:c>
      <x:c r="O196" s="32" t="n">
        <x:v>2.95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Alosa alosa</x:v>
      </x:c>
      <x:c r="T196" s="32" t="n">
        <x:f>IF(O196="","",(1/'Metadata'!$B$5)^(O196-1))</x:f>
        <x:v>89.12509381337459</x:v>
      </x:c>
      <x:c r="U196" s="31" t="n">
        <x:f>IF(T196="","",I196*T196)</x:f>
        <x:v>2.930730147433946</x:v>
      </x:c>
    </x:row>
    <x:row r="197" ht="18" customHeight="1">
      <x:c r="A197" s="24" t="str">
        <x:v>EEZ_578</x:v>
      </x:c>
      <x:c r="B197" s="24" t="str">
        <x:v>Norway</x:v>
      </x:c>
      <x:c r="C197" s="24" t="str">
        <x:v>EEZ</x:v>
      </x:c>
      <x:c r="D197" s="30" t="n">
        <x:v>2019</x:v>
      </x:c>
      <x:c r="E197" s="24" t="str">
        <x:v>Solen</x:v>
      </x:c>
      <x:c r="F197" s="24" t="str">
        <x:v>Razor clams</x:v>
      </x:c>
      <x:c r="G197" s="24" t="str">
        <x:v>Other demersal invertebrates</x:v>
      </x:c>
      <x:c r="H197" s="24" t="str">
        <x:v>Molluscs</x:v>
      </x:c>
      <x:c r="I197" s="31" t="n">
        <x:v>0.031615487799999994</x:v>
      </x:c>
      <x:c r="J197" s="31" t="n">
        <x:v>0.031615487799999994</x:v>
      </x:c>
      <x:c r="K197" s="31" t="n">
        <x:v>0</x:v>
      </x:c>
      <x:c r="L197" s="31" t="n">
        <x:v>0.031615487799999994</x:v>
      </x:c>
      <x:c r="M197" s="31" t="n">
        <x:v>0</x:v>
      </x:c>
      <x:c r="N197" s="24" t="str">
        <x:v>solen</x:v>
      </x:c>
      <x:c r="O197" s="32" t="n">
        <x:v>2</x:v>
      </x:c>
      <x:c r="P197" s="24" t="str">
        <x:v>exact_sea_around_us</x:v>
      </x:c>
      <x:c r="Q197" s="32" t="str">
        <x:v>Sea Around Us exploited organisms</x:v>
      </x:c>
      <x:c r="R197" s="24" t="str">
        <x:v>high</x:v>
      </x:c>
      <x:c r="S197" s="24" t="str">
        <x:v>Solen</x:v>
      </x:c>
      <x:c r="T197" s="32" t="n">
        <x:f>IF(O197="","",(1/'Metadata'!$B$5)^(O197-1))</x:f>
        <x:v>10</x:v>
      </x:c>
      <x:c r="U197" s="31" t="n">
        <x:f>IF(T197="","",I197*T197)</x:f>
        <x:v>0.316154878</x:v>
      </x:c>
    </x:row>
    <x:row r="198" ht="18" customHeight="1">
      <x:c r="A198" s="24" t="str">
        <x:v>EEZ_578</x:v>
      </x:c>
      <x:c r="B198" s="24" t="str">
        <x:v>Norway</x:v>
      </x:c>
      <x:c r="C198" s="24" t="str">
        <x:v>EEZ</x:v>
      </x:c>
      <x:c r="D198" s="30" t="n">
        <x:v>2019</x:v>
      </x:c>
      <x:c r="E198" s="24" t="str">
        <x:v>Chlamys</x:v>
      </x:c>
      <x:c r="F198" s="24" t="str">
        <x:v>Cloak scallops</x:v>
      </x:c>
      <x:c r="G198" s="24" t="str">
        <x:v>Other demersal invertebrates</x:v>
      </x:c>
      <x:c r="H198" s="24" t="str">
        <x:v>Molluscs</x:v>
      </x:c>
      <x:c r="I198" s="31" t="n">
        <x:v>0.031434593999999996</x:v>
      </x:c>
      <x:c r="J198" s="31" t="n">
        <x:v>0.031434593999999996</x:v>
      </x:c>
      <x:c r="K198" s="31" t="n">
        <x:v>0</x:v>
      </x:c>
      <x:c r="L198" s="31" t="n">
        <x:v>0.031434593999999996</x:v>
      </x:c>
      <x:c r="M198" s="31" t="n">
        <x:v>0</x:v>
      </x:c>
      <x:c r="N198" s="24" t="str">
        <x:v>chlamys</x:v>
      </x:c>
      <x:c r="O198" s="32" t="n">
        <x:v>2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Chlamys</x:v>
      </x:c>
      <x:c r="T198" s="32" t="n">
        <x:f>IF(O198="","",(1/'Metadata'!$B$5)^(O198-1))</x:f>
        <x:v>10</x:v>
      </x:c>
      <x:c r="U198" s="31" t="n">
        <x:f>IF(T198="","",I198*T198)</x:f>
        <x:v>0.31434593999999993</x:v>
      </x:c>
    </x:row>
    <x:row r="199" ht="18" customHeight="1">
      <x:c r="A199" s="24" t="str">
        <x:v>EEZ_578</x:v>
      </x:c>
      <x:c r="B199" s="24" t="str">
        <x:v>Norway</x:v>
      </x:c>
      <x:c r="C199" s="24" t="str">
        <x:v>EEZ</x:v>
      </x:c>
      <x:c r="D199" s="30" t="n">
        <x:v>2019</x:v>
      </x:c>
      <x:c r="E199" s="24" t="str">
        <x:v>Octopus vulgaris</x:v>
      </x:c>
      <x:c r="F199" s="24" t="str">
        <x:v>Common octopus</x:v>
      </x:c>
      <x:c r="G199" s="24" t="str">
        <x:v>Cephalopods</x:v>
      </x:c>
      <x:c r="H199" s="24" t="str">
        <x:v>Other fishes &amp; inverts</x:v>
      </x:c>
      <x:c r="I199" s="31" t="n">
        <x:v>0.0307768451</x:v>
      </x:c>
      <x:c r="J199" s="31" t="n">
        <x:v>0.0307768451</x:v>
      </x:c>
      <x:c r="K199" s="31" t="n">
        <x:v>0</x:v>
      </x:c>
      <x:c r="L199" s="31" t="n">
        <x:v>0.0307768451</x:v>
      </x:c>
      <x:c r="M199" s="31" t="n">
        <x:v>0</x:v>
      </x:c>
      <x:c r="N199" s="24" t="str">
        <x:v>octopus vulgaris</x:v>
      </x:c>
      <x:c r="O199" s="32" t="n">
        <x:v>3.6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Octopus vulgaris</x:v>
      </x:c>
      <x:c r="T199" s="32" t="n">
        <x:f>IF(O199="","",(1/'Metadata'!$B$5)^(O199-1))</x:f>
        <x:v>398.1071705534973</x:v>
      </x:c>
      <x:c r="U199" s="31" t="n">
        <x:f>IF(T199="","",I199*T199)</x:f>
        <x:v>12.252482721324268</x:v>
      </x:c>
    </x:row>
    <x:row r="200" ht="18" customHeight="1">
      <x:c r="A200" s="24" t="str">
        <x:v>EEZ_578</x:v>
      </x:c>
      <x:c r="B200" s="24" t="str">
        <x:v>Norway</x:v>
      </x:c>
      <x:c r="C200" s="24" t="str">
        <x:v>EEZ</x:v>
      </x:c>
      <x:c r="D200" s="30" t="n">
        <x:v>2019</x:v>
      </x:c>
      <x:c r="E200" s="24" t="str">
        <x:v>Gasterosteus aculeatus</x:v>
      </x:c>
      <x:c r="F200" s="24" t="str">
        <x:v>Three-spined stickleback</x:v>
      </x:c>
      <x:c r="G200" s="24" t="str">
        <x:v>Small benthopelagics (&lt;30 cm)</x:v>
      </x:c>
      <x:c r="H200" s="24" t="str">
        <x:v>Other fishes &amp; inverts</x:v>
      </x:c>
      <x:c r="I200" s="31" t="n">
        <x:v>0.0289266252</x:v>
      </x:c>
      <x:c r="J200" s="31" t="n">
        <x:v>0.0202385582</x:v>
      </x:c>
      <x:c r="K200" s="31" t="n">
        <x:v>0.008688067</x:v>
      </x:c>
      <x:c r="L200" s="31" t="n">
        <x:v>0</x:v>
      </x:c>
      <x:c r="M200" s="31" t="n">
        <x:v>0.0289266252</x:v>
      </x:c>
      <x:c r="N200" s="24" t="str">
        <x:v>gasterosteus aculeatus</x:v>
      </x:c>
      <x:c r="O200" s="32" t="n">
        <x:v>3.31</x:v>
      </x:c>
      <x:c r="P200" s="24" t="str">
        <x:v>exact_2020_supplement</x:v>
      </x:c>
      <x:c r="Q200" s="32" t="str">
        <x:v>2020 supplement MeanTL</x:v>
      </x:c>
      <x:c r="R200" s="24" t="str">
        <x:v>high</x:v>
      </x:c>
      <x:c r="S200" s="24" t="str">
        <x:v>Gasterosteus aculeatus</x:v>
      </x:c>
      <x:c r="T200" s="32" t="n">
        <x:f>IF(O200="","",(1/'Metadata'!$B$5)^(O200-1))</x:f>
        <x:v>204.17379446695296</x:v>
      </x:c>
      <x:c r="U200" s="31" t="n">
        <x:f>IF(T200="","",I200*T200)</x:f>
        <x:v>5.906058828207382</x:v>
      </x:c>
    </x:row>
    <x:row r="201" ht="18" customHeight="1">
      <x:c r="A201" s="24" t="str">
        <x:v>EEZ_578</x:v>
      </x:c>
      <x:c r="B201" s="24" t="str">
        <x:v>Norway</x:v>
      </x:c>
      <x:c r="C201" s="24" t="str">
        <x:v>EEZ</x:v>
      </x:c>
      <x:c r="D201" s="30" t="n">
        <x:v>2019</x:v>
      </x:c>
      <x:c r="E201" s="24" t="str">
        <x:v>Palinurus elephas</x:v>
      </x:c>
      <x:c r="F201" s="24" t="str">
        <x:v>Common spiny lobster</x:v>
      </x:c>
      <x:c r="G201" s="24" t="str">
        <x:v>Lobsters, crabs</x:v>
      </x:c>
      <x:c r="H201" s="24" t="str">
        <x:v>Crustaceans</x:v>
      </x:c>
      <x:c r="I201" s="31" t="n">
        <x:v>0.0277361371</x:v>
      </x:c>
      <x:c r="J201" s="31" t="n">
        <x:v>0.0277361371</x:v>
      </x:c>
      <x:c r="K201" s="31" t="n">
        <x:v>0</x:v>
      </x:c>
      <x:c r="L201" s="31" t="n">
        <x:v>0.0277361371</x:v>
      </x:c>
      <x:c r="M201" s="31" t="n">
        <x:v>0</x:v>
      </x:c>
      <x:c r="N201" s="24" t="str">
        <x:v>palinurus elephas</x:v>
      </x:c>
      <x:c r="O201" s="32" t="n">
        <x:v>3.34</x:v>
      </x:c>
      <x:c r="P201" s="24" t="str">
        <x:v>exact_2020_supplement</x:v>
      </x:c>
      <x:c r="Q201" s="32" t="str">
        <x:v>2020 supplement MeanTL</x:v>
      </x:c>
      <x:c r="R201" s="24" t="str">
        <x:v>high</x:v>
      </x:c>
      <x:c r="S201" s="24" t="str">
        <x:v>Palinurus elephas</x:v>
      </x:c>
      <x:c r="T201" s="32" t="n">
        <x:f>IF(O201="","",(1/'Metadata'!$B$5)^(O201-1))</x:f>
        <x:v>218.77616239495518</x:v>
      </x:c>
      <x:c r="U201" s="31" t="n">
        <x:f>IF(T201="","",I201*T201)</x:f>
        <x:v>6.068005634398341</x:v>
      </x:c>
    </x:row>
    <x:row r="202" ht="18" customHeight="1">
      <x:c r="A202" s="24" t="str">
        <x:v>EEZ_578</x:v>
      </x:c>
      <x:c r="B202" s="24" t="str">
        <x:v>Norway</x:v>
      </x:c>
      <x:c r="C202" s="24" t="str">
        <x:v>EEZ</x:v>
      </x:c>
      <x:c r="D202" s="30" t="n">
        <x:v>2019</x:v>
      </x:c>
      <x:c r="E202" s="24" t="str">
        <x:v>Epigonus telescopus</x:v>
      </x:c>
      <x:c r="F202" s="24" t="str">
        <x:v>Black cardinal fish</x:v>
      </x:c>
      <x:c r="G202" s="24" t="str">
        <x:v>Medium bathydemersals (30 - 89 cm)</x:v>
      </x:c>
      <x:c r="H202" s="24" t="str">
        <x:v>Perch-likes</x:v>
      </x:c>
      <x:c r="I202" s="31" t="n">
        <x:v>0.0265309243</x:v>
      </x:c>
      <x:c r="J202" s="31" t="n">
        <x:v>0.0265309243</x:v>
      </x:c>
      <x:c r="K202" s="31" t="n">
        <x:v>0</x:v>
      </x:c>
      <x:c r="L202" s="31" t="n">
        <x:v>0.0265309243</x:v>
      </x:c>
      <x:c r="M202" s="31" t="n">
        <x:v>0</x:v>
      </x:c>
      <x:c r="N202" s="24" t="str">
        <x:v>epigonus telescopus</x:v>
      </x:c>
      <x:c r="O202" s="32" t="n">
        <x:v>3.59</x:v>
      </x:c>
      <x:c r="P202" s="24" t="str">
        <x:v>exact_2020_supplement</x:v>
      </x:c>
      <x:c r="Q202" s="32" t="str">
        <x:v>2020 supplement MeanTL</x:v>
      </x:c>
      <x:c r="R202" s="24" t="str">
        <x:v>high</x:v>
      </x:c>
      <x:c r="S202" s="24" t="str">
        <x:v>Epigonus telescopus</x:v>
      </x:c>
      <x:c r="T202" s="32" t="n">
        <x:f>IF(O202="","",(1/'Metadata'!$B$5)^(O202-1))</x:f>
        <x:v>389.04514499428046</x:v>
      </x:c>
      <x:c r="U202" s="31" t="n">
        <x:f>IF(T202="","",I202*T202)</x:f>
        <x:v>10.321727291125779</x:v>
      </x:c>
    </x:row>
    <x:row r="203" ht="18" customHeight="1">
      <x:c r="A203" s="24" t="str">
        <x:v>EEZ_578</x:v>
      </x:c>
      <x:c r="B203" s="24" t="str">
        <x:v>Norway</x:v>
      </x:c>
      <x:c r="C203" s="24" t="str">
        <x:v>EEZ</x:v>
      </x:c>
      <x:c r="D203" s="30" t="n">
        <x:v>2019</x:v>
      </x:c>
      <x:c r="E203" s="24" t="str">
        <x:v>Spisula solida</x:v>
      </x:c>
      <x:c r="F203" s="24" t="str">
        <x:v>Surf clam</x:v>
      </x:c>
      <x:c r="G203" s="24" t="str">
        <x:v>Other demersal invertebrates</x:v>
      </x:c>
      <x:c r="H203" s="24" t="str">
        <x:v>Molluscs</x:v>
      </x:c>
      <x:c r="I203" s="31" t="n">
        <x:v>0.025916828</x:v>
      </x:c>
      <x:c r="J203" s="31" t="n">
        <x:v>0.025916828</x:v>
      </x:c>
      <x:c r="K203" s="31" t="n">
        <x:v>0</x:v>
      </x:c>
      <x:c r="L203" s="31" t="n">
        <x:v>0.025916828</x:v>
      </x:c>
      <x:c r="M203" s="31" t="n">
        <x:v>0</x:v>
      </x:c>
      <x:c r="N203" s="24" t="str">
        <x:v>spisula solida</x:v>
      </x:c>
      <x:c r="O203" s="32" t="n">
        <x:v>2</x:v>
      </x:c>
      <x:c r="P203" s="24" t="str">
        <x:v>exact_sea_around_us</x:v>
      </x:c>
      <x:c r="Q203" s="32" t="str">
        <x:v>Sea Around Us exploited organisms</x:v>
      </x:c>
      <x:c r="R203" s="24" t="str">
        <x:v>high</x:v>
      </x:c>
      <x:c r="S203" s="24" t="str">
        <x:v>Spisula solida</x:v>
      </x:c>
      <x:c r="T203" s="32" t="n">
        <x:f>IF(O203="","",(1/'Metadata'!$B$5)^(O203-1))</x:f>
        <x:v>10</x:v>
      </x:c>
      <x:c r="U203" s="31" t="n">
        <x:f>IF(T203="","",I203*T203)</x:f>
        <x:v>0.25916828</x:v>
      </x:c>
    </x:row>
    <x:row r="204" ht="18" customHeight="1">
      <x:c r="A204" s="24" t="str">
        <x:v>EEZ_578</x:v>
      </x:c>
      <x:c r="B204" s="24" t="str">
        <x:v>Norway</x:v>
      </x:c>
      <x:c r="C204" s="24" t="str">
        <x:v>EEZ</x:v>
      </x:c>
      <x:c r="D204" s="30" t="n">
        <x:v>2019</x:v>
      </x:c>
      <x:c r="E204" s="24" t="str">
        <x:v>Trichiuridae</x:v>
      </x:c>
      <x:c r="F204" s="24" t="str">
        <x:v>Cutlassfishes</x:v>
      </x:c>
      <x:c r="G204" s="24" t="str">
        <x:v>Large benthopelagics (&gt;=90 cm)</x:v>
      </x:c>
      <x:c r="H204" s="24" t="str">
        <x:v>Perch-likes</x:v>
      </x:c>
      <x:c r="I204" s="31" t="n">
        <x:v>0.025506025</x:v>
      </x:c>
      <x:c r="J204" s="31" t="n">
        <x:v>0.025506025</x:v>
      </x:c>
      <x:c r="K204" s="31" t="n">
        <x:v>0</x:v>
      </x:c>
      <x:c r="L204" s="31" t="n">
        <x:v>0.025506025</x:v>
      </x:c>
      <x:c r="M204" s="31" t="n">
        <x:v>0</x:v>
      </x:c>
      <x:c r="N204" s="24" t="str">
        <x:v>trichiuridae</x:v>
      </x:c>
      <x:c r="O204" s="32" t="n">
        <x:v>4.15</x:v>
      </x:c>
      <x:c r="P204" s="24" t="str">
        <x:v>exact_sea_around_us</x:v>
      </x:c>
      <x:c r="Q204" s="32" t="str">
        <x:v>Sea Around Us exploited organisms</x:v>
      </x:c>
      <x:c r="R204" s="24" t="str">
        <x:v>high</x:v>
      </x:c>
      <x:c r="S204" s="24" t="str">
        <x:v>Trichiuridae</x:v>
      </x:c>
      <x:c r="T204" s="32" t="n">
        <x:f>IF(O204="","",(1/'Metadata'!$B$5)^(O204-1))</x:f>
        <x:v>1412.5375446227554</x:v>
      </x:c>
      <x:c r="U204" s="31" t="n">
        <x:f>IF(T204="","",I204*T204)</x:f>
        <x:v>36.02821792658661</x:v>
      </x:c>
    </x:row>
    <x:row r="205" ht="18" customHeight="1">
      <x:c r="A205" s="24" t="str">
        <x:v>EEZ_578</x:v>
      </x:c>
      <x:c r="B205" s="24" t="str">
        <x:v>Norway</x:v>
      </x:c>
      <x:c r="C205" s="24" t="str">
        <x:v>EEZ</x:v>
      </x:c>
      <x:c r="D205" s="30" t="n">
        <x:v>2019</x:v>
      </x:c>
      <x:c r="E205" s="24" t="str">
        <x:v>Chaceon affinis</x:v>
      </x:c>
      <x:c r="F205" s="24" t="str">
        <x:v>Deepsea red crab</x:v>
      </x:c>
      <x:c r="G205" s="24" t="str">
        <x:v>Lobsters, crabs</x:v>
      </x:c>
      <x:c r="H205" s="24" t="str">
        <x:v>Crustaceans</x:v>
      </x:c>
      <x:c r="I205" s="31" t="n">
        <x:v>0.025484107099999997</x:v>
      </x:c>
      <x:c r="J205" s="31" t="n">
        <x:v>0.025484107099999997</x:v>
      </x:c>
      <x:c r="K205" s="31" t="n">
        <x:v>0</x:v>
      </x:c>
      <x:c r="L205" s="31" t="n">
        <x:v>0.025484107099999997</x:v>
      </x:c>
      <x:c r="M205" s="31" t="n">
        <x:v>0</x:v>
      </x:c>
      <x:c r="N205" s="24" t="str">
        <x:v>chaceon affinis</x:v>
      </x:c>
      <x:c r="O205" s="32" t="n">
        <x:v>3.1</x:v>
      </x:c>
      <x:c r="P205" s="24" t="str">
        <x:v>exact_sea_around_us</x:v>
      </x:c>
      <x:c r="Q205" s="32" t="str">
        <x:v>Sea Around Us exploited organisms</x:v>
      </x:c>
      <x:c r="R205" s="24" t="str">
        <x:v>high</x:v>
      </x:c>
      <x:c r="S205" s="24" t="str">
        <x:v>Chaceon affinis</x:v>
      </x:c>
      <x:c r="T205" s="32" t="n">
        <x:f>IF(O205="","",(1/'Metadata'!$B$5)^(O205-1))</x:f>
        <x:v>125.89254117941675</x:v>
      </x:c>
      <x:c r="U205" s="31" t="n">
        <x:f>IF(T205="","",I205*T205)</x:f>
        <x:v>3.2082590025074165</x:v>
      </x:c>
    </x:row>
    <x:row r="206" ht="18" customHeight="1">
      <x:c r="A206" s="24" t="str">
        <x:v>EEZ_578</x:v>
      </x:c>
      <x:c r="B206" s="24" t="str">
        <x:v>Norway</x:v>
      </x:c>
      <x:c r="C206" s="24" t="str">
        <x:v>EEZ</x:v>
      </x:c>
      <x:c r="D206" s="30" t="n">
        <x:v>2019</x:v>
      </x:c>
      <x:c r="E206" s="24" t="str">
        <x:v>Murex</x:v>
      </x:c>
      <x:c r="F206" s="24" t="str">
        <x:v>Murex shells</x:v>
      </x:c>
      <x:c r="G206" s="24" t="str">
        <x:v>Other demersal invertebrates</x:v>
      </x:c>
      <x:c r="H206" s="24" t="str">
        <x:v>Molluscs</x:v>
      </x:c>
      <x:c r="I206" s="31" t="n">
        <x:v>0.0248918481</x:v>
      </x:c>
      <x:c r="J206" s="31" t="n">
        <x:v>0.0248918481</x:v>
      </x:c>
      <x:c r="K206" s="31" t="n">
        <x:v>0</x:v>
      </x:c>
      <x:c r="L206" s="31" t="n">
        <x:v>0.0248918481</x:v>
      </x:c>
      <x:c r="M206" s="31" t="n">
        <x:v>0</x:v>
      </x:c>
      <x:c r="N206" s="24" t="str">
        <x:v>murex</x:v>
      </x:c>
      <x:c r="O206" s="32" t="n">
        <x:v>2</x:v>
      </x:c>
      <x:c r="P206" s="24" t="str">
        <x:v>exact_sea_around_us</x:v>
      </x:c>
      <x:c r="Q206" s="32" t="str">
        <x:v>Sea Around Us exploited organisms</x:v>
      </x:c>
      <x:c r="R206" s="24" t="str">
        <x:v>high</x:v>
      </x:c>
      <x:c r="S206" s="24" t="str">
        <x:v>Murex</x:v>
      </x:c>
      <x:c r="T206" s="32" t="n">
        <x:f>IF(O206="","",(1/'Metadata'!$B$5)^(O206-1))</x:f>
        <x:v>10</x:v>
      </x:c>
      <x:c r="U206" s="31" t="n">
        <x:f>IF(T206="","",I206*T206)</x:f>
        <x:v>0.248918481</x:v>
      </x:c>
    </x:row>
    <x:row r="207" ht="18" customHeight="1">
      <x:c r="A207" s="24" t="str">
        <x:v>EEZ_578</x:v>
      </x:c>
      <x:c r="B207" s="24" t="str">
        <x:v>Norway</x:v>
      </x:c>
      <x:c r="C207" s="24" t="str">
        <x:v>EEZ</x:v>
      </x:c>
      <x:c r="D207" s="30" t="n">
        <x:v>2019</x:v>
      </x:c>
      <x:c r="E207" s="24" t="str">
        <x:v>Scorpaeniformes</x:v>
      </x:c>
      <x:c r="F207" s="24" t="str">
        <x:v>Scorpionfishes, flatheads</x:v>
      </x:c>
      <x:c r="G207" s="24" t="str">
        <x:v>Medium demersals (30 - 89 cm)</x:v>
      </x:c>
      <x:c r="H207" s="24" t="str">
        <x:v>Scorpionfishes</x:v>
      </x:c>
      <x:c r="I207" s="31" t="n">
        <x:v>0.0160424701</x:v>
      </x:c>
      <x:c r="J207" s="31" t="n">
        <x:v>0</x:v>
      </x:c>
      <x:c r="K207" s="31" t="n">
        <x:v>0.0160424701</x:v>
      </x:c>
      <x:c r="L207" s="31" t="n">
        <x:v>0</x:v>
      </x:c>
      <x:c r="M207" s="31" t="n">
        <x:v>0.0160424701</x:v>
      </x:c>
      <x:c r="N207" s="24" t="str">
        <x:v>scorpaeniformes</x:v>
      </x:c>
      <x:c r="O207" s="32" t="n">
        <x:v>3.78</x:v>
      </x:c>
      <x:c r="P207" s="24" t="str">
        <x:v>exact_sea_around_us</x:v>
      </x:c>
      <x:c r="Q207" s="32" t="str">
        <x:v>Sea Around Us exploited organisms</x:v>
      </x:c>
      <x:c r="R207" s="24" t="str">
        <x:v>high</x:v>
      </x:c>
      <x:c r="S207" s="24" t="str">
        <x:v>Scorpaeniformes</x:v>
      </x:c>
      <x:c r="T207" s="32" t="n">
        <x:f>IF(O207="","",(1/'Metadata'!$B$5)^(O207-1))</x:f>
        <x:v>602.5595860743575</x:v>
      </x:c>
      <x:c r="U207" s="31" t="n">
        <x:f>IF(T207="","",I207*T207)</x:f>
        <x:v>9.666544143066258</x:v>
      </x:c>
    </x:row>
    <x:row r="208" ht="18" customHeight="1">
      <x:c r="A208" s="24" t="str">
        <x:v>EEZ_578</x:v>
      </x:c>
      <x:c r="B208" s="24" t="str">
        <x:v>Norway</x:v>
      </x:c>
      <x:c r="C208" s="24" t="str">
        <x:v>EEZ</x:v>
      </x:c>
      <x:c r="D208" s="30" t="n">
        <x:v>2019</x:v>
      </x:c>
      <x:c r="E208" s="24" t="str">
        <x:v>Acipenser sturio</x:v>
      </x:c>
      <x:c r="F208" s="24" t="str">
        <x:v>Sturgeon</x:v>
      </x:c>
      <x:c r="G208" s="24" t="str">
        <x:v>Large demersals (&gt;=90 cm)</x:v>
      </x:c>
      <x:c r="H208" s="24" t="str">
        <x:v>Other fishes &amp; inverts</x:v>
      </x:c>
      <x:c r="I208" s="31" t="n">
        <x:v>0.0128152474</x:v>
      </x:c>
      <x:c r="J208" s="31" t="n">
        <x:v>0.0128152474</x:v>
      </x:c>
      <x:c r="K208" s="31" t="n">
        <x:v>0</x:v>
      </x:c>
      <x:c r="L208" s="31" t="n">
        <x:v>0.0128152474</x:v>
      </x:c>
      <x:c r="M208" s="31" t="n">
        <x:v>0</x:v>
      </x:c>
      <x:c r="N208" s="24" t="str">
        <x:v>acipenser sturio</x:v>
      </x:c>
      <x:c r="O208" s="32" t="n">
        <x:v>3.51</x:v>
      </x:c>
      <x:c r="P208" s="24" t="str">
        <x:v>exact_2020_supplement</x:v>
      </x:c>
      <x:c r="Q208" s="32" t="str">
        <x:v>2020 supplement MeanTL</x:v>
      </x:c>
      <x:c r="R208" s="24" t="str">
        <x:v>high</x:v>
      </x:c>
      <x:c r="S208" s="24" t="str">
        <x:v>Acipenser sturio</x:v>
      </x:c>
      <x:c r="T208" s="32" t="n">
        <x:f>IF(O208="","",(1/'Metadata'!$B$5)^(O208-1))</x:f>
        <x:v>323.5936569296281</x:v>
      </x:c>
      <x:c r="U208" s="31" t="n">
        <x:f>IF(T208="","",I208*T208)</x:f>
        <x:v>4.146932770623908</x:v>
      </x:c>
    </x:row>
    <x:row r="209" ht="18" customHeight="1">
      <x:c r="A209" s="24" t="str">
        <x:v>EEZ_578</x:v>
      </x:c>
      <x:c r="B209" s="24" t="str">
        <x:v>Norway</x:v>
      </x:c>
      <x:c r="C209" s="24" t="str">
        <x:v>EEZ</x:v>
      </x:c>
      <x:c r="D209" s="30" t="n">
        <x:v>2019</x:v>
      </x:c>
      <x:c r="E209" s="24" t="str">
        <x:v>Dendrobranchiata</x:v>
      </x:c>
      <x:c r="F209" s="24" t="str">
        <x:v>Shrimps and prawns</x:v>
      </x:c>
      <x:c r="G209" s="24" t="str">
        <x:v>Shrimps</x:v>
      </x:c>
      <x:c r="H209" s="24" t="str">
        <x:v>Crustaceans</x:v>
      </x:c>
      <x:c r="I209" s="31" t="n">
        <x:v>0.010145240600000001</x:v>
      </x:c>
      <x:c r="J209" s="31" t="n">
        <x:v>0.010145240600000001</x:v>
      </x:c>
      <x:c r="K209" s="31" t="n">
        <x:v>0</x:v>
      </x:c>
      <x:c r="L209" s="31" t="n">
        <x:v>0.010145240600000001</x:v>
      </x:c>
      <x:c r="M209" s="31" t="n">
        <x:v>0</x:v>
      </x:c>
      <x:c r="N209" s="24" t="str">
        <x:v>dendrobranchiata</x:v>
      </x:c>
      <x:c r="O209" s="32" t="n">
        <x:v>3.24</x:v>
      </x:c>
      <x:c r="P209" s="24" t="str">
        <x:v>exact_sea_around_us</x:v>
      </x:c>
      <x:c r="Q209" s="32" t="str">
        <x:v>Sea Around Us exploited organisms</x:v>
      </x:c>
      <x:c r="R209" s="24" t="str">
        <x:v>high</x:v>
      </x:c>
      <x:c r="S209" s="24" t="str">
        <x:v>Dendrobranchiata</x:v>
      </x:c>
      <x:c r="T209" s="32" t="n">
        <x:f>IF(O209="","",(1/'Metadata'!$B$5)^(O209-1))</x:f>
        <x:v>173.78008287493762</x:v>
      </x:c>
      <x:c r="U209" s="31" t="n">
        <x:f>IF(T209="","",I209*T209)</x:f>
        <x:v>1.763040752254182</x:v>
      </x:c>
    </x:row>
    <x:row r="210" ht="18" customHeight="1">
      <x:c r="A210" s="24" t="str">
        <x:v>EEZ_578</x:v>
      </x:c>
      <x:c r="B210" s="24" t="str">
        <x:v>Norway</x:v>
      </x:c>
      <x:c r="C210" s="24" t="str">
        <x:v>EEZ</x:v>
      </x:c>
      <x:c r="D210" s="30" t="n">
        <x:v>2019</x:v>
      </x:c>
      <x:c r="E210" s="24" t="str">
        <x:v>Molva</x:v>
      </x:c>
      <x:c r="F210" s="24" t="str">
        <x:v>Lings</x:v>
      </x:c>
      <x:c r="G210" s="24" t="str">
        <x:v>Large demersals (&gt;=90 cm)</x:v>
      </x:c>
      <x:c r="H210" s="24" t="str">
        <x:v>Cod-likes</x:v>
      </x:c>
      <x:c r="I210" s="31" t="n">
        <x:v>0.0095606935</x:v>
      </x:c>
      <x:c r="J210" s="31" t="n">
        <x:v>0.0095606935</x:v>
      </x:c>
      <x:c r="K210" s="31" t="n">
        <x:v>0</x:v>
      </x:c>
      <x:c r="L210" s="31" t="n">
        <x:v>0.0095606935</x:v>
      </x:c>
      <x:c r="M210" s="31" t="n">
        <x:v>0</x:v>
      </x:c>
      <x:c r="N210" s="24" t="str">
        <x:v>molva</x:v>
      </x:c>
      <x:c r="O210" s="32" t="n">
        <x:v>4.19</x:v>
      </x:c>
      <x:c r="P210" s="24" t="str">
        <x:v>exact_sea_around_us</x:v>
      </x:c>
      <x:c r="Q210" s="32" t="str">
        <x:v>Sea Around Us exploited organisms</x:v>
      </x:c>
      <x:c r="R210" s="24" t="str">
        <x:v>high</x:v>
      </x:c>
      <x:c r="S210" s="24" t="str">
        <x:v>Molva</x:v>
      </x:c>
      <x:c r="T210" s="32" t="n">
        <x:f>IF(O210="","",(1/'Metadata'!$B$5)^(O210-1))</x:f>
        <x:v>1548.8166189124827</x:v>
      </x:c>
      <x:c r="U210" s="31" t="n">
        <x:f>IF(T210="","",I210*T210)</x:f>
        <x:v>14.80776098112855</x:v>
      </x:c>
    </x:row>
    <x:row r="211" ht="18" customHeight="1">
      <x:c r="A211" s="24" t="str">
        <x:v>EEZ_578</x:v>
      </x:c>
      <x:c r="B211" s="24" t="str">
        <x:v>Norway</x:v>
      </x:c>
      <x:c r="C211" s="24" t="str">
        <x:v>EEZ</x:v>
      </x:c>
      <x:c r="D211" s="30" t="n">
        <x:v>2019</x:v>
      </x:c>
      <x:c r="E211" s="24" t="str">
        <x:v>Chimaeriformes</x:v>
      </x:c>
      <x:c r="F211" s="24" t="str">
        <x:v>Chimaeras</x:v>
      </x:c>
      <x:c r="G211" s="24" t="str">
        <x:v>Large rays (&gt;=90 cm)</x:v>
      </x:c>
      <x:c r="H211" s="24" t="str">
        <x:v>Sharks &amp; rays</x:v>
      </x:c>
      <x:c r="I211" s="31" t="n">
        <x:v>0.009064358</x:v>
      </x:c>
      <x:c r="J211" s="31" t="n">
        <x:v>0.009064358</x:v>
      </x:c>
      <x:c r="K211" s="31" t="n">
        <x:v>0</x:v>
      </x:c>
      <x:c r="L211" s="31" t="n">
        <x:v>0.009064358</x:v>
      </x:c>
      <x:c r="M211" s="31" t="n">
        <x:v>0</x:v>
      </x:c>
      <x:c r="N211" s="24" t="str">
        <x:v>chimaeriformes</x:v>
      </x:c>
      <x:c r="O211" s="32" t="n">
        <x:v>3.37</x:v>
      </x:c>
      <x:c r="P211" s="24" t="str">
        <x:v>exact_sea_around_us</x:v>
      </x:c>
      <x:c r="Q211" s="32" t="str">
        <x:v>Sea Around Us exploited organisms</x:v>
      </x:c>
      <x:c r="R211" s="24" t="str">
        <x:v>high</x:v>
      </x:c>
      <x:c r="S211" s="24" t="str">
        <x:v>Chimaeriformes</x:v>
      </x:c>
      <x:c r="T211" s="32" t="n">
        <x:f>IF(O211="","",(1/'Metadata'!$B$5)^(O211-1))</x:f>
        <x:v>234.42288153199226</x:v>
      </x:c>
      <x:c r="U211" s="31" t="n">
        <x:f>IF(T211="","",I211*T211)</x:f>
        <x:v>2.1248929215975663</x:v>
      </x:c>
    </x:row>
    <x:row r="212" ht="18" customHeight="1">
      <x:c r="A212" s="24" t="str">
        <x:v>EEZ_578</x:v>
      </x:c>
      <x:c r="B212" s="24" t="str">
        <x:v>Norway</x:v>
      </x:c>
      <x:c r="C212" s="24" t="str">
        <x:v>EEZ</x:v>
      </x:c>
      <x:c r="D212" s="30" t="n">
        <x:v>2019</x:v>
      </x:c>
      <x:c r="E212" s="24" t="str">
        <x:v>Solen vagina</x:v>
      </x:c>
      <x:c r="F212" s="24" t="str">
        <x:v>European razor clam</x:v>
      </x:c>
      <x:c r="G212" s="24" t="str">
        <x:v>Other demersal invertebrates</x:v>
      </x:c>
      <x:c r="H212" s="24" t="str">
        <x:v>Molluscs</x:v>
      </x:c>
      <x:c r="I212" s="31" t="n">
        <x:v>0.008712434299999999</x:v>
      </x:c>
      <x:c r="J212" s="31" t="n">
        <x:v>0.008712434299999999</x:v>
      </x:c>
      <x:c r="K212" s="31" t="n">
        <x:v>0</x:v>
      </x:c>
      <x:c r="L212" s="31" t="n">
        <x:v>0.008712434299999999</x:v>
      </x:c>
      <x:c r="M212" s="31" t="n">
        <x:v>0</x:v>
      </x:c>
      <x:c r="N212" s="24" t="str">
        <x:v>solen vagina</x:v>
      </x:c>
      <x:c r="O212" s="32" t="n">
        <x:v>2</x:v>
      </x:c>
      <x:c r="P212" s="24" t="str">
        <x:v>exact_sea_around_us</x:v>
      </x:c>
      <x:c r="Q212" s="32" t="str">
        <x:v>Sea Around Us exploited organisms</x:v>
      </x:c>
      <x:c r="R212" s="24" t="str">
        <x:v>high</x:v>
      </x:c>
      <x:c r="S212" s="24" t="str">
        <x:v>Solen vagina</x:v>
      </x:c>
      <x:c r="T212" s="32" t="n">
        <x:f>IF(O212="","",(1/'Metadata'!$B$5)^(O212-1))</x:f>
        <x:v>10</x:v>
      </x:c>
      <x:c r="U212" s="31" t="n">
        <x:f>IF(T212="","",I212*T212)</x:f>
        <x:v>0.08712434299999999</x:v>
      </x:c>
    </x:row>
    <x:row r="213" ht="18" customHeight="1">
      <x:c r="A213" s="24" t="str">
        <x:v>EEZ_578</x:v>
      </x:c>
      <x:c r="B213" s="24" t="str">
        <x:v>Norway</x:v>
      </x:c>
      <x:c r="C213" s="24" t="str">
        <x:v>EEZ</x:v>
      </x:c>
      <x:c r="D213" s="30" t="n">
        <x:v>2019</x:v>
      </x:c>
      <x:c r="E213" s="24" t="str">
        <x:v>Mustelus mustelus</x:v>
      </x:c>
      <x:c r="F213" s="24" t="str">
        <x:v>Smooth-hound</x:v>
      </x:c>
      <x:c r="G213" s="24" t="str">
        <x:v>Large sharks (&gt;=90 cm)</x:v>
      </x:c>
      <x:c r="H213" s="24" t="str">
        <x:v>Sharks &amp; rays</x:v>
      </x:c>
      <x:c r="I213" s="31" t="n">
        <x:v>0.008663935000000001</x:v>
      </x:c>
      <x:c r="J213" s="31" t="n">
        <x:v>0.008663935000000001</x:v>
      </x:c>
      <x:c r="K213" s="31" t="n">
        <x:v>0</x:v>
      </x:c>
      <x:c r="L213" s="31" t="n">
        <x:v>0.008663935000000001</x:v>
      </x:c>
      <x:c r="M213" s="31" t="n">
        <x:v>0</x:v>
      </x:c>
      <x:c r="N213" s="24" t="str">
        <x:v>mustelus mustelus</x:v>
      </x:c>
      <x:c r="O213" s="32" t="n">
        <x:v>3.75</x:v>
      </x:c>
      <x:c r="P213" s="24" t="str">
        <x:v>exact_2020_supplement</x:v>
      </x:c>
      <x:c r="Q213" s="32" t="str">
        <x:v>2020 supplement MeanTL</x:v>
      </x:c>
      <x:c r="R213" s="24" t="str">
        <x:v>high</x:v>
      </x:c>
      <x:c r="S213" s="24" t="str">
        <x:v>Mustelus mustelus</x:v>
      </x:c>
      <x:c r="T213" s="32" t="n">
        <x:f>IF(O213="","",(1/'Metadata'!$B$5)^(O213-1))</x:f>
        <x:v>562.341325190349</x:v>
      </x:c>
      <x:c r="U213" s="31" t="n">
        <x:f>IF(T213="","",I213*T213)</x:f>
        <x:v>4.872088689263047</x:v>
      </x:c>
    </x:row>
    <x:row r="214" ht="18" customHeight="1">
      <x:c r="A214" s="24" t="str">
        <x:v>EEZ_578</x:v>
      </x:c>
      <x:c r="B214" s="24" t="str">
        <x:v>Norway</x:v>
      </x:c>
      <x:c r="C214" s="24" t="str">
        <x:v>EEZ</x:v>
      </x:c>
      <x:c r="D214" s="30" t="n">
        <x:v>2019</x:v>
      </x:c>
      <x:c r="E214" s="24" t="str">
        <x:v>Mimachlamys varia</x:v>
      </x:c>
      <x:c r="F214" s="24" t="str">
        <x:v>Variegated scallop</x:v>
      </x:c>
      <x:c r="G214" s="24" t="str">
        <x:v>Other demersal invertebrates</x:v>
      </x:c>
      <x:c r="H214" s="24" t="str">
        <x:v>Molluscs</x:v>
      </x:c>
      <x:c r="I214" s="31" t="n">
        <x:v>0.0060721902</x:v>
      </x:c>
      <x:c r="J214" s="31" t="n">
        <x:v>0.0060721902</x:v>
      </x:c>
      <x:c r="K214" s="31" t="n">
        <x:v>0</x:v>
      </x:c>
      <x:c r="L214" s="31" t="n">
        <x:v>0.0060721902</x:v>
      </x:c>
      <x:c r="M214" s="31" t="n">
        <x:v>0</x:v>
      </x:c>
      <x:c r="N214" s="24" t="str">
        <x:v>mimachlamys varia</x:v>
      </x:c>
      <x:c r="O214" s="32" t="n">
        <x:v>2.1</x:v>
      </x:c>
      <x:c r="P214" s="24" t="str">
        <x:v>exact_sea_around_us</x:v>
      </x:c>
      <x:c r="Q214" s="32" t="str">
        <x:v>Sea Around Us exploited organisms</x:v>
      </x:c>
      <x:c r="R214" s="24" t="str">
        <x:v>high</x:v>
      </x:c>
      <x:c r="S214" s="24" t="str">
        <x:v>Mimachlamys varia</x:v>
      </x:c>
      <x:c r="T214" s="32" t="n">
        <x:f>IF(O214="","",(1/'Metadata'!$B$5)^(O214-1))</x:f>
        <x:v>12.589254117941675</x:v>
      </x:c>
      <x:c r="U214" s="31" t="n">
        <x:f>IF(T214="","",I214*T214)</x:f>
        <x:v>0.07644434548027508</x:v>
      </x:c>
    </x:row>
    <x:row r="215" ht="18" customHeight="1">
      <x:c r="A215" s="24" t="str">
        <x:v>EEZ_578</x:v>
      </x:c>
      <x:c r="B215" s="24" t="str">
        <x:v>Norway</x:v>
      </x:c>
      <x:c r="C215" s="24" t="str">
        <x:v>EEZ</x:v>
      </x:c>
      <x:c r="D215" s="30" t="n">
        <x:v>2019</x:v>
      </x:c>
      <x:c r="E215" s="24" t="str">
        <x:v>Labridae</x:v>
      </x:c>
      <x:c r="F215" s="24" t="str">
        <x:v>Wrasses, gropers, tuskfishes</x:v>
      </x:c>
      <x:c r="G215" s="24" t="str">
        <x:v>Medium reef assoc. fish (30 - 89 cm)</x:v>
      </x:c>
      <x:c r="H215" s="24" t="str">
        <x:v>Perch-likes</x:v>
      </x:c>
      <x:c r="I215" s="31" t="n">
        <x:v>0.0051903999</x:v>
      </x:c>
      <x:c r="J215" s="31" t="n">
        <x:v>0.0051903999</x:v>
      </x:c>
      <x:c r="K215" s="31" t="n">
        <x:v>0</x:v>
      </x:c>
      <x:c r="L215" s="31" t="n">
        <x:v>0.0051903999</x:v>
      </x:c>
      <x:c r="M215" s="31" t="n">
        <x:v>0</x:v>
      </x:c>
      <x:c r="N215" s="24" t="str">
        <x:v>labridae</x:v>
      </x:c>
      <x:c r="O215" s="32" t="n">
        <x:v>3.46</x:v>
      </x:c>
      <x:c r="P215" s="24" t="str">
        <x:v>exact_sea_around_us</x:v>
      </x:c>
      <x:c r="Q215" s="32" t="str">
        <x:v>Sea Around Us exploited organisms</x:v>
      </x:c>
      <x:c r="R215" s="24" t="str">
        <x:v>high</x:v>
      </x:c>
      <x:c r="S215" s="24" t="str">
        <x:v>Labridae</x:v>
      </x:c>
      <x:c r="T215" s="32" t="n">
        <x:f>IF(O215="","",(1/'Metadata'!$B$5)^(O215-1))</x:f>
        <x:v>288.40315031266056</x:v>
      </x:c>
      <x:c r="U215" s="31" t="n">
        <x:f>IF(T215="","",I215*T215)</x:f>
        <x:v>1.4969276825425184</x:v>
      </x:c>
    </x:row>
    <x:row r="216" ht="18" customHeight="1">
      <x:c r="A216" s="24" t="str">
        <x:v>EEZ_578</x:v>
      </x:c>
      <x:c r="B216" s="24" t="str">
        <x:v>Norway</x:v>
      </x:c>
      <x:c r="C216" s="24" t="str">
        <x:v>EEZ</x:v>
      </x:c>
      <x:c r="D216" s="30" t="n">
        <x:v>2019</x:v>
      </x:c>
      <x:c r="E216" s="24" t="str">
        <x:v>Cyprinidae</x:v>
      </x:c>
      <x:c r="F216" s="24" t="str">
        <x:v>Carps, barbels, other cyprinids</x:v>
      </x:c>
      <x:c r="G216" s="24" t="str">
        <x:v>Medium demersals (30 - 89 cm)</x:v>
      </x:c>
      <x:c r="H216" s="24" t="str">
        <x:v>Other fishes &amp; inverts</x:v>
      </x:c>
      <x:c r="I216" s="31" t="n">
        <x:v>0.0035479417</x:v>
      </x:c>
      <x:c r="J216" s="31" t="n">
        <x:v>0.0035479417</x:v>
      </x:c>
      <x:c r="K216" s="31" t="n">
        <x:v>0</x:v>
      </x:c>
      <x:c r="L216" s="31" t="n">
        <x:v>0</x:v>
      </x:c>
      <x:c r="M216" s="31" t="n">
        <x:v>0.0035479417</x:v>
      </x:c>
      <x:c r="N216" s="24" t="str">
        <x:v>cyprinidae</x:v>
      </x:c>
      <x:c r="O216" s="32" t="n">
        <x:v>2.8</x:v>
      </x:c>
      <x:c r="P216" s="24" t="str">
        <x:v>exact_sea_around_us</x:v>
      </x:c>
      <x:c r="Q216" s="32" t="str">
        <x:v>Sea Around Us exploited organisms</x:v>
      </x:c>
      <x:c r="R216" s="24" t="str">
        <x:v>high</x:v>
      </x:c>
      <x:c r="S216" s="24" t="str">
        <x:v>Cyprinidae</x:v>
      </x:c>
      <x:c r="T216" s="32" t="n">
        <x:f>IF(O216="","",(1/'Metadata'!$B$5)^(O216-1))</x:f>
        <x:v>63.0957344480193</x:v>
      </x:c>
      <x:c r="U216" s="31" t="n">
        <x:f>IF(T216="","",I216*T216)</x:f>
        <x:v>0.22385998734025417</x:v>
      </x:c>
    </x:row>
    <x:row r="217" ht="18" customHeight="1">
      <x:c r="A217" s="24" t="str">
        <x:v>EEZ_578</x:v>
      </x:c>
      <x:c r="B217" s="24" t="str">
        <x:v>Norway</x:v>
      </x:c>
      <x:c r="C217" s="24" t="str">
        <x:v>EEZ</x:v>
      </x:c>
      <x:c r="D217" s="30" t="n">
        <x:v>2019</x:v>
      </x:c>
      <x:c r="E217" s="24" t="str">
        <x:v>Squatina squatina</x:v>
      </x:c>
      <x:c r="F217" s="24" t="str">
        <x:v>Angelshark</x:v>
      </x:c>
      <x:c r="G217" s="24" t="str">
        <x:v>Large sharks (&gt;=90 cm)</x:v>
      </x:c>
      <x:c r="H217" s="24" t="str">
        <x:v>Sharks &amp; rays</x:v>
      </x:c>
      <x:c r="I217" s="31" t="n">
        <x:v>0.0027669320999999998</x:v>
      </x:c>
      <x:c r="J217" s="31" t="n">
        <x:v>0.0027669320999999998</x:v>
      </x:c>
      <x:c r="K217" s="31" t="n">
        <x:v>0</x:v>
      </x:c>
      <x:c r="L217" s="31" t="n">
        <x:v>0.0027669320999999998</x:v>
      </x:c>
      <x:c r="M217" s="31" t="n">
        <x:v>0</x:v>
      </x:c>
      <x:c r="N217" s="24" t="str">
        <x:v>squatina squatina</x:v>
      </x:c>
      <x:c r="O217" s="32" t="n">
        <x:v>4.05</x:v>
      </x:c>
      <x:c r="P217" s="24" t="str">
        <x:v>exact_2020_supplement</x:v>
      </x:c>
      <x:c r="Q217" s="32" t="str">
        <x:v>2020 supplement MeanTL</x:v>
      </x:c>
      <x:c r="R217" s="24" t="str">
        <x:v>high</x:v>
      </x:c>
      <x:c r="S217" s="24" t="str">
        <x:v>Squatina squatina</x:v>
      </x:c>
      <x:c r="T217" s="32" t="n">
        <x:f>IF(O217="","",(1/'Metadata'!$B$5)^(O217-1))</x:f>
        <x:v>1122.018454301963</x:v>
      </x:c>
      <x:c r="U217" s="31" t="n">
        <x:f>IF(T217="","",I217*T217)</x:f>
        <x:v>3.104548878000484</x:v>
      </x:c>
    </x:row>
    <x:row r="218" ht="18" customHeight="1">
      <x:c r="A218" s="24" t="str">
        <x:v>EEZ_578</x:v>
      </x:c>
      <x:c r="B218" s="24" t="str">
        <x:v>Norway</x:v>
      </x:c>
      <x:c r="C218" s="24" t="str">
        <x:v>EEZ</x:v>
      </x:c>
      <x:c r="D218" s="30" t="n">
        <x:v>2019</x:v>
      </x:c>
      <x:c r="E218" s="24" t="str">
        <x:v>Balistidae</x:v>
      </x:c>
      <x:c r="F218" s="24" t="str">
        <x:v>Triggerfishes</x:v>
      </x:c>
      <x:c r="G218" s="24" t="str">
        <x:v>Medium reef assoc. fish (30 - 89 cm)</x:v>
      </x:c>
      <x:c r="H218" s="24" t="str">
        <x:v>Other fishes &amp; inverts</x:v>
      </x:c>
      <x:c r="I218" s="31" t="n">
        <x:v>0.0011772207</x:v>
      </x:c>
      <x:c r="J218" s="31" t="n">
        <x:v>0</x:v>
      </x:c>
      <x:c r="K218" s="31" t="n">
        <x:v>0.0011772207</x:v>
      </x:c>
      <x:c r="L218" s="31" t="n">
        <x:v>0</x:v>
      </x:c>
      <x:c r="M218" s="31" t="n">
        <x:v>0.0011772207</x:v>
      </x:c>
      <x:c r="N218" s="24" t="str">
        <x:v>balistidae</x:v>
      </x:c>
      <x:c r="O218" s="32" t="n">
        <x:v>3.25</x:v>
      </x:c>
      <x:c r="P218" s="24" t="str">
        <x:v>exact_sea_around_us</x:v>
      </x:c>
      <x:c r="Q218" s="32" t="str">
        <x:v>Sea Around Us exploited organisms</x:v>
      </x:c>
      <x:c r="R218" s="24" t="str">
        <x:v>high</x:v>
      </x:c>
      <x:c r="S218" s="24" t="str">
        <x:v>Balistidae</x:v>
      </x:c>
      <x:c r="T218" s="32" t="n">
        <x:f>IF(O218="","",(1/'Metadata'!$B$5)^(O218-1))</x:f>
        <x:v>177.82794100389228</x:v>
      </x:c>
      <x:c r="U218" s="31" t="n">
        <x:f>IF(T218="","",I218*T218)</x:f>
        <x:v>0.20934273318816074</x:v>
      </x:c>
    </x:row>
    <x:row r="219" ht="18" customHeight="1">
      <x:c r="A219" s="24" t="str">
        <x:v>EEZ_578</x:v>
      </x:c>
      <x:c r="B219" s="24" t="str">
        <x:v>Norway</x:v>
      </x:c>
      <x:c r="C219" s="24" t="str">
        <x:v>EEZ</x:v>
      </x:c>
      <x:c r="D219" s="30" t="n">
        <x:v>2019</x:v>
      </x:c>
      <x:c r="E219" s="24" t="str">
        <x:v>Palinurus</x:v>
      </x:c>
      <x:c r="F219" s="24" t="str">
        <x:v>Spiny lobsters</x:v>
      </x:c>
      <x:c r="G219" s="24" t="str">
        <x:v>Lobsters, crabs</x:v>
      </x:c>
      <x:c r="H219" s="24" t="str">
        <x:v>Crustaceans</x:v>
      </x:c>
      <x:c r="I219" s="31" t="n">
        <x:v>0.0006953443</x:v>
      </x:c>
      <x:c r="J219" s="31" t="n">
        <x:v>0.0006953443</x:v>
      </x:c>
      <x:c r="K219" s="31" t="n">
        <x:v>0</x:v>
      </x:c>
      <x:c r="L219" s="31" t="n">
        <x:v>0.0006953443</x:v>
      </x:c>
      <x:c r="M219" s="31" t="n">
        <x:v>0</x:v>
      </x:c>
      <x:c r="N219" s="24" t="str">
        <x:v>palinurus</x:v>
      </x:c>
      <x:c r="O219" s="32" t="n">
        <x:v>2.7</x:v>
      </x:c>
      <x:c r="P219" s="24" t="str">
        <x:v>exact_sea_around_us</x:v>
      </x:c>
      <x:c r="Q219" s="32" t="str">
        <x:v>Sea Around Us exploited organisms</x:v>
      </x:c>
      <x:c r="R219" s="24" t="str">
        <x:v>high</x:v>
      </x:c>
      <x:c r="S219" s="24" t="str">
        <x:v>Palinurus</x:v>
      </x:c>
      <x:c r="T219" s="32" t="n">
        <x:f>IF(O219="","",(1/'Metadata'!$B$5)^(O219-1))</x:f>
        <x:v>50.11872336272725</x:v>
      </x:c>
      <x:c r="U219" s="31" t="n">
        <x:f>IF(T219="","",I219*T219)</x:f>
        <x:v>0.03484976861354923</x:v>
      </x:c>
    </x:row>
    <x:row r="220" ht="18" customHeight="1">
      <x:c r="A220" s="24" t="str">
        <x:v>EEZ_578</x:v>
      </x:c>
      <x:c r="B220" s="24" t="str">
        <x:v>Norway</x:v>
      </x:c>
      <x:c r="C220" s="24" t="str">
        <x:v>EEZ</x:v>
      </x:c>
      <x:c r="D220" s="30" t="n">
        <x:v>2019</x:v>
      </x:c>
      <x:c r="E220" s="24" t="str">
        <x:v>Trachipterus</x:v>
      </x:c>
      <x:c r="F220" s="24" t="str">
        <x:v>Ribbonfishes</x:v>
      </x:c>
      <x:c r="G220" s="24" t="str">
        <x:v>Large bathypelagics (&gt;=90 cm)</x:v>
      </x:c>
      <x:c r="H220" s="24" t="str">
        <x:v>Other fishes &amp; inverts</x:v>
      </x:c>
      <x:c r="I220" s="31" t="n">
        <x:v>0.0006645441999999999</x:v>
      </x:c>
      <x:c r="J220" s="31" t="n">
        <x:v>0.0004649494</x:v>
      </x:c>
      <x:c r="K220" s="31" t="n">
        <x:v>0.0001995948</x:v>
      </x:c>
      <x:c r="L220" s="31" t="n">
        <x:v>0</x:v>
      </x:c>
      <x:c r="M220" s="31" t="n">
        <x:v>0.0006645441999999999</x:v>
      </x:c>
      <x:c r="N220" s="24" t="str">
        <x:v>trachipterus</x:v>
      </x:c>
      <x:c r="O220" s="32" t="n">
        <x:v>4.5</x:v>
      </x:c>
      <x:c r="P220" s="24" t="str">
        <x:v>exact_sea_around_us</x:v>
      </x:c>
      <x:c r="Q220" s="32" t="str">
        <x:v>Sea Around Us exploited organisms</x:v>
      </x:c>
      <x:c r="R220" s="24" t="str">
        <x:v>high</x:v>
      </x:c>
      <x:c r="S220" s="24" t="str">
        <x:v>Trachipterus</x:v>
      </x:c>
      <x:c r="T220" s="32" t="n">
        <x:f>IF(O220="","",(1/'Metadata'!$B$5)^(O220-1))</x:f>
        <x:v>3162.2776601683795</x:v>
      </x:c>
      <x:c r="U220" s="31" t="n">
        <x:f>IF(T220="","",I220*T220)</x:f>
        <x:v>2.1014732778544674</x:v>
      </x:c>
    </x:row>
    <x:row r="221" ht="18" customHeight="1">
      <x:c r="A221" s="24" t="str">
        <x:v>EEZ_578</x:v>
      </x:c>
      <x:c r="B221" s="24" t="str">
        <x:v>Norway</x:v>
      </x:c>
      <x:c r="C221" s="24" t="str">
        <x:v>EEZ</x:v>
      </x:c>
      <x:c r="D221" s="30" t="n">
        <x:v>2019</x:v>
      </x:c>
      <x:c r="E221" s="24" t="str">
        <x:v>Chondrichthyes</x:v>
      </x:c>
      <x:c r="F221" s="24" t="str">
        <x:v>Sharks, rays, chimaeras</x:v>
      </x:c>
      <x:c r="G221" s="24" t="str">
        <x:v>Large sharks (&gt;=90 cm)</x:v>
      </x:c>
      <x:c r="H221" s="24" t="str">
        <x:v>Sharks &amp; rays</x:v>
      </x:c>
      <x:c r="I221" s="31" t="n">
        <x:v>0.0004242427</x:v>
      </x:c>
      <x:c r="J221" s="31" t="n">
        <x:v>0.00029283</x:v>
      </x:c>
      <x:c r="K221" s="31" t="n">
        <x:v>0.0001314127</x:v>
      </x:c>
      <x:c r="L221" s="31" t="n">
        <x:v>0</x:v>
      </x:c>
      <x:c r="M221" s="31" t="n">
        <x:v>0.0004242427</x:v>
      </x:c>
      <x:c r="N221" s="24" t="str">
        <x:v>chondrichthyes</x:v>
      </x:c>
      <x:c r="O221" s="32" t="n">
        <x:v>4</x:v>
      </x:c>
      <x:c r="P221" s="24" t="str">
        <x:v>exact_sea_around_us</x:v>
      </x:c>
      <x:c r="Q221" s="32" t="str">
        <x:v>Sea Around Us exploited organisms</x:v>
      </x:c>
      <x:c r="R221" s="24" t="str">
        <x:v>high</x:v>
      </x:c>
      <x:c r="S221" s="24" t="str">
        <x:v>Chondrichthyes</x:v>
      </x:c>
      <x:c r="T221" s="32" t="n">
        <x:f>IF(O221="","",(1/'Metadata'!$B$5)^(O221-1))</x:f>
        <x:v>1000</x:v>
      </x:c>
      <x:c r="U221" s="31" t="n">
        <x:f>IF(T221="","",I221*T221)</x:f>
        <x:v>0.4242427</x:v>
      </x:c>
    </x:row>
    <x:row r="222" ht="18" customHeight="1">
      <x:c r="A222" s="24" t="str">
        <x:v>EEZ_578</x:v>
      </x:c>
      <x:c r="B222" s="24" t="str">
        <x:v>Norway</x:v>
      </x:c>
      <x:c r="C222" s="24" t="str">
        <x:v>EEZ</x:v>
      </x:c>
      <x:c r="D222" s="30" t="n">
        <x:v>2019</x:v>
      </x:c>
      <x:c r="E222" s="24" t="str">
        <x:v>Mugilidae</x:v>
      </x:c>
      <x:c r="F222" s="24" t="str">
        <x:v>Mullets, grey mullets</x:v>
      </x:c>
      <x:c r="G222" s="24" t="str">
        <x:v>Medium reef assoc. fish (30 - 89 cm)</x:v>
      </x:c>
      <x:c r="H222" s="24" t="str">
        <x:v>Perch-likes</x:v>
      </x:c>
      <x:c r="I222" s="31" t="n">
        <x:v>0.000344686</x:v>
      </x:c>
      <x:c r="J222" s="31" t="n">
        <x:v>0.0002219501</x:v>
      </x:c>
      <x:c r="K222" s="31" t="n">
        <x:v>0.0001227359</x:v>
      </x:c>
      <x:c r="L222" s="31" t="n">
        <x:v>0</x:v>
      </x:c>
      <x:c r="M222" s="31" t="n">
        <x:v>0.000344686</x:v>
      </x:c>
      <x:c r="N222" s="24" t="str">
        <x:v>mugilidae</x:v>
      </x:c>
      <x:c r="O222" s="32" t="n">
        <x:v>2.53</x:v>
      </x:c>
      <x:c r="P222" s="24" t="str">
        <x:v>exact_sea_around_us</x:v>
      </x:c>
      <x:c r="Q222" s="32" t="str">
        <x:v>Sea Around Us exploited organisms</x:v>
      </x:c>
      <x:c r="R222" s="24" t="str">
        <x:v>high</x:v>
      </x:c>
      <x:c r="S222" s="24" t="str">
        <x:v>Mugilidae</x:v>
      </x:c>
      <x:c r="T222" s="32" t="n">
        <x:f>IF(O222="","",(1/'Metadata'!$B$5)^(O222-1))</x:f>
        <x:v>33.88441561392024</x:v>
      </x:c>
      <x:c r="U222" s="31" t="n">
        <x:f>IF(T222="","",I222*T222)</x:f>
        <x:v>0.011679483680299713</x:v>
      </x:c>
    </x:row>
    <x:row r="223" ht="18" customHeight="1">
      <x:c r="A223" s="24" t="str">
        <x:v>EEZ_578</x:v>
      </x:c>
      <x:c r="B223" s="24" t="str">
        <x:v>Norway</x:v>
      </x:c>
      <x:c r="C223" s="24" t="str">
        <x:v>EEZ</x:v>
      </x:c>
      <x:c r="D223" s="30" t="n">
        <x:v>2019</x:v>
      </x:c>
      <x:c r="E223" s="24" t="str">
        <x:v>Bramidae</x:v>
      </x:c>
      <x:c r="F223" s="24" t="str">
        <x:v>Pomfrets</x:v>
      </x:c>
      <x:c r="G223" s="24" t="str">
        <x:v>Medium pelagics (30 - 89 cm)</x:v>
      </x:c>
      <x:c r="H223" s="24" t="str">
        <x:v>Perch-likes</x:v>
      </x:c>
      <x:c r="I223" s="31" t="n">
        <x:v>0.000122391</x:v>
      </x:c>
      <x:c r="J223" s="31" t="n">
        <x:v>0.000085631</x:v>
      </x:c>
      <x:c r="K223" s="31" t="n">
        <x:v>0.00003676</x:v>
      </x:c>
      <x:c r="L223" s="31" t="n">
        <x:v>0</x:v>
      </x:c>
      <x:c r="M223" s="31" t="n">
        <x:v>0.000122391</x:v>
      </x:c>
      <x:c r="N223" s="24" t="str">
        <x:v>bramidae</x:v>
      </x:c>
      <x:c r="O223" s="32" t="n">
        <x:v>4.14</x:v>
      </x:c>
      <x:c r="P223" s="24" t="str">
        <x:v>exact_sea_around_us</x:v>
      </x:c>
      <x:c r="Q223" s="32" t="str">
        <x:v>Sea Around Us exploited organisms</x:v>
      </x:c>
      <x:c r="R223" s="24" t="str">
        <x:v>high</x:v>
      </x:c>
      <x:c r="S223" s="24" t="str">
        <x:v>Bramidae</x:v>
      </x:c>
      <x:c r="T223" s="32" t="n">
        <x:f>IF(O223="","",(1/'Metadata'!$B$5)^(O223-1))</x:f>
        <x:v>1380.3842646028838</x:v>
      </x:c>
      <x:c r="U223" s="31" t="n">
        <x:f>IF(T223="","",I223*T223)</x:f>
        <x:v>0.16894661052901153</x:v>
      </x:c>
    </x:row>
  </x:sheetData>
  <x:conditionalFormatting sqref="R2:R22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a4f93efca51446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0.2427879896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31.27715187586772</x:v>
      </x:c>
    </x:row>
    <x:row r="3" ht="18" customHeight="1">
      <x:c r="A3" s="24" t="str">
        <x:v>Cod-likes</x:v>
      </x:c>
      <x:c r="B3" s="31" t="n">
        <x:v>855625.0705192535</x:v>
      </x:c>
      <x:c r="C3" s="32" t="n">
        <x:v>4.102026156252515</x:v>
      </x:c>
      <x:c r="D3" s="32" t="n">
        <x:f>IF(C3="","",(1/'Metadata'!$B$5)^(C3-1))</x:f>
        <x:v>1264.8125210373507</x:v>
      </x:c>
      <x:c r="E3" s="31" t="n">
        <x:f>IF(B3=0,"",B3*D3)</x:f>
        <x:v>1082205302.506218</x:v>
      </x:c>
    </x:row>
    <x:row r="4" ht="18" customHeight="1">
      <x:c r="A4" s="24" t="str">
        <x:v>Crustaceans</x:v>
      </x:c>
      <x:c r="B4" s="31" t="n">
        <x:v>21039.909062993698</x:v>
      </x:c>
      <x:c r="C4" s="32" t="n">
        <x:v>3.131754913567432</x:v>
      </x:c>
      <x:c r="D4" s="32" t="n">
        <x:f>IF(C4="","",(1/'Metadata'!$B$5)^(C4-1))</x:f>
        <x:v>135.4424850857104</x:v>
      </x:c>
      <x:c r="E4" s="31" t="n">
        <x:f>IF(B4=0,"",B4*D4)</x:f>
        <x:v>2849697.569469227</x:v>
      </x:c>
    </x:row>
    <x:row r="5" ht="18" customHeight="1">
      <x:c r="A5" s="24" t="str">
        <x:v>Flatfishes</x:v>
      </x:c>
      <x:c r="B5" s="31" t="n">
        <x:v>25407.575865376402</x:v>
      </x:c>
      <x:c r="C5" s="32" t="n">
        <x:v>4.023412621037497</x:v>
      </x:c>
      <x:c r="D5" s="32" t="n">
        <x:f>IF(C5="","",(1/'Metadata'!$B$5)^(C5-1))</x:f>
        <x:v>1055.389140200351</x:v>
      </x:c>
      <x:c r="E5" s="31" t="n">
        <x:f>IF(B5=0,"",B5*D5)</x:f>
        <x:v>26814879.64713479</x:v>
      </x:c>
    </x:row>
    <x:row r="6" ht="18" customHeight="1">
      <x:c r="A6" s="24" t="str">
        <x:v>Herring-likes</x:v>
      </x:c>
      <x:c r="B6" s="31" t="n">
        <x:v>573905.1467385307</x:v>
      </x:c>
      <x:c r="C6" s="32" t="n">
        <x:v>3.378595246988477</x:v>
      </x:c>
      <x:c r="D6" s="32" t="n">
        <x:f>IF(C6="","",(1/'Metadata'!$B$5)^(C6-1))</x:f>
        <x:v>239.1086277247831</x:v>
      </x:c>
      <x:c r="E6" s="31" t="n">
        <x:f>IF(B6=0,"",B6*D6)</x:f>
        <x:v>137225672.08084035</x:v>
      </x:c>
    </x:row>
    <x:row r="7" ht="18" customHeight="1">
      <x:c r="A7" s="24" t="str">
        <x:v>Molluscs</x:v>
      </x:c>
      <x:c r="B7" s="31" t="n">
        <x:v>590.0518182972</x:v>
      </x:c>
      <x:c r="C7" s="32" t="n">
        <x:v>2.1109372700809783</x:v>
      </x:c>
      <x:c r="D7" s="32" t="n">
        <x:f>IF(C7="","",(1/'Metadata'!$B$5)^(C7-1))</x:f>
        <x:v>12.910327821097075</x:v>
      </x:c>
      <x:c r="E7" s="31" t="n">
        <x:f>IF(B7=0,"",B7*D7)</x:f>
        <x:v>7617.762405651258</x:v>
      </x:c>
    </x:row>
    <x:row r="8" ht="18" customHeight="1">
      <x:c r="A8" s="24" t="str">
        <x:v>Other fishes &amp; inverts</x:v>
      </x:c>
      <x:c r="B8" s="31" t="n">
        <x:v>35465.1573602954</x:v>
      </x:c>
      <x:c r="C8" s="32" t="n">
        <x:v>3.346683042359567</x:v>
      </x:c>
      <x:c r="D8" s="32" t="n">
        <x:f>IF(C8="","",(1/'Metadata'!$B$5)^(C8-1))</x:f>
        <x:v>222.16878622862356</x:v>
      </x:c>
      <x:c r="E8" s="31" t="n">
        <x:f>IF(B8=0,"",B8*D8)</x:f>
        <x:v>7879250.964143964</x:v>
      </x:c>
    </x:row>
    <x:row r="9" ht="18" customHeight="1">
      <x:c r="A9" s="24" t="str">
        <x:v>Perch-likes</x:v>
      </x:c>
      <x:c r="B9" s="31" t="n">
        <x:v>164392.53399160542</x:v>
      </x:c>
      <x:c r="C9" s="32" t="n">
        <x:v>3.631482351820427</x:v>
      </x:c>
      <x:c r="D9" s="32" t="n">
        <x:f>IF(C9="","",(1/'Metadata'!$B$5)^(C9-1))</x:f>
        <x:v>428.0380252933061</x:v>
      </x:c>
      <x:c r="E9" s="31" t="n">
        <x:f>IF(B9=0,"",B9*D9)</x:f>
        <x:v>70366255.62272948</x:v>
      </x:c>
    </x:row>
    <x:row r="10" ht="18" customHeight="1">
      <x:c r="A10" s="24" t="str">
        <x:v>Salmon, smelts, etc</x:v>
      </x:c>
      <x:c r="B10" s="31" t="n">
        <x:v>439.7983496432</x:v>
      </x:c>
      <x:c r="C10" s="32" t="n">
        <x:v>3.3661367131550413</x:v>
      </x:c>
      <x:c r="D10" s="32" t="n">
        <x:f>IF(C10="","",(1/'Metadata'!$B$5)^(C10-1))</x:f>
        <x:v>232.34680943021567</x:v>
      </x:c>
      <x:c r="E10" s="31" t="n">
        <x:f>IF(B10=0,"",B10*D10)</x:f>
        <x:v>102185.74333227196</x:v>
      </x:c>
    </x:row>
    <x:row r="11" ht="18" customHeight="1">
      <x:c r="A11" s="24" t="str">
        <x:v>Scorpionfishes</x:v>
      </x:c>
      <x:c r="B11" s="31" t="n">
        <x:v>32570.0131389079</x:v>
      </x:c>
      <x:c r="C11" s="32" t="n">
        <x:v>3.9020417260439215</x:v>
      </x:c>
      <x:c r="D11" s="32" t="n">
        <x:f>IF(C11="","",(1/'Metadata'!$B$5)^(C11-1))</x:f>
        <x:v>798.0713604986238</x:v>
      </x:c>
      <x:c r="E11" s="31" t="n">
        <x:f>IF(B11=0,"",B11*D11)</x:f>
        <x:v>25993194.69722628</x:v>
      </x:c>
    </x:row>
    <x:row r="12" ht="18" customHeight="1">
      <x:c r="A12" s="24" t="str">
        <x:v>Sharks &amp; rays</x:v>
      </x:c>
      <x:c r="B12" s="31" t="n">
        <x:v>815.2776206584</x:v>
      </x:c>
      <x:c r="C12" s="32" t="n">
        <x:v>4.152798366857965</x:v>
      </x:c>
      <x:c r="D12" s="32" t="n">
        <x:f>IF(C12="","",(1/'Metadata'!$B$5)^(C12-1))</x:f>
        <x:v>1421.668585186447</x:v>
      </x:c>
      <x:c r="E12" s="31" t="n">
        <x:f>IF(B12=0,"",B12*D12)</x:f>
        <x:v>1159054.5814956003</x:v>
      </x:c>
    </x:row>
    <x:row r="13" ht="18" customHeight="1">
      <x:c r="A13" s="24" t="str">
        <x:v>Tuna &amp; billfishes</x:v>
      </x:c>
      <x:c r="B13" s="31" t="n">
        <x:v>62.7269090237</x:v>
      </x:c>
      <x:c r="C13" s="32" t="n">
        <x:v>4.461357991440896</x:v>
      </x:c>
      <x:c r="D13" s="32" t="n">
        <x:f>IF(C13="","",(1/'Metadata'!$B$5)^(C13-1))</x:f>
        <x:v>2893.0636687784795</x:v>
      </x:c>
      <x:c r="E13" s="31" t="n">
        <x:f>IF(B13=0,"",B13*D13)</x:f>
        <x:v>181472.94155123943</x:v>
      </x:c>
    </x:row>
  </x:sheetData>
  <x:pageMargins left="0.7" right="0.7" top="0.75" bottom="0.75" header="0.3" footer="0.3"/>
  <x:tableParts count="1">
    <x:tablePart xmlns:r="http://schemas.openxmlformats.org/officeDocument/2006/relationships" r:id="R79ee60713268484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220.95031557410002</x:v>
      </x:c>
      <x:c r="C2" s="32" t="n">
        <x:v>3.9533189482562245</x:v>
      </x:c>
      <x:c r="D2" s="32" t="n">
        <x:f>IF(C2="","",(1/'Metadata'!$B$5)^(C2-1))</x:f>
        <x:v>898.088113217497</x:v>
      </x:c>
      <x:c r="E2" s="31" t="n">
        <x:f>IF(B2=0,"",B2*D2)</x:f>
        <x:v>198432.85202875405</x:v>
      </x:c>
    </x:row>
    <x:row r="3" ht="18" customHeight="1">
      <x:c r="A3" s="24" t="str">
        <x:v>Large bathydemersals (&gt;=90 cm)</x:v>
      </x:c>
      <x:c r="B3" s="31" t="n">
        <x:v>1088.0961586186</x:v>
      </x:c>
      <x:c r="C3" s="32" t="n">
        <x:v>4.417810962964518</x:v>
      </x:c>
      <x:c r="D3" s="32" t="n">
        <x:f>IF(C3="","",(1/'Metadata'!$B$5)^(C3-1))</x:f>
        <x:v>2617.043629583867</x:v>
      </x:c>
      <x:c r="E3" s="31" t="n">
        <x:f>IF(B3=0,"",B3*D3)</x:f>
        <x:v>2847595.120287484</x:v>
      </x:c>
    </x:row>
    <x:row r="4" ht="18" customHeight="1">
      <x:c r="A4" s="24" t="str">
        <x:v>Large bathypelagics (&gt;=90 cm)</x:v>
      </x:c>
      <x:c r="B4" s="31" t="n">
        <x:v>34.578900159499995</x:v>
      </x:c>
      <x:c r="C4" s="32" t="n">
        <x:v>3.5400184494714715</x:v>
      </x:c>
      <x:c r="D4" s="32" t="n">
        <x:f>IF(C4="","",(1/'Metadata'!$B$5)^(C4-1))</x:f>
        <x:v>346.7515806592886</x:v>
      </x:c>
      <x:c r="E4" s="31" t="n">
        <x:f>IF(B4=0,"",B4*D4)</x:f>
        <x:v>11990.28828776635</x:v>
      </x:c>
    </x:row>
    <x:row r="5" ht="18" customHeight="1">
      <x:c r="A5" s="24" t="str">
        <x:v>Large benthopelagics (&gt;=90 cm)</x:v>
      </x:c>
      <x:c r="B5" s="31" t="n">
        <x:v>447438.5659353339</x:v>
      </x:c>
      <x:c r="C5" s="32" t="n">
        <x:v>4.088230228580863</x:v>
      </x:c>
      <x:c r="D5" s="32" t="n">
        <x:f>IF(C5="","",(1/'Metadata'!$B$5)^(C5-1))</x:f>
        <x:v>1225.2655660108803</x:v>
      </x:c>
      <x:c r="E5" s="31" t="n">
        <x:f>IF(B5=0,"",B5*D5)</x:f>
        <x:v>548231067.7458535</x:v>
      </x:c>
    </x:row>
    <x:row r="6" ht="18" customHeight="1">
      <x:c r="A6" s="24" t="str">
        <x:v>Large demersals (&gt;=90 cm)</x:v>
      </x:c>
      <x:c r="B6" s="31" t="n">
        <x:v>249007.6825091726</x:v>
      </x:c>
      <x:c r="C6" s="32" t="n">
        <x:v>4.298013709453062</x:v>
      </x:c>
      <x:c r="D6" s="32" t="n">
        <x:f>IF(C6="","",(1/'Metadata'!$B$5)^(C6-1))</x:f>
        <x:v>1986.1576137671686</x:v>
      </x:c>
      <x:c r="E6" s="31" t="n">
        <x:f>IF(B6=0,"",B6*D6)</x:f>
        <x:v>494568504.50211096</x:v>
      </x:c>
    </x:row>
    <x:row r="7" ht="18" customHeight="1">
      <x:c r="A7" s="24" t="str">
        <x:v>Large flatfishes (&gt;=90 cm)</x:v>
      </x:c>
      <x:c r="B7" s="31" t="n">
        <x:v>6085.578252052</x:v>
      </x:c>
      <x:c r="C7" s="32" t="n">
        <x:v>3.2846162625694895</x:v>
      </x:c>
      <x:c r="D7" s="32" t="n">
        <x:f>IF(C7="","",(1/'Metadata'!$B$5)^(C7-1))</x:f>
        <x:v>192.58225273546992</x:v>
      </x:c>
      <x:c r="E7" s="31" t="n">
        <x:f>IF(B7=0,"",B7*D7)</x:f>
        <x:v>1171974.3689781574</x:v>
      </x:c>
    </x:row>
    <x:row r="8" ht="18" customHeight="1">
      <x:c r="A8" s="24" t="str">
        <x:v>Large pelagics (&gt;=90 cm)</x:v>
      </x:c>
      <x:c r="B8" s="31" t="n">
        <x:v>48.5880424247</x:v>
      </x:c>
      <x:c r="C8" s="32" t="n">
        <x:v>4.447528561151129</x:v>
      </x:c>
      <x:c r="D8" s="32" t="n">
        <x:f>IF(C8="","",(1/'Metadata'!$B$5)^(C8-1))</x:f>
        <x:v>2802.3899133244877</x:v>
      </x:c>
      <x:c r="E8" s="31" t="n">
        <x:f>IF(B8=0,"",B8*D8)</x:f>
        <x:v>136162.63999916156</x:v>
      </x:c>
    </x:row>
    <x:row r="9" ht="18" customHeight="1">
      <x:c r="A9" s="24" t="str">
        <x:v>Large rays (&gt;=90 cm)</x:v>
      </x:c>
      <x:c r="B9" s="31" t="n">
        <x:v>24.5623388667</x:v>
      </x:c>
      <x:c r="C9" s="32" t="n">
        <x:v>3.6762996540532544</x:v>
      </x:c>
      <x:c r="D9" s="32" t="n">
        <x:f>IF(C9="","",(1/'Metadata'!$B$5)^(C9-1))</x:f>
        <x:v>474.5693151625494</x:v>
      </x:c>
      <x:c r="E9" s="31" t="n">
        <x:f>IF(B9=0,"",B9*D9)</x:f>
        <x:v>11656.532334760288</x:v>
      </x:c>
    </x:row>
    <x:row r="10" ht="18" customHeight="1">
      <x:c r="A10" s="24" t="str">
        <x:v>Large reef assoc. fish (&gt;=90 cm)</x:v>
      </x:c>
      <x:c r="B10" s="31" t="n">
        <x:v>1556.4671238767</x:v>
      </x:c>
      <x:c r="C10" s="32" t="n">
        <x:v>3.7867721069257083</x:v>
      </x:c>
      <x:c r="D10" s="32" t="n">
        <x:f>IF(C10="","",(1/'Metadata'!$B$5)^(C10-1))</x:f>
        <x:v>612.0291493156113</x:v>
      </x:c>
      <x:c r="E10" s="31" t="n">
        <x:f>IF(B10=0,"",B10*D10)</x:f>
        <x:v>952603.2497639729</x:v>
      </x:c>
    </x:row>
    <x:row r="11" ht="18" customHeight="1">
      <x:c r="A11" s="24" t="str">
        <x:v>Large sharks (&gt;=90 cm)</x:v>
      </x:c>
      <x:c r="B11" s="31" t="n">
        <x:v>633.6573250591999</x:v>
      </x:c>
      <x:c r="C11" s="32" t="n">
        <x:v>4.241873814996543</x:v>
      </x:c>
      <x:c r="D11" s="32" t="n">
        <x:f>IF(C11="","",(1/'Metadata'!$B$5)^(C11-1))</x:f>
        <x:v>1745.3149749965237</x:v>
      </x:c>
      <x:c r="E11" s="31" t="n">
        <x:f>IF(B11=0,"",B11*D11)</x:f>
        <x:v>1105931.6184420616</x:v>
      </x:c>
    </x:row>
    <x:row r="12" ht="18" customHeight="1">
      <x:c r="A12" s="24" t="str">
        <x:v>Lobsters, crabs</x:v>
      </x:c>
      <x:c r="B12" s="31" t="n">
        <x:v>7036.193404469499</x:v>
      </x:c>
      <x:c r="C12" s="32" t="n">
        <x:v>3.2623269960395116</x:v>
      </x:c>
      <x:c r="D12" s="32" t="n">
        <x:f>IF(C12="","",(1/'Metadata'!$B$5)^(C12-1))</x:f>
        <x:v>182.94771773006636</x:v>
      </x:c>
      <x:c r="E12" s="31" t="n">
        <x:f>IF(B12=0,"",B12*D12)</x:f>
        <x:v>1287255.5248550405</x:v>
      </x:c>
    </x:row>
    <x:row r="13" ht="18" customHeight="1">
      <x:c r="A13" s="24" t="str">
        <x:v>Medium bathydemersals (30 - 89 cm)</x:v>
      </x:c>
      <x:c r="B13" s="31" t="n">
        <x:v>1249.9128219315003</x:v>
      </x:c>
      <x:c r="C13" s="32" t="n">
        <x:v>4.227720009174457</x:v>
      </x:c>
      <x:c r="D13" s="32" t="n">
        <x:f>IF(C13="","",(1/'Metadata'!$B$5)^(C13-1))</x:f>
        <x:v>1689.3514510419145</x:v>
      </x:c>
      <x:c r="E13" s="31" t="n">
        <x:f>IF(B13=0,"",B13*D13)</x:f>
        <x:v>2111542.039405874</x:v>
      </x:c>
    </x:row>
    <x:row r="14" ht="18" customHeight="1">
      <x:c r="A14" s="24" t="str">
        <x:v>Medium bathypelagics (30 - 89 cm)</x:v>
      </x:c>
      <x:c r="B14" s="31" t="n">
        <x:v>10377.586517186699</x:v>
      </x:c>
      <x:c r="C14" s="32" t="n">
        <x:v>3.650751824439762</x:v>
      </x:c>
      <x:c r="D14" s="32" t="n">
        <x:f>IF(C14="","",(1/'Metadata'!$B$5)^(C14-1))</x:f>
        <x:v>447.45753357901384</x:v>
      </x:c>
      <x:c r="E14" s="31" t="n">
        <x:f>IF(B14=0,"",B14*D14)</x:f>
        <x:v>4643529.267483189</x:v>
      </x:c>
    </x:row>
    <x:row r="15" ht="18" customHeight="1">
      <x:c r="A15" s="24" t="str">
        <x:v>Medium benthopelagics (30 - 89 cm)</x:v>
      </x:c>
      <x:c r="B15" s="31" t="n">
        <x:v>75388.55710607549</x:v>
      </x:c>
      <x:c r="C15" s="32" t="n">
        <x:v>3.5914702254093944</x:v>
      </x:c>
      <x:c r="D15" s="32" t="n">
        <x:f>IF(C15="","",(1/'Metadata'!$B$5)^(C15-1))</x:f>
        <x:v>390.3644187801077</x:v>
      </x:c>
      <x:c r="E15" s="31" t="n">
        <x:f>IF(B15=0,"",B15*D15)</x:f>
        <x:v>29429010.277384117</x:v>
      </x:c>
    </x:row>
    <x:row r="16" ht="18" customHeight="1">
      <x:c r="A16" s="24" t="str">
        <x:v>Medium demersals (30 - 89 cm)</x:v>
      </x:c>
      <x:c r="B16" s="31" t="n">
        <x:v>142643.55858350487</x:v>
      </x:c>
      <x:c r="C16" s="32" t="n">
        <x:v>3.8534678081888463</x:v>
      </x:c>
      <x:c r="D16" s="32" t="n">
        <x:f>IF(C16="","",(1/'Metadata'!$B$5)^(C16-1))</x:f>
        <x:v>713.621306421867</x:v>
      </x:c>
      <x:c r="E16" s="31" t="n">
        <x:f>IF(B16=0,"",B16*D16)</x:f>
        <x:v>101793482.62902486</x:v>
      </x:c>
    </x:row>
    <x:row r="17" ht="18" customHeight="1">
      <x:c r="A17" s="24" t="str">
        <x:v>Medium pelagics (30 - 89 cm)</x:v>
      </x:c>
      <x:c r="B17" s="31" t="n">
        <x:v>731024.8870393122</x:v>
      </x:c>
      <x:c r="C17" s="32" t="n">
        <x:v>3.4351047404391744</x:v>
      </x:c>
      <x:c r="D17" s="32" t="n">
        <x:f>IF(C17="","",(1/'Metadata'!$B$5)^(C17-1))</x:f>
        <x:v>272.33580314165596</x:v>
      </x:c>
      <x:c r="E17" s="31" t="n">
        <x:f>IF(B17=0,"",B17*D17)</x:f>
        <x:v>199084249.7283894</x:v>
      </x:c>
    </x:row>
    <x:row r="18" ht="18" customHeight="1">
      <x:c r="A18" s="24" t="str">
        <x:v>Medium reef assoc. fish (30 - 89 cm)</x:v>
      </x:c>
      <x:c r="B18" s="31" t="n">
        <x:v>4.4427612275</x:v>
      </x:c>
      <x:c r="C18" s="32" t="n">
        <x:v>3.2002650210823202</x:v>
      </x:c>
      <x:c r="D18" s="32" t="n">
        <x:f>IF(C18="","",(1/'Metadata'!$B$5)^(C18-1))</x:f>
        <x:v>158.5860642684522</x:v>
      </x:c>
      <x:c r="E18" s="31" t="n">
        <x:f>IF(B18=0,"",B18*D18)</x:f>
        <x:v>704.5600175537026</x:v>
      </x:c>
    </x:row>
    <x:row r="19" ht="18" customHeight="1">
      <x:c r="A19" s="24" t="str">
        <x:v>Other demersal invertebrates</x:v>
      </x:c>
      <x:c r="B19" s="31" t="n">
        <x:v>622.5148263478001</x:v>
      </x:c>
      <x:c r="C19" s="32" t="n">
        <x:v>2.131311963865475</x:v>
      </x:c>
      <x:c r="D19" s="32" t="n">
        <x:f>IF(C19="","",(1/'Metadata'!$B$5)^(C19-1))</x:f>
        <x:v>13.530441373926084</x:v>
      </x:c>
      <x:c r="E19" s="31" t="n">
        <x:f>IF(B19=0,"",B19*D19)</x:f>
        <x:v>8422.900362298686</x:v>
      </x:c>
    </x:row>
    <x:row r="20" ht="18" customHeight="1">
      <x:c r="A20" s="24" t="str">
        <x:v>Shrimps</x:v>
      </x:c>
      <x:c r="B20" s="31" t="n">
        <x:v>14003.715658524201</x:v>
      </x:c>
      <x:c r="C20" s="32" t="n">
        <x:v>3.0661487239031446</x:v>
      </x:c>
      <x:c r="D20" s="32" t="n">
        <x:f>IF(C20="","",(1/'Metadata'!$B$5)^(C20-1))</x:f>
        <x:v>116.45247519873567</x:v>
      </x:c>
      <x:c r="E20" s="31" t="n">
        <x:f>IF(B20=0,"",B20*D20)</x:f>
        <x:v>1630767.3504144358</x:v>
      </x:c>
    </x:row>
    <x:row r="21" ht="18" customHeight="1">
      <x:c r="A21" s="24" t="str">
        <x:v>Small benthopelagics (&lt;30 cm)</x:v>
      </x:c>
      <x:c r="B21" s="31" t="n">
        <x:v>0.0289266252</x:v>
      </x:c>
      <x:c r="C21" s="32" t="n">
        <x:v>3.31</x:v>
      </x:c>
      <x:c r="D21" s="32" t="n">
        <x:f>IF(C21="","",(1/'Metadata'!$B$5)^(C21-1))</x:f>
        <x:v>204.17379446695296</x:v>
      </x:c>
      <x:c r="E21" s="31" t="n">
        <x:f>IF(B21=0,"",B21*D21)</x:f>
        <x:v>5.906058828207382</x:v>
      </x:c>
    </x:row>
    <x:row r="22" ht="18" customHeight="1">
      <x:c r="A22" s="24" t="str">
        <x:v>Small pelagics (&lt;30 cm)</x:v>
      </x:c>
      <x:c r="B22" s="31" t="n">
        <x:v>2341.2133017058</x:v>
      </x:c>
      <x:c r="C22" s="32" t="n">
        <x:v>3.0259275235380936</x:v>
      </x:c>
      <x:c r="D22" s="32" t="n">
        <x:f>IF(C22="","",(1/'Metadata'!$B$5)^(C22-1))</x:f>
        <x:v>106.15183928079462</x:v>
      </x:c>
      <x:c r="E22" s="31" t="n">
        <x:f>IF(B22=0,"",B22*D22)</x:f>
        <x:v>248524.09812473258</x:v>
      </x:c>
    </x:row>
    <x:row r="23" ht="18" customHeight="1">
      <x:c r="A23" s="24" t="str">
        <x:v>Small reef assoc. fish (&lt;30 cm)</x:v>
      </x:c>
      <x:c r="B23" s="31" t="n">
        <x:v>3.1107444696</x:v>
      </x:c>
      <x:c r="C23" s="32" t="n">
        <x:v>3.477919255753645</x:v>
      </x:c>
      <x:c r="D23" s="32" t="n">
        <x:f>IF(C23="","",(1/'Metadata'!$B$5)^(C23-1))</x:f>
        <x:v>300.5517463376459</x:v>
      </x:c>
      <x:c r="E23" s="31" t="n">
        <x:f>IF(B23=0,"",B23*D23)</x:f>
        <x:v>934.9396827484542</x:v>
      </x:c>
    </x:row>
    <x:row r="24" ht="18" customHeight="1">
      <x:c r="A24" s="24" t="str">
        <x:v>Small to medium flatfishes (&lt;90 cm)</x:v>
      </x:c>
      <x:c r="B24" s="31" t="n">
        <x:v>19321.9976133244</x:v>
      </x:c>
      <x:c r="C24" s="32" t="n">
        <x:v>4.2561009352461525</x:v>
      </x:c>
      <x:c r="D24" s="32" t="n">
        <x:f>IF(C24="","",(1/'Metadata'!$B$5)^(C24-1))</x:f>
        <x:v>1803.4368325054802</x:v>
      </x:c>
      <x:c r="E24" s="31" t="n">
        <x:f>IF(B24=0,"",B24*D24)</x:f>
        <x:v>34846002.173452206</x:v>
      </x:c>
    </x:row>
    <x:row r="25" ht="18" customHeight="1">
      <x:c r="A25" s="24" t="str">
        <x:v>Small to medium rays (&lt;90 cm)</x:v>
      </x:c>
      <x:c r="B25" s="31" t="n">
        <x:v>150.0467220179</x:v>
      </x:c>
      <x:c r="C25" s="32" t="n">
        <x:v>3.870179331203528</x:v>
      </x:c>
      <x:c r="D25" s="32" t="n">
        <x:f>IF(C25="","",(1/'Metadata'!$B$5)^(C25-1))</x:f>
        <x:v>741.6164103042997</x:v>
      </x:c>
      <x:c r="E25" s="31" t="n">
        <x:f>IF(B25=0,"",B25*D25)</x:f>
        <x:v>111277.11136084214</x:v>
      </x:c>
    </x:row>
    <x:row r="26" ht="18" customHeight="1">
      <x:c r="A26" s="24" t="str">
        <x:v>Small to medium sharks (&lt;90 cm)</x:v>
      </x:c>
      <x:c r="B26" s="31" t="n">
        <x:v>7.0112347146000005</x:v>
      </x:c>
      <x:c r="C26" s="32" t="n">
        <x:v>3.82</x:v>
      </x:c>
      <x:c r="D26" s="32" t="n">
        <x:f>IF(C26="","",(1/'Metadata'!$B$5)^(C26-1))</x:f>
        <x:v>660.6934480075957</x:v>
      </x:c>
      <x:c r="E26" s="31" t="n">
        <x:f>IF(B26=0,"",B26*D26)</x:f>
        <x:v>4632.276838379626</x:v>
      </x:c>
    </x:row>
  </x:sheetData>
  <x:pageMargins left="0.7" right="0.7" top="0.75" bottom="0.75" header="0.3" footer="0.3"/>
  <x:tableParts count="1">
    <x:tablePart xmlns:r="http://schemas.openxmlformats.org/officeDocument/2006/relationships" r:id="R9cf1d9d43f574db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EEZ_578</x:v>
      </x:c>
      <x:c r="B2" s="24" t="str">
        <x:v>raw_filtered_tonnes</x:v>
      </x:c>
      <x:c r="C2" s="24" t="n">
        <x:v>1710313.5041625754</x:v>
      </x:c>
      <x:c r="D2" s="24" t="str">
        <x:v>tonnes</x:v>
      </x:c>
    </x:row>
    <x:row r="3" ht="18" customHeight="1">
      <x:c r="A3" s="24" t="str">
        <x:v>EEZ_578</x:v>
      </x:c>
      <x:c r="B3" s="24" t="str">
        <x:v>species_catch_tonnes</x:v>
      </x:c>
      <x:c r="C3" s="24" t="n">
        <x:v>1710313.5041625751</x:v>
      </x:c>
      <x:c r="D3" s="24" t="str">
        <x:v>tonnes</x:v>
      </x:c>
    </x:row>
    <x:row r="4" ht="18" customHeight="1">
      <x:c r="A4" s="24" t="str">
        <x:v>EEZ_578</x:v>
      </x:c>
      <x:c r="B4" s="24" t="str">
        <x:v>catch_difference_tonnes</x:v>
      </x:c>
      <x:c r="C4" s="24" t="n">
        <x:v>-2.3283064365386963e-10</x:v>
      </x:c>
      <x:c r="D4" s="24" t="str">
        <x:v>tonnes</x:v>
      </x:c>
    </x:row>
    <x:row r="5" ht="18" customHeight="1">
      <x:c r="A5" s="24" t="str">
        <x:v>EEZ_578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EEZ_578</x:v>
      </x:c>
      <x:c r="B6" s="24" t="str">
        <x:v>matched_catch_tonnes</x:v>
      </x:c>
      <x:c r="C6" s="24" t="n">
        <x:v>1710313.5041625751</x:v>
      </x:c>
      <x:c r="D6" s="24" t="str">
        <x:v>tonnes</x:v>
      </x:c>
    </x:row>
    <x:row r="7" ht="18" customHeight="1">
      <x:c r="A7" s="24" t="str">
        <x:v>EEZ_578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EEZ_578</x:v>
      </x:c>
      <x:c r="B8" s="24" t="str">
        <x:v>taxa_count</x:v>
      </x:c>
      <x:c r="C8" s="24" t="n">
        <x:v>222</x:v>
      </x:c>
      <x:c r="D8" s="24" t="str">
        <x:v>count</x:v>
      </x:c>
    </x:row>
    <x:row r="9" ht="18" customHeight="1">
      <x:c r="A9" s="24" t="str">
        <x:v>EEZ_578</x:v>
      </x:c>
      <x:c r="B9" s="24" t="str">
        <x:v>matched_taxa_count</x:v>
      </x:c>
      <x:c r="C9" s="24" t="n">
        <x:v>222</x:v>
      </x:c>
      <x:c r="D9" s="24" t="str">
        <x:v>count</x:v>
      </x:c>
    </x:row>
    <x:row r="10" ht="18" customHeight="1">
      <x:c r="A10" s="24" t="str">
        <x:v>EEZ_578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EEZ_578</x:v>
      </x:c>
      <x:c r="B11" s="24" t="str">
        <x:v>species_ppr</x:v>
      </x:c>
      <x:c r="C11" s="24" t="n">
        <x:v>1486385233.701386</x:v>
      </x:c>
      <x:c r="D11" s="24" t="str">
        <x:v>tonnes_primary_production_equivalent</x:v>
      </x:c>
    </x:row>
    <x:row r="12" ht="18" customHeight="1">
      <x:c r="A12" s="24" t="str">
        <x:v>EEZ_578</x:v>
      </x:c>
      <x:c r="B12" s="24" t="str">
        <x:v>commercial_ppr</x:v>
      </x:c>
      <x:c r="C12" s="24" t="n">
        <x:v>1354784615.3936987</x:v>
      </x:c>
      <x:c r="D12" s="24" t="str">
        <x:v>tonnes_primary_production_equivalent</x:v>
      </x:c>
    </x:row>
    <x:row r="13" ht="18" customHeight="1">
      <x:c r="A13" s="24" t="str">
        <x:v>EEZ_578</x:v>
      </x:c>
      <x:c r="B13" s="24" t="str">
        <x:v>functional_ppr</x:v>
      </x:c>
      <x:c r="C13" s="24" t="n">
        <x:v>1424436259.700941</x:v>
      </x:c>
      <x:c r="D13" s="24" t="str">
        <x:v>tonnes_primary_production_equivalent</x:v>
      </x:c>
    </x:row>
    <x:row r="14" ht="18" customHeight="1">
      <x:c r="A14" s="24" t="str">
        <x:v>EEZ_578</x:v>
      </x:c>
      <x:c r="B14" s="24" t="str">
        <x:v>commercial_ppr_difference</x:v>
      </x:c>
      <x:c r="C14" s="24" t="n">
        <x:v>-131600618.30768728</x:v>
      </x:c>
      <x:c r="D14" s="24" t="str">
        <x:v>tonnes_primary_production_equivalent</x:v>
      </x:c>
    </x:row>
    <x:row r="15" ht="18" customHeight="1">
      <x:c r="A15" s="24" t="str">
        <x:v>EEZ_578</x:v>
      </x:c>
      <x:c r="B15" s="24" t="str">
        <x:v>functional_ppr_difference</x:v>
      </x:c>
      <x:c r="C15" s="24" t="n">
        <x:v>-61948974.00044489</x:v>
      </x:c>
      <x:c r="D15" s="24" t="str">
        <x:v>tonnes_primary_production_equivalent</x:v>
      </x:c>
    </x:row>
    <x:row r="16" ht="18" customHeight="1">
      <x:c r="A16" s="24" t="str">
        <x:v>EEZ_578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EEZ_578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3dc7460930264aa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EEZ_578 - Norway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EEZ_578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raw_data/SAU_downloads/EEZ_578-catch.zip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