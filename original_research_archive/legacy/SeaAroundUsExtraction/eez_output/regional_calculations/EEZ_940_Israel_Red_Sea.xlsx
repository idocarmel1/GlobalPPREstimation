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b0b3542246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46b1eb643a34419"/>
    <x:sheet xmlns:r="http://schemas.openxmlformats.org/officeDocument/2006/relationships" name="Commercial" sheetId="2" r:id="R1919d4d8d0094191"/>
    <x:sheet xmlns:r="http://schemas.openxmlformats.org/officeDocument/2006/relationships" name="Functional" sheetId="3" r:id="Rc3b8a026cf764d0f"/>
    <x:sheet xmlns:r="http://schemas.openxmlformats.org/officeDocument/2006/relationships" name="Missing TL" sheetId="4" r:id="R6beae3cc1b2148e0"/>
    <x:sheet xmlns:r="http://schemas.openxmlformats.org/officeDocument/2006/relationships" name="Validation" sheetId="5" r:id="R4f9a4c9a450e4d1e"/>
    <x:sheet xmlns:r="http://schemas.openxmlformats.org/officeDocument/2006/relationships" name="Metadata" sheetId="6" r:id="Rbb70cda8f08c4c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d91659f4d4c18" /><Relationship Type="http://schemas.openxmlformats.org/officeDocument/2006/relationships/theme" Target="/xl/theme/theme1.xml" Id="Rce6490cea49341e2" /><Relationship Type="http://schemas.microsoft.com/office/2022/11/relationships/FeaturePropertyBag" Target="/xl/featurePropertyBag/featurePropertyBag.xml" Id="Rc4f3de3ce80d47c3" /><Relationship Type="http://schemas.openxmlformats.org/officeDocument/2006/relationships/sharedStrings" Target="/xl/sharedStrings.xml" Id="R957febef35224070" /><Relationship Type="http://schemas.openxmlformats.org/officeDocument/2006/relationships/worksheet" Target="/xl/worksheets/sheet1.xml" Id="Ra46b1eb643a34419" /><Relationship Type="http://schemas.openxmlformats.org/officeDocument/2006/relationships/worksheet" Target="/xl/worksheets/sheet2.xml" Id="R1919d4d8d0094191" /><Relationship Type="http://schemas.openxmlformats.org/officeDocument/2006/relationships/worksheet" Target="/xl/worksheets/sheet3.xml" Id="Rc3b8a026cf764d0f" /><Relationship Type="http://schemas.openxmlformats.org/officeDocument/2006/relationships/worksheet" Target="/xl/worksheets/sheet4.xml" Id="R6beae3cc1b2148e0" /><Relationship Type="http://schemas.openxmlformats.org/officeDocument/2006/relationships/worksheet" Target="/xl/worksheets/sheet5.xml" Id="R4f9a4c9a450e4d1e" /><Relationship Type="http://schemas.openxmlformats.org/officeDocument/2006/relationships/worksheet" Target="/xl/worksheets/sheet6.xml" Id="Rbb70cda8f08c4c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0SpeciesTable" displayName="EEZ940SpeciesTable" ref="A1:U11" headerRowCount="1" totalsRowCount="0" totalsRowShown="0">
  <x:autoFilter ref="A1:U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0CommercialTable" displayName="EEZ940CommercialTable" ref="A1:E3" headerRowCount="1" totalsRowCount="0" totalsRowShown="0">
  <x:autoFilter ref="A1:E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0FunctionalTable" displayName="EEZ940FunctionalTable" ref="A1:E7" headerRowCount="1" totalsRowCount="0" totalsRowShown="0">
  <x:autoFilter ref="A1:E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0ValidationTable" displayName="EEZ94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4a7d108bcb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7f64f112df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2b355d1e4445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785db89ca04fb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EEZ_940</x:v>
      </x:c>
      <x:c r="B2" s="24" t="str">
        <x:v>Israel (Red Sea)</x:v>
      </x:c>
      <x:c r="C2" s="24" t="str">
        <x:v>EEZ</x:v>
      </x:c>
      <x:c r="D2" s="30" t="n">
        <x:v>2019</x:v>
      </x:c>
      <x:c r="E2" s="24" t="str">
        <x:v>Lethrinidae</x:v>
      </x:c>
      <x:c r="F2" s="24" t="str">
        <x:v>Emperors, scavengers</x:v>
      </x:c>
      <x:c r="G2" s="24" t="str">
        <x:v>Medium reef assoc. fish (30 - 89 cm)</x:v>
      </x:c>
      <x:c r="H2" s="24" t="str">
        <x:v>Perch-likes</x:v>
      </x:c>
      <x:c r="I2" s="31" t="n">
        <x:v>23.49408</x:v>
      </x:c>
      <x:c r="J2" s="31" t="n">
        <x:v>23.49408</x:v>
      </x:c>
      <x:c r="K2" s="31" t="n">
        <x:v>0</x:v>
      </x:c>
      <x:c r="L2" s="31" t="n">
        <x:v>0</x:v>
      </x:c>
      <x:c r="M2" s="31" t="n">
        <x:v>23.49408</x:v>
      </x:c>
      <x:c r="N2" s="24" t="str">
        <x:v>lethrinidae</x:v>
      </x:c>
      <x:c r="O2" s="32" t="n">
        <x:v>3.59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Lethrinidae</x:v>
      </x:c>
      <x:c r="T2" s="32" t="n">
        <x:f>IF(O2="","",(1/'Metadata'!$B$5)^(O2-1))</x:f>
        <x:v>389.04514499428046</x:v>
      </x:c>
      <x:c r="U2" s="31" t="n">
        <x:f>IF(T2="","",I2*T2)</x:f>
        <x:v>9140.257760107224</x:v>
      </x:c>
    </x:row>
    <x:row r="3" ht="18" customHeight="1">
      <x:c r="A3" s="24" t="str">
        <x:v>EEZ_940</x:v>
      </x:c>
      <x:c r="B3" s="24" t="str">
        <x:v>Israel (Red Sea)</x:v>
      </x:c>
      <x:c r="C3" s="24" t="str">
        <x:v>EEZ</x:v>
      </x:c>
      <x:c r="D3" s="30" t="n">
        <x:v>2019</x:v>
      </x:c>
      <x:c r="E3" s="24" t="str">
        <x:v>Sparidae</x:v>
      </x:c>
      <x:c r="F3" s="24" t="str">
        <x:v>Porgies, seabreams</x:v>
      </x:c>
      <x:c r="G3" s="24" t="str">
        <x:v>Medium benthopelagics (30 - 89 cm)</x:v>
      </x:c>
      <x:c r="H3" s="24" t="str">
        <x:v>Perch-likes</x:v>
      </x:c>
      <x:c r="I3" s="31" t="n">
        <x:v>17.62056</x:v>
      </x:c>
      <x:c r="J3" s="31" t="n">
        <x:v>17.62056</x:v>
      </x:c>
      <x:c r="K3" s="31" t="n">
        <x:v>0</x:v>
      </x:c>
      <x:c r="L3" s="31" t="n">
        <x:v>0</x:v>
      </x:c>
      <x:c r="M3" s="31" t="n">
        <x:v>17.62056</x:v>
      </x:c>
      <x:c r="N3" s="24" t="str">
        <x:v>sparidae</x:v>
      </x:c>
      <x:c r="O3" s="32" t="n">
        <x:v>3.31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Sparidae</x:v>
      </x:c>
      <x:c r="T3" s="32" t="n">
        <x:f>IF(O3="","",(1/'Metadata'!$B$5)^(O3-1))</x:f>
        <x:v>204.17379446695296</x:v>
      </x:c>
      <x:c r="U3" s="31" t="n">
        <x:f>IF(T3="","",I3*T3)</x:f>
        <x:v>3597.6565958326128</x:v>
      </x:c>
    </x:row>
    <x:row r="4" ht="18" customHeight="1">
      <x:c r="A4" s="24" t="str">
        <x:v>EEZ_940</x:v>
      </x:c>
      <x:c r="B4" s="24" t="str">
        <x:v>Israel (Red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16.37352</x:v>
      </x:c>
      <x:c r="J4" s="31" t="n">
        <x:v>16.37352</x:v>
      </x:c>
      <x:c r="K4" s="31" t="n">
        <x:v>0</x:v>
      </x:c>
      <x:c r="L4" s="31" t="n">
        <x:v>10</x:v>
      </x:c>
      <x:c r="M4" s="31" t="n">
        <x:v>6.37352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3119.9099174785574</x:v>
      </x:c>
    </x:row>
    <x:row r="5" ht="18" customHeight="1">
      <x:c r="A5" s="24" t="str">
        <x:v>EEZ_940</x:v>
      </x:c>
      <x:c r="B5" s="24" t="str">
        <x:v>Israel (Red Sea)</x:v>
      </x:c>
      <x:c r="C5" s="24" t="str">
        <x:v>EEZ</x:v>
      </x:c>
      <x:c r="D5" s="30" t="n">
        <x:v>2019</x:v>
      </x:c>
      <x:c r="E5" s="24" t="str">
        <x:v>Scombridae</x:v>
      </x:c>
      <x:c r="F5" s="24" t="str">
        <x:v>Mackerels, tunas, bonitos</x:v>
      </x:c>
      <x:c r="G5" s="24" t="str">
        <x:v>Medium pelagics (30 - 89 cm)</x:v>
      </x:c>
      <x:c r="H5" s="24" t="str">
        <x:v>Perch-likes</x:v>
      </x:c>
      <x:c r="I5" s="31" t="n">
        <x:v>15.75</x:v>
      </x:c>
      <x:c r="J5" s="31" t="n">
        <x:v>15.75</x:v>
      </x:c>
      <x:c r="K5" s="31" t="n">
        <x:v>0</x:v>
      </x:c>
      <x:c r="L5" s="31" t="n">
        <x:v>15</x:v>
      </x:c>
      <x:c r="M5" s="31" t="n">
        <x:v>0.75</x:v>
      </x:c>
      <x:c r="N5" s="24" t="str">
        <x:v>scombridae</x:v>
      </x:c>
      <x:c r="O5" s="32" t="n">
        <x:v>4.26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Scombridae</x:v>
      </x:c>
      <x:c r="T5" s="32" t="n">
        <x:f>IF(O5="","",(1/'Metadata'!$B$5)^(O5-1))</x:f>
        <x:v>1819.7008586099826</x:v>
      </x:c>
      <x:c r="U5" s="31" t="n">
        <x:f>IF(T5="","",I5*T5)</x:f>
        <x:v>28660.288523107225</x:v>
      </x:c>
    </x:row>
    <x:row r="6" ht="18" customHeight="1">
      <x:c r="A6" s="24" t="str">
        <x:v>EEZ_940</x:v>
      </x:c>
      <x:c r="B6" s="24" t="str">
        <x:v>Israel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15.422039999999999</x:v>
      </x:c>
      <x:c r="J6" s="31" t="n">
        <x:v>15.422039999999999</x:v>
      </x:c>
      <x:c r="K6" s="31" t="n">
        <x:v>0</x:v>
      </x:c>
      <x:c r="L6" s="31" t="n">
        <x:v>3.5</x:v>
      </x:c>
      <x:c r="M6" s="31" t="n">
        <x:v>11.92204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14727.933861326026</x:v>
      </x:c>
    </x:row>
    <x:row r="7" ht="18" customHeight="1">
      <x:c r="A7" s="24" t="str">
        <x:v>EEZ_940</x:v>
      </x:c>
      <x:c r="B7" s="24" t="str">
        <x:v>Israel (Red Sea)</x:v>
      </x:c>
      <x:c r="C7" s="24" t="str">
        <x:v>EEZ</x:v>
      </x:c>
      <x:c r="D7" s="30" t="n">
        <x:v>2019</x:v>
      </x:c>
      <x:c r="E7" s="24" t="str">
        <x:v>Carangidae</x:v>
      </x:c>
      <x:c r="F7" s="24" t="str">
        <x:v>Jacks, pompanos</x:v>
      </x:c>
      <x:c r="G7" s="24" t="str">
        <x:v>Medium pelagics (30 - 89 cm)</x:v>
      </x:c>
      <x:c r="H7" s="24" t="str">
        <x:v>Perch-likes</x:v>
      </x:c>
      <x:c r="I7" s="31" t="n">
        <x:v>10.5</x:v>
      </x:c>
      <x:c r="J7" s="31" t="n">
        <x:v>10.5</x:v>
      </x:c>
      <x:c r="K7" s="31" t="n">
        <x:v>0</x:v>
      </x:c>
      <x:c r="L7" s="31" t="n">
        <x:v>10</x:v>
      </x:c>
      <x:c r="M7" s="31" t="n">
        <x:v>0.5</x:v>
      </x:c>
      <x:c r="N7" s="24" t="str">
        <x:v>carangidae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Carangidae</x:v>
      </x:c>
      <x:c r="T7" s="32" t="n">
        <x:f>IF(O7="","",(1/'Metadata'!$B$5)^(O7-1))</x:f>
        <x:v>1122.018454301963</x:v>
      </x:c>
      <x:c r="U7" s="31" t="n">
        <x:f>IF(T7="","",I7*T7)</x:f>
        <x:v>11781.19377017061</x:v>
      </x:c>
    </x:row>
    <x:row r="8" ht="18" customHeight="1">
      <x:c r="A8" s="24" t="str">
        <x:v>EEZ_940</x:v>
      </x:c>
      <x:c r="B8" s="24" t="str">
        <x:v>Israel (Red Sea)</x:v>
      </x:c>
      <x:c r="C8" s="24" t="str">
        <x:v>EEZ</x:v>
      </x:c>
      <x:c r="D8" s="30" t="n">
        <x:v>2019</x:v>
      </x:c>
      <x:c r="E8" s="24" t="str">
        <x:v>Lutjanidae</x:v>
      </x:c>
      <x:c r="F8" s="24" t="str">
        <x:v>Snappers</x:v>
      </x:c>
      <x:c r="G8" s="24" t="str">
        <x:v>Medium reef assoc. fish (30 - 89 cm)</x:v>
      </x:c>
      <x:c r="H8" s="24" t="str">
        <x:v>Perch-likes</x:v>
      </x:c>
      <x:c r="I8" s="31" t="n">
        <x:v>5.25</x:v>
      </x:c>
      <x:c r="J8" s="31" t="n">
        <x:v>5.25</x:v>
      </x:c>
      <x:c r="K8" s="31" t="n">
        <x:v>0</x:v>
      </x:c>
      <x:c r="L8" s="31" t="n">
        <x:v>5</x:v>
      </x:c>
      <x:c r="M8" s="31" t="n">
        <x:v>0.25</x:v>
      </x:c>
      <x:c r="N8" s="24" t="str">
        <x:v>lutjanidae</x:v>
      </x:c>
      <x:c r="O8" s="32" t="n">
        <x:v>4.02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Lutjanidae</x:v>
      </x:c>
      <x:c r="T8" s="32" t="n">
        <x:f>IF(O8="","",(1/'Metadata'!$B$5)^(O8-1))</x:f>
        <x:v>1047.1285480508984</x:v>
      </x:c>
      <x:c r="U8" s="31" t="n">
        <x:f>IF(T8="","",I8*T8)</x:f>
        <x:v>5497.424877267216</x:v>
      </x:c>
    </x:row>
    <x:row r="9" ht="18" customHeight="1">
      <x:c r="A9" s="24" t="str">
        <x:v>EEZ_940</x:v>
      </x:c>
      <x:c r="B9" s="24" t="str">
        <x:v>Israel (Red Sea)</x:v>
      </x:c>
      <x:c r="C9" s="24" t="str">
        <x:v>EEZ</x:v>
      </x:c>
      <x:c r="D9" s="30" t="n">
        <x:v>2019</x:v>
      </x:c>
      <x:c r="E9" s="24" t="str">
        <x:v>Cephalopoda</x:v>
      </x:c>
      <x:c r="F9" s="24" t="str">
        <x:v>Squids, cuttlefishes, octopuses</x:v>
      </x:c>
      <x:c r="G9" s="24" t="str">
        <x:v>Cephalopods</x:v>
      </x:c>
      <x:c r="H9" s="24" t="str">
        <x:v>Other fishes &amp; inverts</x:v>
      </x:c>
      <x:c r="I9" s="31" t="n">
        <x:v>2.625</x:v>
      </x:c>
      <x:c r="J9" s="31" t="n">
        <x:v>2.625</x:v>
      </x:c>
      <x:c r="K9" s="31" t="n">
        <x:v>0</x:v>
      </x:c>
      <x:c r="L9" s="31" t="n">
        <x:v>2.5</x:v>
      </x:c>
      <x:c r="M9" s="31" t="n">
        <x:v>0.125</x:v>
      </x:c>
      <x:c r="N9" s="24" t="str">
        <x:v>cephalopoda</x:v>
      </x:c>
      <x:c r="O9" s="32" t="n">
        <x:v>3.81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Cephalopoda</x:v>
      </x:c>
      <x:c r="T9" s="32" t="n">
        <x:f>IF(O9="","",(1/'Metadata'!$B$5)^(O9-1))</x:f>
        <x:v>645.6542290346556</x:v>
      </x:c>
      <x:c r="U9" s="31" t="n">
        <x:f>IF(T9="","",I9*T9)</x:f>
        <x:v>1694.842351215971</x:v>
      </x:c>
    </x:row>
    <x:row r="10" ht="18" customHeight="1">
      <x:c r="A10" s="24" t="str">
        <x:v>EEZ_940</x:v>
      </x:c>
      <x:c r="B10" s="24" t="str">
        <x:v>Israel (Red Sea)</x:v>
      </x:c>
      <x:c r="C10" s="24" t="str">
        <x:v>EEZ</x:v>
      </x:c>
      <x:c r="D10" s="30" t="n">
        <x:v>2019</x:v>
      </x:c>
      <x:c r="E10" s="24" t="str">
        <x:v>Mullidae</x:v>
      </x:c>
      <x:c r="F10" s="24" t="str">
        <x:v>Goatfishes</x:v>
      </x:c>
      <x:c r="G10" s="24" t="str">
        <x:v>Medium reef assoc. fish (30 - 89 cm)</x:v>
      </x:c>
      <x:c r="H10" s="24" t="str">
        <x:v>Perch-likes</x:v>
      </x:c>
      <x:c r="I10" s="31" t="n">
        <x:v>2.625</x:v>
      </x:c>
      <x:c r="J10" s="31" t="n">
        <x:v>2.625</x:v>
      </x:c>
      <x:c r="K10" s="31" t="n">
        <x:v>0</x:v>
      </x:c>
      <x:c r="L10" s="31" t="n">
        <x:v>2.5</x:v>
      </x:c>
      <x:c r="M10" s="31" t="n">
        <x:v>0.125</x:v>
      </x:c>
      <x:c r="N10" s="24" t="str">
        <x:v>mullidae</x:v>
      </x:c>
      <x:c r="O10" s="32" t="n">
        <x:v>3.46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Mullidae</x:v>
      </x:c>
      <x:c r="T10" s="32" t="n">
        <x:f>IF(O10="","",(1/'Metadata'!$B$5)^(O10-1))</x:f>
        <x:v>288.40315031266056</x:v>
      </x:c>
      <x:c r="U10" s="31" t="n">
        <x:f>IF(T10="","",I10*T10)</x:f>
        <x:v>757.058269570734</x:v>
      </x:c>
    </x:row>
    <x:row r="11" ht="18" customHeight="1">
      <x:c r="A11" s="24" t="str">
        <x:v>EEZ_940</x:v>
      </x:c>
      <x:c r="B11" s="24" t="str">
        <x:v>Israel (Red Sea)</x:v>
      </x:c>
      <x:c r="C11" s="24" t="str">
        <x:v>EEZ</x:v>
      </x:c>
      <x:c r="D11" s="30" t="n">
        <x:v>2019</x:v>
      </x:c>
      <x:c r="E11" s="24" t="str">
        <x:v>Sphyraena</x:v>
      </x:c>
      <x:c r="F11" s="24" t="str">
        <x:v>Barracudas, sennets</x:v>
      </x:c>
      <x:c r="G11" s="24" t="str">
        <x:v>Large pelagics (&gt;=90 cm)</x:v>
      </x:c>
      <x:c r="H11" s="24" t="str">
        <x:v>Perch-likes</x:v>
      </x:c>
      <x:c r="I11" s="31" t="n">
        <x:v>1.575</x:v>
      </x:c>
      <x:c r="J11" s="31" t="n">
        <x:v>1.575</x:v>
      </x:c>
      <x:c r="K11" s="31" t="n">
        <x:v>0</x:v>
      </x:c>
      <x:c r="L11" s="31" t="n">
        <x:v>1.5</x:v>
      </x:c>
      <x:c r="M11" s="31" t="n">
        <x:v>0.075</x:v>
      </x:c>
      <x:c r="N11" s="24" t="str">
        <x:v>sphyraena</x:v>
      </x:c>
      <x:c r="O11" s="32" t="n">
        <x:v>4.4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Sphyraena</x:v>
      </x:c>
      <x:c r="T11" s="32" t="n">
        <x:f>IF(O11="","",(1/'Metadata'!$B$5)^(O11-1))</x:f>
        <x:v>2511.886431509582</x:v>
      </x:c>
      <x:c r="U11" s="31" t="n">
        <x:f>IF(T11="","",I11*T11)</x:f>
        <x:v>3956.221129627592</x:v>
      </x:c>
    </x:row>
  </x:sheetData>
  <x:conditionalFormatting sqref="R2:R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a4a7d108bcb41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18.99852</x:v>
      </x:c>
      <x:c r="C2" s="32" t="n">
        <x:v>3.3532293883944644</x:v>
      </x:c>
      <x:c r="D2" s="32" t="n">
        <x:f>IF(C2="","",(1/'Metadata'!$B$5)^(C2-1))</x:f>
        <x:v>225.54301849158588</x:v>
      </x:c>
      <x:c r="E2" s="31" t="n">
        <x:f>IF(B2=0,"",B2*D2)</x:f>
        <x:v>4284.983547672764</x:v>
      </x:c>
    </x:row>
    <x:row r="3" ht="18" customHeight="1">
      <x:c r="A3" s="24" t="str">
        <x:v>Perch-likes</x:v>
      </x:c>
      <x:c r="B3" s="31" t="n">
        <x:v>92.23668</x:v>
      </x:c>
      <x:c r="C3" s="32" t="n">
        <x:v>3.803096772346966</x:v>
      </x:c>
      <x:c r="D3" s="32" t="n">
        <x:f>IF(C3="","",(1/'Metadata'!$B$5)^(C3-1))</x:f>
        <x:v>635.4725162337924</x:v>
      </x:c>
      <x:c r="E3" s="31" t="n">
        <x:f>IF(B3=0,"",B3*D3)</x:f>
        <x:v>58613.87512865112</x:v>
      </x:c>
    </x:row>
  </x:sheetData>
  <x:pageMargins left="0.7" right="0.7" top="0.75" bottom="0.75" header="0.3" footer="0.3"/>
  <x:tableParts count="1">
    <x:tablePart xmlns:r="http://schemas.openxmlformats.org/officeDocument/2006/relationships" r:id="R6c7f64f112df452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2.625</x:v>
      </x:c>
      <x:c r="C2" s="32" t="n">
        <x:v>3.81</x:v>
      </x:c>
      <x:c r="D2" s="32" t="n">
        <x:f>IF(C2="","",(1/'Metadata'!$B$5)^(C2-1))</x:f>
        <x:v>645.6542290346556</x:v>
      </x:c>
      <x:c r="E2" s="31" t="n">
        <x:f>IF(B2=0,"",B2*D2)</x:f>
        <x:v>1694.842351215971</x:v>
      </x:c>
    </x:row>
    <x:row r="3" ht="18" customHeight="1">
      <x:c r="A3" s="24" t="str">
        <x:v>Large pelagics (&gt;=90 cm)</x:v>
      </x:c>
      <x:c r="B3" s="31" t="n">
        <x:v>1.575</x:v>
      </x:c>
      <x:c r="C3" s="32" t="n">
        <x:v>4.4</x:v>
      </x:c>
      <x:c r="D3" s="32" t="n">
        <x:f>IF(C3="","",(1/'Metadata'!$B$5)^(C3-1))</x:f>
        <x:v>2511.886431509582</x:v>
      </x:c>
      <x:c r="E3" s="31" t="n">
        <x:f>IF(B3=0,"",B3*D3)</x:f>
        <x:v>3956.221129627592</x:v>
      </x:c>
    </x:row>
    <x:row r="4" ht="18" customHeight="1">
      <x:c r="A4" s="24" t="str">
        <x:v>Medium benthopelagics (30 - 89 cm)</x:v>
      </x:c>
      <x:c r="B4" s="31" t="n">
        <x:v>17.62056</x:v>
      </x:c>
      <x:c r="C4" s="32" t="n">
        <x:v>3.31</x:v>
      </x:c>
      <x:c r="D4" s="32" t="n">
        <x:f>IF(C4="","",(1/'Metadata'!$B$5)^(C4-1))</x:f>
        <x:v>204.17379446695296</x:v>
      </x:c>
      <x:c r="E4" s="31" t="n">
        <x:f>IF(B4=0,"",B4*D4)</x:f>
        <x:v>3597.6565958326128</x:v>
      </x:c>
    </x:row>
    <x:row r="5" ht="18" customHeight="1">
      <x:c r="A5" s="24" t="str">
        <x:v>Medium demersals (30 - 89 cm)</x:v>
      </x:c>
      <x:c r="B5" s="31" t="n">
        <x:v>16.37352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3119.9099174785574</x:v>
      </x:c>
    </x:row>
    <x:row r="6" ht="18" customHeight="1">
      <x:c r="A6" s="24" t="str">
        <x:v>Medium pelagics (30 - 89 cm)</x:v>
      </x:c>
      <x:c r="B6" s="31" t="n">
        <x:v>26.25</x:v>
      </x:c>
      <x:c r="C6" s="32" t="n">
        <x:v>4.176</x:v>
      </x:c>
      <x:c r="D6" s="32" t="n">
        <x:f>IF(C6="","",(1/'Metadata'!$B$5)^(C6-1))</x:f>
        <x:v>1499.684835502374</x:v>
      </x:c>
      <x:c r="E6" s="31" t="n">
        <x:f>IF(B6=0,"",B6*D6)</x:f>
        <x:v>39366.726931937315</x:v>
      </x:c>
    </x:row>
    <x:row r="7" ht="18" customHeight="1">
      <x:c r="A7" s="24" t="str">
        <x:v>Medium reef assoc. fish (30 - 89 cm)</x:v>
      </x:c>
      <x:c r="B7" s="31" t="n">
        <x:v>46.79112</x:v>
      </x:c>
      <x:c r="C7" s="32" t="n">
        <x:v>3.7594946733482764</x:v>
      </x:c>
      <x:c r="D7" s="32" t="n">
        <x:f>IF(C7="","",(1/'Metadata'!$B$5)^(C7-1))</x:f>
        <x:v>574.7707691992293</x:v>
      </x:c>
      <x:c r="E7" s="31" t="n">
        <x:f>IF(B7=0,"",B7*D7)</x:f>
        <x:v>26894.168034093444</x:v>
      </x:c>
    </x:row>
  </x:sheetData>
  <x:pageMargins left="0.7" right="0.7" top="0.75" bottom="0.75" header="0.3" footer="0.3"/>
  <x:tableParts count="1">
    <x:tablePart xmlns:r="http://schemas.openxmlformats.org/officeDocument/2006/relationships" r:id="Rfd2b355d1e44454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EEZ_940</x:v>
      </x:c>
      <x:c r="B2" s="24" t="str">
        <x:v>raw_filtered_tonnes</x:v>
      </x:c>
      <x:c r="C2" s="24" t="n">
        <x:v>111.2352</x:v>
      </x:c>
      <x:c r="D2" s="24" t="str">
        <x:v>tonnes</x:v>
      </x:c>
    </x:row>
    <x:row r="3" ht="18" customHeight="1">
      <x:c r="A3" s="24" t="str">
        <x:v>EEZ_940</x:v>
      </x:c>
      <x:c r="B3" s="24" t="str">
        <x:v>species_catch_tonnes</x:v>
      </x:c>
      <x:c r="C3" s="24" t="n">
        <x:v>111.23519999999999</x:v>
      </x:c>
      <x:c r="D3" s="24" t="str">
        <x:v>tonnes</x:v>
      </x:c>
    </x:row>
    <x:row r="4" ht="18" customHeight="1">
      <x:c r="A4" s="24" t="str">
        <x:v>EEZ_940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EEZ_940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EEZ_940</x:v>
      </x:c>
      <x:c r="B6" s="24" t="str">
        <x:v>matched_catch_tonnes</x:v>
      </x:c>
      <x:c r="C6" s="24" t="n">
        <x:v>111.23519999999999</x:v>
      </x:c>
      <x:c r="D6" s="24" t="str">
        <x:v>tonnes</x:v>
      </x:c>
    </x:row>
    <x:row r="7" ht="18" customHeight="1">
      <x:c r="A7" s="24" t="str">
        <x:v>EEZ_940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EEZ_940</x:v>
      </x:c>
      <x:c r="B8" s="24" t="str">
        <x:v>taxa_count</x:v>
      </x:c>
      <x:c r="C8" s="24" t="n">
        <x:v>10</x:v>
      </x:c>
      <x:c r="D8" s="24" t="str">
        <x:v>count</x:v>
      </x:c>
    </x:row>
    <x:row r="9" ht="18" customHeight="1">
      <x:c r="A9" s="24" t="str">
        <x:v>EEZ_940</x:v>
      </x:c>
      <x:c r="B9" s="24" t="str">
        <x:v>matched_taxa_count</x:v>
      </x:c>
      <x:c r="C9" s="24" t="n">
        <x:v>10</x:v>
      </x:c>
      <x:c r="D9" s="24" t="str">
        <x:v>count</x:v>
      </x:c>
    </x:row>
    <x:row r="10" ht="18" customHeight="1">
      <x:c r="A10" s="24" t="str">
        <x:v>EEZ_940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EEZ_940</x:v>
      </x:c>
      <x:c r="B11" s="24" t="str">
        <x:v>species_ppr</x:v>
      </x:c>
      <x:c r="C11" s="24" t="n">
        <x:v>82932.78705570377</x:v>
      </x:c>
      <x:c r="D11" s="24" t="str">
        <x:v>tonnes_primary_production_equivalent</x:v>
      </x:c>
    </x:row>
    <x:row r="12" ht="18" customHeight="1">
      <x:c r="A12" s="24" t="str">
        <x:v>EEZ_940</x:v>
      </x:c>
      <x:c r="B12" s="24" t="str">
        <x:v>commercial_ppr</x:v>
      </x:c>
      <x:c r="C12" s="24" t="n">
        <x:v>62898.858676323885</x:v>
      </x:c>
      <x:c r="D12" s="24" t="str">
        <x:v>tonnes_primary_production_equivalent</x:v>
      </x:c>
    </x:row>
    <x:row r="13" ht="18" customHeight="1">
      <x:c r="A13" s="24" t="str">
        <x:v>EEZ_940</x:v>
      </x:c>
      <x:c r="B13" s="24" t="str">
        <x:v>functional_ppr</x:v>
      </x:c>
      <x:c r="C13" s="24" t="n">
        <x:v>78629.52496018549</x:v>
      </x:c>
      <x:c r="D13" s="24" t="str">
        <x:v>tonnes_primary_production_equivalent</x:v>
      </x:c>
    </x:row>
    <x:row r="14" ht="18" customHeight="1">
      <x:c r="A14" s="24" t="str">
        <x:v>EEZ_940</x:v>
      </x:c>
      <x:c r="B14" s="24" t="str">
        <x:v>commercial_ppr_difference</x:v>
      </x:c>
      <x:c r="C14" s="24" t="n">
        <x:v>-20033.928379379882</x:v>
      </x:c>
      <x:c r="D14" s="24" t="str">
        <x:v>tonnes_primary_production_equivalent</x:v>
      </x:c>
    </x:row>
    <x:row r="15" ht="18" customHeight="1">
      <x:c r="A15" s="24" t="str">
        <x:v>EEZ_940</x:v>
      </x:c>
      <x:c r="B15" s="24" t="str">
        <x:v>functional_ppr_difference</x:v>
      </x:c>
      <x:c r="C15" s="24" t="n">
        <x:v>-4303.262095518279</x:v>
      </x:c>
      <x:c r="D15" s="24" t="str">
        <x:v>tonnes_primary_production_equivalent</x:v>
      </x:c>
    </x:row>
    <x:row r="16" ht="18" customHeight="1">
      <x:c r="A16" s="24" t="str">
        <x:v>EEZ_940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9785db89ca04f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EEZ_940 - Israel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