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6002382ee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56454e945b14875"/>
    <x:sheet xmlns:r="http://schemas.openxmlformats.org/officeDocument/2006/relationships" name="Commercial" sheetId="2" r:id="R02127459f42b45a7"/>
    <x:sheet xmlns:r="http://schemas.openxmlformats.org/officeDocument/2006/relationships" name="Functional" sheetId="3" r:id="Rdc5838567c0941a2"/>
    <x:sheet xmlns:r="http://schemas.openxmlformats.org/officeDocument/2006/relationships" name="Missing TL" sheetId="4" r:id="Rb6f416aa81f54622"/>
    <x:sheet xmlns:r="http://schemas.openxmlformats.org/officeDocument/2006/relationships" name="Validation" sheetId="5" r:id="R5505534e9b8b41f2"/>
    <x:sheet xmlns:r="http://schemas.openxmlformats.org/officeDocument/2006/relationships" name="Metadata" sheetId="6" r:id="R32361c0a0a00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b5bfd302540c1" /><Relationship Type="http://schemas.openxmlformats.org/officeDocument/2006/relationships/theme" Target="/xl/theme/theme1.xml" Id="Rd3888f0b009e4302" /><Relationship Type="http://schemas.microsoft.com/office/2022/11/relationships/FeaturePropertyBag" Target="/xl/featurePropertyBag/featurePropertyBag.xml" Id="R73e1a2eb456c44a3" /><Relationship Type="http://schemas.openxmlformats.org/officeDocument/2006/relationships/sharedStrings" Target="/xl/sharedStrings.xml" Id="R50fda212991a4650" /><Relationship Type="http://schemas.openxmlformats.org/officeDocument/2006/relationships/worksheet" Target="/xl/worksheets/sheet1.xml" Id="R756454e945b14875" /><Relationship Type="http://schemas.openxmlformats.org/officeDocument/2006/relationships/worksheet" Target="/xl/worksheets/sheet2.xml" Id="R02127459f42b45a7" /><Relationship Type="http://schemas.openxmlformats.org/officeDocument/2006/relationships/worksheet" Target="/xl/worksheets/sheet3.xml" Id="Rdc5838567c0941a2" /><Relationship Type="http://schemas.openxmlformats.org/officeDocument/2006/relationships/worksheet" Target="/xl/worksheets/sheet4.xml" Id="Rb6f416aa81f54622" /><Relationship Type="http://schemas.openxmlformats.org/officeDocument/2006/relationships/worksheet" Target="/xl/worksheets/sheet5.xml" Id="R5505534e9b8b41f2" /><Relationship Type="http://schemas.openxmlformats.org/officeDocument/2006/relationships/worksheet" Target="/xl/worksheets/sheet6.xml" Id="R32361c0a0a004e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68SpeciesTable" displayName="EEZ968SpeciesTable" ref="A1:U52" headerRowCount="1" totalsRowCount="0" totalsRowShown="0">
  <x:autoFilter ref="A1:U5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68CommercialTable" displayName="EEZ968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68FunctionalTable" displayName="EEZ968FunctionalTable" ref="A1:E16" headerRowCount="1" totalsRowCount="0" totalsRowShown="0">
  <x:autoFilter ref="A1:E1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68ValidationTable" displayName="EEZ96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f3ccebbeff49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a871864bdd44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28274783a74c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96d85662ae49c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EEZ_968</x:v>
      </x:c>
      <x:c r="B2" s="24" t="str">
        <x:v>United Arab Emirates (Fujairah)</x:v>
      </x:c>
      <x:c r="C2" s="24" t="str">
        <x:v>EEZ</x:v>
      </x:c>
      <x:c r="D2" s="30" t="n">
        <x:v>2019</x:v>
      </x:c>
      <x:c r="E2" s="24" t="str">
        <x:v>Carangidae</x:v>
      </x:c>
      <x:c r="F2" s="24" t="str">
        <x:v>Jacks, pompanos</x:v>
      </x:c>
      <x:c r="G2" s="24" t="str">
        <x:v>Medium pelagics (30 - 89 cm)</x:v>
      </x:c>
      <x:c r="H2" s="24" t="str">
        <x:v>Perch-likes</x:v>
      </x:c>
      <x:c r="I2" s="31" t="n">
        <x:v>6133.413668846</x:v>
      </x:c>
      <x:c r="J2" s="31" t="n">
        <x:v>6093.7065690983</x:v>
      </x:c>
      <x:c r="K2" s="31" t="n">
        <x:v>39.7070997477</x:v>
      </x:c>
      <x:c r="L2" s="31" t="n">
        <x:v>195.86667083199998</x:v>
      </x:c>
      <x:c r="M2" s="31" t="n">
        <x:v>5937.546998014</x:v>
      </x:c>
      <x:c r="N2" s="24" t="str">
        <x:v>carangidae</x:v>
      </x:c>
      <x:c r="O2" s="32" t="n">
        <x:v>4.05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Carangidae</x:v>
      </x:c>
      <x:c r="T2" s="32" t="n">
        <x:f>IF(O2="","",(1/'Metadata'!$B$5)^(O2-1))</x:f>
        <x:v>1122.018454301963</x:v>
      </x:c>
      <x:c r="U2" s="31" t="n">
        <x:f>IF(T2="","",I2*T2)</x:f>
        <x:v>6881803.324313121</x:v>
      </x:c>
    </x:row>
    <x:row r="3" ht="18" customHeight="1">
      <x:c r="A3" s="24" t="str">
        <x:v>EEZ_968</x:v>
      </x:c>
      <x:c r="B3" s="24" t="str">
        <x:v>United Arab Emirates (Fujairah)</x:v>
      </x:c>
      <x:c r="C3" s="24" t="str">
        <x:v>EEZ</x:v>
      </x:c>
      <x:c r="D3" s="30" t="n">
        <x:v>2019</x:v>
      </x:c>
      <x:c r="E3" s="24" t="str">
        <x:v>Lethrinus nebulosus</x:v>
      </x:c>
      <x:c r="F3" s="24" t="str">
        <x:v>Spangled emperor</x:v>
      </x:c>
      <x:c r="G3" s="24" t="str">
        <x:v>Medium demersals (30 - 89 cm)</x:v>
      </x:c>
      <x:c r="H3" s="24" t="str">
        <x:v>Perch-likes</x:v>
      </x:c>
      <x:c r="I3" s="31" t="n">
        <x:v>3463.2003359349997</x:v>
      </x:c>
      <x:c r="J3" s="31" t="n">
        <x:v>3463.2003359349997</x:v>
      </x:c>
      <x:c r="K3" s="31" t="n">
        <x:v>0</x:v>
      </x:c>
      <x:c r="L3" s="31" t="n">
        <x:v>2579.9999999003</x:v>
      </x:c>
      <x:c r="M3" s="31" t="n">
        <x:v>883.2003360347</x:v>
      </x:c>
      <x:c r="N3" s="24" t="str">
        <x:v>lethrinus nebulosus</x:v>
      </x:c>
      <x:c r="O3" s="32" t="n">
        <x:v>3.76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Lethrinus nebulosus</x:v>
      </x:c>
      <x:c r="T3" s="32" t="n">
        <x:f>IF(O3="","",(1/'Metadata'!$B$5)^(O3-1))</x:f>
        <x:v>575.4399373371566</x:v>
      </x:c>
      <x:c r="U3" s="31" t="n">
        <x:f>IF(T3="","",I3*T3)</x:f>
        <x:v>1992863.784296456</x:v>
      </x:c>
    </x:row>
    <x:row r="4" ht="18" customHeight="1">
      <x:c r="A4" s="24" t="str">
        <x:v>EEZ_968</x:v>
      </x:c>
      <x:c r="B4" s="24" t="str">
        <x:v>United Arab Emirates (Fujairah)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3317.5801455721</x:v>
      </x:c>
      <x:c r="J4" s="31" t="n">
        <x:v>3291.8373585587</x:v>
      </x:c>
      <x:c r="K4" s="31" t="n">
        <x:v>25.7427870134</x:v>
      </x:c>
      <x:c r="L4" s="31" t="n">
        <x:v>602.6581728848</x:v>
      </x:c>
      <x:c r="M4" s="31" t="n">
        <x:v>2714.9219726873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632151.8646082425</x:v>
      </x:c>
    </x:row>
    <x:row r="5" ht="18" customHeight="1">
      <x:c r="A5" s="24" t="str">
        <x:v>EEZ_968</x:v>
      </x:c>
      <x:c r="B5" s="24" t="str">
        <x:v>United Arab Emirates (Fujairah)</x:v>
      </x:c>
      <x:c r="C5" s="24" t="str">
        <x:v>EEZ</x:v>
      </x:c>
      <x:c r="D5" s="30" t="n">
        <x:v>2019</x:v>
      </x:c>
      <x:c r="E5" s="24" t="str">
        <x:v>Rastrelliger kanagurta</x:v>
      </x:c>
      <x:c r="F5" s="24" t="str">
        <x:v>Indian mackerel</x:v>
      </x:c>
      <x:c r="G5" s="24" t="str">
        <x:v>Medium pelagics (30 - 89 cm)</x:v>
      </x:c>
      <x:c r="H5" s="24" t="str">
        <x:v>Perch-likes</x:v>
      </x:c>
      <x:c r="I5" s="31" t="n">
        <x:v>3230.1407430931</x:v>
      </x:c>
      <x:c r="J5" s="31" t="n">
        <x:v>3230.1407430931</x:v>
      </x:c>
      <x:c r="K5" s="31" t="n">
        <x:v>0</x:v>
      </x:c>
      <x:c r="L5" s="31" t="n">
        <x:v>218.8322768314</x:v>
      </x:c>
      <x:c r="M5" s="31" t="n">
        <x:v>3011.3084662617</x:v>
      </x:c>
      <x:c r="N5" s="24" t="str">
        <x:v>rastrelliger kanagurta</x:v>
      </x:c>
      <x:c r="O5" s="32" t="n">
        <x:v>3.19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Rastrelliger kanagurta</x:v>
      </x:c>
      <x:c r="T5" s="32" t="n">
        <x:f>IF(O5="","",(1/'Metadata'!$B$5)^(O5-1))</x:f>
        <x:v>154.88166189124811</x:v>
      </x:c>
      <x:c r="U5" s="31" t="n">
        <x:f>IF(T5="","",I5*T5)</x:f>
        <x:v>500289.5664328904</x:v>
      </x:c>
    </x:row>
    <x:row r="6" ht="18" customHeight="1">
      <x:c r="A6" s="24" t="str">
        <x:v>EEZ_968</x:v>
      </x:c>
      <x:c r="B6" s="24" t="str">
        <x:v>United Arab Emirates (Fujairah)</x:v>
      </x:c>
      <x:c r="C6" s="24" t="str">
        <x:v>EEZ</x:v>
      </x:c>
      <x:c r="D6" s="30" t="n">
        <x:v>2019</x:v>
      </x:c>
      <x:c r="E6" s="24" t="str">
        <x:v>Scomberoides</x:v>
      </x:c>
      <x:c r="F6" s="24" t="str">
        <x:v>Queenfishes</x:v>
      </x:c>
      <x:c r="G6" s="24" t="str">
        <x:v>Medium pelagics (30 - 89 cm)</x:v>
      </x:c>
      <x:c r="H6" s="24" t="str">
        <x:v>Perch-likes</x:v>
      </x:c>
      <x:c r="I6" s="31" t="n">
        <x:v>2919.3490207227</x:v>
      </x:c>
      <x:c r="J6" s="31" t="n">
        <x:v>2919.3490207227</x:v>
      </x:c>
      <x:c r="K6" s="31" t="n">
        <x:v>0</x:v>
      </x:c>
      <x:c r="L6" s="31" t="n">
        <x:v>2405.9999999803</x:v>
      </x:c>
      <x:c r="M6" s="31" t="n">
        <x:v>513.3490207424001</x:v>
      </x:c>
      <x:c r="N6" s="24" t="str">
        <x:v>scomberoides</x:v>
      </x:c>
      <x:c r="O6" s="32" t="n">
        <x:v>4.47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Scomberoides</x:v>
      </x:c>
      <x:c r="T6" s="32" t="n">
        <x:f>IF(O6="","",(1/'Metadata'!$B$5)^(O6-1))</x:f>
        <x:v>2951.209226666384</x:v>
      </x:c>
      <x:c r="U6" s="31" t="n">
        <x:f>IF(T6="","",I6*T6)</x:f>
        <x:v>8615609.765816305</x:v>
      </x:c>
    </x:row>
    <x:row r="7" ht="18" customHeight="1">
      <x:c r="A7" s="24" t="str">
        <x:v>EEZ_968</x:v>
      </x:c>
      <x:c r="B7" s="24" t="str">
        <x:v>United Arab Emirates (Fujairah)</x:v>
      </x:c>
      <x:c r="C7" s="24" t="str">
        <x:v>EEZ</x:v>
      </x:c>
      <x:c r="D7" s="30" t="n">
        <x:v>2019</x:v>
      </x:c>
      <x:c r="E7" s="24" t="str">
        <x:v>Thunnus tonggol</x:v>
      </x:c>
      <x:c r="F7" s="24" t="str">
        <x:v>Longtail tuna</x:v>
      </x:c>
      <x:c r="G7" s="24" t="str">
        <x:v>Large pelagics (&gt;=90 cm)</x:v>
      </x:c>
      <x:c r="H7" s="24" t="str">
        <x:v>Tuna &amp; billfishes</x:v>
      </x:c>
      <x:c r="I7" s="31" t="n">
        <x:v>2404.0862080778998</x:v>
      </x:c>
      <x:c r="J7" s="31" t="n">
        <x:v>2404.0862080778998</x:v>
      </x:c>
      <x:c r="K7" s="31" t="n">
        <x:v>0</x:v>
      </x:c>
      <x:c r="L7" s="31" t="n">
        <x:v>152.8961837504</x:v>
      </x:c>
      <x:c r="M7" s="31" t="n">
        <x:v>2251.1900243275</x:v>
      </x:c>
      <x:c r="N7" s="24" t="str">
        <x:v>thunnus tonggol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tonggol</x:v>
      </x:c>
      <x:c r="T7" s="32" t="n">
        <x:f>IF(O7="","",(1/'Metadata'!$B$5)^(O7-1))</x:f>
        <x:v>3162.2776601683795</x:v>
      </x:c>
      <x:c r="U7" s="31" t="n">
        <x:f>IF(T7="","",I7*T7)</x:f>
        <x:v>7602388.108923653</x:v>
      </x:c>
    </x:row>
    <x:row r="8" ht="18" customHeight="1">
      <x:c r="A8" s="24" t="str">
        <x:v>EEZ_968</x:v>
      </x:c>
      <x:c r="B8" s="24" t="str">
        <x:v>United Arab Emirates (Fujairah)</x:v>
      </x:c>
      <x:c r="C8" s="24" t="str">
        <x:v>EEZ</x:v>
      </x:c>
      <x:c r="D8" s="30" t="n">
        <x:v>2019</x:v>
      </x:c>
      <x:c r="E8" s="24" t="str">
        <x:v>Sphyraena</x:v>
      </x:c>
      <x:c r="F8" s="24" t="str">
        <x:v>Barracudas, sennets</x:v>
      </x:c>
      <x:c r="G8" s="24" t="str">
        <x:v>Large pelagics (&gt;=90 cm)</x:v>
      </x:c>
      <x:c r="H8" s="24" t="str">
        <x:v>Perch-likes</x:v>
      </x:c>
      <x:c r="I8" s="31" t="n">
        <x:v>2350.7765015721</x:v>
      </x:c>
      <x:c r="J8" s="31" t="n">
        <x:v>2350.7765015721</x:v>
      </x:c>
      <x:c r="K8" s="31" t="n">
        <x:v>0</x:v>
      </x:c>
      <x:c r="L8" s="31" t="n">
        <x:v>252.5733466358</x:v>
      </x:c>
      <x:c r="M8" s="31" t="n">
        <x:v>2098.2031549363</x:v>
      </x:c>
      <x:c r="N8" s="24" t="str">
        <x:v>sphyraena</x:v>
      </x:c>
      <x:c r="O8" s="32" t="n">
        <x:v>4.4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Sphyraena</x:v>
      </x:c>
      <x:c r="T8" s="32" t="n">
        <x:f>IF(O8="","",(1/'Metadata'!$B$5)^(O8-1))</x:f>
        <x:v>2511.886431509582</x:v>
      </x:c>
      <x:c r="U8" s="31" t="n">
        <x:f>IF(T8="","",I8*T8)</x:f>
        <x:v>5904883.597810522</x:v>
      </x:c>
    </x:row>
    <x:row r="9" ht="18" customHeight="1">
      <x:c r="A9" s="24" t="str">
        <x:v>EEZ_968</x:v>
      </x:c>
      <x:c r="B9" s="24" t="str">
        <x:v>United Arab Emirates (Fujairah)</x:v>
      </x:c>
      <x:c r="C9" s="24" t="str">
        <x:v>EEZ</x:v>
      </x:c>
      <x:c r="D9" s="30" t="n">
        <x:v>2019</x:v>
      </x:c>
      <x:c r="E9" s="24" t="str">
        <x:v>Sardinella longiceps</x:v>
      </x:c>
      <x:c r="F9" s="24" t="str">
        <x:v>Indian oil sardine</x:v>
      </x:c>
      <x:c r="G9" s="24" t="str">
        <x:v>Small pelagics (&lt;30 cm)</x:v>
      </x:c>
      <x:c r="H9" s="24" t="str">
        <x:v>Herring-likes</x:v>
      </x:c>
      <x:c r="I9" s="31" t="n">
        <x:v>2219.6419870661</x:v>
      </x:c>
      <x:c r="J9" s="31" t="n">
        <x:v>2219.6419870661</x:v>
      </x:c>
      <x:c r="K9" s="31" t="n">
        <x:v>0</x:v>
      </x:c>
      <x:c r="L9" s="31" t="n">
        <x:v>0</x:v>
      </x:c>
      <x:c r="M9" s="31" t="n">
        <x:v>2219.6419870661</x:v>
      </x:c>
      <x:c r="N9" s="24" t="str">
        <x:v>sardinella longiceps</x:v>
      </x:c>
      <x:c r="O9" s="32" t="n">
        <x:v>2.41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Sardinella longiceps</x:v>
      </x:c>
      <x:c r="T9" s="32" t="n">
        <x:f>IF(O9="","",(1/'Metadata'!$B$5)^(O9-1))</x:f>
        <x:v>25.703957827688647</x:v>
      </x:c>
      <x:c r="U9" s="31" t="n">
        <x:f>IF(T9="","",I9*T9)</x:f>
        <x:v>57053.584028114055</x:v>
      </x:c>
    </x:row>
    <x:row r="10" ht="18" customHeight="1">
      <x:c r="A10" s="24" t="str">
        <x:v>EEZ_968</x:v>
      </x:c>
      <x:c r="B10" s="24" t="str">
        <x:v>United Arab Emirates (Fujairah)</x:v>
      </x:c>
      <x:c r="C10" s="24" t="str">
        <x:v>EEZ</x:v>
      </x:c>
      <x:c r="D10" s="30" t="n">
        <x:v>2019</x:v>
      </x:c>
      <x:c r="E10" s="24" t="str">
        <x:v>Euthynnus affinis</x:v>
      </x:c>
      <x:c r="F10" s="24" t="str">
        <x:v>Kawakawa</x:v>
      </x:c>
      <x:c r="G10" s="24" t="str">
        <x:v>Large pelagics (&gt;=90 cm)</x:v>
      </x:c>
      <x:c r="H10" s="24" t="str">
        <x:v>Tuna &amp; billfishes</x:v>
      </x:c>
      <x:c r="I10" s="31" t="n">
        <x:v>1070.5726138116001</x:v>
      </x:c>
      <x:c r="J10" s="31" t="n">
        <x:v>1070.5726138116001</x:v>
      </x:c>
      <x:c r="K10" s="31" t="n">
        <x:v>0</x:v>
      </x:c>
      <x:c r="L10" s="31" t="n">
        <x:v>196.6392916088</x:v>
      </x:c>
      <x:c r="M10" s="31" t="n">
        <x:v>873.9333222028</x:v>
      </x:c>
      <x:c r="N10" s="24" t="str">
        <x:v>euthynnus affinis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Euthynnus affinis</x:v>
      </x:c>
      <x:c r="T10" s="32" t="n">
        <x:f>IF(O10="","",(1/'Metadata'!$B$5)^(O10-1))</x:f>
        <x:v>3162.2776601683795</x:v>
      </x:c>
      <x:c r="U10" s="31" t="n">
        <x:f>IF(T10="","",I10*T10)</x:f>
        <x:v>3385447.860244493</x:v>
      </x:c>
    </x:row>
    <x:row r="11" ht="18" customHeight="1">
      <x:c r="A11" s="24" t="str">
        <x:v>EEZ_968</x:v>
      </x:c>
      <x:c r="B11" s="24" t="str">
        <x:v>United Arab Emirates (Fujairah)</x:v>
      </x:c>
      <x:c r="C11" s="24" t="str">
        <x:v>EEZ</x:v>
      </x:c>
      <x:c r="D11" s="30" t="n">
        <x:v>2019</x:v>
      </x:c>
      <x:c r="E11" s="24" t="str">
        <x:v>Scomberomorus commerson</x:v>
      </x:c>
      <x:c r="F11" s="24" t="str">
        <x:v>Narrow-barred Spanish mackerel</x:v>
      </x:c>
      <x:c r="G11" s="24" t="str">
        <x:v>Large pelagics (&gt;=90 cm)</x:v>
      </x:c>
      <x:c r="H11" s="24" t="str">
        <x:v>Perch-likes</x:v>
      </x:c>
      <x:c r="I11" s="31" t="n">
        <x:v>870.3981670232</x:v>
      </x:c>
      <x:c r="J11" s="31" t="n">
        <x:v>870.3981670232</x:v>
      </x:c>
      <x:c r="K11" s="31" t="n">
        <x:v>0</x:v>
      </x:c>
      <x:c r="L11" s="31" t="n">
        <x:v>0</x:v>
      </x:c>
      <x:c r="M11" s="31" t="n">
        <x:v>870.3981670232</x:v>
      </x:c>
      <x:c r="N11" s="24" t="str">
        <x:v>scomberomorus commerson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Scomberomorus commerson</x:v>
      </x:c>
      <x:c r="T11" s="32" t="n">
        <x:f>IF(O11="","",(1/'Metadata'!$B$5)^(O11-1))</x:f>
        <x:v>3162.2776601683795</x:v>
      </x:c>
      <x:c r="U11" s="31" t="n">
        <x:f>IF(T11="","",I11*T11)</x:f>
        <x:v>2752440.679028971</x:v>
      </x:c>
    </x:row>
    <x:row r="12" ht="18" customHeight="1">
      <x:c r="A12" s="24" t="str">
        <x:v>EEZ_968</x:v>
      </x:c>
      <x:c r="B12" s="24" t="str">
        <x:v>United Arab Emirates (Fujairah)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706.0880717345</x:v>
      </x:c>
      <x:c r="J12" s="31" t="n">
        <x:v>542.1995782417</x:v>
      </x:c>
      <x:c r="K12" s="31" t="n">
        <x:v>163.8884934928</x:v>
      </x:c>
      <x:c r="L12" s="31" t="n">
        <x:v>31.226352051800003</x:v>
      </x:c>
      <x:c r="M12" s="31" t="n">
        <x:v>674.8617196827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1284869.0703895367</x:v>
      </x:c>
    </x:row>
    <x:row r="13" ht="18" customHeight="1">
      <x:c r="A13" s="24" t="str">
        <x:v>EEZ_968</x:v>
      </x:c>
      <x:c r="B13" s="24" t="str">
        <x:v>United Arab Emirates (Fujairah)</x:v>
      </x:c>
      <x:c r="C13" s="24" t="str">
        <x:v>EEZ</x:v>
      </x:c>
      <x:c r="D13" s="30" t="n">
        <x:v>2019</x:v>
      </x:c>
      <x:c r="E13" s="24" t="str">
        <x:v>Epinephelus</x:v>
      </x:c>
      <x:c r="F13" s="24" t="str">
        <x:v>Seabasses, hinds</x:v>
      </x:c>
      <x:c r="G13" s="24" t="str">
        <x:v>Medium reef assoc. fish (30 - 89 cm)</x:v>
      </x:c>
      <x:c r="H13" s="24" t="str">
        <x:v>Perch-likes</x:v>
      </x:c>
      <x:c r="I13" s="31" t="n">
        <x:v>603.4808995598</x:v>
      </x:c>
      <x:c r="J13" s="31" t="n">
        <x:v>603.4808995598</x:v>
      </x:c>
      <x:c r="K13" s="31" t="n">
        <x:v>0</x:v>
      </x:c>
      <x:c r="L13" s="31" t="n">
        <x:v>173.450200714</x:v>
      </x:c>
      <x:c r="M13" s="31" t="n">
        <x:v>430.0306988458</x:v>
      </x:c>
      <x:c r="N13" s="24" t="str">
        <x:v>epinephelus</x:v>
      </x:c>
      <x:c r="O13" s="32" t="n">
        <x:v>3.84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Epinephelus</x:v>
      </x:c>
      <x:c r="T13" s="32" t="n">
        <x:f>IF(O13="","",(1/'Metadata'!$B$5)^(O13-1))</x:f>
        <x:v>691.8309709189363</x:v>
      </x:c>
      <x:c r="U13" s="31" t="n">
        <x:f>IF(T13="","",I13*T13)</x:f>
        <x:v>417506.77667348954</x:v>
      </x:c>
    </x:row>
    <x:row r="14" ht="18" customHeight="1">
      <x:c r="A14" s="24" t="str">
        <x:v>EEZ_968</x:v>
      </x:c>
      <x:c r="B14" s="24" t="str">
        <x:v>United Arab Emirates (Fujairah)</x:v>
      </x:c>
      <x:c r="C14" s="24" t="str">
        <x:v>EEZ</x:v>
      </x:c>
      <x:c r="D14" s="30" t="n">
        <x:v>2019</x:v>
      </x:c>
      <x:c r="E14" s="24" t="str">
        <x:v>Sparidae</x:v>
      </x:c>
      <x:c r="F14" s="24" t="str">
        <x:v>Porgies, seabreams</x:v>
      </x:c>
      <x:c r="G14" s="24" t="str">
        <x:v>Medium benthopelagics (30 - 89 cm)</x:v>
      </x:c>
      <x:c r="H14" s="24" t="str">
        <x:v>Perch-likes</x:v>
      </x:c>
      <x:c r="I14" s="31" t="n">
        <x:v>567.4747325794</x:v>
      </x:c>
      <x:c r="J14" s="31" t="n">
        <x:v>561.4528810154</x:v>
      </x:c>
      <x:c r="K14" s="31" t="n">
        <x:v>6.021851564</x:v>
      </x:c>
      <x:c r="L14" s="31" t="n">
        <x:v>43.722082035700005</x:v>
      </x:c>
      <x:c r="M14" s="31" t="n">
        <x:v>523.7526505436999</x:v>
      </x:c>
      <x:c r="N14" s="24" t="str">
        <x:v>sparidae</x:v>
      </x:c>
      <x:c r="O14" s="32" t="n">
        <x:v>3.31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Sparidae</x:v>
      </x:c>
      <x:c r="T14" s="32" t="n">
        <x:f>IF(O14="","",(1/'Metadata'!$B$5)^(O14-1))</x:f>
        <x:v>204.17379446695296</x:v>
      </x:c>
      <x:c r="U14" s="31" t="n">
        <x:f>IF(T14="","",I14*T14)</x:f>
        <x:v>115863.4694148555</x:v>
      </x:c>
    </x:row>
    <x:row r="15" ht="18" customHeight="1">
      <x:c r="A15" s="24" t="str">
        <x:v>EEZ_968</x:v>
      </x:c>
      <x:c r="B15" s="24" t="str">
        <x:v>United Arab Emirates (Fujairah)</x:v>
      </x:c>
      <x:c r="C15" s="24" t="str">
        <x:v>EEZ</x:v>
      </x:c>
      <x:c r="D15" s="30" t="n">
        <x:v>2019</x:v>
      </x:c>
      <x:c r="E15" s="24" t="str">
        <x:v>Lutjanus</x:v>
      </x:c>
      <x:c r="F15" s="24" t="str">
        <x:v>Snappers</x:v>
      </x:c>
      <x:c r="G15" s="24" t="str">
        <x:v>Medium reef assoc. fish (30 - 89 cm)</x:v>
      </x:c>
      <x:c r="H15" s="24" t="str">
        <x:v>Perch-likes</x:v>
      </x:c>
      <x:c r="I15" s="31" t="n">
        <x:v>562.2350046793</x:v>
      </x:c>
      <x:c r="J15" s="31" t="n">
        <x:v>562.2350046793</x:v>
      </x:c>
      <x:c r="K15" s="31" t="n">
        <x:v>0</x:v>
      </x:c>
      <x:c r="L15" s="31" t="n">
        <x:v>143.8615093244</x:v>
      </x:c>
      <x:c r="M15" s="31" t="n">
        <x:v>418.3734953549</x:v>
      </x:c>
      <x:c r="N15" s="24" t="str">
        <x:v>lutjanus</x:v>
      </x:c>
      <x:c r="O15" s="32" t="n">
        <x:v>4.02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Lutjanus</x:v>
      </x:c>
      <x:c r="T15" s="32" t="n">
        <x:f>IF(O15="","",(1/'Metadata'!$B$5)^(O15-1))</x:f>
        <x:v>1047.1285480508984</x:v>
      </x:c>
      <x:c r="U15" s="31" t="n">
        <x:f>IF(T15="","",I15*T15)</x:f>
        <x:v>588732.3241132254</x:v>
      </x:c>
    </x:row>
    <x:row r="16" ht="18" customHeight="1">
      <x:c r="A16" s="24" t="str">
        <x:v>EEZ_968</x:v>
      </x:c>
      <x:c r="B16" s="24" t="str">
        <x:v>United Arab Emirates (Fujairah)</x:v>
      </x:c>
      <x:c r="C16" s="24" t="str">
        <x:v>EEZ</x:v>
      </x:c>
      <x:c r="D16" s="30" t="n">
        <x:v>2019</x:v>
      </x:c>
      <x:c r="E16" s="24" t="str">
        <x:v>Thunnus albacares</x:v>
      </x:c>
      <x:c r="F16" s="24" t="str">
        <x:v>Yellowfin tuna</x:v>
      </x:c>
      <x:c r="G16" s="24" t="str">
        <x:v>Large pelagics (&gt;=90 cm)</x:v>
      </x:c>
      <x:c r="H16" s="24" t="str">
        <x:v>Tuna &amp; billfishes</x:v>
      </x:c>
      <x:c r="I16" s="31" t="n">
        <x:v>555.6314673827</x:v>
      </x:c>
      <x:c r="J16" s="31" t="n">
        <x:v>555.6314673827</x:v>
      </x:c>
      <x:c r="K16" s="31" t="n">
        <x:v>0</x:v>
      </x:c>
      <x:c r="L16" s="31" t="n">
        <x:v>60.86277217639999</x:v>
      </x:c>
      <x:c r="M16" s="31" t="n">
        <x:v>494.7686952063</x:v>
      </x:c>
      <x:c r="N16" s="24" t="str">
        <x:v>thunnus albacares</x:v>
      </x:c>
      <x:c r="O16" s="32" t="n">
        <x:v>4.41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Thunnus albacares</x:v>
      </x:c>
      <x:c r="T16" s="32" t="n">
        <x:f>IF(O16="","",(1/'Metadata'!$B$5)^(O16-1))</x:f>
        <x:v>2570.3957827688646</x:v>
      </x:c>
      <x:c r="U16" s="31" t="n">
        <x:f>IF(T16="","",I16*T16)</x:f>
        <x:v>1428192.780534168</x:v>
      </x:c>
    </x:row>
    <x:row r="17" ht="18" customHeight="1">
      <x:c r="A17" s="24" t="str">
        <x:v>EEZ_968</x:v>
      </x:c>
      <x:c r="B17" s="24" t="str">
        <x:v>United Arab Emirates (Fujairah)</x:v>
      </x:c>
      <x:c r="C17" s="24" t="str">
        <x:v>EEZ</x:v>
      </x:c>
      <x:c r="D17" s="30" t="n">
        <x:v>2019</x:v>
      </x:c>
      <x:c r="E17" s="24" t="str">
        <x:v>Engraulidae</x:v>
      </x:c>
      <x:c r="F17" s="24" t="str">
        <x:v>Anchovies, round herrings</x:v>
      </x:c>
      <x:c r="G17" s="24" t="str">
        <x:v>Small pelagics (&lt;30 cm)</x:v>
      </x:c>
      <x:c r="H17" s="24" t="str">
        <x:v>Anchovies</x:v>
      </x:c>
      <x:c r="I17" s="31" t="n">
        <x:v>498.4094049368</x:v>
      </x:c>
      <x:c r="J17" s="31" t="n">
        <x:v>498.4094049368</x:v>
      </x:c>
      <x:c r="K17" s="31" t="n">
        <x:v>0</x:v>
      </x:c>
      <x:c r="L17" s="31" t="n">
        <x:v>0</x:v>
      </x:c>
      <x:c r="M17" s="31" t="n">
        <x:v>498.4094049368</x:v>
      </x:c>
      <x:c r="N17" s="24" t="str">
        <x:v>engraulidae</x:v>
      </x:c>
      <x:c r="O17" s="32" t="n">
        <x:v>3.2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Engraulidae</x:v>
      </x:c>
      <x:c r="T17" s="32" t="n">
        <x:f>IF(O17="","",(1/'Metadata'!$B$5)^(O17-1))</x:f>
        <x:v>158.48931924611142</x:v>
      </x:c>
      <x:c r="U17" s="31" t="n">
        <x:f>IF(T17="","",I17*T17)</x:f>
        <x:v>78992.56729429292</x:v>
      </x:c>
    </x:row>
    <x:row r="18" ht="18" customHeight="1">
      <x:c r="A18" s="24" t="str">
        <x:v>EEZ_968</x:v>
      </x:c>
      <x:c r="B18" s="24" t="str">
        <x:v>United Arab Emirates (Fujairah)</x:v>
      </x:c>
      <x:c r="C18" s="24" t="str">
        <x:v>EEZ</x:v>
      </x:c>
      <x:c r="D18" s="30" t="n">
        <x:v>2019</x:v>
      </x:c>
      <x:c r="E18" s="24" t="str">
        <x:v>Elasmobranchii</x:v>
      </x:c>
      <x:c r="F18" s="24" t="str">
        <x:v>Sharks, rays, skates</x:v>
      </x:c>
      <x:c r="G18" s="24" t="str">
        <x:v>Large sharks (&gt;=90 cm)</x:v>
      </x:c>
      <x:c r="H18" s="24" t="str">
        <x:v>Sharks &amp; rays</x:v>
      </x:c>
      <x:c r="I18" s="31" t="n">
        <x:v>490.059831161</x:v>
      </x:c>
      <x:c r="J18" s="31" t="n">
        <x:v>490.059831161</x:v>
      </x:c>
      <x:c r="K18" s="31" t="n">
        <x:v>0</x:v>
      </x:c>
      <x:c r="L18" s="31" t="n">
        <x:v>97.0466212332</x:v>
      </x:c>
      <x:c r="M18" s="31" t="n">
        <x:v>393.0132099278</x:v>
      </x:c>
      <x:c r="N18" s="24" t="str">
        <x:v>elasmobranchii</x:v>
      </x:c>
      <x:c r="O18" s="32" t="n">
        <x:v>4.05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Elasmobranchii</x:v>
      </x:c>
      <x:c r="T18" s="32" t="n">
        <x:f>IF(O18="","",(1/'Metadata'!$B$5)^(O18-1))</x:f>
        <x:v>1122.018454301963</x:v>
      </x:c>
      <x:c r="U18" s="31" t="n">
        <x:f>IF(T18="","",I18*T18)</x:f>
        <x:v>549856.1742747461</x:v>
      </x:c>
    </x:row>
    <x:row r="19" ht="18" customHeight="1">
      <x:c r="A19" s="24" t="str">
        <x:v>EEZ_968</x:v>
      </x:c>
      <x:c r="B19" s="24" t="str">
        <x:v>United Arab Emirates (Fujairah)</x:v>
      </x:c>
      <x:c r="C19" s="24" t="str">
        <x:v>EEZ</x:v>
      </x:c>
      <x:c r="D19" s="30" t="n">
        <x:v>2019</x:v>
      </x:c>
      <x:c r="E19" s="24" t="str">
        <x:v>Istiophorus platypterus</x:v>
      </x:c>
      <x:c r="F19" s="24" t="str">
        <x:v>Indo-Pacific sailfish</x:v>
      </x:c>
      <x:c r="G19" s="24" t="str">
        <x:v>Large pelagics (&gt;=90 cm)</x:v>
      </x:c>
      <x:c r="H19" s="24" t="str">
        <x:v>Tuna &amp; billfishes</x:v>
      </x:c>
      <x:c r="I19" s="31" t="n">
        <x:v>487.12987479810005</x:v>
      </x:c>
      <x:c r="J19" s="31" t="n">
        <x:v>487.12987479810005</x:v>
      </x:c>
      <x:c r="K19" s="31" t="n">
        <x:v>0</x:v>
      </x:c>
      <x:c r="L19" s="31" t="n">
        <x:v>27.490570047</x:v>
      </x:c>
      <x:c r="M19" s="31" t="n">
        <x:v>459.63930475110004</x:v>
      </x:c>
      <x:c r="N19" s="24" t="str">
        <x:v>istiophorus platypterus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Istiophorus platypterus</x:v>
      </x:c>
      <x:c r="T19" s="32" t="n">
        <x:f>IF(O19="","",(1/'Metadata'!$B$5)^(O19-1))</x:f>
        <x:v>3162.2776601683795</x:v>
      </x:c>
      <x:c r="U19" s="31" t="n">
        <x:f>IF(T19="","",I19*T19)</x:f>
        <x:v>1540439.9206746514</x:v>
      </x:c>
    </x:row>
    <x:row r="20" ht="18" customHeight="1">
      <x:c r="A20" s="24" t="str">
        <x:v>EEZ_968</x:v>
      </x:c>
      <x:c r="B20" s="24" t="str">
        <x:v>United Arab Emirates (Fujairah)</x:v>
      </x:c>
      <x:c r="C20" s="24" t="str">
        <x:v>EEZ</x:v>
      </x:c>
      <x:c r="D20" s="30" t="n">
        <x:v>2019</x:v>
      </x:c>
      <x:c r="E20" s="24" t="str">
        <x:v>Auxis thazard</x:v>
      </x:c>
      <x:c r="F20" s="24" t="str">
        <x:v>Frigate tuna</x:v>
      </x:c>
      <x:c r="G20" s="24" t="str">
        <x:v>Medium pelagics (30 - 89 cm)</x:v>
      </x:c>
      <x:c r="H20" s="24" t="str">
        <x:v>Tuna &amp; billfishes</x:v>
      </x:c>
      <x:c r="I20" s="31" t="n">
        <x:v>485.9394182241</x:v>
      </x:c>
      <x:c r="J20" s="31" t="n">
        <x:v>485.9394182241</x:v>
      </x:c>
      <x:c r="K20" s="31" t="n">
        <x:v>0</x:v>
      </x:c>
      <x:c r="L20" s="31" t="n">
        <x:v>360.36000001900004</x:v>
      </x:c>
      <x:c r="M20" s="31" t="n">
        <x:v>125.5794182051</x:v>
      </x:c>
      <x:c r="N20" s="24" t="str">
        <x:v>auxis thazard</x:v>
      </x:c>
      <x:c r="O20" s="32" t="n">
        <x:v>4.37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Auxis thazard</x:v>
      </x:c>
      <x:c r="T20" s="32" t="n">
        <x:f>IF(O20="","",(1/'Metadata'!$B$5)^(O20-1))</x:f>
        <x:v>2344.228815319923</x:v>
      </x:c>
      <x:c r="U20" s="31" t="n">
        <x:f>IF(T20="","",I20*T20)</x:f>
        <x:v>1139153.1867007345</x:v>
      </x:c>
    </x:row>
    <x:row r="21" ht="18" customHeight="1">
      <x:c r="A21" s="24" t="str">
        <x:v>EEZ_968</x:v>
      </x:c>
      <x:c r="B21" s="24" t="str">
        <x:v>United Arab Emirates (Fujairah)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464.09792917479996</x:v>
      </x:c>
      <x:c r="J21" s="31" t="n">
        <x:v>462.5329977631</x:v>
      </x:c>
      <x:c r="K21" s="31" t="n">
        <x:v>1.5649314117</x:v>
      </x:c>
      <x:c r="L21" s="31" t="n">
        <x:v>114.4664867416</x:v>
      </x:c>
      <x:c r="M21" s="31" t="n">
        <x:v>349.6314424332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15725.68711771864</x:v>
      </x:c>
    </x:row>
    <x:row r="22" ht="18" customHeight="1">
      <x:c r="A22" s="24" t="str">
        <x:v>EEZ_968</x:v>
      </x:c>
      <x:c r="B22" s="24" t="str">
        <x:v>United Arab Emirates (Fujairah)</x:v>
      </x:c>
      <x:c r="C22" s="24" t="str">
        <x:v>EEZ</x:v>
      </x:c>
      <x:c r="D22" s="30" t="n">
        <x:v>2019</x:v>
      </x:c>
      <x:c r="E22" s="24" t="str">
        <x:v>Sepia pharaonis</x:v>
      </x:c>
      <x:c r="F22" s="24" t="str">
        <x:v>Pharaoh cuttlefish</x:v>
      </x:c>
      <x:c r="G22" s="24" t="str">
        <x:v>Cephalopods</x:v>
      </x:c>
      <x:c r="H22" s="24" t="str">
        <x:v>Other fishes &amp; inverts</x:v>
      </x:c>
      <x:c r="I22" s="31" t="n">
        <x:v>426.03611256659997</x:v>
      </x:c>
      <x:c r="J22" s="31" t="n">
        <x:v>426.03611256659997</x:v>
      </x:c>
      <x:c r="K22" s="31" t="n">
        <x:v>0</x:v>
      </x:c>
      <x:c r="L22" s="31" t="n">
        <x:v>0</x:v>
      </x:c>
      <x:c r="M22" s="31" t="n">
        <x:v>426.03611256659997</x:v>
      </x:c>
      <x:c r="N22" s="24" t="str">
        <x:v>sepia pharaonis</x:v>
      </x:c>
      <x:c r="O22" s="32" t="n">
        <x:v>3.8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Sepia pharaonis</x:v>
      </x:c>
      <x:c r="T22" s="32" t="n">
        <x:f>IF(O22="","",(1/'Metadata'!$B$5)^(O22-1))</x:f>
        <x:v>630.957344480193</x:v>
      </x:c>
      <x:c r="U22" s="31" t="n">
        <x:f>IF(T22="","",I22*T22)</x:f>
        <x:v>268810.6142376865</x:v>
      </x:c>
    </x:row>
    <x:row r="23" ht="18" customHeight="1">
      <x:c r="A23" s="24" t="str">
        <x:v>EEZ_968</x:v>
      </x:c>
      <x:c r="B23" s="24" t="str">
        <x:v>United Arab Emirates (Fujairah)</x:v>
      </x:c>
      <x:c r="C23" s="24" t="str">
        <x:v>EEZ</x:v>
      </x:c>
      <x:c r="D23" s="30" t="n">
        <x:v>2019</x:v>
      </x:c>
      <x:c r="E23" s="24" t="str">
        <x:v>Plectorhinchus</x:v>
      </x:c>
      <x:c r="F23" s="24" t="str">
        <x:v>Sweetlips</x:v>
      </x:c>
      <x:c r="G23" s="24" t="str">
        <x:v>Medium reef assoc. fish (30 - 89 cm)</x:v>
      </x:c>
      <x:c r="H23" s="24" t="str">
        <x:v>Perch-likes</x:v>
      </x:c>
      <x:c r="I23" s="31" t="n">
        <x:v>226.7914800676</x:v>
      </x:c>
      <x:c r="J23" s="31" t="n">
        <x:v>226.7914800676</x:v>
      </x:c>
      <x:c r="K23" s="31" t="n">
        <x:v>0</x:v>
      </x:c>
      <x:c r="L23" s="31" t="n">
        <x:v>73.33943623</x:v>
      </x:c>
      <x:c r="M23" s="31" t="n">
        <x:v>153.4520438376</x:v>
      </x:c>
      <x:c r="N23" s="24" t="str">
        <x:v>plectorhinchus</x:v>
      </x:c>
      <x:c r="O23" s="32" t="n">
        <x:v>3.43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Plectorhinchus</x:v>
      </x:c>
      <x:c r="T23" s="32" t="n">
        <x:f>IF(O23="","",(1/'Metadata'!$B$5)^(O23-1))</x:f>
        <x:v>269.1534803926917</x:v>
      </x:c>
      <x:c r="U23" s="31" t="n">
        <x:f>IF(T23="","",I23*T23)</x:f>
        <x:v>61041.7161836043</x:v>
      </x:c>
    </x:row>
    <x:row r="24" ht="18" customHeight="1">
      <x:c r="A24" s="24" t="str">
        <x:v>EEZ_968</x:v>
      </x:c>
      <x:c r="B24" s="24" t="str">
        <x:v>United Arab Emirates (Fujairah)</x:v>
      </x:c>
      <x:c r="C24" s="24" t="str">
        <x:v>EEZ</x:v>
      </x:c>
      <x:c r="D24" s="30" t="n">
        <x:v>2019</x:v>
      </x:c>
      <x:c r="E24" s="24" t="str">
        <x:v>Netuma thalassina</x:v>
      </x:c>
      <x:c r="F24" s="24" t="str">
        <x:v>Giant catfish</x:v>
      </x:c>
      <x:c r="G24" s="24" t="str">
        <x:v>Large demersals (&gt;=90 cm)</x:v>
      </x:c>
      <x:c r="H24" s="24" t="str">
        <x:v>Other fishes &amp; inverts</x:v>
      </x:c>
      <x:c r="I24" s="31" t="n">
        <x:v>192.3207079338</x:v>
      </x:c>
      <x:c r="J24" s="31" t="n">
        <x:v>192.3207079338</x:v>
      </x:c>
      <x:c r="K24" s="31" t="n">
        <x:v>0</x:v>
      </x:c>
      <x:c r="L24" s="31" t="n">
        <x:v>0</x:v>
      </x:c>
      <x:c r="M24" s="31" t="n">
        <x:v>192.3207079338</x:v>
      </x:c>
      <x:c r="N24" s="24" t="str">
        <x:v>netuma thalassina</x:v>
      </x:c>
      <x:c r="O24" s="32" t="n">
        <x:v>3.54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Netuma thalassina</x:v>
      </x:c>
      <x:c r="T24" s="32" t="n">
        <x:f>IF(O24="","",(1/'Metadata'!$B$5)^(O24-1))</x:f>
        <x:v>346.73685045253166</x:v>
      </x:c>
      <x:c r="U24" s="31" t="n">
        <x:f>IF(T24="","",I24*T24)</x:f>
        <x:v>66684.67654576703</x:v>
      </x:c>
    </x:row>
    <x:row r="25" ht="18" customHeight="1">
      <x:c r="A25" s="24" t="str">
        <x:v>EEZ_968</x:v>
      </x:c>
      <x:c r="B25" s="24" t="str">
        <x:v>United Arab Emirates (Fujairah)</x:v>
      </x:c>
      <x:c r="C25" s="24" t="str">
        <x:v>EEZ</x:v>
      </x:c>
      <x:c r="D25" s="30" t="n">
        <x:v>2019</x:v>
      </x:c>
      <x:c r="E25" s="24" t="str">
        <x:v>Siganus canaliculatus</x:v>
      </x:c>
      <x:c r="F25" s="24" t="str">
        <x:v>White-spotted spinefoot</x:v>
      </x:c>
      <x:c r="G25" s="24" t="str">
        <x:v>Small reef assoc. fish (&lt;30 cm)</x:v>
      </x:c>
      <x:c r="H25" s="24" t="str">
        <x:v>Perch-likes</x:v>
      </x:c>
      <x:c r="I25" s="31" t="n">
        <x:v>147.4943335348</x:v>
      </x:c>
      <x:c r="J25" s="31" t="n">
        <x:v>147.4943335348</x:v>
      </x:c>
      <x:c r="K25" s="31" t="n">
        <x:v>0</x:v>
      </x:c>
      <x:c r="L25" s="31" t="n">
        <x:v>28.145042793800002</x:v>
      </x:c>
      <x:c r="M25" s="31" t="n">
        <x:v>119.34929074099999</x:v>
      </x:c>
      <x:c r="N25" s="24" t="str">
        <x:v>siganus canaliculatus</x:v>
      </x:c>
      <x:c r="O25" s="32" t="n">
        <x:v>2.76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Siganus canaliculatus</x:v>
      </x:c>
      <x:c r="T25" s="32" t="n">
        <x:f>IF(O25="","",(1/'Metadata'!$B$5)^(O25-1))</x:f>
        <x:v>57.543993733715666</x:v>
      </x:c>
      <x:c r="U25" s="31" t="n">
        <x:f>IF(T25="","",I25*T25)</x:f>
        <x:v>8487.4130046851</x:v>
      </x:c>
    </x:row>
    <x:row r="26" ht="18" customHeight="1">
      <x:c r="A26" s="24" t="str">
        <x:v>EEZ_968</x:v>
      </x:c>
      <x:c r="B26" s="24" t="str">
        <x:v>United Arab Emirates (Fujairah)</x:v>
      </x:c>
      <x:c r="C26" s="24" t="str">
        <x:v>EEZ</x:v>
      </x:c>
      <x:c r="D26" s="30" t="n">
        <x:v>2019</x:v>
      </x:c>
      <x:c r="E26" s="24" t="str">
        <x:v>Rachycentron canadum</x:v>
      </x:c>
      <x:c r="F26" s="24" t="str">
        <x:v>Cobia</x:v>
      </x:c>
      <x:c r="G26" s="24" t="str">
        <x:v>Large pelagics (&gt;=90 cm)</x:v>
      </x:c>
      <x:c r="H26" s="24" t="str">
        <x:v>Perch-likes</x:v>
      </x:c>
      <x:c r="I26" s="31" t="n">
        <x:v>114.7404970252</x:v>
      </x:c>
      <x:c r="J26" s="31" t="n">
        <x:v>114.7404970252</x:v>
      </x:c>
      <x:c r="K26" s="31" t="n">
        <x:v>0</x:v>
      </x:c>
      <x:c r="L26" s="31" t="n">
        <x:v>26.788084253</x:v>
      </x:c>
      <x:c r="M26" s="31" t="n">
        <x:v>87.9524127722</x:v>
      </x:c>
      <x:c r="N26" s="24" t="str">
        <x:v>rachycentron canadum</x:v>
      </x:c>
      <x:c r="O26" s="32" t="n">
        <x:v>3.96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Rachycentron canadum</x:v>
      </x:c>
      <x:c r="T26" s="32" t="n">
        <x:f>IF(O26="","",(1/'Metadata'!$B$5)^(O26-1))</x:f>
        <x:v>912.0108393559096</x:v>
      </x:c>
      <x:c r="U26" s="31" t="n">
        <x:f>IF(T26="","",I26*T26)</x:f>
        <x:v>104644.5770000669</x:v>
      </x:c>
    </x:row>
    <x:row r="27" ht="18" customHeight="1">
      <x:c r="A27" s="24" t="str">
        <x:v>EEZ_968</x:v>
      </x:c>
      <x:c r="B27" s="24" t="str">
        <x:v>United Arab Emirates (Fujairah)</x:v>
      </x:c>
      <x:c r="C27" s="24" t="str">
        <x:v>EEZ</x:v>
      </x:c>
      <x:c r="D27" s="30" t="n">
        <x:v>2019</x:v>
      </x:c>
      <x:c r="E27" s="24" t="str">
        <x:v>Sepia</x:v>
      </x:c>
      <x:c r="F27" s="24" t="str">
        <x:v>Sepia cuttlefishes</x:v>
      </x:c>
      <x:c r="G27" s="24" t="str">
        <x:v>Cephalopods</x:v>
      </x:c>
      <x:c r="H27" s="24" t="str">
        <x:v>Other fishes &amp; inverts</x:v>
      </x:c>
      <x:c r="I27" s="31" t="n">
        <x:v>90.000000002</x:v>
      </x:c>
      <x:c r="J27" s="31" t="n">
        <x:v>90.000000002</x:v>
      </x:c>
      <x:c r="K27" s="31" t="n">
        <x:v>0</x:v>
      </x:c>
      <x:c r="L27" s="31" t="n">
        <x:v>90.000000002</x:v>
      </x:c>
      <x:c r="M27" s="31" t="n">
        <x:v>0</x:v>
      </x:c>
      <x:c r="N27" s="24" t="str">
        <x:v>sepia</x:v>
      </x:c>
      <x:c r="O27" s="32" t="n">
        <x:v>3.69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Sepia</x:v>
      </x:c>
      <x:c r="T27" s="32" t="n">
        <x:f>IF(O27="","",(1/'Metadata'!$B$5)^(O27-1))</x:f>
        <x:v>489.77881936844614</x:v>
      </x:c>
      <x:c r="U27" s="31" t="n">
        <x:f>IF(T27="","",I27*T27)</x:f>
        <x:v>44080.0937441397</x:v>
      </x:c>
    </x:row>
    <x:row r="28" ht="18" customHeight="1">
      <x:c r="A28" s="24" t="str">
        <x:v>EEZ_968</x:v>
      </x:c>
      <x:c r="B28" s="24" t="str">
        <x:v>United Arab Emirates (Fujairah)</x:v>
      </x:c>
      <x:c r="C28" s="24" t="str">
        <x:v>EEZ</x:v>
      </x:c>
      <x:c r="D28" s="30" t="n">
        <x:v>2019</x:v>
      </x:c>
      <x:c r="E28" s="24" t="str">
        <x:v>Clupeidae</x:v>
      </x:c>
      <x:c r="F28" s="24" t="str">
        <x:v>Herrings, sardines, menhadens</x:v>
      </x:c>
      <x:c r="G28" s="24" t="str">
        <x:v>Small pelagics (&lt;30 cm)</x:v>
      </x:c>
      <x:c r="H28" s="24" t="str">
        <x:v>Herring-likes</x:v>
      </x:c>
      <x:c r="I28" s="31" t="n">
        <x:v>86.1700521875</x:v>
      </x:c>
      <x:c r="J28" s="31" t="n">
        <x:v>0.5825615856</x:v>
      </x:c>
      <x:c r="K28" s="31" t="n">
        <x:v>85.5874906019</x:v>
      </x:c>
      <x:c r="L28" s="31" t="n">
        <x:v>0</x:v>
      </x:c>
      <x:c r="M28" s="31" t="n">
        <x:v>86.1700521875</x:v>
      </x:c>
      <x:c r="N28" s="24" t="str">
        <x:v>clupeidae</x:v>
      </x:c>
      <x:c r="O28" s="32" t="n">
        <x:v>3.16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Clupeidae</x:v>
      </x:c>
      <x:c r="T28" s="32" t="n">
        <x:f>IF(O28="","",(1/'Metadata'!$B$5)^(O28-1))</x:f>
        <x:v>144.5439770745928</x:v>
      </x:c>
      <x:c r="U28" s="31" t="n">
        <x:f>IF(T28="","",I28*T28)</x:f>
        <x:v>12455.362047906465</x:v>
      </x:c>
    </x:row>
    <x:row r="29" ht="18" customHeight="1">
      <x:c r="A29" s="24" t="str">
        <x:v>EEZ_968</x:v>
      </x:c>
      <x:c r="B29" s="24" t="str">
        <x:v>United Arab Emirates (Fujairah)</x:v>
      </x:c>
      <x:c r="C29" s="24" t="str">
        <x:v>EEZ</x:v>
      </x:c>
      <x:c r="D29" s="30" t="n">
        <x:v>2019</x:v>
      </x:c>
      <x:c r="E29" s="24" t="str">
        <x:v>Lethrinidae</x:v>
      </x:c>
      <x:c r="F29" s="24" t="str">
        <x:v>Emperors, scavengers</x:v>
      </x:c>
      <x:c r="G29" s="24" t="str">
        <x:v>Medium reef assoc. fish (30 - 89 cm)</x:v>
      </x:c>
      <x:c r="H29" s="24" t="str">
        <x:v>Perch-likes</x:v>
      </x:c>
      <x:c r="I29" s="31" t="n">
        <x:v>15.422028985199999</x:v>
      </x:c>
      <x:c r="J29" s="31" t="n">
        <x:v>0.1035080637</x:v>
      </x:c>
      <x:c r="K29" s="31" t="n">
        <x:v>15.3185209215</x:v>
      </x:c>
      <x:c r="L29" s="31" t="n">
        <x:v>0</x:v>
      </x:c>
      <x:c r="M29" s="31" t="n">
        <x:v>15.422028985199999</x:v>
      </x:c>
      <x:c r="N29" s="24" t="str">
        <x:v>lethrinidae</x:v>
      </x:c>
      <x:c r="O29" s="32" t="n">
        <x:v>3.59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Lethrinidae</x:v>
      </x:c>
      <x:c r="T29" s="32" t="n">
        <x:f>IF(O29="","",(1/'Metadata'!$B$5)^(O29-1))</x:f>
        <x:v>389.04514499428046</x:v>
      </x:c>
      <x:c r="U29" s="31" t="n">
        <x:f>IF(T29="","",I29*T29)</x:f>
        <x:v>5999.86550265313</x:v>
      </x:c>
    </x:row>
    <x:row r="30" ht="18" customHeight="1">
      <x:c r="A30" s="24" t="str">
        <x:v>EEZ_968</x:v>
      </x:c>
      <x:c r="B30" s="24" t="str">
        <x:v>United Arab Emirates (Fujairah)</x:v>
      </x:c>
      <x:c r="C30" s="24" t="str">
        <x:v>EEZ</x:v>
      </x:c>
      <x:c r="D30" s="30" t="n">
        <x:v>2019</x:v>
      </x:c>
      <x:c r="E30" s="24" t="str">
        <x:v>Sphyraenidae</x:v>
      </x:c>
      <x:c r="F30" s="24" t="str">
        <x:v>Barracudas</x:v>
      </x:c>
      <x:c r="G30" s="24" t="str">
        <x:v>Medium reef assoc. fish (30 - 89 cm)</x:v>
      </x:c>
      <x:c r="H30" s="24" t="str">
        <x:v>Perch-likes</x:v>
      </x:c>
      <x:c r="I30" s="31" t="n">
        <x:v>14.772191981599999</x:v>
      </x:c>
      <x:c r="J30" s="31" t="n">
        <x:v>0.101856155</x:v>
      </x:c>
      <x:c r="K30" s="31" t="n">
        <x:v>14.670335826599999</x:v>
      </x:c>
      <x:c r="L30" s="31" t="n">
        <x:v>0</x:v>
      </x:c>
      <x:c r="M30" s="31" t="n">
        <x:v>14.772191981599999</x:v>
      </x:c>
      <x:c r="N30" s="24" t="str">
        <x:v>sphyraenidae</x:v>
      </x:c>
      <x:c r="O30" s="32" t="n">
        <x:v>4.4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Sphyraenidae</x:v>
      </x:c>
      <x:c r="T30" s="32" t="n">
        <x:f>IF(O30="","",(1/'Metadata'!$B$5)^(O30-1))</x:f>
        <x:v>2511.886431509582</x:v>
      </x:c>
      <x:c r="U30" s="31" t="n">
        <x:f>IF(T30="","",I30*T30)</x:f>
        <x:v>37106.06860223568</x:v>
      </x:c>
    </x:row>
    <x:row r="31" ht="18" customHeight="1">
      <x:c r="A31" s="24" t="str">
        <x:v>EEZ_968</x:v>
      </x:c>
      <x:c r="B31" s="24" t="str">
        <x:v>United Arab Emirates (Fujairah)</x:v>
      </x:c>
      <x:c r="C31" s="24" t="str">
        <x:v>EEZ</x:v>
      </x:c>
      <x:c r="D31" s="30" t="n">
        <x:v>2019</x:v>
      </x:c>
      <x:c r="E31" s="24" t="str">
        <x:v>Lutjanidae</x:v>
      </x:c>
      <x:c r="F31" s="24" t="str">
        <x:v>Snappers</x:v>
      </x:c>
      <x:c r="G31" s="24" t="str">
        <x:v>Medium reef assoc. fish (30 - 89 cm)</x:v>
      </x:c>
      <x:c r="H31" s="24" t="str">
        <x:v>Perch-likes</x:v>
      </x:c>
      <x:c r="I31" s="31" t="n">
        <x:v>14.0338737596</x:v>
      </x:c>
      <x:c r="J31" s="31" t="n">
        <x:v>6.271981942</x:v>
      </x:c>
      <x:c r="K31" s="31" t="n">
        <x:v>7.7618918176</x:v>
      </x:c>
      <x:c r="L31" s="31" t="n">
        <x:v>0</x:v>
      </x:c>
      <x:c r="M31" s="31" t="n">
        <x:v>14.0338737596</x:v>
      </x:c>
      <x:c r="N31" s="24" t="str">
        <x:v>lutjanidae</x:v>
      </x:c>
      <x:c r="O31" s="32" t="n">
        <x:v>4.02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Lutjanidae</x:v>
      </x:c>
      <x:c r="T31" s="32" t="n">
        <x:f>IF(O31="","",(1/'Metadata'!$B$5)^(O31-1))</x:f>
        <x:v>1047.1285480508984</x:v>
      </x:c>
      <x:c r="U31" s="31" t="n">
        <x:f>IF(T31="","",I31*T31)</x:f>
        <x:v>14695.269853419552</x:v>
      </x:c>
    </x:row>
    <x:row r="32" ht="18" customHeight="1">
      <x:c r="A32" s="24" t="str">
        <x:v>EEZ_968</x:v>
      </x:c>
      <x:c r="B32" s="24" t="str">
        <x:v>United Arab Emirates (Fujairah)</x:v>
      </x:c>
      <x:c r="C32" s="24" t="str">
        <x:v>EEZ</x:v>
      </x:c>
      <x:c r="D32" s="30" t="n">
        <x:v>2019</x:v>
      </x:c>
      <x:c r="E32" s="24" t="str">
        <x:v>Carcharhinidae</x:v>
      </x:c>
      <x:c r="F32" s="24" t="str">
        <x:v>Requiem sharks</x:v>
      </x:c>
      <x:c r="G32" s="24" t="str">
        <x:v>Large sharks (&gt;=90 cm)</x:v>
      </x:c>
      <x:c r="H32" s="24" t="str">
        <x:v>Sharks &amp; rays</x:v>
      </x:c>
      <x:c r="I32" s="31" t="n">
        <x:v>11.923531025700001</x:v>
      </x:c>
      <x:c r="J32" s="31" t="n">
        <x:v>0.0850906199</x:v>
      </x:c>
      <x:c r="K32" s="31" t="n">
        <x:v>11.8384404058</x:v>
      </x:c>
      <x:c r="L32" s="31" t="n">
        <x:v>0</x:v>
      </x:c>
      <x:c r="M32" s="31" t="n">
        <x:v>11.923531025700001</x:v>
      </x:c>
      <x:c r="N32" s="24" t="str">
        <x:v>carcharhinidae</x:v>
      </x:c>
      <x:c r="O32" s="32" t="n">
        <x:v>4.24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Carcharhinidae</x:v>
      </x:c>
      <x:c r="T32" s="32" t="n">
        <x:f>IF(O32="","",(1/'Metadata'!$B$5)^(O32-1))</x:f>
        <x:v>1737.8008287493763</x:v>
      </x:c>
      <x:c r="U32" s="31" t="n">
        <x:f>IF(T32="","",I32*T32)</x:f>
        <x:v>20720.72209808036</x:v>
      </x:c>
    </x:row>
    <x:row r="33" ht="18" customHeight="1">
      <x:c r="A33" s="24" t="str">
        <x:v>EEZ_968</x:v>
      </x:c>
      <x:c r="B33" s="24" t="str">
        <x:v>United Arab Emirates (Fujairah)</x:v>
      </x:c>
      <x:c r="C33" s="24" t="str">
        <x:v>EEZ</x:v>
      </x:c>
      <x:c r="D33" s="30" t="n">
        <x:v>2019</x:v>
      </x:c>
      <x:c r="E33" s="24" t="str">
        <x:v>Serranidae</x:v>
      </x:c>
      <x:c r="F33" s="24" t="str">
        <x:v>Basses, groupers, hinds</x:v>
      </x:c>
      <x:c r="G33" s="24" t="str">
        <x:v>Medium reef assoc. fish (30 - 89 cm)</x:v>
      </x:c>
      <x:c r="H33" s="24" t="str">
        <x:v>Perch-likes</x:v>
      </x:c>
      <x:c r="I33" s="31" t="n">
        <x:v>11.2386756185</x:v>
      </x:c>
      <x:c r="J33" s="31" t="n">
        <x:v>0.0783597611</x:v>
      </x:c>
      <x:c r="K33" s="31" t="n">
        <x:v>11.1603158574</x:v>
      </x:c>
      <x:c r="L33" s="31" t="n">
        <x:v>0</x:v>
      </x:c>
      <x:c r="M33" s="31" t="n">
        <x:v>11.2386756185</x:v>
      </x:c>
      <x:c r="N33" s="24" t="str">
        <x:v>serranidae</x:v>
      </x:c>
      <x:c r="O33" s="32" t="n">
        <x:v>3.98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Serranidae</x:v>
      </x:c>
      <x:c r="T33" s="32" t="n">
        <x:f>IF(O33="","",(1/'Metadata'!$B$5)^(O33-1))</x:f>
        <x:v>954.992586021436</x:v>
      </x:c>
      <x:c r="U33" s="31" t="n">
        <x:f>IF(T33="","",I33*T33)</x:f>
        <x:v>10732.851892367376</x:v>
      </x:c>
    </x:row>
    <x:row r="34" ht="18" customHeight="1">
      <x:c r="A34" s="24" t="str">
        <x:v>EEZ_968</x:v>
      </x:c>
      <x:c r="B34" s="24" t="str">
        <x:v>United Arab Emirates (Fujairah)</x:v>
      </x:c>
      <x:c r="C34" s="24" t="str">
        <x:v>EEZ</x:v>
      </x:c>
      <x:c r="D34" s="30" t="n">
        <x:v>2019</x:v>
      </x:c>
      <x:c r="E34" s="24" t="str">
        <x:v>Sepiidae</x:v>
      </x:c>
      <x:c r="F34" s="24" t="str">
        <x:v>Cuttlefishes</x:v>
      </x:c>
      <x:c r="G34" s="24" t="str">
        <x:v>Cephalopods</x:v>
      </x:c>
      <x:c r="H34" s="24" t="str">
        <x:v>Other fishes &amp; inverts</x:v>
      </x:c>
      <x:c r="I34" s="31" t="n">
        <x:v>10.6575182209</x:v>
      </x:c>
      <x:c r="J34" s="31" t="n">
        <x:v>0.0654292448</x:v>
      </x:c>
      <x:c r="K34" s="31" t="n">
        <x:v>10.5920889761</x:v>
      </x:c>
      <x:c r="L34" s="31" t="n">
        <x:v>0</x:v>
      </x:c>
      <x:c r="M34" s="31" t="n">
        <x:v>10.6575182209</x:v>
      </x:c>
      <x:c r="N34" s="24" t="str">
        <x:v>sepiidae</x:v>
      </x:c>
      <x:c r="O34" s="32" t="n">
        <x:v>3.6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Sepiidae</x:v>
      </x:c>
      <x:c r="T34" s="32" t="n">
        <x:f>IF(O34="","",(1/'Metadata'!$B$5)^(O34-1))</x:f>
        <x:v>398.1071705534973</x:v>
      </x:c>
      <x:c r="U34" s="31" t="n">
        <x:f>IF(T34="","",I34*T34)</x:f>
        <x:v>4242.834424044841</x:v>
      </x:c>
    </x:row>
    <x:row r="35" ht="18" customHeight="1">
      <x:c r="A35" s="24" t="str">
        <x:v>EEZ_968</x:v>
      </x:c>
      <x:c r="B35" s="24" t="str">
        <x:v>United Arab Emirates (Fujairah)</x:v>
      </x:c>
      <x:c r="C35" s="24" t="str">
        <x:v>EEZ</x:v>
      </x:c>
      <x:c r="D35" s="30" t="n">
        <x:v>2019</x:v>
      </x:c>
      <x:c r="E35" s="24" t="str">
        <x:v>Pristipomoides filamentosus</x:v>
      </x:c>
      <x:c r="F35" s="24" t="str">
        <x:v>Crimson jobfish</x:v>
      </x:c>
      <x:c r="G35" s="24" t="str">
        <x:v>Medium demersals (30 - 89 cm)</x:v>
      </x:c>
      <x:c r="H35" s="24" t="str">
        <x:v>Perch-likes</x:v>
      </x:c>
      <x:c r="I35" s="31" t="n">
        <x:v>9.3905734595</x:v>
      </x:c>
      <x:c r="J35" s="31" t="n">
        <x:v>9.3905734595</x:v>
      </x:c>
      <x:c r="K35" s="31" t="n">
        <x:v>0</x:v>
      </x:c>
      <x:c r="L35" s="31" t="n">
        <x:v>3.5002804914000003</x:v>
      </x:c>
      <x:c r="M35" s="31" t="n">
        <x:v>5.8902929681</x:v>
      </x:c>
      <x:c r="N35" s="24" t="str">
        <x:v>pristipomoides filamentosus</x:v>
      </x:c>
      <x:c r="O35" s="32" t="n">
        <x:v>4.19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Pristipomoides filamentosus</x:v>
      </x:c>
      <x:c r="T35" s="32" t="n">
        <x:f>IF(O35="","",(1/'Metadata'!$B$5)^(O35-1))</x:f>
        <x:v>1548.8166189124827</x:v>
      </x:c>
      <x:c r="U35" s="31" t="n">
        <x:f>IF(T35="","",I35*T35)</x:f>
        <x:v>14544.276235192086</x:v>
      </x:c>
    </x:row>
    <x:row r="36" ht="18" customHeight="1">
      <x:c r="A36" s="24" t="str">
        <x:v>EEZ_968</x:v>
      </x:c>
      <x:c r="B36" s="24" t="str">
        <x:v>United Arab Emirates (Fujairah)</x:v>
      </x:c>
      <x:c r="C36" s="24" t="str">
        <x:v>EEZ</x:v>
      </x:c>
      <x:c r="D36" s="30" t="n">
        <x:v>2019</x:v>
      </x:c>
      <x:c r="E36" s="24" t="str">
        <x:v>Sphyraena barracuda</x:v>
      </x:c>
      <x:c r="F36" s="24" t="str">
        <x:v>Great barracuda</x:v>
      </x:c>
      <x:c r="G36" s="24" t="str">
        <x:v>Large pelagics (&gt;=90 cm)</x:v>
      </x:c>
      <x:c r="H36" s="24" t="str">
        <x:v>Perch-likes</x:v>
      </x:c>
      <x:c r="I36" s="31" t="n">
        <x:v>6.212039626</x:v>
      </x:c>
      <x:c r="J36" s="31" t="n">
        <x:v>6.212039626</x:v>
      </x:c>
      <x:c r="K36" s="31" t="n">
        <x:v>0</x:v>
      </x:c>
      <x:c r="L36" s="31" t="n">
        <x:v>0</x:v>
      </x:c>
      <x:c r="M36" s="31" t="n">
        <x:v>6.212039626</x:v>
      </x:c>
      <x:c r="N36" s="24" t="str">
        <x:v>sphyraena barracuda</x:v>
      </x:c>
      <x:c r="O36" s="32" t="n">
        <x:v>4.49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Sphyraena barracuda</x:v>
      </x:c>
      <x:c r="T36" s="32" t="n">
        <x:f>IF(O36="","",(1/'Metadata'!$B$5)^(O36-1))</x:f>
        <x:v>3090.295432513592</x:v>
      </x:c>
      <x:c r="U36" s="31" t="n">
        <x:f>IF(T36="","",I36*T36)</x:f>
        <x:v>19197.037682821243</x:v>
      </x:c>
    </x:row>
    <x:row r="37" ht="18" customHeight="1">
      <x:c r="A37" s="24" t="str">
        <x:v>EEZ_968</x:v>
      </x:c>
      <x:c r="B37" s="24" t="str">
        <x:v>United Arab Emirates (Fujairah)</x:v>
      </x:c>
      <x:c r="C37" s="24" t="str">
        <x:v>EEZ</x:v>
      </x:c>
      <x:c r="D37" s="30" t="n">
        <x:v>2019</x:v>
      </x:c>
      <x:c r="E37" s="24" t="str">
        <x:v>Seriola dumerili</x:v>
      </x:c>
      <x:c r="F37" s="24" t="str">
        <x:v>Greater amberjack</x:v>
      </x:c>
      <x:c r="G37" s="24" t="str">
        <x:v>Large reef assoc. fish (&gt;=90 cm)</x:v>
      </x:c>
      <x:c r="H37" s="24" t="str">
        <x:v>Perch-likes</x:v>
      </x:c>
      <x:c r="I37" s="31" t="n">
        <x:v>6.212039626</x:v>
      </x:c>
      <x:c r="J37" s="31" t="n">
        <x:v>6.212039626</x:v>
      </x:c>
      <x:c r="K37" s="31" t="n">
        <x:v>0</x:v>
      </x:c>
      <x:c r="L37" s="31" t="n">
        <x:v>0</x:v>
      </x:c>
      <x:c r="M37" s="31" t="n">
        <x:v>6.212039626</x:v>
      </x:c>
      <x:c r="N37" s="24" t="str">
        <x:v>seriola dumerili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Seriola dumerili</x:v>
      </x:c>
      <x:c r="T37" s="32" t="n">
        <x:f>IF(O37="","",(1/'Metadata'!$B$5)^(O37-1))</x:f>
        <x:v>3162.2776601683795</x:v>
      </x:c>
      <x:c r="U37" s="31" t="n">
        <x:f>IF(T37="","",I37*T37)</x:f>
        <x:v>19644.194133380537</x:v>
      </x:c>
    </x:row>
    <x:row r="38" ht="18" customHeight="1">
      <x:c r="A38" s="24" t="str">
        <x:v>EEZ_968</x:v>
      </x:c>
      <x:c r="B38" s="24" t="str">
        <x:v>United Arab Emirates (Fujairah)</x:v>
      </x:c>
      <x:c r="C38" s="24" t="str">
        <x:v>EEZ</x:v>
      </x:c>
      <x:c r="D38" s="30" t="n">
        <x:v>2019</x:v>
      </x:c>
      <x:c r="E38" s="24" t="str">
        <x:v>Sarda orientalis</x:v>
      </x:c>
      <x:c r="F38" s="24" t="str">
        <x:v>Striped bonito</x:v>
      </x:c>
      <x:c r="G38" s="24" t="str">
        <x:v>Large pelagics (&gt;=90 cm)</x:v>
      </x:c>
      <x:c r="H38" s="24" t="str">
        <x:v>Tuna &amp; billfishes</x:v>
      </x:c>
      <x:c r="I38" s="31" t="n">
        <x:v>5.5453753113</x:v>
      </x:c>
      <x:c r="J38" s="31" t="n">
        <x:v>5.5453753113</x:v>
      </x:c>
      <x:c r="K38" s="31" t="n">
        <x:v>0</x:v>
      </x:c>
      <x:c r="L38" s="31" t="n">
        <x:v>1.1015890266</x:v>
      </x:c>
      <x:c r="M38" s="31" t="n">
        <x:v>4.4437862847</x:v>
      </x:c>
      <x:c r="N38" s="24" t="str">
        <x:v>sarda orientalis</x:v>
      </x:c>
      <x:c r="O38" s="32" t="n">
        <x:v>4.21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Sarda orientalis</x:v>
      </x:c>
      <x:c r="T38" s="32" t="n">
        <x:f>IF(O38="","",(1/'Metadata'!$B$5)^(O38-1))</x:f>
        <x:v>1621.8100973589299</x:v>
      </x:c>
      <x:c r="U38" s="31" t="n">
        <x:f>IF(T38="","",I38*T38)</x:f>
        <x:v>8993.545673511258</x:v>
      </x:c>
    </x:row>
    <x:row r="39" ht="18" customHeight="1">
      <x:c r="A39" s="24" t="str">
        <x:v>EEZ_968</x:v>
      </x:c>
      <x:c r="B39" s="24" t="str">
        <x:v>United Arab Emirates (Fujairah)</x:v>
      </x:c>
      <x:c r="C39" s="24" t="str">
        <x:v>EEZ</x:v>
      </x:c>
      <x:c r="D39" s="30" t="n">
        <x:v>2019</x:v>
      </x:c>
      <x:c r="E39" s="24" t="str">
        <x:v>Istiophoridae</x:v>
      </x:c>
      <x:c r="F39" s="24" t="str">
        <x:v>Billfishes</x:v>
      </x:c>
      <x:c r="G39" s="24" t="str">
        <x:v>Large pelagics (&gt;=90 cm)</x:v>
      </x:c>
      <x:c r="H39" s="24" t="str">
        <x:v>Tuna &amp; billfishes</x:v>
      </x:c>
      <x:c r="I39" s="31" t="n">
        <x:v>4.6896339171</x:v>
      </x:c>
      <x:c r="J39" s="31" t="n">
        <x:v>3.1144019884</x:v>
      </x:c>
      <x:c r="K39" s="31" t="n">
        <x:v>1.5752319287</x:v>
      </x:c>
      <x:c r="L39" s="31" t="n">
        <x:v>0</x:v>
      </x:c>
      <x:c r="M39" s="31" t="n">
        <x:v>4.6896339171</x:v>
      </x:c>
      <x:c r="N39" s="24" t="str">
        <x:v>istiophoridae</x:v>
      </x:c>
      <x:c r="O39" s="32" t="n">
        <x:v>4.48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Istiophoridae</x:v>
      </x:c>
      <x:c r="T39" s="32" t="n">
        <x:f>IF(O39="","",(1/'Metadata'!$B$5)^(O39-1))</x:f>
        <x:v>3019.951720402019</x:v>
      </x:c>
      <x:c r="U39" s="31" t="n">
        <x:f>IF(T39="","",I39*T39)</x:f>
        <x:v>14162.468016001805</x:v>
      </x:c>
    </x:row>
    <x:row r="40" ht="18" customHeight="1">
      <x:c r="A40" s="24" t="str">
        <x:v>EEZ_968</x:v>
      </x:c>
      <x:c r="B40" s="24" t="str">
        <x:v>United Arab Emirates (Fujairah)</x:v>
      </x:c>
      <x:c r="C40" s="24" t="str">
        <x:v>EEZ</x:v>
      </x:c>
      <x:c r="D40" s="30" t="n">
        <x:v>2019</x:v>
      </x:c>
      <x:c r="E40" s="24" t="str">
        <x:v>Myliobatidae</x:v>
      </x:c>
      <x:c r="F40" s="24" t="str">
        <x:v>Eagle/manta rays</x:v>
      </x:c>
      <x:c r="G40" s="24" t="str">
        <x:v>Large rays (&gt;=90 cm)</x:v>
      </x:c>
      <x:c r="H40" s="24" t="str">
        <x:v>Sharks &amp; rays</x:v>
      </x:c>
      <x:c r="I40" s="31" t="n">
        <x:v>3.7833428681</x:v>
      </x:c>
      <x:c r="J40" s="31" t="n">
        <x:v>0.0251483039</x:v>
      </x:c>
      <x:c r="K40" s="31" t="n">
        <x:v>3.7581945642</x:v>
      </x:c>
      <x:c r="L40" s="31" t="n">
        <x:v>0</x:v>
      </x:c>
      <x:c r="M40" s="31" t="n">
        <x:v>3.7833428681</x:v>
      </x:c>
      <x:c r="N40" s="24" t="str">
        <x:v>myliobatidae</x:v>
      </x:c>
      <x:c r="O40" s="32" t="n">
        <x:v>3.36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Myliobatidae</x:v>
      </x:c>
      <x:c r="T40" s="32" t="n">
        <x:f>IF(O40="","",(1/'Metadata'!$B$5)^(O40-1))</x:f>
        <x:v>229.08676527677724</x:v>
      </x:c>
      <x:c r="U40" s="31" t="n">
        <x:f>IF(T40="","",I40*T40)</x:f>
        <x:v>866.713779585994</x:v>
      </x:c>
    </x:row>
    <x:row r="41" ht="18" customHeight="1">
      <x:c r="A41" s="24" t="str">
        <x:v>EEZ_968</x:v>
      </x:c>
      <x:c r="B41" s="24" t="str">
        <x:v>United Arab Emirates (Fujairah)</x:v>
      </x:c>
      <x:c r="C41" s="24" t="str">
        <x:v>EEZ</x:v>
      </x:c>
      <x:c r="D41" s="30" t="n">
        <x:v>2019</x:v>
      </x:c>
      <x:c r="E41" s="24" t="str">
        <x:v>Haemulidae</x:v>
      </x:c>
      <x:c r="F41" s="24" t="str">
        <x:v>Grunts, sweetlips, bonnetmouths</x:v>
      </x:c>
      <x:c r="G41" s="24" t="str">
        <x:v>Medium demersals (30 - 89 cm)</x:v>
      </x:c>
      <x:c r="H41" s="24" t="str">
        <x:v>Perch-likes</x:v>
      </x:c>
      <x:c r="I41" s="31" t="n">
        <x:v>3.3912682828</x:v>
      </x:c>
      <x:c r="J41" s="31" t="n">
        <x:v>0.0347940143</x:v>
      </x:c>
      <x:c r="K41" s="31" t="n">
        <x:v>3.3564742685</x:v>
      </x:c>
      <x:c r="L41" s="31" t="n">
        <x:v>0</x:v>
      </x:c>
      <x:c r="M41" s="31" t="n">
        <x:v>3.3912682828</x:v>
      </x:c>
      <x:c r="N41" s="24" t="str">
        <x:v>haemulidae</x:v>
      </x:c>
      <x:c r="O41" s="32" t="n">
        <x:v>3.36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Haemulidae</x:v>
      </x:c>
      <x:c r="T41" s="32" t="n">
        <x:f>IF(O41="","",(1/'Metadata'!$B$5)^(O41-1))</x:f>
        <x:v>229.08676527677724</x:v>
      </x:c>
      <x:c r="U41" s="31" t="n">
        <x:f>IF(T41="","",I41*T41)</x:f>
        <x:v>776.894681092383</x:v>
      </x:c>
    </x:row>
    <x:row r="42" ht="18" customHeight="1">
      <x:c r="A42" s="24" t="str">
        <x:v>EEZ_968</x:v>
      </x:c>
      <x:c r="B42" s="24" t="str">
        <x:v>United Arab Emirates (Fujairah)</x:v>
      </x:c>
      <x:c r="C42" s="24" t="str">
        <x:v>EEZ</x:v>
      </x:c>
      <x:c r="D42" s="30" t="n">
        <x:v>2019</x:v>
      </x:c>
      <x:c r="E42" s="24" t="str">
        <x:v>Istiompax indica</x:v>
      </x:c>
      <x:c r="F42" s="24" t="str">
        <x:v>Black marlin</x:v>
      </x:c>
      <x:c r="G42" s="24" t="str">
        <x:v>Large pelagics (&gt;=90 cm)</x:v>
      </x:c>
      <x:c r="H42" s="24" t="str">
        <x:v>Tuna &amp; billfishes</x:v>
      </x:c>
      <x:c r="I42" s="31" t="n">
        <x:v>3.1060192209</x:v>
      </x:c>
      <x:c r="J42" s="31" t="n">
        <x:v>3.1060192209</x:v>
      </x:c>
      <x:c r="K42" s="31" t="n">
        <x:v>0</x:v>
      </x:c>
      <x:c r="L42" s="31" t="n">
        <x:v>0</x:v>
      </x:c>
      <x:c r="M42" s="31" t="n">
        <x:v>3.1060192209</x:v>
      </x:c>
      <x:c r="N42" s="24" t="str">
        <x:v>istiompax indica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Istiompax indica</x:v>
      </x:c>
      <x:c r="T42" s="32" t="n">
        <x:f>IF(O42="","",(1/'Metadata'!$B$5)^(O42-1))</x:f>
        <x:v>3162.2776601683795</x:v>
      </x:c>
      <x:c r="U42" s="31" t="n">
        <x:f>IF(T42="","",I42*T42)</x:f>
        <x:v>9822.095194305664</x:v>
      </x:c>
    </x:row>
    <x:row r="43" ht="18" customHeight="1">
      <x:c r="A43" s="24" t="str">
        <x:v>EEZ_968</x:v>
      </x:c>
      <x:c r="B43" s="24" t="str">
        <x:v>United Arab Emirates (Fujairah)</x:v>
      </x:c>
      <x:c r="C43" s="24" t="str">
        <x:v>EEZ</x:v>
      </x:c>
      <x:c r="D43" s="30" t="n">
        <x:v>2019</x:v>
      </x:c>
      <x:c r="E43" s="24" t="str">
        <x:v>Kajikia audax</x:v>
      </x:c>
      <x:c r="F43" s="24" t="str">
        <x:v>Striped marlin</x:v>
      </x:c>
      <x:c r="G43" s="24" t="str">
        <x:v>Large pelagics (&gt;=90 cm)</x:v>
      </x:c>
      <x:c r="H43" s="24" t="str">
        <x:v>Tuna &amp; billfishes</x:v>
      </x:c>
      <x:c r="I43" s="31" t="n">
        <x:v>3.1060192209</x:v>
      </x:c>
      <x:c r="J43" s="31" t="n">
        <x:v>3.1060192209</x:v>
      </x:c>
      <x:c r="K43" s="31" t="n">
        <x:v>0</x:v>
      </x:c>
      <x:c r="L43" s="31" t="n">
        <x:v>0</x:v>
      </x:c>
      <x:c r="M43" s="31" t="n">
        <x:v>3.1060192209</x:v>
      </x:c>
      <x:c r="N43" s="24" t="str">
        <x:v>kajikia audax</x:v>
      </x:c>
      <x:c r="O43" s="32" t="n">
        <x:v>4.58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Kajikia audax</x:v>
      </x:c>
      <x:c r="T43" s="32" t="n">
        <x:f>IF(O43="","",(1/'Metadata'!$B$5)^(O43-1))</x:f>
        <x:v>3801.8939632056126</x:v>
      </x:c>
      <x:c r="U43" s="31" t="n">
        <x:f>IF(T43="","",I43*T43)</x:f>
        <x:v>11808.75572554031</x:v>
      </x:c>
    </x:row>
    <x:row r="44" ht="18" customHeight="1">
      <x:c r="A44" s="24" t="str">
        <x:v>EEZ_968</x:v>
      </x:c>
      <x:c r="B44" s="24" t="str">
        <x:v>United Arab Emirates (Fujairah)</x:v>
      </x:c>
      <x:c r="C44" s="24" t="str">
        <x:v>EEZ</x:v>
      </x:c>
      <x:c r="D44" s="30" t="n">
        <x:v>2019</x:v>
      </x:c>
      <x:c r="E44" s="24" t="str">
        <x:v>Argyrosomus heinii</x:v>
      </x:c>
      <x:c r="F44" s="24" t="str">
        <x:v>Arabian sea meagre</x:v>
      </x:c>
      <x:c r="G44" s="24" t="str">
        <x:v>Medium benthopelagics (30 - 89 cm)</x:v>
      </x:c>
      <x:c r="H44" s="24" t="str">
        <x:v>Perch-likes</x:v>
      </x:c>
      <x:c r="I44" s="31" t="n">
        <x:v>2.2632340602</x:v>
      </x:c>
      <x:c r="J44" s="31" t="n">
        <x:v>2.2632340602</x:v>
      </x:c>
      <x:c r="K44" s="31" t="n">
        <x:v>0</x:v>
      </x:c>
      <x:c r="L44" s="31" t="n">
        <x:v>0</x:v>
      </x:c>
      <x:c r="M44" s="31" t="n">
        <x:v>2.2632340602</x:v>
      </x:c>
      <x:c r="N44" s="24" t="str">
        <x:v>argyrosomus heinii</x:v>
      </x:c>
      <x:c r="O44" s="32" t="n">
        <x:v>4.04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Argyrosomus heinii</x:v>
      </x:c>
      <x:c r="T44" s="32" t="n">
        <x:f>IF(O44="","",(1/'Metadata'!$B$5)^(O44-1))</x:f>
        <x:v>1096.4781961431852</x:v>
      </x:c>
      <x:c r="U44" s="31" t="n">
        <x:f>IF(T44="","",I44*T44)</x:f>
        <x:v>2481.586799777913</x:v>
      </x:c>
    </x:row>
    <x:row r="45" ht="18" customHeight="1">
      <x:c r="A45" s="24" t="str">
        <x:v>EEZ_968</x:v>
      </x:c>
      <x:c r="B45" s="24" t="str">
        <x:v>United Arab Emirates (Fujairah)</x:v>
      </x:c>
      <x:c r="C45" s="24" t="str">
        <x:v>EEZ</x:v>
      </x:c>
      <x:c r="D45" s="30" t="n">
        <x:v>2019</x:v>
      </x:c>
      <x:c r="E45" s="24" t="str">
        <x:v>Sciaenidae</x:v>
      </x:c>
      <x:c r="F45" s="24" t="str">
        <x:v>Drums, croakers</x:v>
      </x:c>
      <x:c r="G45" s="24" t="str">
        <x:v>Medium demersals (30 - 89 cm)</x:v>
      </x:c>
      <x:c r="H45" s="24" t="str">
        <x:v>Perch-likes</x:v>
      </x:c>
      <x:c r="I45" s="31" t="n">
        <x:v>1.5033093242</x:v>
      </x:c>
      <x:c r="J45" s="31" t="n">
        <x:v>1.1015890276</x:v>
      </x:c>
      <x:c r="K45" s="31" t="n">
        <x:v>0.40172029659999997</x:v>
      </x:c>
      <x:c r="L45" s="31" t="n">
        <x:v>1.1015890276</x:v>
      </x:c>
      <x:c r="M45" s="31" t="n">
        <x:v>0.40172029659999997</x:v>
      </x:c>
      <x:c r="N45" s="24" t="str">
        <x:v>sciaenidae</x:v>
      </x:c>
      <x:c r="O45" s="32" t="n">
        <x:v>3.76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Sciaenidae</x:v>
      </x:c>
      <x:c r="T45" s="32" t="n">
        <x:f>IF(O45="","",(1/'Metadata'!$B$5)^(O45-1))</x:f>
        <x:v>575.4399373371566</x:v>
      </x:c>
      <x:c r="U45" s="31" t="n">
        <x:f>IF(T45="","",I45*T45)</x:f>
        <x:v>865.0642233160112</x:v>
      </x:c>
    </x:row>
    <x:row r="46" ht="18" customHeight="1">
      <x:c r="A46" s="24" t="str">
        <x:v>EEZ_968</x:v>
      </x:c>
      <x:c r="B46" s="24" t="str">
        <x:v>United Arab Emirates (Fujairah)</x:v>
      </x:c>
      <x:c r="C46" s="24" t="str">
        <x:v>EEZ</x:v>
      </x:c>
      <x:c r="D46" s="30" t="n">
        <x:v>2019</x:v>
      </x:c>
      <x:c r="E46" s="24" t="str">
        <x:v>Ariidae</x:v>
      </x:c>
      <x:c r="F46" s="24" t="str">
        <x:v>Sea catfishes, coblers</x:v>
      </x:c>
      <x:c r="G46" s="24" t="str">
        <x:v>Medium demersals (30 - 89 cm)</x:v>
      </x:c>
      <x:c r="H46" s="24" t="str">
        <x:v>Other fishes &amp; inverts</x:v>
      </x:c>
      <x:c r="I46" s="31" t="n">
        <x:v>1.4377904184</x:v>
      </x:c>
      <x:c r="J46" s="31" t="n">
        <x:v>0.0083827675</x:v>
      </x:c>
      <x:c r="K46" s="31" t="n">
        <x:v>1.4294076509</x:v>
      </x:c>
      <x:c r="L46" s="31" t="n">
        <x:v>0</x:v>
      </x:c>
      <x:c r="M46" s="31" t="n">
        <x:v>1.4377904184</x:v>
      </x:c>
      <x:c r="N46" s="24" t="str">
        <x:v>ariidae</x:v>
      </x:c>
      <x:c r="O46" s="32" t="n">
        <x:v>3.48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Ariidae</x:v>
      </x:c>
      <x:c r="T46" s="32" t="n">
        <x:f>IF(O46="","",(1/'Metadata'!$B$5)^(O46-1))</x:f>
        <x:v>301.9951720402016</x:v>
      </x:c>
      <x:c r="U46" s="31" t="n">
        <x:f>IF(T46="","",I46*T46)</x:f>
        <x:v>434.2057647624615</x:v>
      </x:c>
    </x:row>
    <x:row r="47" ht="18" customHeight="1">
      <x:c r="A47" s="24" t="str">
        <x:v>EEZ_968</x:v>
      </x:c>
      <x:c r="B47" s="24" t="str">
        <x:v>United Arab Emirates (Fujairah)</x:v>
      </x:c>
      <x:c r="C47" s="24" t="str">
        <x:v>EEZ</x:v>
      </x:c>
      <x:c r="D47" s="30" t="n">
        <x:v>2019</x:v>
      </x:c>
      <x:c r="E47" s="24" t="str">
        <x:v>Katsuwonus pelamis</x:v>
      </x:c>
      <x:c r="F47" s="24" t="str">
        <x:v>Skipjack tuna</x:v>
      </x:c>
      <x:c r="G47" s="24" t="str">
        <x:v>Large pelagics (&gt;=90 cm)</x:v>
      </x:c>
      <x:c r="H47" s="24" t="str">
        <x:v>Tuna &amp; billfishes</x:v>
      </x:c>
      <x:c r="I47" s="31" t="n">
        <x:v>1.1815963551</x:v>
      </x:c>
      <x:c r="J47" s="31" t="n">
        <x:v>1.1815963551</x:v>
      </x:c>
      <x:c r="K47" s="31" t="n">
        <x:v>0</x:v>
      </x:c>
      <x:c r="L47" s="31" t="n">
        <x:v>0.2753974374</x:v>
      </x:c>
      <x:c r="M47" s="31" t="n">
        <x:v>0.9061989177</x:v>
      </x:c>
      <x:c r="N47" s="24" t="str">
        <x:v>katsuwonus pelamis</x:v>
      </x:c>
      <x:c r="O47" s="32" t="n">
        <x:v>4.43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Katsuwonus pelamis</x:v>
      </x:c>
      <x:c r="T47" s="32" t="n">
        <x:f>IF(O47="","",(1/'Metadata'!$B$5)^(O47-1))</x:f>
        <x:v>2691.534803926914</x:v>
      </x:c>
      <x:c r="U47" s="31" t="n">
        <x:f>IF(T47="","",I47*T47)</x:f>
        <x:v>3180.307713944834</x:v>
      </x:c>
    </x:row>
    <x:row r="48" ht="18" customHeight="1">
      <x:c r="A48" s="24" t="str">
        <x:v>EEZ_968</x:v>
      </x:c>
      <x:c r="B48" s="24" t="str">
        <x:v>United Arab Emirates (Fujairah)</x:v>
      </x:c>
      <x:c r="C48" s="24" t="str">
        <x:v>EEZ</x:v>
      </x:c>
      <x:c r="D48" s="30" t="n">
        <x:v>2019</x:v>
      </x:c>
      <x:c r="E48" s="24" t="str">
        <x:v>Trichiuridae</x:v>
      </x:c>
      <x:c r="F48" s="24" t="str">
        <x:v>Cutlassfishes</x:v>
      </x:c>
      <x:c r="G48" s="24" t="str">
        <x:v>Large benthopelagics (&gt;=90 cm)</x:v>
      </x:c>
      <x:c r="H48" s="24" t="str">
        <x:v>Perch-likes</x:v>
      </x:c>
      <x:c r="I48" s="31" t="n">
        <x:v>1.1715938823999998</x:v>
      </x:c>
      <x:c r="J48" s="31" t="n">
        <x:v>0.0083827675</x:v>
      </x:c>
      <x:c r="K48" s="31" t="n">
        <x:v>1.1632111149</x:v>
      </x:c>
      <x:c r="L48" s="31" t="n">
        <x:v>0</x:v>
      </x:c>
      <x:c r="M48" s="31" t="n">
        <x:v>1.1715938823999998</x:v>
      </x:c>
      <x:c r="N48" s="24" t="str">
        <x:v>trichiuridae</x:v>
      </x:c>
      <x:c r="O48" s="32" t="n">
        <x:v>4.15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Trichiuridae</x:v>
      </x:c>
      <x:c r="T48" s="32" t="n">
        <x:f>IF(O48="","",(1/'Metadata'!$B$5)^(O48-1))</x:f>
        <x:v>1412.5375446227554</x:v>
      </x:c>
      <x:c r="U48" s="31" t="n">
        <x:f>IF(T48="","",I48*T48)</x:f>
        <x:v>1654.920345940337</x:v>
      </x:c>
    </x:row>
    <x:row r="49" ht="18" customHeight="1">
      <x:c r="A49" s="24" t="str">
        <x:v>EEZ_968</x:v>
      </x:c>
      <x:c r="B49" s="24" t="str">
        <x:v>United Arab Emirates (Fujairah)</x:v>
      </x:c>
      <x:c r="C49" s="24" t="str">
        <x:v>EEZ</x:v>
      </x:c>
      <x:c r="D49" s="30" t="n">
        <x:v>2019</x:v>
      </x:c>
      <x:c r="E49" s="24" t="str">
        <x:v>Siganidae</x:v>
      </x:c>
      <x:c r="F49" s="24" t="str">
        <x:v>Rabbitfishes</x:v>
      </x:c>
      <x:c r="G49" s="24" t="str">
        <x:v>Medium reef assoc. fish (30 - 89 cm)</x:v>
      </x:c>
      <x:c r="H49" s="24" t="str">
        <x:v>Perch-likes</x:v>
      </x:c>
      <x:c r="I49" s="31" t="n">
        <x:v>0.9045280409</x:v>
      </x:c>
      <x:c r="J49" s="31" t="n">
        <x:v>0.0083827675</x:v>
      </x:c>
      <x:c r="K49" s="31" t="n">
        <x:v>0.8961452733999999</x:v>
      </x:c>
      <x:c r="L49" s="31" t="n">
        <x:v>0</x:v>
      </x:c>
      <x:c r="M49" s="31" t="n">
        <x:v>0.9045280409</x:v>
      </x:c>
      <x:c r="N49" s="24" t="str">
        <x:v>siganidae</x:v>
      </x:c>
      <x:c r="O49" s="32" t="n">
        <x:v>2.11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Siganidae</x:v>
      </x:c>
      <x:c r="T49" s="32" t="n">
        <x:f>IF(O49="","",(1/'Metadata'!$B$5)^(O49-1))</x:f>
        <x:v>12.882495516931336</x:v>
      </x:c>
      <x:c r="U49" s="31" t="n">
        <x:f>IF(T49="","",I49*T49)</x:f>
        <x:v>11.652578431832934</x:v>
      </x:c>
    </x:row>
    <x:row r="50" ht="18" customHeight="1">
      <x:c r="A50" s="24" t="str">
        <x:v>EEZ_968</x:v>
      </x:c>
      <x:c r="B50" s="24" t="str">
        <x:v>United Arab Emirates (Fujairah)</x:v>
      </x:c>
      <x:c r="C50" s="24" t="str">
        <x:v>EEZ</x:v>
      </x:c>
      <x:c r="D50" s="30" t="n">
        <x:v>2019</x:v>
      </x:c>
      <x:c r="E50" s="24" t="str">
        <x:v>Rachycentridae</x:v>
      </x:c>
      <x:c r="F50" s="24" t="str">
        <x:v>Cobias</x:v>
      </x:c>
      <x:c r="G50" s="24" t="str">
        <x:v>Large pelagics (&gt;=90 cm)</x:v>
      </x:c>
      <x:c r="H50" s="24" t="str">
        <x:v>Perch-likes</x:v>
      </x:c>
      <x:c r="I50" s="31" t="n">
        <x:v>0.5665286217000001</x:v>
      </x:c>
      <x:c r="J50" s="31" t="n">
        <x:v>0</x:v>
      </x:c>
      <x:c r="K50" s="31" t="n">
        <x:v>0.5665286217000001</x:v>
      </x:c>
      <x:c r="L50" s="31" t="n">
        <x:v>0</x:v>
      </x:c>
      <x:c r="M50" s="31" t="n">
        <x:v>0.5665286217000001</x:v>
      </x:c>
      <x:c r="N50" s="24" t="str">
        <x:v>rachycentridae</x:v>
      </x:c>
      <x:c r="O50" s="32" t="n">
        <x:v>3.96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Rachycentridae</x:v>
      </x:c>
      <x:c r="T50" s="32" t="n">
        <x:f>IF(O50="","",(1/'Metadata'!$B$5)^(O50-1))</x:f>
        <x:v>912.0108393559096</x:v>
      </x:c>
      <x:c r="U50" s="31" t="n">
        <x:f>IF(T50="","",I50*T50)</x:f>
        <x:v>516.6802437957637</x:v>
      </x:c>
    </x:row>
    <x:row r="51" ht="18" customHeight="1">
      <x:c r="A51" s="24" t="str">
        <x:v>EEZ_968</x:v>
      </x:c>
      <x:c r="B51" s="24" t="str">
        <x:v>United Arab Emirates (Fujairah)</x:v>
      </x:c>
      <x:c r="C51" s="24" t="str">
        <x:v>EEZ</x:v>
      </x:c>
      <x:c r="D51" s="30" t="n">
        <x:v>2019</x:v>
      </x:c>
      <x:c r="E51" s="24" t="str">
        <x:v>Penaeidae</x:v>
      </x:c>
      <x:c r="F51" s="24" t="str">
        <x:v>Commercial shrimps and prawns</x:v>
      </x:c>
      <x:c r="G51" s="24" t="str">
        <x:v>Shrimps</x:v>
      </x:c>
      <x:c r="H51" s="24" t="str">
        <x:v>Crustaceans</x:v>
      </x:c>
      <x:c r="I51" s="31" t="n">
        <x:v>0.0154552964</x:v>
      </x:c>
      <x:c r="J51" s="31" t="n">
        <x:v>0</x:v>
      </x:c>
      <x:c r="K51" s="31" t="n">
        <x:v>0.0154552964</x:v>
      </x:c>
      <x:c r="L51" s="31" t="n">
        <x:v>0</x:v>
      </x:c>
      <x:c r="M51" s="31" t="n">
        <x:v>0.0154552964</x:v>
      </x:c>
      <x:c r="N51" s="24" t="str">
        <x:v>penaeidae</x:v>
      </x:c>
      <x:c r="O51" s="32" t="n">
        <x:v>3.31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Penaeidae</x:v>
      </x:c>
      <x:c r="T51" s="32" t="n">
        <x:f>IF(O51="","",(1/'Metadata'!$B$5)^(O51-1))</x:f>
        <x:v>204.17379446695296</x:v>
      </x:c>
      <x:c r="U51" s="31" t="n">
        <x:f>IF(T51="","",I51*T51)</x:f>
        <x:v>3.155566510599438</x:v>
      </x:c>
    </x:row>
    <x:row r="52" ht="18" customHeight="1">
      <x:c r="A52" s="24" t="str">
        <x:v>EEZ_968</x:v>
      </x:c>
      <x:c r="B52" s="24" t="str">
        <x:v>United Arab Emirates (Fujairah)</x:v>
      </x:c>
      <x:c r="C52" s="24" t="str">
        <x:v>EEZ</x:v>
      </x:c>
      <x:c r="D52" s="30" t="n">
        <x:v>2019</x:v>
      </x:c>
      <x:c r="E52" s="24" t="str">
        <x:v>Palinuridae</x:v>
      </x:c>
      <x:c r="F52" s="24" t="str">
        <x:v>Spiny lobsters</x:v>
      </x:c>
      <x:c r="G52" s="24" t="str">
        <x:v>Lobsters, crabs</x:v>
      </x:c>
      <x:c r="H52" s="24" t="str">
        <x:v>Crustaceans</x:v>
      </x:c>
      <x:c r="I52" s="31" t="n">
        <x:v>0.0103006196</x:v>
      </x:c>
      <x:c r="J52" s="31" t="n">
        <x:v>0</x:v>
      </x:c>
      <x:c r="K52" s="31" t="n">
        <x:v>0.0103006196</x:v>
      </x:c>
      <x:c r="L52" s="31" t="n">
        <x:v>0</x:v>
      </x:c>
      <x:c r="M52" s="31" t="n">
        <x:v>0.0103006196</x:v>
      </x:c>
      <x:c r="N52" s="24" t="str">
        <x:v>palinuridae</x:v>
      </x:c>
      <x:c r="O52" s="32" t="n">
        <x:v>3.14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Palinuridae</x:v>
      </x:c>
      <x:c r="T52" s="32" t="n">
        <x:f>IF(O52="","",(1/'Metadata'!$B$5)^(O52-1))</x:f>
        <x:v>138.03842646028852</x:v>
      </x:c>
      <x:c r="U52" s="31" t="n">
        <x:f>IF(T52="","",I52*T52)</x:f>
        <x:v>1.4218813211500065</x:v>
      </x:c>
    </x:row>
  </x:sheetData>
  <x:conditionalFormatting sqref="R2:R5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bf3ccebbeff497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498.4094049368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78992.56729429292</x:v>
      </x:c>
    </x:row>
    <x:row r="3" ht="18" customHeight="1">
      <x:c r="A3" s="24" t="str">
        <x:v>Crustaceans</x:v>
      </x:c>
      <x:c r="B3" s="31" t="n">
        <x:v>0.025755916</x:v>
      </x:c>
      <x:c r="C3" s="32" t="n">
        <x:v>3.2420115296229417</x:v>
      </x:c>
      <x:c r="D3" s="32" t="n">
        <x:f>IF(C3="","",(1/'Metadata'!$B$5)^(C3-1))</x:f>
        <x:v>174.58685015138545</x:v>
      </x:c>
      <x:c r="E3" s="31" t="n">
        <x:f>IF(B3=0,"",B3*D3)</x:f>
        <x:v>4.496644247203671</x:v>
      </x:c>
    </x:row>
    <x:row r="4" ht="18" customHeight="1">
      <x:c r="A4" s="24" t="str">
        <x:v>Herring-likes</x:v>
      </x:c>
      <x:c r="B4" s="31" t="n">
        <x:v>2305.8120392536</x:v>
      </x:c>
      <x:c r="C4" s="32" t="n">
        <x:v>2.438028103783145</x:v>
      </x:c>
      <x:c r="D4" s="32" t="n">
        <x:f>IF(C4="","",(1/'Metadata'!$B$5)^(C4-1))</x:f>
        <x:v>27.417515886398775</x:v>
      </x:c>
      <x:c r="E4" s="31" t="n">
        <x:f>IF(B4=0,"",B4*D4)</x:f>
        <x:v>63219.63821728513</x:v>
      </x:c>
    </x:row>
    <x:row r="5" ht="18" customHeight="1">
      <x:c r="A5" s="24" t="str">
        <x:v>Other fishes &amp; inverts</x:v>
      </x:c>
      <x:c r="B5" s="31" t="n">
        <x:v>4038.0322747137993</x:v>
      </x:c>
      <x:c r="C5" s="32" t="n">
        <x:v>3.3573000573737937</x:v>
      </x:c>
      <x:c r="D5" s="32" t="n">
        <x:f>IF(C5="","",(1/'Metadata'!$B$5)^(C5-1))</x:f>
        <x:v>227.6669856097281</x:v>
      </x:c>
      <x:c r="E5" s="31" t="n">
        <x:f>IF(B5=0,"",B5*D5)</x:f>
        <x:v>919326.6357788842</x:v>
      </x:c>
    </x:row>
    <x:row r="6" ht="18" customHeight="1">
      <x:c r="A6" s="24" t="str">
        <x:v>Perch-likes</x:v>
      </x:c>
      <x:c r="B6" s="31" t="n">
        <x:v>22446.763270816104</x:v>
      </x:c>
      <x:c r="C6" s="32" t="n">
        <x:v>3.92506743452735</x:v>
      </x:c>
      <x:c r="D6" s="32" t="n">
        <x:f>IF(C6="","",(1/'Metadata'!$B$5)^(C6-1))</x:f>
        <x:v>841.5257983570085</x:v>
      </x:c>
      <x:c r="E6" s="31" t="n">
        <x:f>IF(B6=0,"",B6*D6)</x:f>
        <x:v>18889530.3820043</x:v>
      </x:c>
    </x:row>
    <x:row r="7" ht="18" customHeight="1">
      <x:c r="A7" s="24" t="str">
        <x:v>Sharks &amp; rays</x:v>
      </x:c>
      <x:c r="B7" s="31" t="n">
        <x:v>505.7667050548</x:v>
      </x:c>
      <x:c r="C7" s="32" t="n">
        <x:v>4.049317796761515</x:v>
      </x:c>
      <x:c r="D7" s="32" t="n">
        <x:f>IF(C7="","",(1/'Metadata'!$B$5)^(C7-1))</x:f>
        <x:v>1120.2573364945124</x:v>
      </x:c>
      <x:c r="E7" s="31" t="n">
        <x:f>IF(B7=0,"",B7*D7)</x:f>
        <x:v>566588.8618922959</x:v>
      </x:c>
    </x:row>
    <x:row r="8" ht="18" customHeight="1">
      <x:c r="A8" s="24" t="str">
        <x:v>Tuna &amp; billfishes</x:v>
      </x:c>
      <x:c r="B8" s="31" t="n">
        <x:v>5020.988226319699</x:v>
      </x:c>
      <x:c r="C8" s="32" t="n">
        <x:v>4.47715287648793</x:v>
      </x:c>
      <x:c r="D8" s="32" t="n">
        <x:f>IF(C8="","",(1/'Metadata'!$B$5)^(C8-1))</x:f>
        <x:v>3000.218443389211</x:v>
      </x:c>
      <x:c r="E8" s="31" t="n">
        <x:f>IF(B8=0,"",B8*D8)</x:f>
        <x:v>15064061.480644442</x:v>
      </x:c>
    </x:row>
  </x:sheetData>
  <x:pageMargins left="0.7" right="0.7" top="0.75" bottom="0.75" header="0.3" footer="0.3"/>
  <x:tableParts count="1">
    <x:tablePart xmlns:r="http://schemas.openxmlformats.org/officeDocument/2006/relationships" r:id="Rbea871864bdd44a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526.6936307894999</x:v>
      </x:c>
      <x:c r="C2" s="32" t="n">
        <x:v>3.777156542359616</x:v>
      </x:c>
      <x:c r="D2" s="32" t="n">
        <x:f>IF(C2="","",(1/'Metadata'!$B$5)^(C2-1))</x:f>
        <x:v>598.6273326578217</x:v>
      </x:c>
      <x:c r="E2" s="31" t="n">
        <x:f>IF(B2=0,"",B2*D2)</x:f>
        <x:v>315293.2033273819</x:v>
      </x:c>
    </x:row>
    <x:row r="3" ht="18" customHeight="1">
      <x:c r="A3" s="24" t="str">
        <x:v>Large benthopelagics (&gt;=90 cm)</x:v>
      </x:c>
      <x:c r="B3" s="31" t="n">
        <x:v>1.1715938823999998</x:v>
      </x:c>
      <x:c r="C3" s="32" t="n">
        <x:v>4.15</x:v>
      </x:c>
      <x:c r="D3" s="32" t="n">
        <x:f>IF(C3="","",(1/'Metadata'!$B$5)^(C3-1))</x:f>
        <x:v>1412.5375446227554</x:v>
      </x:c>
      <x:c r="E3" s="31" t="n">
        <x:f>IF(B3=0,"",B3*D3)</x:f>
        <x:v>1654.920345940337</x:v>
      </x:c>
    </x:row>
    <x:row r="4" ht="18" customHeight="1">
      <x:c r="A4" s="24" t="str">
        <x:v>Large demersals (&gt;=90 cm)</x:v>
      </x:c>
      <x:c r="B4" s="31" t="n">
        <x:v>192.3207079338</x:v>
      </x:c>
      <x:c r="C4" s="32" t="n">
        <x:v>3.5400000000000005</x:v>
      </x:c>
      <x:c r="D4" s="32" t="n">
        <x:f>IF(C4="","",(1/'Metadata'!$B$5)^(C4-1))</x:f>
        <x:v>346.736850452532</x:v>
      </x:c>
      <x:c r="E4" s="31" t="n">
        <x:f>IF(B4=0,"",B4*D4)</x:f>
        <x:v>66684.6765457671</x:v>
      </x:c>
    </x:row>
    <x:row r="5" ht="18" customHeight="1">
      <x:c r="A5" s="24" t="str">
        <x:v>Large pelagics (&gt;=90 cm)</x:v>
      </x:c>
      <x:c r="B5" s="31" t="n">
        <x:v>7877.742541963799</x:v>
      </x:c>
      <x:c r="C5" s="32" t="n">
        <x:v>4.455704495756972</x:v>
      </x:c>
      <x:c r="D5" s="32" t="n">
        <x:f>IF(C5="","",(1/'Metadata'!$B$5)^(C5-1))</x:f>
        <x:v>2855.646832493037</x:v>
      </x:c>
      <x:c r="E5" s="31" t="n">
        <x:f>IF(B5=0,"",B5*D5)</x:f>
        <x:v>22496050.53715457</x:v>
      </x:c>
    </x:row>
    <x:row r="6" ht="18" customHeight="1">
      <x:c r="A6" s="24" t="str">
        <x:v>Large rays (&gt;=90 cm)</x:v>
      </x:c>
      <x:c r="B6" s="31" t="n">
        <x:v>3.7833428681</x:v>
      </x:c>
      <x:c r="C6" s="32" t="n">
        <x:v>3.36</x:v>
      </x:c>
      <x:c r="D6" s="32" t="n">
        <x:f>IF(C6="","",(1/'Metadata'!$B$5)^(C6-1))</x:f>
        <x:v>229.08676527677724</x:v>
      </x:c>
      <x:c r="E6" s="31" t="n">
        <x:f>IF(B6=0,"",B6*D6)</x:f>
        <x:v>866.713779585994</x:v>
      </x:c>
    </x:row>
    <x:row r="7" ht="18" customHeight="1">
      <x:c r="A7" s="24" t="str">
        <x:v>Large reef assoc. fish (&gt;=90 cm)</x:v>
      </x:c>
      <x:c r="B7" s="31" t="n">
        <x:v>6.212039626</x:v>
      </x:c>
      <x:c r="C7" s="32" t="n">
        <x:v>4.5</x:v>
      </x:c>
      <x:c r="D7" s="32" t="n">
        <x:f>IF(C7="","",(1/'Metadata'!$B$5)^(C7-1))</x:f>
        <x:v>3162.2776601683795</x:v>
      </x:c>
      <x:c r="E7" s="31" t="n">
        <x:f>IF(B7=0,"",B7*D7)</x:f>
        <x:v>19644.194133380537</x:v>
      </x:c>
    </x:row>
    <x:row r="8" ht="18" customHeight="1">
      <x:c r="A8" s="24" t="str">
        <x:v>Large sharks (&gt;=90 cm)</x:v>
      </x:c>
      <x:c r="B8" s="31" t="n">
        <x:v>501.9833621867</x:v>
      </x:c>
      <x:c r="C8" s="32" t="n">
        <x:v>4.054513039804774</x:v>
      </x:c>
      <x:c r="D8" s="32" t="n">
        <x:f>IF(C8="","",(1/'Metadata'!$B$5)^(C8-1))</x:f>
        <x:v>1133.738878399069</x:v>
      </x:c>
      <x:c r="E8" s="31" t="n">
        <x:f>IF(B8=0,"",B8*D8)</x:f>
        <x:v>569118.0540205429</x:v>
      </x:c>
    </x:row>
    <x:row r="9" ht="18" customHeight="1">
      <x:c r="A9" s="24" t="str">
        <x:v>Lobsters, crabs</x:v>
      </x:c>
      <x:c r="B9" s="31" t="n">
        <x:v>0.0103006196</x:v>
      </x:c>
      <x:c r="C9" s="32" t="n">
        <x:v>3.1400000000000006</x:v>
      </x:c>
      <x:c r="D9" s="32" t="n">
        <x:f>IF(C9="","",(1/'Metadata'!$B$5)^(C9-1))</x:f>
        <x:v>138.03842646028866</x:v>
      </x:c>
      <x:c r="E9" s="31" t="n">
        <x:f>IF(B9=0,"",B9*D9)</x:f>
        <x:v>1.4218813211500079</x:v>
      </x:c>
    </x:row>
    <x:row r="10" ht="18" customHeight="1">
      <x:c r="A10" s="24" t="str">
        <x:v>Medium benthopelagics (30 - 89 cm)</x:v>
      </x:c>
      <x:c r="B10" s="31" t="n">
        <x:v>569.7379666396</x:v>
      </x:c>
      <x:c r="C10" s="32" t="n">
        <x:v>3.312899860919732</x:v>
      </x:c>
      <x:c r="D10" s="32" t="n">
        <x:f>IF(C10="","",(1/'Metadata'!$B$5)^(C10-1))</x:f>
        <x:v>205.54166059414052</x:v>
      </x:c>
      <x:c r="E10" s="31" t="n">
        <x:f>IF(B10=0,"",B10*D10)</x:f>
        <x:v>117104.88776663243</x:v>
      </x:c>
    </x:row>
    <x:row r="11" ht="18" customHeight="1">
      <x:c r="A11" s="24" t="str">
        <x:v>Medium demersals (30 - 89 cm)</x:v>
      </x:c>
      <x:c r="B11" s="31" t="n">
        <x:v>6796.503422992</x:v>
      </x:c>
      <x:c r="C11" s="32" t="n">
        <x:v>3.526032691672321</x:v>
      </x:c>
      <x:c r="D11" s="32" t="n">
        <x:f>IF(C11="","",(1/'Metadata'!$B$5)^(C11-1))</x:f>
        <x:v>335.76288796307534</x:v>
      </x:c>
      <x:c r="E11" s="31" t="n">
        <x:f>IF(B11=0,"",B11*D11)</x:f>
        <x:v>2282013.617354721</x:v>
      </x:c>
    </x:row>
    <x:row r="12" ht="18" customHeight="1">
      <x:c r="A12" s="24" t="str">
        <x:v>Medium pelagics (30 - 89 cm)</x:v>
      </x:c>
      <x:c r="B12" s="31" t="n">
        <x:v>13474.9309226204</x:v>
      </x:c>
      <x:c r="C12" s="32" t="n">
        <x:v>3.957382431225267</x:v>
      </x:c>
      <x:c r="D12" s="32" t="n">
        <x:f>IF(C12="","",(1/'Metadata'!$B$5)^(C12-1))</x:f>
        <x:v>906.5305225745172</x:v>
      </x:c>
      <x:c r="E12" s="31" t="n">
        <x:f>IF(B12=0,"",B12*D12)</x:f>
        <x:v>12215436.170938594</x:v>
      </x:c>
    </x:row>
    <x:row r="13" ht="18" customHeight="1">
      <x:c r="A13" s="24" t="str">
        <x:v>Medium reef assoc. fish (30 - 89 cm)</x:v>
      </x:c>
      <x:c r="B13" s="31" t="n">
        <x:v>1912.9766118672999</x:v>
      </x:c>
      <x:c r="C13" s="32" t="n">
        <x:v>3.5301170192510463</x:v>
      </x:c>
      <x:c r="D13" s="32" t="n">
        <x:f>IF(C13="","",(1/'Metadata'!$B$5)^(C13-1))</x:f>
        <x:v>338.9354689084439</x:v>
      </x:c>
      <x:c r="E13" s="31" t="n">
        <x:f>IF(B13=0,"",B13*D13)</x:f>
        <x:v>648375.6249541296</x:v>
      </x:c>
    </x:row>
    <x:row r="14" ht="18" customHeight="1">
      <x:c r="A14" s="24" t="str">
        <x:v>Shrimps</x:v>
      </x:c>
      <x:c r="B14" s="31" t="n">
        <x:v>0.0154552964</x:v>
      </x:c>
      <x:c r="C14" s="32" t="n">
        <x:v>3.31</x:v>
      </x:c>
      <x:c r="D14" s="32" t="n">
        <x:f>IF(C14="","",(1/'Metadata'!$B$5)^(C14-1))</x:f>
        <x:v>204.17379446695296</x:v>
      </x:c>
      <x:c r="E14" s="31" t="n">
        <x:f>IF(B14=0,"",B14*D14)</x:f>
        <x:v>3.155566510599438</x:v>
      </x:c>
    </x:row>
    <x:row r="15" ht="18" customHeight="1">
      <x:c r="A15" s="24" t="str">
        <x:v>Small pelagics (&lt;30 cm)</x:v>
      </x:c>
      <x:c r="B15" s="31" t="n">
        <x:v>2804.2214441904</x:v>
      </x:c>
      <x:c r="C15" s="32" t="n">
        <x:v>2.5734574794334875</x:v>
      </x:c>
      <x:c r="D15" s="32" t="n">
        <x:f>IF(C15="","",(1/'Metadata'!$B$5)^(C15-1))</x:f>
        <x:v>37.450487850856945</x:v>
      </x:c>
      <x:c r="E15" s="31" t="n">
        <x:f>IF(B15=0,"",B15*D15)</x:f>
        <x:v>105019.46112676508</x:v>
      </x:c>
    </x:row>
    <x:row r="16" ht="18" customHeight="1">
      <x:c r="A16" s="24" t="str">
        <x:v>Small reef assoc. fish (&lt;30 cm)</x:v>
      </x:c>
      <x:c r="B16" s="31" t="n">
        <x:v>147.4943335348</x:v>
      </x:c>
      <x:c r="C16" s="32" t="n">
        <x:v>2.76</x:v>
      </x:c>
      <x:c r="D16" s="32" t="n">
        <x:f>IF(C16="","",(1/'Metadata'!$B$5)^(C16-1))</x:f>
        <x:v>57.543993733715666</x:v>
      </x:c>
      <x:c r="E16" s="31" t="n">
        <x:f>IF(B16=0,"",B16*D16)</x:f>
        <x:v>8487.4130046851</x:v>
      </x:c>
    </x:row>
  </x:sheetData>
  <x:pageMargins left="0.7" right="0.7" top="0.75" bottom="0.75" header="0.3" footer="0.3"/>
  <x:tableParts count="1">
    <x:tablePart xmlns:r="http://schemas.openxmlformats.org/officeDocument/2006/relationships" r:id="R2328274783a74cd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EEZ_968</x:v>
      </x:c>
      <x:c r="B2" s="24" t="str">
        <x:v>raw_filtered_tonnes</x:v>
      </x:c>
      <x:c r="C2" s="24" t="n">
        <x:v>34815.7976770108</x:v>
      </x:c>
      <x:c r="D2" s="24" t="str">
        <x:v>tonnes</x:v>
      </x:c>
    </x:row>
    <x:row r="3" ht="18" customHeight="1">
      <x:c r="A3" s="24" t="str">
        <x:v>EEZ_968</x:v>
      </x:c>
      <x:c r="B3" s="24" t="str">
        <x:v>species_catch_tonnes</x:v>
      </x:c>
      <x:c r="C3" s="24" t="n">
        <x:v>34815.7976770108</x:v>
      </x:c>
      <x:c r="D3" s="24" t="str">
        <x:v>tonnes</x:v>
      </x:c>
    </x:row>
    <x:row r="4" ht="18" customHeight="1">
      <x:c r="A4" s="24" t="str">
        <x:v>EEZ_968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EEZ_968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EEZ_968</x:v>
      </x:c>
      <x:c r="B6" s="24" t="str">
        <x:v>matched_catch_tonnes</x:v>
      </x:c>
      <x:c r="C6" s="24" t="n">
        <x:v>34815.7976770108</x:v>
      </x:c>
      <x:c r="D6" s="24" t="str">
        <x:v>tonnes</x:v>
      </x:c>
    </x:row>
    <x:row r="7" ht="18" customHeight="1">
      <x:c r="A7" s="24" t="str">
        <x:v>EEZ_968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EEZ_968</x:v>
      </x:c>
      <x:c r="B8" s="24" t="str">
        <x:v>taxa_count</x:v>
      </x:c>
      <x:c r="C8" s="24" t="n">
        <x:v>51</x:v>
      </x:c>
      <x:c r="D8" s="24" t="str">
        <x:v>count</x:v>
      </x:c>
    </x:row>
    <x:row r="9" ht="18" customHeight="1">
      <x:c r="A9" s="24" t="str">
        <x:v>EEZ_968</x:v>
      </x:c>
      <x:c r="B9" s="24" t="str">
        <x:v>matched_taxa_count</x:v>
      </x:c>
      <x:c r="C9" s="24" t="n">
        <x:v>51</x:v>
      </x:c>
      <x:c r="D9" s="24" t="str">
        <x:v>count</x:v>
      </x:c>
    </x:row>
    <x:row r="10" ht="18" customHeight="1">
      <x:c r="A10" s="24" t="str">
        <x:v>EEZ_968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EEZ_968</x:v>
      </x:c>
      <x:c r="B11" s="24" t="str">
        <x:v>species_ppr</x:v>
      </x:c>
      <x:c r="C11" s="24" t="n">
        <x:v>46252931.13406608</x:v>
      </x:c>
      <x:c r="D11" s="24" t="str">
        <x:v>tonnes_primary_production_equivalent</x:v>
      </x:c>
    </x:row>
    <x:row r="12" ht="18" customHeight="1">
      <x:c r="A12" s="24" t="str">
        <x:v>EEZ_968</x:v>
      </x:c>
      <x:c r="B12" s="24" t="str">
        <x:v>commercial_ppr</x:v>
      </x:c>
      <x:c r="C12" s="24" t="n">
        <x:v>35581724.06247574</x:v>
      </x:c>
      <x:c r="D12" s="24" t="str">
        <x:v>tonnes_primary_production_equivalent</x:v>
      </x:c>
    </x:row>
    <x:row r="13" ht="18" customHeight="1">
      <x:c r="A13" s="24" t="str">
        <x:v>EEZ_968</x:v>
      </x:c>
      <x:c r="B13" s="24" t="str">
        <x:v>functional_ppr</x:v>
      </x:c>
      <x:c r="C13" s="24" t="n">
        <x:v>38845754.05190053</x:v>
      </x:c>
      <x:c r="D13" s="24" t="str">
        <x:v>tonnes_primary_production_equivalent</x:v>
      </x:c>
    </x:row>
    <x:row r="14" ht="18" customHeight="1">
      <x:c r="A14" s="24" t="str">
        <x:v>EEZ_968</x:v>
      </x:c>
      <x:c r="B14" s="24" t="str">
        <x:v>commercial_ppr_difference</x:v>
      </x:c>
      <x:c r="C14" s="24" t="n">
        <x:v>-10671207.071590342</x:v>
      </x:c>
      <x:c r="D14" s="24" t="str">
        <x:v>tonnes_primary_production_equivalent</x:v>
      </x:c>
    </x:row>
    <x:row r="15" ht="18" customHeight="1">
      <x:c r="A15" s="24" t="str">
        <x:v>EEZ_968</x:v>
      </x:c>
      <x:c r="B15" s="24" t="str">
        <x:v>functional_ppr_difference</x:v>
      </x:c>
      <x:c r="C15" s="24" t="n">
        <x:v>-7407177.082165554</x:v>
      </x:c>
      <x:c r="D15" s="24" t="str">
        <x:v>tonnes_primary_production_equivalent</x:v>
      </x:c>
    </x:row>
    <x:row r="16" ht="18" customHeight="1">
      <x:c r="A16" s="24" t="str">
        <x:v>EEZ_968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EEZ_968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d96d85662ae49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EEZ_968 - United Arab Emirates (Fujairah)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EEZ_968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raw_data/SAU_downloads/EEZ_968-catch.zip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