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e3ca43412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39e55b2a732479c"/>
    <x:sheet xmlns:r="http://schemas.openxmlformats.org/officeDocument/2006/relationships" name="Commercial" sheetId="2" r:id="Rd268edfe45a3493f"/>
    <x:sheet xmlns:r="http://schemas.openxmlformats.org/officeDocument/2006/relationships" name="Functional" sheetId="3" r:id="Rc085eec5de7d4caf"/>
    <x:sheet xmlns:r="http://schemas.openxmlformats.org/officeDocument/2006/relationships" name="Missing TL" sheetId="4" r:id="Rcb55862573a04a08"/>
    <x:sheet xmlns:r="http://schemas.openxmlformats.org/officeDocument/2006/relationships" name="Validation" sheetId="5" r:id="R0bcb4ab7fd594d89"/>
    <x:sheet xmlns:r="http://schemas.openxmlformats.org/officeDocument/2006/relationships" name="Metadata" sheetId="6" r:id="Rd9c8d8d50061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6d2b1adf140df" /><Relationship Type="http://schemas.openxmlformats.org/officeDocument/2006/relationships/theme" Target="/xl/theme/theme1.xml" Id="R7d4b14244c27417a" /><Relationship Type="http://schemas.microsoft.com/office/2022/11/relationships/FeaturePropertyBag" Target="/xl/featurePropertyBag/featurePropertyBag.xml" Id="R31c5728feebc4d40" /><Relationship Type="http://schemas.openxmlformats.org/officeDocument/2006/relationships/sharedStrings" Target="/xl/sharedStrings.xml" Id="R291ba07b7faf4de0" /><Relationship Type="http://schemas.openxmlformats.org/officeDocument/2006/relationships/worksheet" Target="/xl/worksheets/sheet1.xml" Id="R339e55b2a732479c" /><Relationship Type="http://schemas.openxmlformats.org/officeDocument/2006/relationships/worksheet" Target="/xl/worksheets/sheet2.xml" Id="Rd268edfe45a3493f" /><Relationship Type="http://schemas.openxmlformats.org/officeDocument/2006/relationships/worksheet" Target="/xl/worksheets/sheet3.xml" Id="Rc085eec5de7d4caf" /><Relationship Type="http://schemas.openxmlformats.org/officeDocument/2006/relationships/worksheet" Target="/xl/worksheets/sheet4.xml" Id="Rcb55862573a04a08" /><Relationship Type="http://schemas.openxmlformats.org/officeDocument/2006/relationships/worksheet" Target="/xl/worksheets/sheet5.xml" Id="R0bcb4ab7fd594d89" /><Relationship Type="http://schemas.openxmlformats.org/officeDocument/2006/relationships/worksheet" Target="/xl/worksheets/sheet6.xml" Id="Rd9c8d8d5006146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4SpeciesTable" displayName="EEZ924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4CommercialTable" displayName="EEZ92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4FunctionalTable" displayName="EEZ924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4ValidationTable" displayName="EEZ92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1af0e370384f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08a3d26c3b4c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884af1b6be4a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b56beeac7a442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EEZ_924</x:v>
      </x:c>
      <x:c r="B2" s="24" t="str">
        <x:v>Canada (Arctic)</x:v>
      </x:c>
      <x:c r="C2" s="24" t="str">
        <x:v>EEZ</x:v>
      </x:c>
      <x:c r="D2" s="30" t="n">
        <x:v>2019</x:v>
      </x:c>
      <x:c r="E2" s="24" t="str">
        <x:v>Salvelinus alpinus</x:v>
      </x:c>
      <x:c r="F2" s="24" t="str">
        <x:v>Arctic char</x:v>
      </x:c>
      <x:c r="G2" s="24" t="str">
        <x:v>Medium benthopelagics (30 - 89 cm)</x:v>
      </x:c>
      <x:c r="H2" s="24" t="str">
        <x:v>Salmon, smelts, etc</x:v>
      </x:c>
      <x:c r="I2" s="31" t="n">
        <x:v>947.2033898169999</x:v>
      </x:c>
      <x:c r="J2" s="31" t="n">
        <x:v>947.2033898169999</x:v>
      </x:c>
      <x:c r="K2" s="31" t="n">
        <x:v>0</x:v>
      </x:c>
      <x:c r="L2" s="31" t="n">
        <x:v>0</x:v>
      </x:c>
      <x:c r="M2" s="31" t="n">
        <x:v>947.2033898169999</x:v>
      </x:c>
      <x:c r="N2" s="24" t="str">
        <x:v>salvelinus alpinus</x:v>
      </x:c>
      <x:c r="O2" s="32" t="n">
        <x:v>4.39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Salvelinus alpinus</x:v>
      </x:c>
      <x:c r="T2" s="32" t="n">
        <x:f>IF(O2="","",(1/'Metadata'!$B$5)^(O2-1))</x:f>
        <x:v>2454.7089156850284</x:v>
      </x:c>
      <x:c r="U2" s="31" t="n">
        <x:f>IF(T2="","",I2*T2)</x:f>
        <x:v>2325108.605950871</x:v>
      </x:c>
    </x:row>
    <x:row r="3" ht="18" customHeight="1">
      <x:c r="A3" s="24" t="str">
        <x:v>EEZ_924</x:v>
      </x:c>
      <x:c r="B3" s="24" t="str">
        <x:v>Canada (Arctic)</x:v>
      </x:c>
      <x:c r="C3" s="24" t="str">
        <x:v>EEZ</x:v>
      </x:c>
      <x:c r="D3" s="30" t="n">
        <x:v>2019</x:v>
      </x:c>
      <x:c r="E3" s="24" t="str">
        <x:v>Salmo salar</x:v>
      </x:c>
      <x:c r="F3" s="24" t="str">
        <x:v>Atlantic salmon</x:v>
      </x:c>
      <x:c r="G3" s="24" t="str">
        <x:v>Large benthopelagics (&gt;=90 cm)</x:v>
      </x:c>
      <x:c r="H3" s="24" t="str">
        <x:v>Salmon, smelts, etc</x:v>
      </x:c>
      <x:c r="I3" s="31" t="n">
        <x:v>44.05501769</x:v>
      </x:c>
      <x:c r="J3" s="31" t="n">
        <x:v>44.05501769</x:v>
      </x:c>
      <x:c r="K3" s="31" t="n">
        <x:v>0</x:v>
      </x:c>
      <x:c r="L3" s="31" t="n">
        <x:v>0</x:v>
      </x:c>
      <x:c r="M3" s="31" t="n">
        <x:v>44.05501769</x:v>
      </x:c>
      <x:c r="N3" s="24" t="str">
        <x:v>salmo salar</x:v>
      </x:c>
      <x:c r="O3" s="32" t="n">
        <x:v>4.5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Salmo salar</x:v>
      </x:c>
      <x:c r="T3" s="32" t="n">
        <x:f>IF(O3="","",(1/'Metadata'!$B$5)^(O3-1))</x:f>
        <x:v>3162.2776601683795</x:v>
      </x:c>
      <x:c r="U3" s="31" t="n">
        <x:f>IF(T3="","",I3*T3)</x:f>
        <x:v>139314.19825940978</x:v>
      </x:c>
    </x:row>
    <x:row r="4" ht="18" customHeight="1">
      <x:c r="A4" s="24" t="str">
        <x:v>EEZ_924</x:v>
      </x:c>
      <x:c r="B4" s="24" t="str">
        <x:v>Canada (Arctic)</x:v>
      </x:c>
      <x:c r="C4" s="24" t="str">
        <x:v>EEZ</x:v>
      </x:c>
      <x:c r="D4" s="30" t="n">
        <x:v>2019</x:v>
      </x:c>
      <x:c r="E4" s="24" t="str">
        <x:v>Coregonus nasus</x:v>
      </x:c>
      <x:c r="F4" s="24" t="str">
        <x:v>Broad whitefish</x:v>
      </x:c>
      <x:c r="G4" s="24" t="str">
        <x:v>Medium demersals (30 - 89 cm)</x:v>
      </x:c>
      <x:c r="H4" s="24" t="str">
        <x:v>Salmon, smelts, etc</x:v>
      </x:c>
      <x:c r="I4" s="31" t="n">
        <x:v>44.009196425000006</x:v>
      </x:c>
      <x:c r="J4" s="31" t="n">
        <x:v>44.009196425000006</x:v>
      </x:c>
      <x:c r="K4" s="31" t="n">
        <x:v>0</x:v>
      </x:c>
      <x:c r="L4" s="31" t="n">
        <x:v>0</x:v>
      </x:c>
      <x:c r="M4" s="31" t="n">
        <x:v>44.009196425000006</x:v>
      </x:c>
      <x:c r="N4" s="24" t="str">
        <x:v>coregonus nasus</x:v>
      </x:c>
      <x:c r="O4" s="32" t="n">
        <x:v>3.45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nasus</x:v>
      </x:c>
      <x:c r="T4" s="32" t="n">
        <x:f>IF(O4="","",(1/'Metadata'!$B$5)^(O4-1))</x:f>
        <x:v>281.8382931264455</x:v>
      </x:c>
      <x:c r="U4" s="31" t="n">
        <x:f>IF(T4="","",I4*T4)</x:f>
        <x:v>12403.476802288467</x:v>
      </x:c>
    </x:row>
    <x:row r="5" ht="18" customHeight="1">
      <x:c r="A5" s="24" t="str">
        <x:v>EEZ_924</x:v>
      </x:c>
      <x:c r="B5" s="24" t="str">
        <x:v>Canada (Arctic)</x:v>
      </x:c>
      <x:c r="C5" s="24" t="str">
        <x:v>EEZ</x:v>
      </x:c>
      <x:c r="D5" s="30" t="n">
        <x:v>2019</x:v>
      </x:c>
      <x:c r="E5" s="24" t="str">
        <x:v>Gadidae</x:v>
      </x:c>
      <x:c r="F5" s="24" t="str">
        <x:v>Cods, haddocks</x:v>
      </x:c>
      <x:c r="G5" s="24" t="str">
        <x:v>Medium demersals (30 - 89 cm)</x:v>
      </x:c>
      <x:c r="H5" s="24" t="str">
        <x:v>Cod-likes</x:v>
      </x:c>
      <x:c r="I5" s="31" t="n">
        <x:v>41.569389269</x:v>
      </x:c>
      <x:c r="J5" s="31" t="n">
        <x:v>41.569389269</x:v>
      </x:c>
      <x:c r="K5" s="31" t="n">
        <x:v>0</x:v>
      </x:c>
      <x:c r="L5" s="31" t="n">
        <x:v>0</x:v>
      </x:c>
      <x:c r="M5" s="31" t="n">
        <x:v>41.569389269</x:v>
      </x:c>
      <x:c r="N5" s="24" t="str">
        <x:v>gadidae</x:v>
      </x:c>
      <x:c r="O5" s="32" t="n">
        <x:v>3.84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Gadidae</x:v>
      </x:c>
      <x:c r="T5" s="32" t="n">
        <x:f>IF(O5="","",(1/'Metadata'!$B$5)^(O5-1))</x:f>
        <x:v>691.8309709189363</x:v>
      </x:c>
      <x:c r="U5" s="31" t="n">
        <x:f>IF(T5="","",I5*T5)</x:f>
        <x:v>28758.990938479477</x:v>
      </x:c>
    </x:row>
    <x:row r="6" ht="18" customHeight="1">
      <x:c r="A6" s="24" t="str">
        <x:v>EEZ_924</x:v>
      </x:c>
      <x:c r="B6" s="24" t="str">
        <x:v>Canada (Arctic)</x:v>
      </x:c>
      <x:c r="C6" s="24" t="str">
        <x:v>EEZ</x:v>
      </x:c>
      <x:c r="D6" s="30" t="n">
        <x:v>2019</x:v>
      </x:c>
      <x:c r="E6" s="24" t="str">
        <x:v>Coregonus</x:v>
      </x:c>
      <x:c r="F6" s="24" t="str">
        <x:v>Whitefishes</x:v>
      </x:c>
      <x:c r="G6" s="24" t="str">
        <x:v>Medium pelagics (30 - 89 cm)</x:v>
      </x:c>
      <x:c r="H6" s="24" t="str">
        <x:v>Salmon, smelts, etc</x:v>
      </x:c>
      <x:c r="I6" s="31" t="n">
        <x:v>16.145970901</x:v>
      </x:c>
      <x:c r="J6" s="31" t="n">
        <x:v>16.145970901</x:v>
      </x:c>
      <x:c r="K6" s="31" t="n">
        <x:v>0</x:v>
      </x:c>
      <x:c r="L6" s="31" t="n">
        <x:v>0</x:v>
      </x:c>
      <x:c r="M6" s="31" t="n">
        <x:v>16.145970901</x:v>
      </x:c>
      <x:c r="N6" s="24" t="str">
        <x:v>coregonus</x:v>
      </x:c>
      <x:c r="O6" s="32" t="n">
        <x:v>3.3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Coregonus</x:v>
      </x:c>
      <x:c r="T6" s="32" t="n">
        <x:f>IF(O6="","",(1/'Metadata'!$B$5)^(O6-1))</x:f>
        <x:v>199.52623149688787</x:v>
      </x:c>
      <x:c r="U6" s="31" t="n">
        <x:f>IF(T6="","",I6*T6)</x:f>
        <x:v>3221.544727734941</x:v>
      </x:c>
    </x:row>
    <x:row r="7" ht="18" customHeight="1">
      <x:c r="A7" s="24" t="str">
        <x:v>EEZ_924</x:v>
      </x:c>
      <x:c r="B7" s="24" t="str">
        <x:v>Canada (Arctic)</x:v>
      </x:c>
      <x:c r="C7" s="24" t="str">
        <x:v>EEZ</x:v>
      </x:c>
      <x:c r="D7" s="30" t="n">
        <x:v>2019</x:v>
      </x:c>
      <x:c r="E7" s="24" t="str">
        <x:v>Stenodus leucichthys</x:v>
      </x:c>
      <x:c r="F7" s="24" t="str">
        <x:v>Sheefish</x:v>
      </x:c>
      <x:c r="G7" s="24" t="str">
        <x:v>Large demersals (&gt;=90 cm)</x:v>
      </x:c>
      <x:c r="H7" s="24" t="str">
        <x:v>Salmon, smelts, etc</x:v>
      </x:c>
      <x:c r="I7" s="31" t="n">
        <x:v>15.938881030000001</x:v>
      </x:c>
      <x:c r="J7" s="31" t="n">
        <x:v>15.938881030000001</x:v>
      </x:c>
      <x:c r="K7" s="31" t="n">
        <x:v>0</x:v>
      </x:c>
      <x:c r="L7" s="31" t="n">
        <x:v>0</x:v>
      </x:c>
      <x:c r="M7" s="31" t="n">
        <x:v>15.938881030000001</x:v>
      </x:c>
      <x:c r="N7" s="24" t="str">
        <x:v>stenodus leucichthys</x:v>
      </x:c>
      <x:c r="O7" s="32" t="n">
        <x:v>4.15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Stenodus leucichthys</x:v>
      </x:c>
      <x:c r="T7" s="32" t="n">
        <x:f>IF(O7="","",(1/'Metadata'!$B$5)^(O7-1))</x:f>
        <x:v>1412.5375446227554</x:v>
      </x:c>
      <x:c r="U7" s="31" t="n">
        <x:f>IF(T7="","",I7*T7)</x:f>
        <x:v>22514.267874150417</x:v>
      </x:c>
    </x:row>
    <x:row r="8" ht="18" customHeight="1">
      <x:c r="A8" s="24" t="str">
        <x:v>EEZ_924</x:v>
      </x:c>
      <x:c r="B8" s="24" t="str">
        <x:v>Canada (Arctic)</x:v>
      </x:c>
      <x:c r="C8" s="24" t="str">
        <x:v>EEZ</x:v>
      </x:c>
      <x:c r="D8" s="30" t="n">
        <x:v>2019</x:v>
      </x:c>
      <x:c r="E8" s="24" t="str">
        <x:v>Clupea pallasii</x:v>
      </x:c>
      <x:c r="F8" s="24" t="str">
        <x:v>Pacific herring</x:v>
      </x:c>
      <x:c r="G8" s="24" t="str">
        <x:v>Medium pelagics (30 - 89 cm)</x:v>
      </x:c>
      <x:c r="H8" s="24" t="str">
        <x:v>Herring-likes</x:v>
      </x:c>
      <x:c r="I8" s="31" t="n">
        <x:v>3.006822789</x:v>
      </x:c>
      <x:c r="J8" s="31" t="n">
        <x:v>3.006822789</x:v>
      </x:c>
      <x:c r="K8" s="31" t="n">
        <x:v>0</x:v>
      </x:c>
      <x:c r="L8" s="31" t="n">
        <x:v>0</x:v>
      </x:c>
      <x:c r="M8" s="31" t="n">
        <x:v>3.006822789</x:v>
      </x:c>
      <x:c r="N8" s="24" t="str">
        <x:v>clupea pallasii</x:v>
      </x:c>
      <x:c r="O8" s="32" t="n">
        <x:v>3.16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Clupea pallasii</x:v>
      </x:c>
      <x:c r="T8" s="32" t="n">
        <x:f>IF(O8="","",(1/'Metadata'!$B$5)^(O8-1))</x:f>
        <x:v>144.5439770745928</x:v>
      </x:c>
      <x:c r="U8" s="31" t="n">
        <x:f>IF(T8="","",I8*T8)</x:f>
        <x:v>434.61812428057914</x:v>
      </x:c>
    </x:row>
    <x:row r="9" ht="18" customHeight="1">
      <x:c r="A9" s="24" t="str">
        <x:v>EEZ_924</x:v>
      </x:c>
      <x:c r="B9" s="24" t="str">
        <x:v>Canada (Arctic)</x:v>
      </x:c>
      <x:c r="C9" s="24" t="str">
        <x:v>EEZ</x:v>
      </x:c>
      <x:c r="D9" s="30" t="n">
        <x:v>2019</x:v>
      </x:c>
      <x:c r="E9" s="24" t="str">
        <x:v>Salvelinus malma</x:v>
      </x:c>
      <x:c r="F9" s="24" t="str">
        <x:v>Dolly varden</x:v>
      </x:c>
      <x:c r="G9" s="24" t="str">
        <x:v>Large benthopelagics (&gt;=90 cm)</x:v>
      </x:c>
      <x:c r="H9" s="24" t="str">
        <x:v>Salmon, smelts, etc</x:v>
      </x:c>
      <x:c r="I9" s="31" t="n">
        <x:v>1.715980108</x:v>
      </x:c>
      <x:c r="J9" s="31" t="n">
        <x:v>1.715980108</x:v>
      </x:c>
      <x:c r="K9" s="31" t="n">
        <x:v>0</x:v>
      </x:c>
      <x:c r="L9" s="31" t="n">
        <x:v>0</x:v>
      </x:c>
      <x:c r="M9" s="31" t="n">
        <x:v>1.715980108</x:v>
      </x:c>
      <x:c r="N9" s="24" t="str">
        <x:v>salvelinus malma</x:v>
      </x:c>
      <x:c r="O9" s="32" t="n">
        <x:v>4.4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Salvelinus malma</x:v>
      </x:c>
      <x:c r="T9" s="32" t="n">
        <x:f>IF(O9="","",(1/'Metadata'!$B$5)^(O9-1))</x:f>
        <x:v>2511.886431509582</x:v>
      </x:c>
      <x:c r="U9" s="31" t="n">
        <x:f>IF(T9="","",I9*T9)</x:f>
        <x:v>4310.347150025547</x:v>
      </x:c>
    </x:row>
    <x:row r="10" ht="18" customHeight="1">
      <x:c r="A10" s="24" t="str">
        <x:v>EEZ_924</x:v>
      </x:c>
      <x:c r="B10" s="24" t="str">
        <x:v>Canada (Arctic)</x:v>
      </x:c>
      <x:c r="C10" s="24" t="str">
        <x:v>EEZ</x:v>
      </x:c>
      <x:c r="D10" s="30" t="n">
        <x:v>2019</x:v>
      </x:c>
      <x:c r="E10" s="24" t="str">
        <x:v>Cottidae</x:v>
      </x:c>
      <x:c r="F10" s="24" t="str">
        <x:v>Sculpins</x:v>
      </x:c>
      <x:c r="G10" s="24" t="str">
        <x:v>Large reef assoc. fish (&gt;=90 cm)</x:v>
      </x:c>
      <x:c r="H10" s="24" t="str">
        <x:v>Scorpionfishes</x:v>
      </x:c>
      <x:c r="I10" s="31" t="n">
        <x:v>0.232266125</x:v>
      </x:c>
      <x:c r="J10" s="31" t="n">
        <x:v>0.232266125</x:v>
      </x:c>
      <x:c r="K10" s="31" t="n">
        <x:v>0</x:v>
      </x:c>
      <x:c r="L10" s="31" t="n">
        <x:v>0</x:v>
      </x:c>
      <x:c r="M10" s="31" t="n">
        <x:v>0.232266125</x:v>
      </x:c>
      <x:c r="N10" s="24" t="str">
        <x:v>cottidae</x:v>
      </x:c>
      <x:c r="O10" s="32" t="n">
        <x:v>3.81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Cottidae</x:v>
      </x:c>
      <x:c r="T10" s="32" t="n">
        <x:f>IF(O10="","",(1/'Metadata'!$B$5)^(O10-1))</x:f>
        <x:v>645.6542290346556</x:v>
      </x:c>
      <x:c r="U10" s="31" t="n">
        <x:f>IF(T10="","",I10*T10)</x:f>
        <x:v>149.96360586774193</x:v>
      </x:c>
    </x:row>
    <x:row r="11" ht="18" customHeight="1">
      <x:c r="A11" s="24" t="str">
        <x:v>EEZ_924</x:v>
      </x:c>
      <x:c r="B11" s="24" t="str">
        <x:v>Canada (Arctic)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0.144730959</x:v>
      </x:c>
      <x:c r="J11" s="31" t="n">
        <x:v>0.144730959</x:v>
      </x:c>
      <x:c r="K11" s="31" t="n">
        <x:v>0</x:v>
      </x:c>
      <x:c r="L11" s="31" t="n">
        <x:v>0</x:v>
      </x:c>
      <x:c r="M11" s="31" t="n">
        <x:v>0.144730959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27.577915704764916</x:v>
      </x:c>
    </x:row>
    <x:row r="12" ht="18" customHeight="1">
      <x:c r="A12" s="24" t="str">
        <x:v>EEZ_924</x:v>
      </x:c>
      <x:c r="B12" s="24" t="str">
        <x:v>Canada (Arctic)</x:v>
      </x:c>
      <x:c r="C12" s="24" t="str">
        <x:v>EEZ</x:v>
      </x:c>
      <x:c r="D12" s="30" t="n">
        <x:v>2019</x:v>
      </x:c>
      <x:c r="E12" s="24" t="str">
        <x:v>Coregonus autumnalis</x:v>
      </x:c>
      <x:c r="F12" s="24" t="str">
        <x:v>Arctic cisco</x:v>
      </x:c>
      <x:c r="G12" s="24" t="str">
        <x:v>Medium pelagics (30 - 89 cm)</x:v>
      </x:c>
      <x:c r="H12" s="24" t="str">
        <x:v>Salmon, smelts, etc</x:v>
      </x:c>
      <x:c r="I12" s="31" t="n">
        <x:v>0.141691872</x:v>
      </x:c>
      <x:c r="J12" s="31" t="n">
        <x:v>0.141691872</x:v>
      </x:c>
      <x:c r="K12" s="31" t="n">
        <x:v>0</x:v>
      </x:c>
      <x:c r="L12" s="31" t="n">
        <x:v>0</x:v>
      </x:c>
      <x:c r="M12" s="31" t="n">
        <x:v>0.141691872</x:v>
      </x:c>
      <x:c r="N12" s="24" t="str">
        <x:v>coregonus autumnalis</x:v>
      </x:c>
      <x:c r="O12" s="32" t="n">
        <x:v>3.67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Coregonus autumnalis</x:v>
      </x:c>
      <x:c r="T12" s="32" t="n">
        <x:f>IF(O12="","",(1/'Metadata'!$B$5)^(O12-1))</x:f>
        <x:v>467.73514128719813</x:v>
      </x:c>
      <x:c r="U12" s="31" t="n">
        <x:f>IF(T12="","",I12*T12)</x:f>
        <x:v>66.2742677691676</x:v>
      </x:c>
    </x:row>
    <x:row r="13" ht="18" customHeight="1">
      <x:c r="A13" s="24" t="str">
        <x:v>EEZ_924</x:v>
      </x:c>
      <x:c r="B13" s="24" t="str">
        <x:v>Canada (Arctic)</x:v>
      </x:c>
      <x:c r="C13" s="24" t="str">
        <x:v>EEZ</x:v>
      </x:c>
      <x:c r="D13" s="30" t="n">
        <x:v>2019</x:v>
      </x:c>
      <x:c r="E13" s="24" t="str">
        <x:v>Eleginus gracilis</x:v>
      </x:c>
      <x:c r="F13" s="24" t="str">
        <x:v>Saffron cod</x:v>
      </x:c>
      <x:c r="G13" s="24" t="str">
        <x:v>Medium demersals (30 - 89 cm)</x:v>
      </x:c>
      <x:c r="H13" s="24" t="str">
        <x:v>Cod-likes</x:v>
      </x:c>
      <x:c r="I13" s="31" t="n">
        <x:v>0.054640557</x:v>
      </x:c>
      <x:c r="J13" s="31" t="n">
        <x:v>0.054640557</x:v>
      </x:c>
      <x:c r="K13" s="31" t="n">
        <x:v>0</x:v>
      </x:c>
      <x:c r="L13" s="31" t="n">
        <x:v>0</x:v>
      </x:c>
      <x:c r="M13" s="31" t="n">
        <x:v>0.054640557</x:v>
      </x:c>
      <x:c r="N13" s="24" t="str">
        <x:v>eleginus gracilis</x:v>
      </x:c>
      <x:c r="O13" s="32" t="n">
        <x:v>4.1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Eleginus gracilis</x:v>
      </x:c>
      <x:c r="T13" s="32" t="n">
        <x:f>IF(O13="","",(1/'Metadata'!$B$5)^(O13-1))</x:f>
        <x:v>1258.9254117941662</x:v>
      </x:c>
      <x:c r="U13" s="31" t="n">
        <x:f>IF(T13="","",I13*T13)</x:f>
        <x:v>68.78838572188761</x:v>
      </x:c>
    </x:row>
    <x:row r="14" ht="18" customHeight="1">
      <x:c r="A14" s="24" t="str">
        <x:v>EEZ_924</x:v>
      </x:c>
      <x:c r="B14" s="24" t="str">
        <x:v>Canada (Arctic)</x:v>
      </x:c>
      <x:c r="C14" s="24" t="str">
        <x:v>EEZ</x:v>
      </x:c>
      <x:c r="D14" s="30" t="n">
        <x:v>2019</x:v>
      </x:c>
      <x:c r="E14" s="24" t="str">
        <x:v>Boreogadus saida</x:v>
      </x:c>
      <x:c r="F14" s="24" t="str">
        <x:v>Polar cod</x:v>
      </x:c>
      <x:c r="G14" s="24" t="str">
        <x:v>Medium demersals (30 - 89 cm)</x:v>
      </x:c>
      <x:c r="H14" s="24" t="str">
        <x:v>Cod-likes</x:v>
      </x:c>
      <x:c r="I14" s="31" t="n">
        <x:v>0.0383071089</x:v>
      </x:c>
      <x:c r="J14" s="31" t="n">
        <x:v>0.0383071089</x:v>
      </x:c>
      <x:c r="K14" s="31" t="n">
        <x:v>0</x:v>
      </x:c>
      <x:c r="L14" s="31" t="n">
        <x:v>0</x:v>
      </x:c>
      <x:c r="M14" s="31" t="n">
        <x:v>0.0383071089</x:v>
      </x:c>
      <x:c r="N14" s="24" t="str">
        <x:v>boreogadus saida</x:v>
      </x:c>
      <x:c r="O14" s="32" t="n">
        <x:v>3.12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Boreogadus saida</x:v>
      </x:c>
      <x:c r="T14" s="32" t="n">
        <x:f>IF(O14="","",(1/'Metadata'!$B$5)^(O14-1))</x:f>
        <x:v>131.82567385564073</x:v>
      </x:c>
      <x:c r="U14" s="31" t="n">
        <x:f>IF(T14="","",I14*T14)</x:f>
        <x:v>5.049860444203912</x:v>
      </x:c>
    </x:row>
    <x:row r="15" ht="18" customHeight="1">
      <x:c r="A15" s="24" t="str">
        <x:v>EEZ_924</x:v>
      </x:c>
      <x:c r="B15" s="24" t="str">
        <x:v>Canada (Arctic)</x:v>
      </x:c>
      <x:c r="C15" s="24" t="str">
        <x:v>EEZ</x:v>
      </x:c>
      <x:c r="D15" s="30" t="n">
        <x:v>2019</x:v>
      </x:c>
      <x:c r="E15" s="24" t="str">
        <x:v>Myoxocephalus quadricornis</x:v>
      </x:c>
      <x:c r="F15" s="24" t="str">
        <x:v>Fourhorn sculpin</x:v>
      </x:c>
      <x:c r="G15" s="24" t="str">
        <x:v>Medium demersals (30 - 89 cm)</x:v>
      </x:c>
      <x:c r="H15" s="24" t="str">
        <x:v>Scorpionfishes</x:v>
      </x:c>
      <x:c r="I15" s="31" t="n">
        <x:v>0.007069375</x:v>
      </x:c>
      <x:c r="J15" s="31" t="n">
        <x:v>0.007069375</x:v>
      </x:c>
      <x:c r="K15" s="31" t="n">
        <x:v>0</x:v>
      </x:c>
      <x:c r="L15" s="31" t="n">
        <x:v>0</x:v>
      </x:c>
      <x:c r="M15" s="31" t="n">
        <x:v>0.007069375</x:v>
      </x:c>
      <x:c r="N15" s="24" t="str">
        <x:v>myoxocephalus quadricornis</x:v>
      </x:c>
      <x:c r="O15" s="32" t="n">
        <x:v>3.69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Myoxocephalus quadricornis</x:v>
      </x:c>
      <x:c r="T15" s="32" t="n">
        <x:f>IF(O15="","",(1/'Metadata'!$B$5)^(O15-1))</x:f>
        <x:v>489.77881936844614</x:v>
      </x:c>
      <x:c r="U15" s="31" t="n">
        <x:f>IF(T15="","",I15*T15)</x:f>
        <x:v>3.462430141172809</x:v>
      </x:c>
    </x:row>
    <x:row r="16" ht="18" customHeight="1">
      <x:c r="A16" s="24" t="str">
        <x:v>EEZ_924</x:v>
      </x:c>
      <x:c r="B16" s="24" t="str">
        <x:v>Canada (Arctic)</x:v>
      </x:c>
      <x:c r="C16" s="24" t="str">
        <x:v>EEZ</x:v>
      </x:c>
      <x:c r="D16" s="30" t="n">
        <x:v>2019</x:v>
      </x:c>
      <x:c r="E16" s="24" t="str">
        <x:v>Coregonus sardinella</x:v>
      </x:c>
      <x:c r="F16" s="24" t="str">
        <x:v>Sardine cisco</x:v>
      </x:c>
      <x:c r="G16" s="24" t="str">
        <x:v>Medium pelagics (30 - 89 cm)</x:v>
      </x:c>
      <x:c r="H16" s="24" t="str">
        <x:v>Salmon, smelts, etc</x:v>
      </x:c>
      <x:c r="I16" s="31" t="n">
        <x:v>0.0035874458</x:v>
      </x:c>
      <x:c r="J16" s="31" t="n">
        <x:v>0.0035874458</x:v>
      </x:c>
      <x:c r="K16" s="31" t="n">
        <x:v>0</x:v>
      </x:c>
      <x:c r="L16" s="31" t="n">
        <x:v>0</x:v>
      </x:c>
      <x:c r="M16" s="31" t="n">
        <x:v>0.0035874458</x:v>
      </x:c>
      <x:c r="N16" s="24" t="str">
        <x:v>coregonus sardinella</x:v>
      </x:c>
      <x:c r="O16" s="32" t="n">
        <x:v>3.21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Coregonus sardinella</x:v>
      </x:c>
      <x:c r="T16" s="32" t="n">
        <x:f>IF(O16="","",(1/'Metadata'!$B$5)^(O16-1))</x:f>
        <x:v>162.18100973589299</x:v>
      </x:c>
      <x:c r="U16" s="31" t="n">
        <x:f>IF(T16="","",I16*T16)</x:f>
        <x:v>0.5818155822167884</x:v>
      </x:c>
    </x:row>
    <x:row r="17" ht="18" customHeight="1">
      <x:c r="A17" s="24" t="str">
        <x:v>EEZ_924</x:v>
      </x:c>
      <x:c r="B17" s="24" t="str">
        <x:v>Canada (Arctic)</x:v>
      </x:c>
      <x:c r="C17" s="24" t="str">
        <x:v>EEZ</x:v>
      </x:c>
      <x:c r="D17" s="30" t="n">
        <x:v>2019</x:v>
      </x:c>
      <x:c r="E17" s="24" t="str">
        <x:v>Reinhardtius hippoglossoides</x:v>
      </x:c>
      <x:c r="F17" s="24" t="str">
        <x:v>Greenland halibut</x:v>
      </x:c>
      <x:c r="G17" s="24" t="str">
        <x:v>Small to medium flatfishes (&lt;90 cm)</x:v>
      </x:c>
      <x:c r="H17" s="24" t="str">
        <x:v>Flatfishes</x:v>
      </x:c>
      <x:c r="I17" s="31" t="n">
        <x:v>0.001360838</x:v>
      </x:c>
      <x:c r="J17" s="31" t="n">
        <x:v>0.001360838</x:v>
      </x:c>
      <x:c r="K17" s="31" t="n">
        <x:v>0</x:v>
      </x:c>
      <x:c r="L17" s="31" t="n">
        <x:v>0</x:v>
      </x:c>
      <x:c r="M17" s="31" t="n">
        <x:v>0.001360838</x:v>
      </x:c>
      <x:c r="N17" s="24" t="str">
        <x:v>reinhardtius hippoglossoides</x:v>
      </x:c>
      <x:c r="O17" s="32" t="n">
        <x:v>4.38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Reinhardtius hippoglossoides</x:v>
      </x:c>
      <x:c r="T17" s="32" t="n">
        <x:f>IF(O17="","",(1/'Metadata'!$B$5)^(O17-1))</x:f>
        <x:v>2398.83291901949</x:v>
      </x:c>
      <x:c r="U17" s="31" t="n">
        <x:f>IF(T17="","",I17*T17)</x:f>
        <x:v>3.2644229918526446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61af0e370384f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41.6623369349</x:v>
      </x:c>
      <x:c r="C2" s="32" t="n">
        <x:v>3.839678976875231</x:v>
      </x:c>
      <x:c r="D2" s="32" t="n">
        <x:f>IF(C2="","",(1/'Metadata'!$B$5)^(C2-1))</x:f>
        <x:v>691.3197701424972</x:v>
      </x:c>
      <x:c r="E2" s="31" t="n">
        <x:f>IF(B2=0,"",B2*D2)</x:f>
        <x:v>28801.997193434338</x:v>
      </x:c>
    </x:row>
    <x:row r="3" ht="18" customHeight="1">
      <x:c r="A3" s="24" t="str">
        <x:v>Flatfishes</x:v>
      </x:c>
      <x:c r="B3" s="31" t="n">
        <x:v>0.001360838</x:v>
      </x:c>
      <x:c r="C3" s="32" t="n">
        <x:v>4.38</x:v>
      </x:c>
      <x:c r="D3" s="32" t="n">
        <x:f>IF(C3="","",(1/'Metadata'!$B$5)^(C3-1))</x:f>
        <x:v>2398.83291901949</x:v>
      </x:c>
      <x:c r="E3" s="31" t="n">
        <x:f>IF(B3=0,"",B3*D3)</x:f>
        <x:v>3.2644229918526446</x:v>
      </x:c>
    </x:row>
    <x:row r="4" ht="18" customHeight="1">
      <x:c r="A4" s="24" t="str">
        <x:v>Herring-likes</x:v>
      </x:c>
      <x:c r="B4" s="31" t="n">
        <x:v>3.006822789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434.61812428057914</x:v>
      </x:c>
    </x:row>
    <x:row r="5" ht="18" customHeight="1">
      <x:c r="A5" s="24" t="str">
        <x:v>Other fishes &amp; inverts</x:v>
      </x:c>
      <x:c r="B5" s="31" t="n">
        <x:v>0.144730959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27.577915704764916</x:v>
      </x:c>
    </x:row>
    <x:row r="6" ht="18" customHeight="1">
      <x:c r="A6" s="24" t="str">
        <x:v>Salmon, smelts, etc</x:v>
      </x:c>
      <x:c r="B6" s="31" t="n">
        <x:v>1069.2137152888</x:v>
      </x:c>
      <x:c r="C6" s="32" t="n">
        <x:v>4.335720744949462</x:v>
      </x:c>
      <x:c r="D6" s="32" t="n">
        <x:f>IF(C6="","",(1/'Metadata'!$B$5)^(C6-1))</x:f>
        <x:v>2166.3107006524024</x:v>
      </x:c>
      <x:c r="E6" s="31" t="n">
        <x:f>IF(B6=0,"",B6*D6)</x:f>
        <x:v>2316249.1127144382</x:v>
      </x:c>
    </x:row>
    <x:row r="7" ht="18" customHeight="1">
      <x:c r="A7" s="24" t="str">
        <x:v>Scorpionfishes</x:v>
      </x:c>
      <x:c r="B7" s="31" t="n">
        <x:v>0.23933549999999998</x:v>
      </x:c>
      <x:c r="C7" s="32" t="n">
        <x:v>3.8064554986619203</x:v>
      </x:c>
      <x:c r="D7" s="32" t="n">
        <x:f>IF(C7="","",(1/'Metadata'!$B$5)^(C7-1))</x:f>
        <x:v>640.4061569937278</x:v>
      </x:c>
      <x:c r="E7" s="31" t="n">
        <x:f>IF(B7=0,"",B7*D7)</x:f>
        <x:v>153.27192778717233</x:v>
      </x:c>
    </x:row>
  </x:sheetData>
  <x:pageMargins left="0.7" right="0.7" top="0.75" bottom="0.75" header="0.3" footer="0.3"/>
  <x:tableParts count="1">
    <x:tablePart xmlns:r="http://schemas.openxmlformats.org/officeDocument/2006/relationships" r:id="Rc208a3d26c3b4c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45.770997797999996</x:v>
      </x:c>
      <x:c r="C2" s="32" t="n">
        <x:v>4.496250944505136</x:v>
      </x:c>
      <x:c r="D2" s="32" t="n">
        <x:f>IF(C2="","",(1/'Metadata'!$B$5)^(C2-1))</x:f>
        <x:v>3135.0967260134917</x:v>
      </x:c>
      <x:c r="E2" s="31" t="n">
        <x:f>IF(B2=0,"",B2*D2)</x:f>
        <x:v>143496.50534288053</x:v>
      </x:c>
    </x:row>
    <x:row r="3" ht="18" customHeight="1">
      <x:c r="A3" s="24" t="str">
        <x:v>Large demersals (&gt;=90 cm)</x:v>
      </x:c>
      <x:c r="B3" s="31" t="n">
        <x:v>15.938881030000001</x:v>
      </x:c>
      <x:c r="C3" s="32" t="n">
        <x:v>4.15</x:v>
      </x:c>
      <x:c r="D3" s="32" t="n">
        <x:f>IF(C3="","",(1/'Metadata'!$B$5)^(C3-1))</x:f>
        <x:v>1412.5375446227554</x:v>
      </x:c>
      <x:c r="E3" s="31" t="n">
        <x:f>IF(B3=0,"",B3*D3)</x:f>
        <x:v>22514.267874150417</x:v>
      </x:c>
    </x:row>
    <x:row r="4" ht="18" customHeight="1">
      <x:c r="A4" s="24" t="str">
        <x:v>Large reef assoc. fish (&gt;=90 cm)</x:v>
      </x:c>
      <x:c r="B4" s="31" t="n">
        <x:v>0.232266125</x:v>
      </x:c>
      <x:c r="C4" s="32" t="n">
        <x:v>3.81</x:v>
      </x:c>
      <x:c r="D4" s="32" t="n">
        <x:f>IF(C4="","",(1/'Metadata'!$B$5)^(C4-1))</x:f>
        <x:v>645.6542290346556</x:v>
      </x:c>
      <x:c r="E4" s="31" t="n">
        <x:f>IF(B4=0,"",B4*D4)</x:f>
        <x:v>149.96360586774193</x:v>
      </x:c>
    </x:row>
    <x:row r="5" ht="18" customHeight="1">
      <x:c r="A5" s="24" t="str">
        <x:v>Medium benthopelagics (30 - 89 cm)</x:v>
      </x:c>
      <x:c r="B5" s="31" t="n">
        <x:v>947.2033898169999</x:v>
      </x:c>
      <x:c r="C5" s="32" t="n">
        <x:v>4.39</x:v>
      </x:c>
      <x:c r="D5" s="32" t="n">
        <x:f>IF(C5="","",(1/'Metadata'!$B$5)^(C5-1))</x:f>
        <x:v>2454.7089156850284</x:v>
      </x:c>
      <x:c r="E5" s="31" t="n">
        <x:f>IF(B5=0,"",B5*D5)</x:f>
        <x:v>2325108.605950871</x:v>
      </x:c>
    </x:row>
    <x:row r="6" ht="18" customHeight="1">
      <x:c r="A6" s="24" t="str">
        <x:v>Medium demersals (30 - 89 cm)</x:v>
      </x:c>
      <x:c r="B6" s="31" t="n">
        <x:v>85.8233336939</x:v>
      </x:c>
      <x:c r="C6" s="32" t="n">
        <x:v>3.6389000172821913</x:v>
      </x:c>
      <x:c r="D6" s="32" t="n">
        <x:f>IF(C6="","",(1/'Metadata'!$B$5)^(C6-1))</x:f>
        <x:v>435.41162224170944</x:v>
      </x:c>
      <x:c r="E6" s="31" t="n">
        <x:f>IF(B6=0,"",B6*D6)</x:f>
        <x:v>37368.47694985256</x:v>
      </x:c>
    </x:row>
    <x:row r="7" ht="18" customHeight="1">
      <x:c r="A7" s="24" t="str">
        <x:v>Medium pelagics (30 - 89 cm)</x:v>
      </x:c>
      <x:c r="B7" s="31" t="n">
        <x:v>19.2980730078</x:v>
      </x:c>
      <x:c r="C7" s="32" t="n">
        <x:v>3.2808865855262894</x:v>
      </x:c>
      <x:c r="D7" s="32" t="n">
        <x:f>IF(C7="","",(1/'Metadata'!$B$5)^(C7-1))</x:f>
        <x:v>190.9354572235063</x:v>
      </x:c>
      <x:c r="E7" s="31" t="n">
        <x:f>IF(B7=0,"",B7*D7)</x:f>
        <x:v>3684.6863932768983</x:v>
      </x:c>
    </x:row>
    <x:row r="8" ht="18" customHeight="1">
      <x:c r="A8" s="24" t="str">
        <x:v>Small to medium flatfishes (&lt;90 cm)</x:v>
      </x:c>
      <x:c r="B8" s="31" t="n">
        <x:v>0.001360838</x:v>
      </x:c>
      <x:c r="C8" s="32" t="n">
        <x:v>4.38</x:v>
      </x:c>
      <x:c r="D8" s="32" t="n">
        <x:f>IF(C8="","",(1/'Metadata'!$B$5)^(C8-1))</x:f>
        <x:v>2398.83291901949</x:v>
      </x:c>
      <x:c r="E8" s="31" t="n">
        <x:f>IF(B8=0,"",B8*D8)</x:f>
        <x:v>3.2644229918526446</x:v>
      </x:c>
    </x:row>
  </x:sheetData>
  <x:pageMargins left="0.7" right="0.7" top="0.75" bottom="0.75" header="0.3" footer="0.3"/>
  <x:tableParts count="1">
    <x:tablePart xmlns:r="http://schemas.openxmlformats.org/officeDocument/2006/relationships" r:id="R94884af1b6be4a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EEZ_924</x:v>
      </x:c>
      <x:c r="B2" s="24" t="str">
        <x:v>raw_filtered_tonnes</x:v>
      </x:c>
      <x:c r="C2" s="24" t="n">
        <x:v>1114.2683023097002</x:v>
      </x:c>
      <x:c r="D2" s="24" t="str">
        <x:v>tonnes</x:v>
      </x:c>
    </x:row>
    <x:row r="3" ht="18" customHeight="1">
      <x:c r="A3" s="24" t="str">
        <x:v>EEZ_924</x:v>
      </x:c>
      <x:c r="B3" s="24" t="str">
        <x:v>species_catch_tonnes</x:v>
      </x:c>
      <x:c r="C3" s="24" t="n">
        <x:v>1114.2683023097</x:v>
      </x:c>
      <x:c r="D3" s="24" t="str">
        <x:v>tonnes</x:v>
      </x:c>
    </x:row>
    <x:row r="4" ht="18" customHeight="1">
      <x:c r="A4" s="24" t="str">
        <x:v>EEZ_924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EEZ_924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EEZ_924</x:v>
      </x:c>
      <x:c r="B6" s="24" t="str">
        <x:v>matched_catch_tonnes</x:v>
      </x:c>
      <x:c r="C6" s="24" t="n">
        <x:v>1114.2683023097</x:v>
      </x:c>
      <x:c r="D6" s="24" t="str">
        <x:v>tonnes</x:v>
      </x:c>
    </x:row>
    <x:row r="7" ht="18" customHeight="1">
      <x:c r="A7" s="24" t="str">
        <x:v>EEZ_924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EEZ_924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EEZ_924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EEZ_924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EEZ_924</x:v>
      </x:c>
      <x:c r="B11" s="24" t="str">
        <x:v>species_ppr</x:v>
      </x:c>
      <x:c r="C11" s="24" t="n">
        <x:v>2536391.012531463</x:v>
      </x:c>
      <x:c r="D11" s="24" t="str">
        <x:v>tonnes_primary_production_equivalent</x:v>
      </x:c>
    </x:row>
    <x:row r="12" ht="18" customHeight="1">
      <x:c r="A12" s="24" t="str">
        <x:v>EEZ_924</x:v>
      </x:c>
      <x:c r="B12" s="24" t="str">
        <x:v>commercial_ppr</x:v>
      </x:c>
      <x:c r="C12" s="24" t="n">
        <x:v>2345669.8422986367</x:v>
      </x:c>
      <x:c r="D12" s="24" t="str">
        <x:v>tonnes_primary_production_equivalent</x:v>
      </x:c>
    </x:row>
    <x:row r="13" ht="18" customHeight="1">
      <x:c r="A13" s="24" t="str">
        <x:v>EEZ_924</x:v>
      </x:c>
      <x:c r="B13" s="24" t="str">
        <x:v>functional_ppr</x:v>
      </x:c>
      <x:c r="C13" s="24" t="n">
        <x:v>2532325.7705398905</x:v>
      </x:c>
      <x:c r="D13" s="24" t="str">
        <x:v>tonnes_primary_production_equivalent</x:v>
      </x:c>
    </x:row>
    <x:row r="14" ht="18" customHeight="1">
      <x:c r="A14" s="24" t="str">
        <x:v>EEZ_924</x:v>
      </x:c>
      <x:c r="B14" s="24" t="str">
        <x:v>commercial_ppr_difference</x:v>
      </x:c>
      <x:c r="C14" s="24" t="n">
        <x:v>-190721.17023282638</x:v>
      </x:c>
      <x:c r="D14" s="24" t="str">
        <x:v>tonnes_primary_production_equivalent</x:v>
      </x:c>
    </x:row>
    <x:row r="15" ht="18" customHeight="1">
      <x:c r="A15" s="24" t="str">
        <x:v>EEZ_924</x:v>
      </x:c>
      <x:c r="B15" s="24" t="str">
        <x:v>functional_ppr_difference</x:v>
      </x:c>
      <x:c r="C15" s="24" t="n">
        <x:v>-4065.2419915725477</x:v>
      </x:c>
      <x:c r="D15" s="24" t="str">
        <x:v>tonnes_primary_production_equivalent</x:v>
      </x:c>
    </x:row>
    <x:row r="16" ht="18" customHeight="1">
      <x:c r="A16" s="24" t="str">
        <x:v>EEZ_924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bb56beeac7a44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EEZ_924 - Canada (Arctic)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