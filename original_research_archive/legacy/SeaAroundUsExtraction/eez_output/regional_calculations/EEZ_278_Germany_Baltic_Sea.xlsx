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a75da298f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d69f467430f44b1"/>
    <x:sheet xmlns:r="http://schemas.openxmlformats.org/officeDocument/2006/relationships" name="Commercial" sheetId="2" r:id="R80a277917dbc4ba2"/>
    <x:sheet xmlns:r="http://schemas.openxmlformats.org/officeDocument/2006/relationships" name="Functional" sheetId="3" r:id="R3e0efa8813654f5f"/>
    <x:sheet xmlns:r="http://schemas.openxmlformats.org/officeDocument/2006/relationships" name="Missing TL" sheetId="4" r:id="Ree6ccffd95564214"/>
    <x:sheet xmlns:r="http://schemas.openxmlformats.org/officeDocument/2006/relationships" name="Validation" sheetId="5" r:id="R1005d224a0664803"/>
    <x:sheet xmlns:r="http://schemas.openxmlformats.org/officeDocument/2006/relationships" name="Metadata" sheetId="6" r:id="Rca5d08a179f8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7649517b64a19" /><Relationship Type="http://schemas.openxmlformats.org/officeDocument/2006/relationships/theme" Target="/xl/theme/theme1.xml" Id="R00fba0f9d1074d2c" /><Relationship Type="http://schemas.microsoft.com/office/2022/11/relationships/FeaturePropertyBag" Target="/xl/featurePropertyBag/featurePropertyBag.xml" Id="Raf47a0705dc34eda" /><Relationship Type="http://schemas.openxmlformats.org/officeDocument/2006/relationships/sharedStrings" Target="/xl/sharedStrings.xml" Id="Rfd43de51ece94d5a" /><Relationship Type="http://schemas.openxmlformats.org/officeDocument/2006/relationships/worksheet" Target="/xl/worksheets/sheet1.xml" Id="Rad69f467430f44b1" /><Relationship Type="http://schemas.openxmlformats.org/officeDocument/2006/relationships/worksheet" Target="/xl/worksheets/sheet2.xml" Id="R80a277917dbc4ba2" /><Relationship Type="http://schemas.openxmlformats.org/officeDocument/2006/relationships/worksheet" Target="/xl/worksheets/sheet3.xml" Id="R3e0efa8813654f5f" /><Relationship Type="http://schemas.openxmlformats.org/officeDocument/2006/relationships/worksheet" Target="/xl/worksheets/sheet4.xml" Id="Ree6ccffd95564214" /><Relationship Type="http://schemas.openxmlformats.org/officeDocument/2006/relationships/worksheet" Target="/xl/worksheets/sheet5.xml" Id="R1005d224a0664803" /><Relationship Type="http://schemas.openxmlformats.org/officeDocument/2006/relationships/worksheet" Target="/xl/worksheets/sheet6.xml" Id="Rca5d08a179f8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8SpeciesTable" displayName="EEZ278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8CommercialTable" displayName="EEZ27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8FunctionalTable" displayName="EEZ278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8ValidationTable" displayName="EEZ27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4ce61b51e8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8069c7b639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36082cc61744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c1b401754844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EEZ_278</x:v>
      </x:c>
      <x:c r="B2" s="24" t="str">
        <x:v>Germany (Baltic Sea)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6386.3796132219</x:v>
      </x:c>
      <x:c r="J2" s="31" t="n">
        <x:v>6170.3050409138</x:v>
      </x:c>
      <x:c r="K2" s="31" t="n">
        <x:v>216.07457230810002</x:v>
      </x:c>
      <x:c r="L2" s="31" t="n">
        <x:v>2210.8123780368</x:v>
      </x:c>
      <x:c r="M2" s="31" t="n">
        <x:v>4175.5672351851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7856963.396699756</x:v>
      </x:c>
    </x:row>
    <x:row r="3" ht="18" customHeight="1">
      <x:c r="A3" s="24" t="str">
        <x:v>EEZ_278</x:v>
      </x:c>
      <x:c r="B3" s="24" t="str">
        <x:v>Germany (Baltic Sea)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5828.8604845904</x:v>
      </x:c>
      <x:c r="J3" s="31" t="n">
        <x:v>5508.2700086643</x:v>
      </x:c>
      <x:c r="K3" s="31" t="n">
        <x:v>320.5904759261</x:v>
      </x:c>
      <x:c r="L3" s="31" t="n">
        <x:v>3864.5377505610004</x:v>
      </x:c>
      <x:c r="M3" s="31" t="n">
        <x:v>1964.3227340294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1398246.2410807346</x:v>
      </x:c>
    </x:row>
    <x:row r="4" ht="18" customHeight="1">
      <x:c r="A4" s="24" t="str">
        <x:v>EEZ_278</x:v>
      </x:c>
      <x:c r="B4" s="24" t="str">
        <x:v>Germany (Baltic Sea)</x:v>
      </x:c>
      <x:c r="C4" s="24" t="str">
        <x:v>EEZ</x:v>
      </x:c>
      <x:c r="D4" s="30" t="n">
        <x:v>2019</x:v>
      </x:c>
      <x:c r="E4" s="24" t="str">
        <x:v>Mytilus edulis</x:v>
      </x:c>
      <x:c r="F4" s="24" t="str">
        <x:v>Blue mussel</x:v>
      </x:c>
      <x:c r="G4" s="24" t="str">
        <x:v>Other demersal invertebrates</x:v>
      </x:c>
      <x:c r="H4" s="24" t="str">
        <x:v>Molluscs</x:v>
      </x:c>
      <x:c r="I4" s="31" t="n">
        <x:v>5824.5792220251005</x:v>
      </x:c>
      <x:c r="J4" s="31" t="n">
        <x:v>5373.356776637</x:v>
      </x:c>
      <x:c r="K4" s="31" t="n">
        <x:v>451.22244538809997</x:v>
      </x:c>
      <x:c r="L4" s="31" t="n">
        <x:v>4649.5348816583</x:v>
      </x:c>
      <x:c r="M4" s="31" t="n">
        <x:v>1175.0443403668</x:v>
      </x:c>
      <x:c r="N4" s="24" t="str">
        <x:v>mytilus edulis</x:v>
      </x:c>
      <x:c r="O4" s="32" t="n">
        <x:v>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Mytilus edulis</x:v>
      </x:c>
      <x:c r="T4" s="32" t="n">
        <x:f>IF(O4="","",(1/'Metadata'!$B$5)^(O4-1))</x:f>
        <x:v>10</x:v>
      </x:c>
      <x:c r="U4" s="31" t="n">
        <x:f>IF(T4="","",I4*T4)</x:f>
        <x:v>58245.79222025101</x:v>
      </x:c>
    </x:row>
    <x:row r="5" ht="18" customHeight="1">
      <x:c r="A5" s="24" t="str">
        <x:v>EEZ_278</x:v>
      </x:c>
      <x:c r="B5" s="24" t="str">
        <x:v>Germany (Baltic Sea)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2706.6828621048</x:v>
      </x:c>
      <x:c r="J5" s="31" t="n">
        <x:v>2553.4762509483003</x:v>
      </x:c>
      <x:c r="K5" s="31" t="n">
        <x:v>153.2066111565</x:v>
      </x:c>
      <x:c r="L5" s="31" t="n">
        <x:v>2209.7344227819</x:v>
      </x:c>
      <x:c r="M5" s="31" t="n">
        <x:v>496.9484393229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565506.2031244494</x:v>
      </x:c>
    </x:row>
    <x:row r="6" ht="18" customHeight="1">
      <x:c r="A6" s="24" t="str">
        <x:v>EEZ_278</x:v>
      </x:c>
      <x:c r="B6" s="24" t="str">
        <x:v>Germany (Baltic Sea)</x:v>
      </x:c>
      <x:c r="C6" s="24" t="str">
        <x:v>EEZ</x:v>
      </x:c>
      <x:c r="D6" s="30" t="n">
        <x:v>2019</x:v>
      </x:c>
      <x:c r="E6" s="24" t="str">
        <x:v>Pleuronectes platessa</x:v>
      </x:c>
      <x:c r="F6" s="24" t="str">
        <x:v>European plaice</x:v>
      </x:c>
      <x:c r="G6" s="24" t="str">
        <x:v>Large flatfishes (&gt;=90 cm)</x:v>
      </x:c>
      <x:c r="H6" s="24" t="str">
        <x:v>Flatfishes</x:v>
      </x:c>
      <x:c r="I6" s="31" t="n">
        <x:v>1825.4173547444</x:v>
      </x:c>
      <x:c r="J6" s="31" t="n">
        <x:v>1773.7346016191</x:v>
      </x:c>
      <x:c r="K6" s="31" t="n">
        <x:v>51.6827531253</x:v>
      </x:c>
      <x:c r="L6" s="31" t="n">
        <x:v>1713.867304334</x:v>
      </x:c>
      <x:c r="M6" s="31" t="n">
        <x:v>111.5500504104</x:v>
      </x:c>
      <x:c r="N6" s="24" t="str">
        <x:v>pleuronectes platessa</x:v>
      </x:c>
      <x:c r="O6" s="32" t="n">
        <x:v>3.26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Pleuronectes platessa</x:v>
      </x:c>
      <x:c r="T6" s="32" t="n">
        <x:f>IF(O6="","",(1/'Metadata'!$B$5)^(O6-1))</x:f>
        <x:v>181.97008586099827</x:v>
      </x:c>
      <x:c r="U6" s="31" t="n">
        <x:f>IF(T6="","",I6*T6)</x:f>
        <x:v>332171.3527749948</x:v>
      </x:c>
    </x:row>
    <x:row r="7" ht="18" customHeight="1">
      <x:c r="A7" s="24" t="str">
        <x:v>EEZ_278</x:v>
      </x:c>
      <x:c r="B7" s="24" t="str">
        <x:v>Germany (Baltic Sea)</x:v>
      </x:c>
      <x:c r="C7" s="24" t="str">
        <x:v>EEZ</x:v>
      </x:c>
      <x:c r="D7" s="30" t="n">
        <x:v>2019</x:v>
      </x:c>
      <x:c r="E7" s="24" t="str">
        <x:v>Sprattus sprattus</x:v>
      </x:c>
      <x:c r="F7" s="24" t="str">
        <x:v>European sprat</x:v>
      </x:c>
      <x:c r="G7" s="24" t="str">
        <x:v>Small pelagics (&lt;30 cm)</x:v>
      </x:c>
      <x:c r="H7" s="24" t="str">
        <x:v>Herring-likes</x:v>
      </x:c>
      <x:c r="I7" s="31" t="n">
        <x:v>1158.4371626291002</x:v>
      </x:c>
      <x:c r="J7" s="31" t="n">
        <x:v>1062.4224582545999</x:v>
      </x:c>
      <x:c r="K7" s="31" t="n">
        <x:v>96.0147043745</x:v>
      </x:c>
      <x:c r="L7" s="31" t="n">
        <x:v>907.3872010152</x:v>
      </x:c>
      <x:c r="M7" s="31" t="n">
        <x:v>251.0499616139</x:v>
      </x:c>
      <x:c r="N7" s="24" t="str">
        <x:v>sprattus sprattus</x:v>
      </x:c>
      <x:c r="O7" s="32" t="n">
        <x:v>3.01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Sprattus sprattus</x:v>
      </x:c>
      <x:c r="T7" s="32" t="n">
        <x:f>IF(O7="","",(1/'Metadata'!$B$5)^(O7-1))</x:f>
        <x:v>102.32929922807536</x:v>
      </x:c>
      <x:c r="U7" s="31" t="n">
        <x:f>IF(T7="","",I7*T7)</x:f>
        <x:v>118542.06305159579</x:v>
      </x:c>
    </x:row>
    <x:row r="8" ht="18" customHeight="1">
      <x:c r="A8" s="24" t="str">
        <x:v>EEZ_278</x:v>
      </x:c>
      <x:c r="B8" s="24" t="str">
        <x:v>Germany (Baltic Sea)</x:v>
      </x:c>
      <x:c r="C8" s="24" t="str">
        <x:v>EEZ</x:v>
      </x:c>
      <x:c r="D8" s="30" t="n">
        <x:v>2019</x:v>
      </x:c>
      <x:c r="E8" s="24" t="str">
        <x:v>Rutilus rutilus</x:v>
      </x:c>
      <x:c r="F8" s="24" t="str">
        <x:v>Roach</x:v>
      </x:c>
      <x:c r="G8" s="24" t="str">
        <x:v>Medium benthopelagics (30 - 89 cm)</x:v>
      </x:c>
      <x:c r="H8" s="24" t="str">
        <x:v>Other fishes &amp; inverts</x:v>
      </x:c>
      <x:c r="I8" s="31" t="n">
        <x:v>538.4989626392</x:v>
      </x:c>
      <x:c r="J8" s="31" t="n">
        <x:v>534.8147455803</x:v>
      </x:c>
      <x:c r="K8" s="31" t="n">
        <x:v>3.6842170589</x:v>
      </x:c>
      <x:c r="L8" s="31" t="n">
        <x:v>508.03784795750005</x:v>
      </x:c>
      <x:c r="M8" s="31" t="n">
        <x:v>30.4611146817</x:v>
      </x:c>
      <x:c r="N8" s="24" t="str">
        <x:v>rutilus rutilus</x:v>
      </x:c>
      <x:c r="O8" s="32" t="n">
        <x:v>2.96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Rutilus rutilus</x:v>
      </x:c>
      <x:c r="T8" s="32" t="n">
        <x:f>IF(O8="","",(1/'Metadata'!$B$5)^(O8-1))</x:f>
        <x:v>91.20108393559097</x:v>
      </x:c>
      <x:c r="U8" s="31" t="n">
        <x:f>IF(T8="","",I8*T8)</x:f>
        <x:v>49111.68909088635</x:v>
      </x:c>
    </x:row>
    <x:row r="9" ht="18" customHeight="1">
      <x:c r="A9" s="24" t="str">
        <x:v>EEZ_278</x:v>
      </x:c>
      <x:c r="B9" s="24" t="str">
        <x:v>Germany (Baltic Sea)</x:v>
      </x:c>
      <x:c r="C9" s="24" t="str">
        <x:v>EEZ</x:v>
      </x:c>
      <x:c r="D9" s="30" t="n">
        <x:v>2019</x:v>
      </x:c>
      <x:c r="E9" s="24" t="str">
        <x:v>Limanda limanda</x:v>
      </x:c>
      <x:c r="F9" s="24" t="str">
        <x:v>Common dab</x:v>
      </x:c>
      <x:c r="G9" s="24" t="str">
        <x:v>Small to medium flatfishes (&lt;90 cm)</x:v>
      </x:c>
      <x:c r="H9" s="24" t="str">
        <x:v>Flatfishes</x:v>
      </x:c>
      <x:c r="I9" s="31" t="n">
        <x:v>428.9621194021</x:v>
      </x:c>
      <x:c r="J9" s="31" t="n">
        <x:v>369.2558497933</x:v>
      </x:c>
      <x:c r="K9" s="31" t="n">
        <x:v>59.7062696088</x:v>
      </x:c>
      <x:c r="L9" s="31" t="n">
        <x:v>342.0500150587</x:v>
      </x:c>
      <x:c r="M9" s="31" t="n">
        <x:v>86.9121043434</x:v>
      </x:c>
      <x:c r="N9" s="24" t="str">
        <x:v>limanda limanda</x:v>
      </x:c>
      <x:c r="O9" s="32" t="n">
        <x:v>3.29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Limanda limanda</x:v>
      </x:c>
      <x:c r="T9" s="32" t="n">
        <x:f>IF(O9="","",(1/'Metadata'!$B$5)^(O9-1))</x:f>
        <x:v>194.98445997580455</x:v>
      </x:c>
      <x:c r="U9" s="31" t="n">
        <x:f>IF(T9="","",I9*T9)</x:f>
        <x:v>83640.94720169506</x:v>
      </x:c>
    </x:row>
    <x:row r="10" ht="18" customHeight="1">
      <x:c r="A10" s="24" t="str">
        <x:v>EEZ_278</x:v>
      </x:c>
      <x:c r="B10" s="24" t="str">
        <x:v>Germany (Baltic Sea)</x:v>
      </x:c>
      <x:c r="C10" s="24" t="str">
        <x:v>EEZ</x:v>
      </x:c>
      <x:c r="D10" s="30" t="n">
        <x:v>2019</x:v>
      </x:c>
      <x:c r="E10" s="24" t="str">
        <x:v>Cyprinidae</x:v>
      </x:c>
      <x:c r="F10" s="24" t="str">
        <x:v>Carps, barbels, other cyprinids</x:v>
      </x:c>
      <x:c r="G10" s="24" t="str">
        <x:v>Medium demersals (30 - 89 cm)</x:v>
      </x:c>
      <x:c r="H10" s="24" t="str">
        <x:v>Other fishes &amp; inverts</x:v>
      </x:c>
      <x:c r="I10" s="31" t="n">
        <x:v>251.8527778238</x:v>
      </x:c>
      <x:c r="J10" s="31" t="n">
        <x:v>239.9322793201</x:v>
      </x:c>
      <x:c r="K10" s="31" t="n">
        <x:v>11.9204985037</x:v>
      </x:c>
      <x:c r="L10" s="31" t="n">
        <x:v>224.42288569110002</x:v>
      </x:c>
      <x:c r="M10" s="31" t="n">
        <x:v>27.4298921327</x:v>
      </x:c>
      <x:c r="N10" s="24" t="str">
        <x:v>cyprinidae</x:v>
      </x:c>
      <x:c r="O10" s="32" t="n">
        <x:v>2.8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Cyprinidae</x:v>
      </x:c>
      <x:c r="T10" s="32" t="n">
        <x:f>IF(O10="","",(1/'Metadata'!$B$5)^(O10-1))</x:f>
        <x:v>63.0957344480193</x:v>
      </x:c>
      <x:c r="U10" s="31" t="n">
        <x:f>IF(T10="","",I10*T10)</x:f>
        <x:v>15890.835989566489</x:v>
      </x:c>
    </x:row>
    <x:row r="11" ht="18" customHeight="1">
      <x:c r="A11" s="24" t="str">
        <x:v>EEZ_278</x:v>
      </x:c>
      <x:c r="B11" s="24" t="str">
        <x:v>Germany (Baltic Sea)</x:v>
      </x:c>
      <x:c r="C11" s="24" t="str">
        <x:v>EEZ</x:v>
      </x:c>
      <x:c r="D11" s="30" t="n">
        <x:v>2019</x:v>
      </x:c>
      <x:c r="E11" s="24" t="str">
        <x:v>Merlangius merlangus</x:v>
      </x:c>
      <x:c r="F11" s="24" t="str">
        <x:v>Whiting</x:v>
      </x:c>
      <x:c r="G11" s="24" t="str">
        <x:v>Medium benthopelagics (30 - 89 cm)</x:v>
      </x:c>
      <x:c r="H11" s="24" t="str">
        <x:v>Cod-likes</x:v>
      </x:c>
      <x:c r="I11" s="31" t="n">
        <x:v>218.7778070421</x:v>
      </x:c>
      <x:c r="J11" s="31" t="n">
        <x:v>155.3256061355</x:v>
      </x:c>
      <x:c r="K11" s="31" t="n">
        <x:v>63.4522009066</x:v>
      </x:c>
      <x:c r="L11" s="31" t="n">
        <x:v>131.5761168262</x:v>
      </x:c>
      <x:c r="M11" s="31" t="n">
        <x:v>87.2016902159</x:v>
      </x:c>
      <x:c r="N11" s="24" t="str">
        <x:v>merlangius merlangus</x:v>
      </x:c>
      <x:c r="O11" s="32" t="n">
        <x:v>4.36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Merlangius merlangus</x:v>
      </x:c>
      <x:c r="T11" s="32" t="n">
        <x:f>IF(O11="","",(1/'Metadata'!$B$5)^(O11-1))</x:f>
        <x:v>2290.867652767775</x:v>
      </x:c>
      <x:c r="U11" s="31" t="n">
        <x:f>IF(T11="","",I11*T11)</x:f>
        <x:v>501191.0012962168</x:v>
      </x:c>
    </x:row>
    <x:row r="12" ht="18" customHeight="1">
      <x:c r="A12" s="24" t="str">
        <x:v>EEZ_278</x:v>
      </x:c>
      <x:c r="B12" s="24" t="str">
        <x:v>Germany (Baltic Sea)</x:v>
      </x:c>
      <x:c r="C12" s="24" t="str">
        <x:v>EEZ</x:v>
      </x:c>
      <x:c r="D12" s="30" t="n">
        <x:v>2019</x:v>
      </x:c>
      <x:c r="E12" s="24" t="str">
        <x:v>Perca fluviatilis</x:v>
      </x:c>
      <x:c r="F12" s="24" t="str">
        <x:v>European perch</x:v>
      </x:c>
      <x:c r="G12" s="24" t="str">
        <x:v>Medium demersals (30 - 89 cm)</x:v>
      </x:c>
      <x:c r="H12" s="24" t="str">
        <x:v>Perch-likes</x:v>
      </x:c>
      <x:c r="I12" s="31" t="n">
        <x:v>190.5176380394</x:v>
      </x:c>
      <x:c r="J12" s="31" t="n">
        <x:v>188.57171352159997</x:v>
      </x:c>
      <x:c r="K12" s="31" t="n">
        <x:v>1.9459245178</x:v>
      </x:c>
      <x:c r="L12" s="31" t="n">
        <x:v>161.09816982639998</x:v>
      </x:c>
      <x:c r="M12" s="31" t="n">
        <x:v>29.419468213</x:v>
      </x:c>
      <x:c r="N12" s="24" t="str">
        <x:v>perca fluviatilis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Perca fluviatilis</x:v>
      </x:c>
      <x:c r="T12" s="32" t="n">
        <x:f>IF(O12="","",(1/'Metadata'!$B$5)^(O12-1))</x:f>
        <x:v>2238.7211385683377</x:v>
      </x:c>
      <x:c r="U12" s="31" t="n">
        <x:f>IF(T12="","",I12*T12)</x:f>
        <x:v>426515.863548916</x:v>
      </x:c>
    </x:row>
    <x:row r="13" ht="18" customHeight="1">
      <x:c r="A13" s="24" t="str">
        <x:v>EEZ_278</x:v>
      </x:c>
      <x:c r="B13" s="24" t="str">
        <x:v>Germany (Baltic Sea)</x:v>
      </x:c>
      <x:c r="C13" s="24" t="str">
        <x:v>EEZ</x:v>
      </x:c>
      <x:c r="D13" s="30" t="n">
        <x:v>2019</x:v>
      </x:c>
      <x:c r="E13" s="24" t="str">
        <x:v>Scophthalmidae</x:v>
      </x:c>
      <x:c r="F13" s="24" t="str">
        <x:v>Turbots</x:v>
      </x:c>
      <x:c r="G13" s="24" t="str">
        <x:v>Small to medium flatfishes (&lt;90 cm)</x:v>
      </x:c>
      <x:c r="H13" s="24" t="str">
        <x:v>Flatfishes</x:v>
      </x:c>
      <x:c r="I13" s="31" t="n">
        <x:v>124.396529871</x:v>
      </x:c>
      <x:c r="J13" s="31" t="n">
        <x:v>124.2584561313</x:v>
      </x:c>
      <x:c r="K13" s="31" t="n">
        <x:v>0.1380737397</x:v>
      </x:c>
      <x:c r="L13" s="31" t="n">
        <x:v>0</x:v>
      </x:c>
      <x:c r="M13" s="31" t="n">
        <x:v>124.396529871</x:v>
      </x:c>
      <x:c r="N13" s="24" t="str">
        <x:v>scophthalmidae</x:v>
      </x:c>
      <x:c r="O13" s="32" t="n">
        <x:v>3.71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Scophthalmidae</x:v>
      </x:c>
      <x:c r="T13" s="32" t="n">
        <x:f>IF(O13="","",(1/'Metadata'!$B$5)^(O13-1))</x:f>
        <x:v>512.8613839913648</x:v>
      </x:c>
      <x:c r="U13" s="31" t="n">
        <x:f>IF(T13="","",I13*T13)</x:f>
        <x:v>63798.17647336422</x:v>
      </x:c>
    </x:row>
    <x:row r="14" ht="18" customHeight="1">
      <x:c r="A14" s="24" t="str">
        <x:v>EEZ_278</x:v>
      </x:c>
      <x:c r="B14" s="24" t="str">
        <x:v>Germany (Baltic Sea)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116.84479738179999</x:v>
      </x:c>
      <x:c r="J14" s="31" t="n">
        <x:v>88.3257154713</x:v>
      </x:c>
      <x:c r="K14" s="31" t="n">
        <x:v>28.5190819105</x:v>
      </x:c>
      <x:c r="L14" s="31" t="n">
        <x:v>39.2918313212</x:v>
      </x:c>
      <x:c r="M14" s="31" t="n">
        <x:v>77.5529660606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22264.317150939467</x:v>
      </x:c>
    </x:row>
    <x:row r="15" ht="18" customHeight="1">
      <x:c r="A15" s="24" t="str">
        <x:v>EEZ_278</x:v>
      </x:c>
      <x:c r="B15" s="24" t="str">
        <x:v>Germany (Baltic Sea)</x:v>
      </x:c>
      <x:c r="C15" s="24" t="str">
        <x:v>EEZ</x:v>
      </x:c>
      <x:c r="D15" s="30" t="n">
        <x:v>2019</x:v>
      </x:c>
      <x:c r="E15" s="24" t="str">
        <x:v>Belone belone</x:v>
      </x:c>
      <x:c r="F15" s="24" t="str">
        <x:v>Garfish</x:v>
      </x:c>
      <x:c r="G15" s="24" t="str">
        <x:v>Medium pelagics (30 - 89 cm)</x:v>
      </x:c>
      <x:c r="H15" s="24" t="str">
        <x:v>Other fishes &amp; inverts</x:v>
      </x:c>
      <x:c r="I15" s="31" t="n">
        <x:v>88.33433398060001</x:v>
      </x:c>
      <x:c r="J15" s="31" t="n">
        <x:v>81.58996647469999</x:v>
      </x:c>
      <x:c r="K15" s="31" t="n">
        <x:v>6.744367505900001</x:v>
      </x:c>
      <x:c r="L15" s="31" t="n">
        <x:v>73.0964523213</x:v>
      </x:c>
      <x:c r="M15" s="31" t="n">
        <x:v>15.237881659300001</x:v>
      </x:c>
      <x:c r="N15" s="24" t="str">
        <x:v>belone belone</x:v>
      </x:c>
      <x:c r="O15" s="32" t="n">
        <x:v>4.16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Belone belone</x:v>
      </x:c>
      <x:c r="T15" s="32" t="n">
        <x:f>IF(O15="","",(1/'Metadata'!$B$5)^(O15-1))</x:f>
        <x:v>1445.439770745928</x:v>
      </x:c>
      <x:c r="U15" s="31" t="n">
        <x:f>IF(T15="","",I15*T15)</x:f>
        <x:v>127681.9594579127</x:v>
      </x:c>
    </x:row>
    <x:row r="16" ht="18" customHeight="1">
      <x:c r="A16" s="24" t="str">
        <x:v>EEZ_278</x:v>
      </x:c>
      <x:c r="B16" s="24" t="str">
        <x:v>Germany (Baltic Sea)</x:v>
      </x:c>
      <x:c r="C16" s="24" t="str">
        <x:v>EEZ</x:v>
      </x:c>
      <x:c r="D16" s="30" t="n">
        <x:v>2019</x:v>
      </x:c>
      <x:c r="E16" s="24" t="str">
        <x:v>Sander lucioperca</x:v>
      </x:c>
      <x:c r="F16" s="24" t="str">
        <x:v>Pike-perch</x:v>
      </x:c>
      <x:c r="G16" s="24" t="str">
        <x:v>Large pelagics (&gt;=90 cm)</x:v>
      </x:c>
      <x:c r="H16" s="24" t="str">
        <x:v>Perch-likes</x:v>
      </x:c>
      <x:c r="I16" s="31" t="n">
        <x:v>83.467258248</x:v>
      </x:c>
      <x:c r="J16" s="31" t="n">
        <x:v>80.96555993</x:v>
      </x:c>
      <x:c r="K16" s="31" t="n">
        <x:v>2.501698318</x:v>
      </x:c>
      <x:c r="L16" s="31" t="n">
        <x:v>76.0126763312</x:v>
      </x:c>
      <x:c r="M16" s="31" t="n">
        <x:v>7.4545819168000005</x:v>
      </x:c>
      <x:c r="N16" s="24" t="str">
        <x:v>sander lucioperca</x:v>
      </x:c>
      <x:c r="O16" s="32" t="n">
        <x:v>4.04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Sander lucioperca</x:v>
      </x:c>
      <x:c r="T16" s="32" t="n">
        <x:f>IF(O16="","",(1/'Metadata'!$B$5)^(O16-1))</x:f>
        <x:v>1096.4781961431852</x:v>
      </x:c>
      <x:c r="U16" s="31" t="n">
        <x:f>IF(T16="","",I16*T16)</x:f>
        <x:v>91520.02876078442</x:v>
      </x:c>
    </x:row>
    <x:row r="17" ht="18" customHeight="1">
      <x:c r="A17" s="24" t="str">
        <x:v>EEZ_278</x:v>
      </x:c>
      <x:c r="B17" s="24" t="str">
        <x:v>Germany (Baltic Sea)</x:v>
      </x:c>
      <x:c r="C17" s="24" t="str">
        <x:v>EEZ</x:v>
      </x:c>
      <x:c r="D17" s="30" t="n">
        <x:v>2019</x:v>
      </x:c>
      <x:c r="E17" s="24" t="str">
        <x:v>Crangon crangon</x:v>
      </x:c>
      <x:c r="F17" s="24" t="str">
        <x:v>Common shrimp</x:v>
      </x:c>
      <x:c r="G17" s="24" t="str">
        <x:v>Shrimps</x:v>
      </x:c>
      <x:c r="H17" s="24" t="str">
        <x:v>Crustaceans</x:v>
      </x:c>
      <x:c r="I17" s="31" t="n">
        <x:v>77.6645542518</x:v>
      </x:c>
      <x:c r="J17" s="31" t="n">
        <x:v>0.0000917431</x:v>
      </x:c>
      <x:c r="K17" s="31" t="n">
        <x:v>77.6644625087</x:v>
      </x:c>
      <x:c r="L17" s="31" t="n">
        <x:v>0</x:v>
      </x:c>
      <x:c r="M17" s="31" t="n">
        <x:v>77.6645542518</x:v>
      </x:c>
      <x:c r="N17" s="24" t="str">
        <x:v>crangon crangon</x:v>
      </x:c>
      <x:c r="O17" s="32" t="n">
        <x:v>3.19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Crangon crangon</x:v>
      </x:c>
      <x:c r="T17" s="32" t="n">
        <x:f>IF(O17="","",(1/'Metadata'!$B$5)^(O17-1))</x:f>
        <x:v>154.88166189124811</x:v>
      </x:c>
      <x:c r="U17" s="31" t="n">
        <x:f>IF(T17="","",I17*T17)</x:f>
        <x:v>12028.815232561783</x:v>
      </x:c>
    </x:row>
    <x:row r="18" ht="18" customHeight="1">
      <x:c r="A18" s="24" t="str">
        <x:v>EEZ_278</x:v>
      </x:c>
      <x:c r="B18" s="24" t="str">
        <x:v>Germany (Baltic Sea)</x:v>
      </x:c>
      <x:c r="C18" s="24" t="str">
        <x:v>EEZ</x:v>
      </x:c>
      <x:c r="D18" s="30" t="n">
        <x:v>2019</x:v>
      </x:c>
      <x:c r="E18" s="24" t="str">
        <x:v>Scophthalmus maximus</x:v>
      </x:c>
      <x:c r="F18" s="24" t="str">
        <x:v>Turbot</x:v>
      </x:c>
      <x:c r="G18" s="24" t="str">
        <x:v>Large flatfishes (&gt;=90 cm)</x:v>
      </x:c>
      <x:c r="H18" s="24" t="str">
        <x:v>Flatfishes</x:v>
      </x:c>
      <x:c r="I18" s="31" t="n">
        <x:v>67.3254963776</x:v>
      </x:c>
      <x:c r="J18" s="31" t="n">
        <x:v>50.9539755997</x:v>
      </x:c>
      <x:c r="K18" s="31" t="n">
        <x:v>16.371520777900002</x:v>
      </x:c>
      <x:c r="L18" s="31" t="n">
        <x:v>45.3597646059</x:v>
      </x:c>
      <x:c r="M18" s="31" t="n">
        <x:v>21.9657317717</x:v>
      </x:c>
      <x:c r="N18" s="24" t="str">
        <x:v>scophthalmus maximus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Scophthalmus maximus</x:v>
      </x:c>
      <x:c r="T18" s="32" t="n">
        <x:f>IF(O18="","",(1/'Metadata'!$B$5)^(O18-1))</x:f>
        <x:v>2290.867652767775</x:v>
      </x:c>
      <x:c r="U18" s="31" t="n">
        <x:f>IF(T18="","",I18*T18)</x:f>
        <x:v>154233.80185797784</x:v>
      </x:c>
    </x:row>
    <x:row r="19" ht="18" customHeight="1">
      <x:c r="A19" s="24" t="str">
        <x:v>EEZ_278</x:v>
      </x:c>
      <x:c r="B19" s="24" t="str">
        <x:v>Germany (Baltic Sea)</x:v>
      </x:c>
      <x:c r="C19" s="24" t="str">
        <x:v>EEZ</x:v>
      </x:c>
      <x:c r="D19" s="30" t="n">
        <x:v>2019</x:v>
      </x:c>
      <x:c r="E19" s="24" t="str">
        <x:v>Anguilla anguilla</x:v>
      </x:c>
      <x:c r="F19" s="24" t="str">
        <x:v>European eel</x:v>
      </x:c>
      <x:c r="G19" s="24" t="str">
        <x:v>Large demersals (&gt;=90 cm)</x:v>
      </x:c>
      <x:c r="H19" s="24" t="str">
        <x:v>Other fishes &amp; inverts</x:v>
      </x:c>
      <x:c r="I19" s="31" t="n">
        <x:v>64.1803548347</x:v>
      </x:c>
      <x:c r="J19" s="31" t="n">
        <x:v>60.5264580669</x:v>
      </x:c>
      <x:c r="K19" s="31" t="n">
        <x:v>3.6538967678000005</x:v>
      </x:c>
      <x:c r="L19" s="31" t="n">
        <x:v>53.588119128399995</x:v>
      </x:c>
      <x:c r="M19" s="31" t="n">
        <x:v>10.5922357063</x:v>
      </x:c>
      <x:c r="N19" s="24" t="str">
        <x:v>anguilla anguilla</x:v>
      </x:c>
      <x:c r="O19" s="32" t="n">
        <x:v>3.55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Anguilla anguilla</x:v>
      </x:c>
      <x:c r="T19" s="32" t="n">
        <x:f>IF(O19="","",(1/'Metadata'!$B$5)^(O19-1))</x:f>
        <x:v>354.8133892335753</x:v>
      </x:c>
      <x:c r="U19" s="31" t="n">
        <x:f>IF(T19="","",I19*T19)</x:f>
        <x:v>22772.04922111339</x:v>
      </x:c>
    </x:row>
    <x:row r="20" ht="18" customHeight="1">
      <x:c r="A20" s="24" t="str">
        <x:v>EEZ_278</x:v>
      </x:c>
      <x:c r="B20" s="24" t="str">
        <x:v>Germany (Baltic Sea)</x:v>
      </x:c>
      <x:c r="C20" s="24" t="str">
        <x:v>EEZ</x:v>
      </x:c>
      <x:c r="D20" s="30" t="n">
        <x:v>2019</x:v>
      </x:c>
      <x:c r="E20" s="24" t="str">
        <x:v>Ammodytes tobianus</x:v>
      </x:c>
      <x:c r="F20" s="24" t="str">
        <x:v>Small sandeel</x:v>
      </x:c>
      <x:c r="G20" s="24" t="str">
        <x:v>Small demersals (&lt;30 cm)</x:v>
      </x:c>
      <x:c r="H20" s="24" t="str">
        <x:v>Perch-likes</x:v>
      </x:c>
      <x:c r="I20" s="31" t="n">
        <x:v>50.505376213999995</x:v>
      </x:c>
      <x:c r="J20" s="31" t="n">
        <x:v>50.503574455899994</x:v>
      </x:c>
      <x:c r="K20" s="31" t="n">
        <x:v>0.0018017581000000001</x:v>
      </x:c>
      <x:c r="L20" s="31" t="n">
        <x:v>48.8820953966</x:v>
      </x:c>
      <x:c r="M20" s="31" t="n">
        <x:v>1.6232808174</x:v>
      </x:c>
      <x:c r="N20" s="24" t="str">
        <x:v>ammodytes tobianus</x:v>
      </x:c>
      <x:c r="O20" s="32" t="n">
        <x:v>3.08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Ammodytes tobianus</x:v>
      </x:c>
      <x:c r="T20" s="32" t="n">
        <x:f>IF(O20="","",(1/'Metadata'!$B$5)^(O20-1))</x:f>
        <x:v>120.22644346174131</x:v>
      </x:c>
      <x:c r="U20" s="31" t="n">
        <x:f>IF(T20="","",I20*T20)</x:f>
        <x:v>6072.081757906445</x:v>
      </x:c>
    </x:row>
    <x:row r="21" ht="18" customHeight="1">
      <x:c r="A21" s="24" t="str">
        <x:v>EEZ_278</x:v>
      </x:c>
      <x:c r="B21" s="24" t="str">
        <x:v>Germany (Baltic Sea)</x:v>
      </x:c>
      <x:c r="C21" s="24" t="str">
        <x:v>EEZ</x:v>
      </x:c>
      <x:c r="D21" s="30" t="n">
        <x:v>2019</x:v>
      </x:c>
      <x:c r="E21" s="24" t="str">
        <x:v>Esox lucius</x:v>
      </x:c>
      <x:c r="F21" s="24" t="str">
        <x:v>Northern pike</x:v>
      </x:c>
      <x:c r="G21" s="24" t="str">
        <x:v>Large demersals (&gt;=90 cm)</x:v>
      </x:c>
      <x:c r="H21" s="24" t="str">
        <x:v>Salmon, smelts, etc</x:v>
      </x:c>
      <x:c r="I21" s="31" t="n">
        <x:v>23.6424115929</x:v>
      </x:c>
      <x:c r="J21" s="31" t="n">
        <x:v>23.387574788800002</x:v>
      </x:c>
      <x:c r="K21" s="31" t="n">
        <x:v>0.2548368041</x:v>
      </x:c>
      <x:c r="L21" s="31" t="n">
        <x:v>22.5713825165</x:v>
      </x:c>
      <x:c r="M21" s="31" t="n">
        <x:v>1.0710290764</x:v>
      </x:c>
      <x:c r="N21" s="24" t="str">
        <x:v>esox lucius</x:v>
      </x:c>
      <x:c r="O21" s="32" t="n">
        <x:v>4.07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Esox lucius</x:v>
      </x:c>
      <x:c r="T21" s="32" t="n">
        <x:f>IF(O21="","",(1/'Metadata'!$B$5)^(O21-1))</x:f>
        <x:v>1174.8975549395302</x:v>
      </x:c>
      <x:c r="U21" s="31" t="n">
        <x:f>IF(T21="","",I21*T21)</x:f>
        <x:v>27777.411573372214</x:v>
      </x:c>
    </x:row>
    <x:row r="22" ht="18" customHeight="1">
      <x:c r="A22" s="24" t="str">
        <x:v>EEZ_278</x:v>
      </x:c>
      <x:c r="B22" s="24" t="str">
        <x:v>Germany (Baltic Sea)</x:v>
      </x:c>
      <x:c r="C22" s="24" t="str">
        <x:v>EEZ</x:v>
      </x:c>
      <x:c r="D22" s="30" t="n">
        <x:v>2019</x:v>
      </x:c>
      <x:c r="E22" s="24" t="str">
        <x:v>Solea solea</x:v>
      </x:c>
      <x:c r="F22" s="24" t="str">
        <x:v>Common sole</x:v>
      </x:c>
      <x:c r="G22" s="24" t="str">
        <x:v>Small to medium flatfishes (&lt;90 cm)</x:v>
      </x:c>
      <x:c r="H22" s="24" t="str">
        <x:v>Flatfishes</x:v>
      </x:c>
      <x:c r="I22" s="31" t="n">
        <x:v>20.0896565538</x:v>
      </x:c>
      <x:c r="J22" s="31" t="n">
        <x:v>19.2597431039</x:v>
      </x:c>
      <x:c r="K22" s="31" t="n">
        <x:v>0.8299134498999999</x:v>
      </x:c>
      <x:c r="L22" s="31" t="n">
        <x:v>17.9340478809</x:v>
      </x:c>
      <x:c r="M22" s="31" t="n">
        <x:v>2.1556086729</x:v>
      </x:c>
      <x:c r="N22" s="24" t="str">
        <x:v>solea solea</x:v>
      </x:c>
      <x:c r="O22" s="32" t="n">
        <x:v>3.21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Solea solea</x:v>
      </x:c>
      <x:c r="T22" s="32" t="n">
        <x:f>IF(O22="","",(1/'Metadata'!$B$5)^(O22-1))</x:f>
        <x:v>162.18100973589299</x:v>
      </x:c>
      <x:c r="U22" s="31" t="n">
        <x:f>IF(T22="","",I22*T22)</x:f>
        <x:v>3258.1607851425842</x:v>
      </x:c>
    </x:row>
    <x:row r="23" ht="18" customHeight="1">
      <x:c r="A23" s="24" t="str">
        <x:v>EEZ_278</x:v>
      </x:c>
      <x:c r="B23" s="24" t="str">
        <x:v>Germany (Baltic Sea)</x:v>
      </x:c>
      <x:c r="C23" s="24" t="str">
        <x:v>EEZ</x:v>
      </x:c>
      <x:c r="D23" s="30" t="n">
        <x:v>2019</x:v>
      </x:c>
      <x:c r="E23" s="24" t="str">
        <x:v>Salmo salar</x:v>
      </x:c>
      <x:c r="F23" s="24" t="str">
        <x:v>Atlantic salmon</x:v>
      </x:c>
      <x:c r="G23" s="24" t="str">
        <x:v>Large benthopelagics (&gt;=90 cm)</x:v>
      </x:c>
      <x:c r="H23" s="24" t="str">
        <x:v>Salmon, smelts, etc</x:v>
      </x:c>
      <x:c r="I23" s="31" t="n">
        <x:v>19.600592014700002</x:v>
      </x:c>
      <x:c r="J23" s="31" t="n">
        <x:v>16.8759415875</x:v>
      </x:c>
      <x:c r="K23" s="31" t="n">
        <x:v>2.7246504272</x:v>
      </x:c>
      <x:c r="L23" s="31" t="n">
        <x:v>6.3062717204</x:v>
      </x:c>
      <x:c r="M23" s="31" t="n">
        <x:v>13.2943202943</x:v>
      </x:c>
      <x:c r="N23" s="24" t="str">
        <x:v>salmo salar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salar</x:v>
      </x:c>
      <x:c r="T23" s="32" t="n">
        <x:f>IF(O23="","",(1/'Metadata'!$B$5)^(O23-1))</x:f>
        <x:v>3162.2776601683795</x:v>
      </x:c>
      <x:c r="U23" s="31" t="n">
        <x:f>IF(T23="","",I23*T23)</x:f>
        <x:v>61982.514254160546</x:v>
      </x:c>
    </x:row>
    <x:row r="24" ht="18" customHeight="1">
      <x:c r="A24" s="24" t="str">
        <x:v>EEZ_278</x:v>
      </x:c>
      <x:c r="B24" s="24" t="str">
        <x:v>Germany (Baltic Sea)</x:v>
      </x:c>
      <x:c r="C24" s="24" t="str">
        <x:v>EEZ</x:v>
      </x:c>
      <x:c r="D24" s="30" t="n">
        <x:v>2019</x:v>
      </x:c>
      <x:c r="E24" s="24" t="str">
        <x:v>Scophthalmus rhombus</x:v>
      </x:c>
      <x:c r="F24" s="24" t="str">
        <x:v>Brill</x:v>
      </x:c>
      <x:c r="G24" s="24" t="str">
        <x:v>Small to medium flatfishes (&lt;90 cm)</x:v>
      </x:c>
      <x:c r="H24" s="24" t="str">
        <x:v>Flatfishes</x:v>
      </x:c>
      <x:c r="I24" s="31" t="n">
        <x:v>15.5861980031</x:v>
      </x:c>
      <x:c r="J24" s="31" t="n">
        <x:v>12.0790875077</x:v>
      </x:c>
      <x:c r="K24" s="31" t="n">
        <x:v>3.5071104954</x:v>
      </x:c>
      <x:c r="L24" s="31" t="n">
        <x:v>11.1818294956</x:v>
      </x:c>
      <x:c r="M24" s="31" t="n">
        <x:v>4.4043685075</x:v>
      </x:c>
      <x:c r="N24" s="24" t="str">
        <x:v>scophthalmus rhombus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Scophthalmus rhombus</x:v>
      </x:c>
      <x:c r="T24" s="32" t="n">
        <x:f>IF(O24="","",(1/'Metadata'!$B$5)^(O24-1))</x:f>
        <x:v>2630.2679918953813</x:v>
      </x:c>
      <x:c r="U24" s="31" t="n">
        <x:f>IF(T24="","",I24*T24)</x:f>
        <x:v>40995.87772289764</x:v>
      </x:c>
    </x:row>
    <x:row r="25" ht="18" customHeight="1">
      <x:c r="A25" s="24" t="str">
        <x:v>EEZ_278</x:v>
      </x:c>
      <x:c r="B25" s="24" t="str">
        <x:v>Germany (Baltic Sea)</x:v>
      </x:c>
      <x:c r="C25" s="24" t="str">
        <x:v>EEZ</x:v>
      </x:c>
      <x:c r="D25" s="30" t="n">
        <x:v>2019</x:v>
      </x:c>
      <x:c r="E25" s="24" t="str">
        <x:v>Buccinum undatum</x:v>
      </x:c>
      <x:c r="F25" s="24" t="str">
        <x:v>Whelk</x:v>
      </x:c>
      <x:c r="G25" s="24" t="str">
        <x:v>Other demersal invertebrates</x:v>
      </x:c>
      <x:c r="H25" s="24" t="str">
        <x:v>Molluscs</x:v>
      </x:c>
      <x:c r="I25" s="31" t="n">
        <x:v>12.6718509994</x:v>
      </x:c>
      <x:c r="J25" s="31" t="n">
        <x:v>12.6718509994</x:v>
      </x:c>
      <x:c r="K25" s="31" t="n">
        <x:v>0</x:v>
      </x:c>
      <x:c r="L25" s="31" t="n">
        <x:v>12.6718509994</x:v>
      </x:c>
      <x:c r="M25" s="31" t="n">
        <x:v>0</x:v>
      </x:c>
      <x:c r="N25" s="24" t="str">
        <x:v>buccinum undatum</x:v>
      </x:c>
      <x:c r="O25" s="32" t="n">
        <x:v>3.75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Buccinum undatum</x:v>
      </x:c>
      <x:c r="T25" s="32" t="n">
        <x:f>IF(O25="","",(1/'Metadata'!$B$5)^(O25-1))</x:f>
        <x:v>562.341325190349</x:v>
      </x:c>
      <x:c r="U25" s="31" t="n">
        <x:f>IF(T25="","",I25*T25)</x:f>
        <x:v>7125.9054836172445</x:v>
      </x:c>
    </x:row>
    <x:row r="26" ht="18" customHeight="1">
      <x:c r="A26" s="24" t="str">
        <x:v>EEZ_278</x:v>
      </x:c>
      <x:c r="B26" s="24" t="str">
        <x:v>Germany (Baltic Sea)</x:v>
      </x:c>
      <x:c r="C26" s="24" t="str">
        <x:v>EEZ</x:v>
      </x:c>
      <x:c r="D26" s="30" t="n">
        <x:v>2019</x:v>
      </x:c>
      <x:c r="E26" s="24" t="str">
        <x:v>Brachyura</x:v>
      </x:c>
      <x:c r="F26" s="24" t="str">
        <x:v>Marine crabs</x:v>
      </x:c>
      <x:c r="G26" s="24" t="str">
        <x:v>Lobsters, crabs</x:v>
      </x:c>
      <x:c r="H26" s="24" t="str">
        <x:v>Crustaceans</x:v>
      </x:c>
      <x:c r="I26" s="31" t="n">
        <x:v>10.028237513099999</x:v>
      </x:c>
      <x:c r="J26" s="31" t="n">
        <x:v>10.0209955574</x:v>
      </x:c>
      <x:c r="K26" s="31" t="n">
        <x:v>0.0072419557</x:v>
      </x:c>
      <x:c r="L26" s="31" t="n">
        <x:v>10.0093075062</x:v>
      </x:c>
      <x:c r="M26" s="31" t="n">
        <x:v>0.0189300069</x:v>
      </x:c>
      <x:c r="N26" s="24" t="str">
        <x:v>brachyura</x:v>
      </x:c>
      <x:c r="O26" s="32" t="n">
        <x:v>2.6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Brachyura</x:v>
      </x:c>
      <x:c r="T26" s="32" t="n">
        <x:f>IF(O26="","",(1/'Metadata'!$B$5)^(O26-1))</x:f>
        <x:v>39.810717055349734</x:v>
      </x:c>
      <x:c r="U26" s="31" t="n">
        <x:f>IF(T26="","",I26*T26)</x:f>
        <x:v>399.2313261978681</x:v>
      </x:c>
    </x:row>
    <x:row r="27" ht="18" customHeight="1">
      <x:c r="A27" s="24" t="str">
        <x:v>EEZ_278</x:v>
      </x:c>
      <x:c r="B27" s="24" t="str">
        <x:v>Germany (Baltic Sea)</x:v>
      </x:c>
      <x:c r="C27" s="24" t="str">
        <x:v>EEZ</x:v>
      </x:c>
      <x:c r="D27" s="30" t="n">
        <x:v>2019</x:v>
      </x:c>
      <x:c r="E27" s="24" t="str">
        <x:v>Carassius carassius</x:v>
      </x:c>
      <x:c r="F27" s="24" t="str">
        <x:v>Crucian carp</x:v>
      </x:c>
      <x:c r="G27" s="24" t="str">
        <x:v>Medium demersals (30 - 89 cm)</x:v>
      </x:c>
      <x:c r="H27" s="24" t="str">
        <x:v>Other fishes &amp; inverts</x:v>
      </x:c>
      <x:c r="I27" s="31" t="n">
        <x:v>7.9833654363</x:v>
      </x:c>
      <x:c r="J27" s="31" t="n">
        <x:v>7.9344976745</x:v>
      </x:c>
      <x:c r="K27" s="31" t="n">
        <x:v>0.0488677618</x:v>
      </x:c>
      <x:c r="L27" s="31" t="n">
        <x:v>7.7843136148</x:v>
      </x:c>
      <x:c r="M27" s="31" t="n">
        <x:v>0.1990518215</x:v>
      </x:c>
      <x:c r="N27" s="24" t="str">
        <x:v>carassius carassius</x:v>
      </x:c>
      <x:c r="O27" s="32" t="n">
        <x:v>3.11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Carassius carassius</x:v>
      </x:c>
      <x:c r="T27" s="32" t="n">
        <x:f>IF(O27="","",(1/'Metadata'!$B$5)^(O27-1))</x:f>
        <x:v>128.82495516931337</x:v>
      </x:c>
      <x:c r="U27" s="31" t="n">
        <x:f>IF(T27="","",I27*T27)</x:f>
        <x:v>1028.4566944315934</x:v>
      </x:c>
    </x:row>
    <x:row r="28" ht="18" customHeight="1">
      <x:c r="A28" s="24" t="str">
        <x:v>EEZ_278</x:v>
      </x:c>
      <x:c r="B28" s="24" t="str">
        <x:v>Germany (Baltic Sea)</x:v>
      </x:c>
      <x:c r="C28" s="24" t="str">
        <x:v>EEZ</x:v>
      </x:c>
      <x:c r="D28" s="30" t="n">
        <x:v>2019</x:v>
      </x:c>
      <x:c r="E28" s="24" t="str">
        <x:v>Scomber scombrus</x:v>
      </x:c>
      <x:c r="F28" s="24" t="str">
        <x:v>Atlantic mackerel</x:v>
      </x:c>
      <x:c r="G28" s="24" t="str">
        <x:v>Medium pelagics (30 - 89 cm)</x:v>
      </x:c>
      <x:c r="H28" s="24" t="str">
        <x:v>Perch-likes</x:v>
      </x:c>
      <x:c r="I28" s="31" t="n">
        <x:v>7.1164843966</x:v>
      </x:c>
      <x:c r="J28" s="31" t="n">
        <x:v>6.3534771891999995</x:v>
      </x:c>
      <x:c r="K28" s="31" t="n">
        <x:v>0.7630072074</x:v>
      </x:c>
      <x:c r="L28" s="31" t="n">
        <x:v>5.4771842938</x:v>
      </x:c>
      <x:c r="M28" s="31" t="n">
        <x:v>1.6393001028</x:v>
      </x:c>
      <x:c r="N28" s="24" t="str">
        <x:v>scomber scombrus</x:v>
      </x:c>
      <x:c r="O28" s="32" t="n">
        <x:v>3.63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Scomber scombrus</x:v>
      </x:c>
      <x:c r="T28" s="32" t="n">
        <x:f>IF(O28="","",(1/'Metadata'!$B$5)^(O28-1))</x:f>
        <x:v>426.57951880159254</x:v>
      </x:c>
      <x:c r="U28" s="31" t="n">
        <x:f>IF(T28="","",I28*T28)</x:f>
        <x:v>3035.7464894606696</x:v>
      </x:c>
    </x:row>
    <x:row r="29" ht="18" customHeight="1">
      <x:c r="A29" s="24" t="str">
        <x:v>EEZ_278</x:v>
      </x:c>
      <x:c r="B29" s="24" t="str">
        <x:v>Germany (Baltic Sea)</x:v>
      </x:c>
      <x:c r="C29" s="24" t="str">
        <x:v>EEZ</x:v>
      </x:c>
      <x:c r="D29" s="30" t="n">
        <x:v>2019</x:v>
      </x:c>
      <x:c r="E29" s="24" t="str">
        <x:v>Salmo trutta</x:v>
      </x:c>
      <x:c r="F29" s="24" t="str">
        <x:v>Sea trout</x:v>
      </x:c>
      <x:c r="G29" s="24" t="str">
        <x:v>Large pelagics (&gt;=90 cm)</x:v>
      </x:c>
      <x:c r="H29" s="24" t="str">
        <x:v>Salmon, smelts, etc</x:v>
      </x:c>
      <x:c r="I29" s="31" t="n">
        <x:v>7.082868642</x:v>
      </x:c>
      <x:c r="J29" s="31" t="n">
        <x:v>6.9418367261</x:v>
      </x:c>
      <x:c r="K29" s="31" t="n">
        <x:v>0.1410319159</x:v>
      </x:c>
      <x:c r="L29" s="31" t="n">
        <x:v>6.6119131739</x:v>
      </x:c>
      <x:c r="M29" s="31" t="n">
        <x:v>0.4709554681</x:v>
      </x:c>
      <x:c r="N29" s="24" t="str">
        <x:v>salmo trutta</x:v>
      </x:c>
      <x:c r="O29" s="32" t="n">
        <x:v>3.36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Salmo trutta</x:v>
      </x:c>
      <x:c r="T29" s="32" t="n">
        <x:f>IF(O29="","",(1/'Metadata'!$B$5)^(O29-1))</x:f>
        <x:v>229.08676527677724</x:v>
      </x:c>
      <x:c r="U29" s="31" t="n">
        <x:f>IF(T29="","",I29*T29)</x:f>
        <x:v>1622.5914660761</x:v>
      </x:c>
    </x:row>
    <x:row r="30" ht="18" customHeight="1">
      <x:c r="A30" s="24" t="str">
        <x:v>EEZ_278</x:v>
      </x:c>
      <x:c r="B30" s="24" t="str">
        <x:v>Germany (Baltic Sea)</x:v>
      </x:c>
      <x:c r="C30" s="24" t="str">
        <x:v>EEZ</x:v>
      </x:c>
      <x:c r="D30" s="30" t="n">
        <x:v>2019</x:v>
      </x:c>
      <x:c r="E30" s="24" t="str">
        <x:v>Leuciscus aspius</x:v>
      </x:c>
      <x:c r="F30" s="24" t="str">
        <x:v>Asp</x:v>
      </x:c>
      <x:c r="G30" s="24" t="str">
        <x:v>Large benthopelagics (&gt;=90 cm)</x:v>
      </x:c>
      <x:c r="H30" s="24" t="str">
        <x:v>Other fishes &amp; inverts</x:v>
      </x:c>
      <x:c r="I30" s="31" t="n">
        <x:v>5.1318937425</x:v>
      </x:c>
      <x:c r="J30" s="31" t="n">
        <x:v>5.1316730878</x:v>
      </x:c>
      <x:c r="K30" s="31" t="n">
        <x:v>0.0002206547</x:v>
      </x:c>
      <x:c r="L30" s="31" t="n">
        <x:v>4.9330964897000005</x:v>
      </x:c>
      <x:c r="M30" s="31" t="n">
        <x:v>0.1987972528</x:v>
      </x:c>
      <x:c r="N30" s="24" t="str">
        <x:v>leuciscus aspius</x:v>
      </x:c>
      <x:c r="O30" s="32" t="n">
        <x:v>4.47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Leuciscus aspius</x:v>
      </x:c>
      <x:c r="T30" s="32" t="n">
        <x:f>IF(O30="","",(1/'Metadata'!$B$5)^(O30-1))</x:f>
        <x:v>2951.209226666384</x:v>
      </x:c>
      <x:c r="U30" s="31" t="n">
        <x:f>IF(T30="","",I30*T30)</x:f>
        <x:v>15145.29216313748</x:v>
      </x:c>
    </x:row>
    <x:row r="31" ht="18" customHeight="1">
      <x:c r="A31" s="24" t="str">
        <x:v>EEZ_278</x:v>
      </x:c>
      <x:c r="B31" s="24" t="str">
        <x:v>Germany (Baltic Sea)</x:v>
      </x:c>
      <x:c r="C31" s="24" t="str">
        <x:v>EEZ</x:v>
      </x:c>
      <x:c r="D31" s="30" t="n">
        <x:v>2019</x:v>
      </x:c>
      <x:c r="E31" s="24" t="str">
        <x:v>Gobiidae</x:v>
      </x:c>
      <x:c r="F31" s="24" t="str">
        <x:v>Gobies</x:v>
      </x:c>
      <x:c r="G31" s="24" t="str">
        <x:v>Small reef assoc. fish (&lt;30 cm)</x:v>
      </x:c>
      <x:c r="H31" s="24" t="str">
        <x:v>Perch-likes</x:v>
      </x:c>
      <x:c r="I31" s="31" t="n">
        <x:v>4.5752873558</x:v>
      </x:c>
      <x:c r="J31" s="31" t="n">
        <x:v>3.7289140971</x:v>
      </x:c>
      <x:c r="K31" s="31" t="n">
        <x:v>0.8463732586999999</x:v>
      </x:c>
      <x:c r="L31" s="31" t="n">
        <x:v>2.2984966091000003</x:v>
      </x:c>
      <x:c r="M31" s="31" t="n">
        <x:v>2.2767907466999997</x:v>
      </x:c>
      <x:c r="N31" s="24" t="str">
        <x:v>gobiidae</x:v>
      </x:c>
      <x:c r="O31" s="32" t="n">
        <x:v>3.11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Gobiidae</x:v>
      </x:c>
      <x:c r="T31" s="32" t="n">
        <x:f>IF(O31="","",(1/'Metadata'!$B$5)^(O31-1))</x:f>
        <x:v>128.82495516931337</x:v>
      </x:c>
      <x:c r="U31" s="31" t="n">
        <x:f>IF(T31="","",I31*T31)</x:f>
        <x:v>589.4111884976612</x:v>
      </x:c>
    </x:row>
    <x:row r="32" ht="18" customHeight="1">
      <x:c r="A32" s="24" t="str">
        <x:v>EEZ_278</x:v>
      </x:c>
      <x:c r="B32" s="24" t="str">
        <x:v>Germany (Baltic Sea)</x:v>
      </x:c>
      <x:c r="C32" s="24" t="str">
        <x:v>EEZ</x:v>
      </x:c>
      <x:c r="D32" s="30" t="n">
        <x:v>2019</x:v>
      </x:c>
      <x:c r="E32" s="24" t="str">
        <x:v>Lota lota</x:v>
      </x:c>
      <x:c r="F32" s="24" t="str">
        <x:v>Burbot</x:v>
      </x:c>
      <x:c r="G32" s="24" t="str">
        <x:v>Large demersals (&gt;=90 cm)</x:v>
      </x:c>
      <x:c r="H32" s="24" t="str">
        <x:v>Cod-likes</x:v>
      </x:c>
      <x:c r="I32" s="31" t="n">
        <x:v>4.155514588</x:v>
      </x:c>
      <x:c r="J32" s="31" t="n">
        <x:v>2.8993324982999997</x:v>
      </x:c>
      <x:c r="K32" s="31" t="n">
        <x:v>1.2561820897</x:v>
      </x:c>
      <x:c r="L32" s="31" t="n">
        <x:v>2.8186246529</x:v>
      </x:c>
      <x:c r="M32" s="31" t="n">
        <x:v>1.3368899351</x:v>
      </x:c>
      <x:c r="N32" s="24" t="str">
        <x:v>lota lota</x:v>
      </x:c>
      <x:c r="O32" s="32" t="n">
        <x:v>3.84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Lota lota</x:v>
      </x:c>
      <x:c r="T32" s="32" t="n">
        <x:f>IF(O32="","",(1/'Metadata'!$B$5)^(O32-1))</x:f>
        <x:v>691.8309709189363</x:v>
      </x:c>
      <x:c r="U32" s="31" t="n">
        <x:f>IF(T32="","",I32*T32)</x:f>
        <x:v>2874.913692083843</x:v>
      </x:c>
    </x:row>
    <x:row r="33" ht="18" customHeight="1">
      <x:c r="A33" s="24" t="str">
        <x:v>EEZ_278</x:v>
      </x:c>
      <x:c r="B33" s="24" t="str">
        <x:v>Germany (Baltic Sea)</x:v>
      </x:c>
      <x:c r="C33" s="24" t="str">
        <x:v>EEZ</x:v>
      </x:c>
      <x:c r="D33" s="30" t="n">
        <x:v>2019</x:v>
      </x:c>
      <x:c r="E33" s="24" t="str">
        <x:v>Tinca tinca</x:v>
      </x:c>
      <x:c r="F33" s="24" t="str">
        <x:v>Tench</x:v>
      </x:c>
      <x:c r="G33" s="24" t="str">
        <x:v>Medium demersals (30 - 89 cm)</x:v>
      </x:c>
      <x:c r="H33" s="24" t="str">
        <x:v>Other fishes &amp; inverts</x:v>
      </x:c>
      <x:c r="I33" s="31" t="n">
        <x:v>4.0500701978</x:v>
      </x:c>
      <x:c r="J33" s="31" t="n">
        <x:v>4.0433846711</x:v>
      </x:c>
      <x:c r="K33" s="31" t="n">
        <x:v>0.0066855267000000005</x:v>
      </x:c>
      <x:c r="L33" s="31" t="n">
        <x:v>3.5783857184</x:v>
      </x:c>
      <x:c r="M33" s="31" t="n">
        <x:v>0.4716844794</x:v>
      </x:c>
      <x:c r="N33" s="24" t="str">
        <x:v>tinca tinca</x:v>
      </x:c>
      <x:c r="O33" s="32" t="n">
        <x:v>3.69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Tinca tinca</x:v>
      </x:c>
      <x:c r="T33" s="32" t="n">
        <x:f>IF(O33="","",(1/'Metadata'!$B$5)^(O33-1))</x:f>
        <x:v>489.77881936844614</x:v>
      </x:c>
      <x:c r="U33" s="31" t="n">
        <x:f>IF(T33="","",I33*T33)</x:f>
        <x:v>1983.6385998378132</x:v>
      </x:c>
    </x:row>
    <x:row r="34" ht="18" customHeight="1">
      <x:c r="A34" s="24" t="str">
        <x:v>EEZ_278</x:v>
      </x:c>
      <x:c r="B34" s="24" t="str">
        <x:v>Germany (Baltic Sea)</x:v>
      </x:c>
      <x:c r="C34" s="24" t="str">
        <x:v>EEZ</x:v>
      </x:c>
      <x:c r="D34" s="30" t="n">
        <x:v>2019</x:v>
      </x:c>
      <x:c r="E34" s="24" t="str">
        <x:v>Coregonus</x:v>
      </x:c>
      <x:c r="F34" s="24" t="str">
        <x:v>Whitefishes</x:v>
      </x:c>
      <x:c r="G34" s="24" t="str">
        <x:v>Medium pelagics (30 - 89 cm)</x:v>
      </x:c>
      <x:c r="H34" s="24" t="str">
        <x:v>Salmon, smelts, etc</x:v>
      </x:c>
      <x:c r="I34" s="31" t="n">
        <x:v>4.0274704698</x:v>
      </x:c>
      <x:c r="J34" s="31" t="n">
        <x:v>4.0268880697</x:v>
      </x:c>
      <x:c r="K34" s="31" t="n">
        <x:v>0.0005824001</x:v>
      </x:c>
      <x:c r="L34" s="31" t="n">
        <x:v>3.5027613177</x:v>
      </x:c>
      <x:c r="M34" s="31" t="n">
        <x:v>0.5247091521</x:v>
      </x:c>
      <x:c r="N34" s="24" t="str">
        <x:v>coregonus</x:v>
      </x:c>
      <x:c r="O34" s="32" t="n">
        <x:v>3.3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Coregonus</x:v>
      </x:c>
      <x:c r="T34" s="32" t="n">
        <x:f>IF(O34="","",(1/'Metadata'!$B$5)^(O34-1))</x:f>
        <x:v>199.52623149688787</x:v>
      </x:c>
      <x:c r="U34" s="31" t="n">
        <x:f>IF(T34="","",I34*T34)</x:f>
        <x:v>803.5860053041945</x:v>
      </x:c>
    </x:row>
    <x:row r="35" ht="18" customHeight="1">
      <x:c r="A35" s="24" t="str">
        <x:v>EEZ_278</x:v>
      </x:c>
      <x:c r="B35" s="24" t="str">
        <x:v>Germany (Baltic Sea)</x:v>
      </x:c>
      <x:c r="C35" s="24" t="str">
        <x:v>EEZ</x:v>
      </x:c>
      <x:c r="D35" s="30" t="n">
        <x:v>2019</x:v>
      </x:c>
      <x:c r="E35" s="24" t="str">
        <x:v>Palaemon serratus</x:v>
      </x:c>
      <x:c r="F35" s="24" t="str">
        <x:v>Common prawn</x:v>
      </x:c>
      <x:c r="G35" s="24" t="str">
        <x:v>Shrimps</x:v>
      </x:c>
      <x:c r="H35" s="24" t="str">
        <x:v>Crustaceans</x:v>
      </x:c>
      <x:c r="I35" s="31" t="n">
        <x:v>3.8638075294</x:v>
      </x:c>
      <x:c r="J35" s="31" t="n">
        <x:v>3.6718028586</x:v>
      </x:c>
      <x:c r="K35" s="31" t="n">
        <x:v>0.1920046708</x:v>
      </x:c>
      <x:c r="L35" s="31" t="n">
        <x:v>3.3619196537000002</x:v>
      </x:c>
      <x:c r="M35" s="31" t="n">
        <x:v>0.5018878757</x:v>
      </x:c>
      <x:c r="N35" s="24" t="str">
        <x:v>palaemon serratus</x:v>
      </x:c>
      <x:c r="O35" s="32" t="n">
        <x:v>2.69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Palaemon serratus</x:v>
      </x:c>
      <x:c r="T35" s="32" t="n">
        <x:f>IF(O35="","",(1/'Metadata'!$B$5)^(O35-1))</x:f>
        <x:v>48.97788193684461</x:v>
      </x:c>
      <x:c r="U35" s="31" t="n">
        <x:f>IF(T35="","",I35*T35)</x:f>
        <x:v>189.24110900164445</x:v>
      </x:c>
    </x:row>
    <x:row r="36" ht="18" customHeight="1">
      <x:c r="A36" s="24" t="str">
        <x:v>EEZ_278</x:v>
      </x:c>
      <x:c r="B36" s="24" t="str">
        <x:v>Germany (Baltic Sea)</x:v>
      </x:c>
      <x:c r="C36" s="24" t="str">
        <x:v>EEZ</x:v>
      </x:c>
      <x:c r="D36" s="30" t="n">
        <x:v>2019</x:v>
      </x:c>
      <x:c r="E36" s="24" t="str">
        <x:v>Microstomus kitt</x:v>
      </x:c>
      <x:c r="F36" s="24" t="str">
        <x:v>Lemon sole</x:v>
      </x:c>
      <x:c r="G36" s="24" t="str">
        <x:v>Small to medium flatfishes (&lt;90 cm)</x:v>
      </x:c>
      <x:c r="H36" s="24" t="str">
        <x:v>Flatfishes</x:v>
      </x:c>
      <x:c r="I36" s="31" t="n">
        <x:v>3.0720517677999997</x:v>
      </x:c>
      <x:c r="J36" s="31" t="n">
        <x:v>3.0191767991</x:v>
      </x:c>
      <x:c r="K36" s="31" t="n">
        <x:v>0.052874968700000004</x:v>
      </x:c>
      <x:c r="L36" s="31" t="n">
        <x:v>2.9338399962</x:v>
      </x:c>
      <x:c r="M36" s="31" t="n">
        <x:v>0.1382117716</x:v>
      </x:c>
      <x:c r="N36" s="24" t="str">
        <x:v>microstomus kitt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Microstomus kitt</x:v>
      </x:c>
      <x:c r="T36" s="32" t="n">
        <x:f>IF(O36="","",(1/'Metadata'!$B$5)^(O36-1))</x:f>
        <x:v>165.95869074375614</x:v>
      </x:c>
      <x:c r="U36" s="31" t="n">
        <x:f>IF(T36="","",I36*T36)</x:f>
        <x:v>509.83368928112947</x:v>
      </x:c>
    </x:row>
    <x:row r="37" ht="18" customHeight="1">
      <x:c r="A37" s="24" t="str">
        <x:v>EEZ_278</x:v>
      </x:c>
      <x:c r="B37" s="24" t="str">
        <x:v>Germany (Baltic Sea)</x:v>
      </x:c>
      <x:c r="C37" s="24" t="str">
        <x:v>EEZ</x:v>
      </x:c>
      <x:c r="D37" s="30" t="n">
        <x:v>2019</x:v>
      </x:c>
      <x:c r="E37" s="24" t="str">
        <x:v>Pollachius virens</x:v>
      </x:c>
      <x:c r="F37" s="24" t="str">
        <x:v>Saithe</x:v>
      </x:c>
      <x:c r="G37" s="24" t="str">
        <x:v>Large demersals (&gt;=90 cm)</x:v>
      </x:c>
      <x:c r="H37" s="24" t="str">
        <x:v>Cod-likes</x:v>
      </x:c>
      <x:c r="I37" s="31" t="n">
        <x:v>2.6396217128</x:v>
      </x:c>
      <x:c r="J37" s="31" t="n">
        <x:v>2.051887688</x:v>
      </x:c>
      <x:c r="K37" s="31" t="n">
        <x:v>0.5877340247999999</x:v>
      </x:c>
      <x:c r="L37" s="31" t="n">
        <x:v>1.9867353525</x:v>
      </x:c>
      <x:c r="M37" s="31" t="n">
        <x:v>0.6528863602999999</x:v>
      </x:c>
      <x:c r="N37" s="24" t="str">
        <x:v>pollachius virens</x:v>
      </x:c>
      <x:c r="O37" s="32" t="n">
        <x:v>4.31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Pollachius virens</x:v>
      </x:c>
      <x:c r="T37" s="32" t="n">
        <x:f>IF(O37="","",(1/'Metadata'!$B$5)^(O37-1))</x:f>
        <x:v>2041.7379446695275</x:v>
      </x:c>
      <x:c r="U37" s="31" t="n">
        <x:f>IF(T37="","",I37*T37)</x:f>
        <x:v>5389.415810597329</x:v>
      </x:c>
    </x:row>
    <x:row r="38" ht="18" customHeight="1">
      <x:c r="A38" s="24" t="str">
        <x:v>EEZ_278</x:v>
      </x:c>
      <x:c r="B38" s="24" t="str">
        <x:v>Germany (Baltic Sea)</x:v>
      </x:c>
      <x:c r="C38" s="24" t="str">
        <x:v>EEZ</x:v>
      </x:c>
      <x:c r="D38" s="30" t="n">
        <x:v>2019</x:v>
      </x:c>
      <x:c r="E38" s="24" t="str">
        <x:v>Cyclopterus lumpus</x:v>
      </x:c>
      <x:c r="F38" s="24" t="str">
        <x:v>Lumpfish</x:v>
      </x:c>
      <x:c r="G38" s="24" t="str">
        <x:v>Medium benthopelagics (30 - 89 cm)</x:v>
      </x:c>
      <x:c r="H38" s="24" t="str">
        <x:v>Scorpionfishes</x:v>
      </x:c>
      <x:c r="I38" s="31" t="n">
        <x:v>0.8935258369999999</x:v>
      </x:c>
      <x:c r="J38" s="31" t="n">
        <x:v>0.6820249394</x:v>
      </x:c>
      <x:c r="K38" s="31" t="n">
        <x:v>0.2115008976</x:v>
      </x:c>
      <x:c r="L38" s="31" t="n">
        <x:v>0.4335748175</x:v>
      </x:c>
      <x:c r="M38" s="31" t="n">
        <x:v>0.45995101949999995</x:v>
      </x:c>
      <x:c r="N38" s="24" t="str">
        <x:v>cyclopterus lumpus</x:v>
      </x:c>
      <x:c r="O38" s="32" t="n">
        <x:v>3.89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Cyclopterus lumpus</x:v>
      </x:c>
      <x:c r="T38" s="32" t="n">
        <x:f>IF(O38="","",(1/'Metadata'!$B$5)^(O38-1))</x:f>
        <x:v>776.247116628692</x:v>
      </x:c>
      <x:c r="U38" s="31" t="n">
        <x:f>IF(T38="","",I38*T38)</x:f>
        <x:v>693.5968546044885</x:v>
      </x:c>
    </x:row>
    <x:row r="39" ht="18" customHeight="1">
      <x:c r="A39" s="24" t="str">
        <x:v>EEZ_278</x:v>
      </x:c>
      <x:c r="B39" s="24" t="str">
        <x:v>Germany (Baltic Sea)</x:v>
      </x:c>
      <x:c r="C39" s="24" t="str">
        <x:v>EEZ</x:v>
      </x:c>
      <x:c r="D39" s="30" t="n">
        <x:v>2019</x:v>
      </x:c>
      <x:c r="E39" s="24" t="str">
        <x:v>Engraulis encrasicolus</x:v>
      </x:c>
      <x:c r="F39" s="24" t="str">
        <x:v>European anchovy</x:v>
      </x:c>
      <x:c r="G39" s="24" t="str">
        <x:v>Small pelagics (&lt;30 cm)</x:v>
      </x:c>
      <x:c r="H39" s="24" t="str">
        <x:v>Anchovies</x:v>
      </x:c>
      <x:c r="I39" s="31" t="n">
        <x:v>0.1441582709</x:v>
      </x:c>
      <x:c r="J39" s="31" t="n">
        <x:v>0.0832939981</x:v>
      </x:c>
      <x:c r="K39" s="31" t="n">
        <x:v>0.0608642728</x:v>
      </x:c>
      <x:c r="L39" s="31" t="n">
        <x:v>0</x:v>
      </x:c>
      <x:c r="M39" s="31" t="n">
        <x:v>0.1441582709</x:v>
      </x:c>
      <x:c r="N39" s="24" t="str">
        <x:v>engraulis encrasicolus</x:v>
      </x:c>
      <x:c r="O39" s="32" t="n">
        <x:v>3.11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Engraulis encrasicolus</x:v>
      </x:c>
      <x:c r="T39" s="32" t="n">
        <x:f>IF(O39="","",(1/'Metadata'!$B$5)^(O39-1))</x:f>
        <x:v>128.82495516931337</x:v>
      </x:c>
      <x:c r="U39" s="31" t="n">
        <x:f>IF(T39="","",I39*T39)</x:f>
        <x:v>18.57118278597823</x:v>
      </x:c>
    </x:row>
    <x:row r="40" ht="18" customHeight="1">
      <x:c r="A40" s="24" t="str">
        <x:v>EEZ_278</x:v>
      </x:c>
      <x:c r="B40" s="24" t="str">
        <x:v>Germany (Baltic Sea)</x:v>
      </x:c>
      <x:c r="C40" s="24" t="str">
        <x:v>EEZ</x:v>
      </x:c>
      <x:c r="D40" s="30" t="n">
        <x:v>2019</x:v>
      </x:c>
      <x:c r="E40" s="24" t="str">
        <x:v>Silurus glanis</x:v>
      </x:c>
      <x:c r="F40" s="24" t="str">
        <x:v>Wels catfish</x:v>
      </x:c>
      <x:c r="G40" s="24" t="str">
        <x:v>Large demersals (&gt;=90 cm)</x:v>
      </x:c>
      <x:c r="H40" s="24" t="str">
        <x:v>Other fishes &amp; inverts</x:v>
      </x:c>
      <x:c r="I40" s="31" t="n">
        <x:v>0.12379418660000001</x:v>
      </x:c>
      <x:c r="J40" s="31" t="n">
        <x:v>0.12379418660000001</x:v>
      </x:c>
      <x:c r="K40" s="31" t="n">
        <x:v>0</x:v>
      </x:c>
      <x:c r="L40" s="31" t="n">
        <x:v>0.0320675552</x:v>
      </x:c>
      <x:c r="M40" s="31" t="n">
        <x:v>0.09172663140000001</x:v>
      </x:c>
      <x:c r="N40" s="24" t="str">
        <x:v>silurus glanis</x:v>
      </x:c>
      <x:c r="O40" s="32" t="n">
        <x:v>4.36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Silurus glanis</x:v>
      </x:c>
      <x:c r="T40" s="32" t="n">
        <x:f>IF(O40="","",(1/'Metadata'!$B$5)^(O40-1))</x:f>
        <x:v>2290.867652767775</x:v>
      </x:c>
      <x:c r="U40" s="31" t="n">
        <x:f>IF(T40="","",I40*T40)</x:f>
        <x:v>283.59609768263795</x:v>
      </x:c>
    </x:row>
    <x:row r="41" ht="18" customHeight="1">
      <x:c r="A41" s="24" t="str">
        <x:v>EEZ_278</x:v>
      </x:c>
      <x:c r="B41" s="24" t="str">
        <x:v>Germany (Baltic Sea)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0.0788594233</x:v>
      </x:c>
      <x:c r="J41" s="31" t="n">
        <x:v>0.0479143149</x:v>
      </x:c>
      <x:c r="K41" s="31" t="n">
        <x:v>0.0309451084</x:v>
      </x:c>
      <x:c r="L41" s="31" t="n">
        <x:v>0</x:v>
      </x:c>
      <x:c r="M41" s="31" t="n">
        <x:v>0.0788594233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2.6721054741712655</x:v>
      </x:c>
    </x:row>
    <x:row r="42" ht="18" customHeight="1">
      <x:c r="A42" s="24" t="str">
        <x:v>EEZ_278</x:v>
      </x:c>
      <x:c r="B42" s="24" t="str">
        <x:v>Germany (Baltic Sea)</x:v>
      </x:c>
      <x:c r="C42" s="24" t="str">
        <x:v>EEZ</x:v>
      </x:c>
      <x:c r="D42" s="30" t="n">
        <x:v>2019</x:v>
      </x:c>
      <x:c r="E42" s="24" t="str">
        <x:v>Melanogrammus aeglefinus</x:v>
      </x:c>
      <x:c r="F42" s="24" t="str">
        <x:v>Haddock</x:v>
      </x:c>
      <x:c r="G42" s="24" t="str">
        <x:v>Medium demersals (30 - 89 cm)</x:v>
      </x:c>
      <x:c r="H42" s="24" t="str">
        <x:v>Cod-likes</x:v>
      </x:c>
      <x:c r="I42" s="31" t="n">
        <x:v>0.0494258204</x:v>
      </x:c>
      <x:c r="J42" s="31" t="n">
        <x:v>0.0294737467</x:v>
      </x:c>
      <x:c r="K42" s="31" t="n">
        <x:v>0.0199520737</x:v>
      </x:c>
      <x:c r="L42" s="31" t="n">
        <x:v>0.0005859688</x:v>
      </x:c>
      <x:c r="M42" s="31" t="n">
        <x:v>0.0488398516</x:v>
      </x:c>
      <x:c r="N42" s="24" t="str">
        <x:v>melanogrammus aeglefinus</x:v>
      </x:c>
      <x:c r="O42" s="32" t="n">
        <x:v>4.03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Melanogrammus aeglefinus</x:v>
      </x:c>
      <x:c r="T42" s="32" t="n">
        <x:f>IF(O42="","",(1/'Metadata'!$B$5)^(O42-1))</x:f>
        <x:v>1071.519305237607</x:v>
      </x:c>
      <x:c r="U42" s="31" t="n">
        <x:f>IF(T42="","",I42*T42)</x:f>
        <x:v>52.96072073580675</x:v>
      </x:c>
    </x:row>
    <x:row r="43" ht="18" customHeight="1">
      <x:c r="A43" s="24" t="str">
        <x:v>EEZ_278</x:v>
      </x:c>
      <x:c r="B43" s="24" t="str">
        <x:v>Germany (Baltic Sea)</x:v>
      </x:c>
      <x:c r="C43" s="24" t="str">
        <x:v>EEZ</x:v>
      </x:c>
      <x:c r="D43" s="30" t="n">
        <x:v>2019</x:v>
      </x:c>
      <x:c r="E43" s="24" t="str">
        <x:v>Salmo</x:v>
      </x:c>
      <x:c r="F43" s="24" t="str">
        <x:v>Trouts</x:v>
      </x:c>
      <x:c r="G43" s="24" t="str">
        <x:v>Large benthopelagics (&gt;=90 cm)</x:v>
      </x:c>
      <x:c r="H43" s="24" t="str">
        <x:v>Salmon, smelts, etc</x:v>
      </x:c>
      <x:c r="I43" s="31" t="n">
        <x:v>0.0493185718</x:v>
      </x:c>
      <x:c r="J43" s="31" t="n">
        <x:v>0.0493185718</x:v>
      </x:c>
      <x:c r="K43" s="31" t="n">
        <x:v>0</x:v>
      </x:c>
      <x:c r="L43" s="31" t="n">
        <x:v>0</x:v>
      </x:c>
      <x:c r="M43" s="31" t="n">
        <x:v>0.0493185718</x:v>
      </x:c>
      <x:c r="N43" s="24" t="str">
        <x:v>salmo</x:v>
      </x:c>
      <x:c r="O43" s="32" t="n">
        <x:v>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Salmo</x:v>
      </x:c>
      <x:c r="T43" s="32" t="n">
        <x:f>IF(O43="","",(1/'Metadata'!$B$5)^(O43-1))</x:f>
        <x:v>1000</x:v>
      </x:c>
      <x:c r="U43" s="31" t="n">
        <x:f>IF(T43="","",I43*T43)</x:f>
        <x:v>49.3185718</x:v>
      </x:c>
    </x:row>
    <x:row r="44" ht="18" customHeight="1">
      <x:c r="A44" s="24" t="str">
        <x:v>EEZ_278</x:v>
      </x:c>
      <x:c r="B44" s="24" t="str">
        <x:v>Germany (Baltic Sea)</x:v>
      </x:c>
      <x:c r="C44" s="24" t="str">
        <x:v>EEZ</x:v>
      </x:c>
      <x:c r="D44" s="30" t="n">
        <x:v>2019</x:v>
      </x:c>
      <x:c r="E44" s="24" t="str">
        <x:v>Zoarces viviparus</x:v>
      </x:c>
      <x:c r="F44" s="24" t="str">
        <x:v>Eelpout</x:v>
      </x:c>
      <x:c r="G44" s="24" t="str">
        <x:v>Medium demersals (30 - 89 cm)</x:v>
      </x:c>
      <x:c r="H44" s="24" t="str">
        <x:v>Perch-likes</x:v>
      </x:c>
      <x:c r="I44" s="31" t="n">
        <x:v>0.0380590572</x:v>
      </x:c>
      <x:c r="J44" s="31" t="n">
        <x:v>0.0167721163</x:v>
      </x:c>
      <x:c r="K44" s="31" t="n">
        <x:v>0.021286940900000002</x:v>
      </x:c>
      <x:c r="L44" s="31" t="n">
        <x:v>0</x:v>
      </x:c>
      <x:c r="M44" s="31" t="n">
        <x:v>0.0380590572</x:v>
      </x:c>
      <x:c r="N44" s="24" t="str">
        <x:v>zoarces viviparus</x:v>
      </x:c>
      <x:c r="O44" s="32" t="n">
        <x:v>3.47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Zoarces viviparus</x:v>
      </x:c>
      <x:c r="T44" s="32" t="n">
        <x:f>IF(O44="","",(1/'Metadata'!$B$5)^(O44-1))</x:f>
        <x:v>295.1209226666387</x:v>
      </x:c>
      <x:c r="U44" s="31" t="n">
        <x:f>IF(T44="","",I44*T44)</x:f>
        <x:v>11.232024076686379</x:v>
      </x:c>
    </x:row>
    <x:row r="45" ht="18" customHeight="1">
      <x:c r="A45" s="24" t="str">
        <x:v>EEZ_278</x:v>
      </x:c>
      <x:c r="B45" s="24" t="str">
        <x:v>Germany (Baltic Sea)</x:v>
      </x:c>
      <x:c r="C45" s="24" t="str">
        <x:v>EEZ</x:v>
      </x:c>
      <x:c r="D45" s="30" t="n">
        <x:v>2019</x:v>
      </x:c>
      <x:c r="E45" s="24" t="str">
        <x:v>Hippoglossoides platessoides</x:v>
      </x:c>
      <x:c r="F45" s="24" t="str">
        <x:v>American plaice</x:v>
      </x:c>
      <x:c r="G45" s="24" t="str">
        <x:v>Small to medium flatfishes (&lt;90 cm)</x:v>
      </x:c>
      <x:c r="H45" s="24" t="str">
        <x:v>Flatfishes</x:v>
      </x:c>
      <x:c r="I45" s="31" t="n">
        <x:v>0.0340196693</x:v>
      </x:c>
      <x:c r="J45" s="31" t="n">
        <x:v>0.019231132800000002</x:v>
      </x:c>
      <x:c r="K45" s="31" t="n">
        <x:v>0.0147885365</x:v>
      </x:c>
      <x:c r="L45" s="31" t="n">
        <x:v>0</x:v>
      </x:c>
      <x:c r="M45" s="31" t="n">
        <x:v>0.0340196693</x:v>
      </x:c>
      <x:c r="N45" s="24" t="str">
        <x:v>hippoglossoides platessoides</x:v>
      </x:c>
      <x:c r="O45" s="32" t="n">
        <x:v>4.08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Hippoglossoides platessoides</x:v>
      </x:c>
      <x:c r="T45" s="32" t="n">
        <x:f>IF(O45="","",(1/'Metadata'!$B$5)^(O45-1))</x:f>
        <x:v>1202.2644346174131</x:v>
      </x:c>
      <x:c r="U45" s="31" t="n">
        <x:f>IF(T45="","",I45*T45)</x:f>
        <x:v>40.900638476835866</x:v>
      </x:c>
    </x:row>
    <x:row r="46" ht="18" customHeight="1">
      <x:c r="A46" s="24" t="str">
        <x:v>EEZ_278</x:v>
      </x:c>
      <x:c r="B46" s="24" t="str">
        <x:v>Germany (Baltic Sea)</x:v>
      </x:c>
      <x:c r="C46" s="24" t="str">
        <x:v>EEZ</x:v>
      </x:c>
      <x:c r="D46" s="30" t="n">
        <x:v>2019</x:v>
      </x:c>
      <x:c r="E46" s="24" t="str">
        <x:v>Osmerus eperlanus</x:v>
      </x:c>
      <x:c r="F46" s="24" t="str">
        <x:v>European smelt</x:v>
      </x:c>
      <x:c r="G46" s="24" t="str">
        <x:v>Medium pelagics (30 - 89 cm)</x:v>
      </x:c>
      <x:c r="H46" s="24" t="str">
        <x:v>Salmon, smelts, etc</x:v>
      </x:c>
      <x:c r="I46" s="31" t="n">
        <x:v>0.025389076400000002</x:v>
      </x:c>
      <x:c r="J46" s="31" t="n">
        <x:v>0.0253608958</x:v>
      </x:c>
      <x:c r="K46" s="31" t="n">
        <x:v>0.0000281806</x:v>
      </x:c>
      <x:c r="L46" s="31" t="n">
        <x:v>0</x:v>
      </x:c>
      <x:c r="M46" s="31" t="n">
        <x:v>0.025389076400000002</x:v>
      </x:c>
      <x:c r="N46" s="24" t="str">
        <x:v>osmerus eperlanus</x:v>
      </x:c>
      <x:c r="O46" s="32" t="n">
        <x:v>3.46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Osmerus eperlanus</x:v>
      </x:c>
      <x:c r="T46" s="32" t="n">
        <x:f>IF(O46="","",(1/'Metadata'!$B$5)^(O46-1))</x:f>
        <x:v>288.40315031266056</x:v>
      </x:c>
      <x:c r="U46" s="31" t="n">
        <x:f>IF(T46="","",I46*T46)</x:f>
        <x:v>7.322289617288823</x:v>
      </x:c>
    </x:row>
    <x:row r="47" ht="18" customHeight="1">
      <x:c r="A47" s="24" t="str">
        <x:v>EEZ_278</x:v>
      </x:c>
      <x:c r="B47" s="24" t="str">
        <x:v>Germany (Baltic Sea)</x:v>
      </x:c>
      <x:c r="C47" s="24" t="str">
        <x:v>EEZ</x:v>
      </x:c>
      <x:c r="D47" s="30" t="n">
        <x:v>2019</x:v>
      </x:c>
      <x:c r="E47" s="24" t="str">
        <x:v>Pollachius pollachius</x:v>
      </x:c>
      <x:c r="F47" s="24" t="str">
        <x:v>Pollack</x:v>
      </x:c>
      <x:c r="G47" s="24" t="str">
        <x:v>Large benthopelagics (&gt;=90 cm)</x:v>
      </x:c>
      <x:c r="H47" s="24" t="str">
        <x:v>Cod-likes</x:v>
      </x:c>
      <x:c r="I47" s="31" t="n">
        <x:v>0.019598918400000002</x:v>
      </x:c>
      <x:c r="J47" s="31" t="n">
        <x:v>0.0121010608</x:v>
      </x:c>
      <x:c r="K47" s="31" t="n">
        <x:v>0.0074978576</x:v>
      </x:c>
      <x:c r="L47" s="31" t="n">
        <x:v>0</x:v>
      </x:c>
      <x:c r="M47" s="31" t="n">
        <x:v>0.019598918400000002</x:v>
      </x:c>
      <x:c r="N47" s="24" t="str">
        <x:v>pollachius pollachius</x:v>
      </x:c>
      <x:c r="O47" s="32" t="n">
        <x:v>4.32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Pollachius pollachius</x:v>
      </x:c>
      <x:c r="T47" s="32" t="n">
        <x:f>IF(O47="","",(1/'Metadata'!$B$5)^(O47-1))</x:f>
        <x:v>2089.2961308540407</x:v>
      </x:c>
      <x:c r="U47" s="31" t="n">
        <x:f>IF(T47="","",I47*T47)</x:f>
        <x:v>40.94794438204407</x:v>
      </x:c>
    </x:row>
    <x:row r="48" ht="18" customHeight="1">
      <x:c r="A48" s="24" t="str">
        <x:v>EEZ_278</x:v>
      </x:c>
      <x:c r="B48" s="24" t="str">
        <x:v>Germany (Baltic Sea)</x:v>
      </x:c>
      <x:c r="C48" s="24" t="str">
        <x:v>EEZ</x:v>
      </x:c>
      <x:c r="D48" s="30" t="n">
        <x:v>2019</x:v>
      </x:c>
      <x:c r="E48" s="24" t="str">
        <x:v>Cancer pagurus</x:v>
      </x:c>
      <x:c r="F48" s="24" t="str">
        <x:v>Edible crab</x:v>
      </x:c>
      <x:c r="G48" s="24" t="str">
        <x:v>Lobsters, crabs</x:v>
      </x:c>
      <x:c r="H48" s="24" t="str">
        <x:v>Crustaceans</x:v>
      </x:c>
      <x:c r="I48" s="31" t="n">
        <x:v>0.014076159100000001</x:v>
      </x:c>
      <x:c r="J48" s="31" t="n">
        <x:v>0.0086911151</x:v>
      </x:c>
      <x:c r="K48" s="31" t="n">
        <x:v>0.005385044</x:v>
      </x:c>
      <x:c r="L48" s="31" t="n">
        <x:v>0</x:v>
      </x:c>
      <x:c r="M48" s="31" t="n">
        <x:v>0.014076159100000001</x:v>
      </x:c>
      <x:c r="N48" s="24" t="str">
        <x:v>cancer pagurus</x:v>
      </x:c>
      <x:c r="O48" s="32" t="n">
        <x:v>3.1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Cancer pagurus</x:v>
      </x:c>
      <x:c r="T48" s="32" t="n">
        <x:f>IF(O48="","",(1/'Metadata'!$B$5)^(O48-1))</x:f>
        <x:v>125.89254117941675</x:v>
      </x:c>
      <x:c r="U48" s="31" t="n">
        <x:f>IF(T48="","",I48*T48)</x:f>
        <x:v>1.772083439144772</x:v>
      </x:c>
    </x:row>
    <x:row r="49" ht="18" customHeight="1">
      <x:c r="A49" s="24" t="str">
        <x:v>EEZ_278</x:v>
      </x:c>
      <x:c r="B49" s="24" t="str">
        <x:v>Germany (Baltic Sea)</x:v>
      </x:c>
      <x:c r="C49" s="24" t="str">
        <x:v>EEZ</x:v>
      </x:c>
      <x:c r="D49" s="30" t="n">
        <x:v>2019</x:v>
      </x:c>
      <x:c r="E49" s="24" t="str">
        <x:v>Nephrops norvegicus</x:v>
      </x:c>
      <x:c r="F49" s="24" t="str">
        <x:v>Norway lobster</x:v>
      </x:c>
      <x:c r="G49" s="24" t="str">
        <x:v>Lobsters, crabs</x:v>
      </x:c>
      <x:c r="H49" s="24" t="str">
        <x:v>Crustaceans</x:v>
      </x:c>
      <x:c r="I49" s="31" t="n">
        <x:v>0.0072807717999999995</x:v>
      </x:c>
      <x:c r="J49" s="31" t="n">
        <x:v>0.0044954042</x:v>
      </x:c>
      <x:c r="K49" s="31" t="n">
        <x:v>0.0027853676</x:v>
      </x:c>
      <x:c r="L49" s="31" t="n">
        <x:v>0</x:v>
      </x:c>
      <x:c r="M49" s="31" t="n">
        <x:v>0.0072807717999999995</x:v>
      </x:c>
      <x:c r="N49" s="24" t="str">
        <x:v>nephrops norvegicus</x:v>
      </x:c>
      <x:c r="O49" s="32" t="n">
        <x:v>2.87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Nephrops norvegicus</x:v>
      </x:c>
      <x:c r="T49" s="32" t="n">
        <x:f>IF(O49="","",(1/'Metadata'!$B$5)^(O49-1))</x:f>
        <x:v>74.13102413009177</x:v>
      </x:c>
      <x:c r="U49" s="31" t="n">
        <x:f>IF(T49="","",I49*T49)</x:f>
        <x:v>0.5397310699914917</x:v>
      </x:c>
    </x:row>
    <x:row r="50" ht="18" customHeight="1">
      <x:c r="A50" s="24" t="str">
        <x:v>EEZ_278</x:v>
      </x:c>
      <x:c r="B50" s="24" t="str">
        <x:v>Germany (Baltic Sea)</x:v>
      </x:c>
      <x:c r="C50" s="24" t="str">
        <x:v>EEZ</x:v>
      </x:c>
      <x:c r="D50" s="30" t="n">
        <x:v>2019</x:v>
      </x:c>
      <x:c r="E50" s="24" t="str">
        <x:v>Anarhichas</x:v>
      </x:c>
      <x:c r="F50" s="24" t="str">
        <x:v>Wolffishes</x:v>
      </x:c>
      <x:c r="G50" s="24" t="str">
        <x:v>Large demersals (&gt;=90 cm)</x:v>
      </x:c>
      <x:c r="H50" s="24" t="str">
        <x:v>Perch-likes</x:v>
      </x:c>
      <x:c r="I50" s="31" t="n">
        <x:v>0.0068039338</x:v>
      </x:c>
      <x:c r="J50" s="31" t="n">
        <x:v>0.0038462265</x:v>
      </x:c>
      <x:c r="K50" s="31" t="n">
        <x:v>0.0029577073</x:v>
      </x:c>
      <x:c r="L50" s="31" t="n">
        <x:v>0</x:v>
      </x:c>
      <x:c r="M50" s="31" t="n">
        <x:v>0.0068039338</x:v>
      </x:c>
      <x:c r="N50" s="24" t="str">
        <x:v>anarhichas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Anarhichas</x:v>
      </x:c>
      <x:c r="T50" s="32" t="n">
        <x:f>IF(O50="","",(1/'Metadata'!$B$5)^(O50-1))</x:f>
        <x:v>223.872113856834</x:v>
      </x:c>
      <x:c r="U50" s="31" t="n">
        <x:f>IF(T50="","",I50*T50)</x:f>
        <x:v>1.5232110423479612</x:v>
      </x:c>
    </x:row>
    <x:row r="51" ht="18" customHeight="1">
      <x:c r="A51" s="24" t="str">
        <x:v>EEZ_278</x:v>
      </x:c>
      <x:c r="B51" s="24" t="str">
        <x:v>Germany (Baltic Sea)</x:v>
      </x:c>
      <x:c r="C51" s="24" t="str">
        <x:v>EEZ</x:v>
      </x:c>
      <x:c r="D51" s="30" t="n">
        <x:v>2019</x:v>
      </x:c>
      <x:c r="E51" s="24" t="str">
        <x:v>Triglidae</x:v>
      </x:c>
      <x:c r="F51" s="24" t="str">
        <x:v>Searobins, gurnards</x:v>
      </x:c>
      <x:c r="G51" s="24" t="str">
        <x:v>Medium demersals (30 - 89 cm)</x:v>
      </x:c>
      <x:c r="H51" s="24" t="str">
        <x:v>Scorpionfishes</x:v>
      </x:c>
      <x:c r="I51" s="31" t="n">
        <x:v>0.0063100023</x:v>
      </x:c>
      <x:c r="J51" s="31" t="n">
        <x:v>0.0038960171000000004</x:v>
      </x:c>
      <x:c r="K51" s="31" t="n">
        <x:v>0.0024139852</x:v>
      </x:c>
      <x:c r="L51" s="31" t="n">
        <x:v>0</x:v>
      </x:c>
      <x:c r="M51" s="31" t="n">
        <x:v>0.0063100023</x:v>
      </x:c>
      <x:c r="N51" s="24" t="str">
        <x:v>triglidae</x:v>
      </x:c>
      <x:c r="O51" s="32" t="n">
        <x:v>3.74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Triglidae</x:v>
      </x:c>
      <x:c r="T51" s="32" t="n">
        <x:f>IF(O51="","",(1/'Metadata'!$B$5)^(O51-1))</x:f>
        <x:v>549.5408738576248</x:v>
      </x:c>
      <x:c r="U51" s="31" t="n">
        <x:f>IF(T51="","",I51*T51)</x:f>
        <x:v>3.4676041779856224</x:v>
      </x:c>
    </x:row>
    <x:row r="52" ht="18" customHeight="1">
      <x:c r="A52" s="24" t="str">
        <x:v>EEZ_278</x:v>
      </x:c>
      <x:c r="B52" s="24" t="str">
        <x:v>Germany (Baltic Sea)</x:v>
      </x:c>
      <x:c r="C52" s="24" t="str">
        <x:v>EEZ</x:v>
      </x:c>
      <x:c r="D52" s="30" t="n">
        <x:v>2019</x:v>
      </x:c>
      <x:c r="E52" s="24" t="str">
        <x:v>Marine finfishes not identified</x:v>
      </x:c>
      <x:c r="F52" s="24" t="str">
        <x:v>Finfishes</x:v>
      </x:c>
      <x:c r="G52" s="24" t="str">
        <x:v>Medium demersals (30 - 89 cm)</x:v>
      </x:c>
      <x:c r="H52" s="24" t="str">
        <x:v>Other fishes &amp; inverts</x:v>
      </x:c>
      <x:c r="I52" s="31" t="n">
        <x:v>0.0059355322</x:v>
      </x:c>
      <x:c r="J52" s="31" t="n">
        <x:v>0.0032336527</x:v>
      </x:c>
      <x:c r="K52" s="31" t="n">
        <x:v>0.0027018795</x:v>
      </x:c>
      <x:c r="L52" s="31" t="n">
        <x:v>0</x:v>
      </x:c>
      <x:c r="M52" s="31" t="n">
        <x:v>0.0059355322</x:v>
      </x:c>
      <x:c r="N52" s="24" t="str">
        <x:v>marine finfishes not identified</x:v>
      </x:c>
      <x:c r="O52" s="32" t="n">
        <x:v>3.23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finfishes not identified</x:v>
      </x:c>
      <x:c r="T52" s="32" t="n">
        <x:f>IF(O52="","",(1/'Metadata'!$B$5)^(O52-1))</x:f>
        <x:v>169.82436524617444</x:v>
      </x:c>
      <x:c r="U52" s="31" t="n">
        <x:f>IF(T52="","",I52*T52)</x:f>
        <x:v>1.0079979882632293</x:v>
      </x:c>
    </x:row>
    <x:row r="53" ht="18" customHeight="1">
      <x:c r="A53" s="24" t="str">
        <x:v>EEZ_278</x:v>
      </x:c>
      <x:c r="B53" s="24" t="str">
        <x:v>Germany (Baltic Sea)</x:v>
      </x:c>
      <x:c r="C53" s="24" t="str">
        <x:v>EEZ</x:v>
      </x:c>
      <x:c r="D53" s="30" t="n">
        <x:v>2019</x:v>
      </x:c>
      <x:c r="E53" s="24" t="str">
        <x:v>Gymnocephalus cernua</x:v>
      </x:c>
      <x:c r="F53" s="24" t="str">
        <x:v>Ruffe</x:v>
      </x:c>
      <x:c r="G53" s="24" t="str">
        <x:v>Small demersals (&lt;30 cm)</x:v>
      </x:c>
      <x:c r="H53" s="24" t="str">
        <x:v>Perch-likes</x:v>
      </x:c>
      <x:c r="I53" s="31" t="n">
        <x:v>0.0051539292</x:v>
      </x:c>
      <x:c r="J53" s="31" t="n">
        <x:v>0.0051539292</x:v>
      </x:c>
      <x:c r="K53" s="31" t="n">
        <x:v>0</x:v>
      </x:c>
      <x:c r="L53" s="31" t="n">
        <x:v>0.0051539292</x:v>
      </x:c>
      <x:c r="M53" s="31" t="n">
        <x:v>0</x:v>
      </x:c>
      <x:c r="N53" s="24" t="str">
        <x:v>gymnocephalus cernua</x:v>
      </x:c>
      <x:c r="O53" s="32" t="n">
        <x:v>3.32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Gymnocephalus cernua</x:v>
      </x:c>
      <x:c r="T53" s="32" t="n">
        <x:f>IF(O53="","",(1/'Metadata'!$B$5)^(O53-1))</x:f>
        <x:v>208.92961308540387</x:v>
      </x:c>
      <x:c r="U53" s="31" t="n">
        <x:f>IF(T53="","",I53*T53)</x:f>
        <x:v>1.076808433625565</x:v>
      </x:c>
    </x:row>
    <x:row r="54" ht="18" customHeight="1">
      <x:c r="A54" s="24" t="str">
        <x:v>EEZ_278</x:v>
      </x:c>
      <x:c r="B54" s="24" t="str">
        <x:v>Germany (Baltic Sea)</x:v>
      </x:c>
      <x:c r="C54" s="24" t="str">
        <x:v>EEZ</x:v>
      </x:c>
      <x:c r="D54" s="30" t="n">
        <x:v>2019</x:v>
      </x:c>
      <x:c r="E54" s="24" t="str">
        <x:v>Osteichthyes</x:v>
      </x:c>
      <x:c r="F54" s="24" t="str">
        <x:v>Bony fishes</x:v>
      </x:c>
      <x:c r="G54" s="24" t="str">
        <x:v>Medium demersals (30 - 89 cm)</x:v>
      </x:c>
      <x:c r="H54" s="24" t="str">
        <x:v>Other fishes &amp; inverts</x:v>
      </x:c>
      <x:c r="I54" s="31" t="n">
        <x:v>0.0035019044000000003</x:v>
      </x:c>
      <x:c r="J54" s="31" t="n">
        <x:v>0.0014382228000000001</x:v>
      </x:c>
      <x:c r="K54" s="31" t="n">
        <x:v>0.0020636816</x:v>
      </x:c>
      <x:c r="L54" s="31" t="n">
        <x:v>0.0000105457</x:v>
      </x:c>
      <x:c r="M54" s="31" t="n">
        <x:v>0.0034913587</x:v>
      </x:c>
      <x:c r="N54" s="24" t="str">
        <x:v>osteichthyes</x:v>
      </x:c>
      <x:c r="O54" s="32" t="n">
        <x:v>3.79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Osteichthyes</x:v>
      </x:c>
      <x:c r="T54" s="32" t="n">
        <x:f>IF(O54="","",(1/'Metadata'!$B$5)^(O54-1))</x:f>
        <x:v>616.5950018614822</x:v>
      </x:c>
      <x:c r="U54" s="31" t="n">
        <x:f>IF(T54="","",I54*T54)</x:f>
        <x:v>2.159256750036733</x:v>
      </x:c>
    </x:row>
    <x:row r="55" ht="18" customHeight="1">
      <x:c r="A55" s="24" t="str">
        <x:v>EEZ_278</x:v>
      </x:c>
      <x:c r="B55" s="24" t="str">
        <x:v>Germany (Baltic Sea)</x:v>
      </x:c>
      <x:c r="C55" s="24" t="str">
        <x:v>EEZ</x:v>
      </x:c>
      <x:c r="D55" s="30" t="n">
        <x:v>2019</x:v>
      </x:c>
      <x:c r="E55" s="24" t="str">
        <x:v>Merluccius merluccius</x:v>
      </x:c>
      <x:c r="F55" s="24" t="str">
        <x:v>European hake</x:v>
      </x:c>
      <x:c r="G55" s="24" t="str">
        <x:v>Large demersals (&gt;=90 cm)</x:v>
      </x:c>
      <x:c r="H55" s="24" t="str">
        <x:v>Cod-likes</x:v>
      </x:c>
      <x:c r="I55" s="31" t="n">
        <x:v>0.001809454</x:v>
      </x:c>
      <x:c r="J55" s="31" t="n">
        <x:v>0.0011172206000000001</x:v>
      </x:c>
      <x:c r="K55" s="31" t="n">
        <x:v>0.0006922334</x:v>
      </x:c>
      <x:c r="L55" s="31" t="n">
        <x:v>0</x:v>
      </x:c>
      <x:c r="M55" s="31" t="n">
        <x:v>0.001809454</x:v>
      </x:c>
      <x:c r="N55" s="24" t="str">
        <x:v>merluccius merluccius</x:v>
      </x:c>
      <x:c r="O55" s="32" t="n">
        <x:v>4.42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Merluccius merluccius</x:v>
      </x:c>
      <x:c r="T55" s="32" t="n">
        <x:f>IF(O55="","",(1/'Metadata'!$B$5)^(O55-1))</x:f>
        <x:v>2630.2679918953813</x:v>
      </x:c>
      <x:c r="U55" s="31" t="n">
        <x:f>IF(T55="","",I55*T55)</x:f>
        <x:v>4.759348939007065</x:v>
      </x:c>
    </x:row>
    <x:row r="56" ht="18" customHeight="1">
      <x:c r="A56" s="24" t="str">
        <x:v>EEZ_278</x:v>
      </x:c>
      <x:c r="B56" s="24" t="str">
        <x:v>Germany (Baltic Sea)</x:v>
      </x:c>
      <x:c r="C56" s="24" t="str">
        <x:v>EEZ</x:v>
      </x:c>
      <x:c r="D56" s="30" t="n">
        <x:v>2019</x:v>
      </x:c>
      <x:c r="E56" s="24" t="str">
        <x:v>Squalus acanthias</x:v>
      </x:c>
      <x:c r="F56" s="24" t="str">
        <x:v>Picked dogfish</x:v>
      </x:c>
      <x:c r="G56" s="24" t="str">
        <x:v>Large sharks (&gt;=90 cm)</x:v>
      </x:c>
      <x:c r="H56" s="24" t="str">
        <x:v>Sharks &amp; rays</x:v>
      </x:c>
      <x:c r="I56" s="31" t="n">
        <x:v>0.0009707696999999999</x:v>
      </x:c>
      <x:c r="J56" s="31" t="n">
        <x:v>0.0005993872999999999</x:v>
      </x:c>
      <x:c r="K56" s="31" t="n">
        <x:v>0.0003713824</x:v>
      </x:c>
      <x:c r="L56" s="31" t="n">
        <x:v>0</x:v>
      </x:c>
      <x:c r="M56" s="31" t="n">
        <x:v>0.0009707696999999999</x:v>
      </x:c>
      <x:c r="N56" s="24" t="str">
        <x:v>squalus acanthias</x:v>
      </x:c>
      <x:c r="O56" s="32" t="n">
        <x:v>4.37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Squalus acanthias</x:v>
      </x:c>
      <x:c r="T56" s="32" t="n">
        <x:f>IF(O56="","",(1/'Metadata'!$B$5)^(O56-1))</x:f>
        <x:v>2344.228815319923</x:v>
      </x:c>
      <x:c r="U56" s="31" t="n">
        <x:f>IF(T56="","",I56*T56)</x:f>
        <x:v>2.2757063037794767</x:v>
      </x:c>
    </x:row>
    <x:row r="57" ht="18" customHeight="1">
      <x:c r="A57" s="24" t="str">
        <x:v>EEZ_278</x:v>
      </x:c>
      <x:c r="B57" s="24" t="str">
        <x:v>Germany (Baltic Sea)</x:v>
      </x:c>
      <x:c r="C57" s="24" t="str">
        <x:v>EEZ</x:v>
      </x:c>
      <x:c r="D57" s="30" t="n">
        <x:v>2019</x:v>
      </x:c>
      <x:c r="E57" s="24" t="str">
        <x:v>Eutrigla gurnardus</x:v>
      </x:c>
      <x:c r="F57" s="24" t="str">
        <x:v>Grey gurnard</x:v>
      </x:c>
      <x:c r="G57" s="24" t="str">
        <x:v>Medium demersals (30 - 89 cm)</x:v>
      </x:c>
      <x:c r="H57" s="24" t="str">
        <x:v>Scorpionfishes</x:v>
      </x:c>
      <x:c r="I57" s="31" t="n">
        <x:v>0.0009707696000000001</x:v>
      </x:c>
      <x:c r="J57" s="31" t="n">
        <x:v>0.0005993873</x:v>
      </x:c>
      <x:c r="K57" s="31" t="n">
        <x:v>0.0003713823</x:v>
      </x:c>
      <x:c r="L57" s="31" t="n">
        <x:v>0</x:v>
      </x:c>
      <x:c r="M57" s="31" t="n">
        <x:v>0.0009707696000000001</x:v>
      </x:c>
      <x:c r="N57" s="24" t="str">
        <x:v>eutrigla gurnardus</x:v>
      </x:c>
      <x:c r="O57" s="32" t="n">
        <x:v>3.87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Eutrigla gurnardus</x:v>
      </x:c>
      <x:c r="T57" s="32" t="n">
        <x:f>IF(O57="","",(1/'Metadata'!$B$5)^(O57-1))</x:f>
        <x:v>741.3102413009177</x:v>
      </x:c>
      <x:c r="U57" s="31" t="n">
        <x:f>IF(T57="","",I57*T57)</x:f>
        <x:v>0.7196414464235954</x:v>
      </x:c>
    </x:row>
    <x:row r="58" ht="18" customHeight="1">
      <x:c r="A58" s="24" t="str">
        <x:v>EEZ_278</x:v>
      </x:c>
      <x:c r="B58" s="24" t="str">
        <x:v>Germany (Baltic Sea)</x:v>
      </x:c>
      <x:c r="C58" s="24" t="str">
        <x:v>EEZ</x:v>
      </x:c>
      <x:c r="D58" s="30" t="n">
        <x:v>2019</x:v>
      </x:c>
      <x:c r="E58" s="24" t="str">
        <x:v>Trachinus draco</x:v>
      </x:c>
      <x:c r="F58" s="24" t="str">
        <x:v>Greater weever</x:v>
      </x:c>
      <x:c r="G58" s="24" t="str">
        <x:v>Medium demersals (30 - 89 cm)</x:v>
      </x:c>
      <x:c r="H58" s="24" t="str">
        <x:v>Perch-likes</x:v>
      </x:c>
      <x:c r="I58" s="31" t="n">
        <x:v>0.0009707693</x:v>
      </x:c>
      <x:c r="J58" s="31" t="n">
        <x:v>0.000599387</x:v>
      </x:c>
      <x:c r="K58" s="31" t="n">
        <x:v>0.0003713823</x:v>
      </x:c>
      <x:c r="L58" s="31" t="n">
        <x:v>0</x:v>
      </x:c>
      <x:c r="M58" s="31" t="n">
        <x:v>0.0009707693</x:v>
      </x:c>
      <x:c r="N58" s="24" t="str">
        <x:v>trachinus draco</x:v>
      </x:c>
      <x:c r="O58" s="32" t="n">
        <x:v>4.18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Trachinus draco</x:v>
      </x:c>
      <x:c r="T58" s="32" t="n">
        <x:f>IF(O58="","",(1/'Metadata'!$B$5)^(O58-1))</x:f>
        <x:v>1513.5612484362073</x:v>
      </x:c>
      <x:c r="U58" s="31" t="n">
        <x:f>IF(T58="","",I58*T58)</x:f>
        <x:v>1.469318793651543</x:v>
      </x:c>
    </x:row>
    <x:row r="59" ht="18" customHeight="1">
      <x:c r="A59" s="24" t="str">
        <x:v>EEZ_278</x:v>
      </x:c>
      <x:c r="B59" s="24" t="str">
        <x:v>Germany (Baltic Sea)</x:v>
      </x:c>
      <x:c r="C59" s="24" t="str">
        <x:v>EEZ</x:v>
      </x:c>
      <x:c r="D59" s="30" t="n">
        <x:v>2019</x:v>
      </x:c>
      <x:c r="E59" s="24" t="str">
        <x:v>Raja</x:v>
      </x:c>
      <x:c r="F59" s="24" t="str">
        <x:v>Stingrays, skates</x:v>
      </x:c>
      <x:c r="G59" s="24" t="str">
        <x:v>Small to medium rays (&lt;90 cm)</x:v>
      </x:c>
      <x:c r="H59" s="24" t="str">
        <x:v>Sharks &amp; rays</x:v>
      </x:c>
      <x:c r="I59" s="31" t="n">
        <x:v>0.0004853849</x:v>
      </x:c>
      <x:c r="J59" s="31" t="n">
        <x:v>0.0002996938</x:v>
      </x:c>
      <x:c r="K59" s="31" t="n">
        <x:v>0.0001856911</x:v>
      </x:c>
      <x:c r="L59" s="31" t="n">
        <x:v>0</x:v>
      </x:c>
      <x:c r="M59" s="31" t="n">
        <x:v>0.0004853849</x:v>
      </x:c>
      <x:c r="N59" s="24" t="str">
        <x:v>raja</x:v>
      </x:c>
      <x:c r="O59" s="32" t="n">
        <x:v>3.8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Raja</x:v>
      </x:c>
      <x:c r="T59" s="32" t="n">
        <x:f>IF(O59="","",(1/'Metadata'!$B$5)^(O59-1))</x:f>
        <x:v>630.957344480193</x:v>
      </x:c>
      <x:c r="U59" s="31" t="n">
        <x:f>IF(T59="","",I59*T59)</x:f>
        <x:v>0.306257167554784</x:v>
      </x:c>
    </x:row>
    <x:row r="60" ht="18" customHeight="1">
      <x:c r="A60" s="24" t="str">
        <x:v>EEZ_278</x:v>
      </x:c>
      <x:c r="B60" s="24" t="str">
        <x:v>Germany (Baltic Sea)</x:v>
      </x:c>
      <x:c r="C60" s="24" t="str">
        <x:v>EEZ</x:v>
      </x:c>
      <x:c r="D60" s="30" t="n">
        <x:v>2019</x:v>
      </x:c>
      <x:c r="E60" s="24" t="str">
        <x:v>Cyprinus carpio</x:v>
      </x:c>
      <x:c r="F60" s="24" t="str">
        <x:v>Common carp</x:v>
      </x:c>
      <x:c r="G60" s="24" t="str">
        <x:v>Large benthopelagics (&gt;=90 cm)</x:v>
      </x:c>
      <x:c r="H60" s="24" t="str">
        <x:v>Other fishes &amp; inverts</x:v>
      </x:c>
      <x:c r="I60" s="31" t="n">
        <x:v>0.0003430052</x:v>
      </x:c>
      <x:c r="J60" s="31" t="n">
        <x:v>0.00034262439999999995</x:v>
      </x:c>
      <x:c r="K60" s="31" t="n">
        <x:v>3.808e-7</x:v>
      </x:c>
      <x:c r="L60" s="31" t="n">
        <x:v>0</x:v>
      </x:c>
      <x:c r="M60" s="31" t="n">
        <x:v>0.0003430052</x:v>
      </x:c>
      <x:c r="N60" s="24" t="str">
        <x:v>cyprinus carpio</x:v>
      </x:c>
      <x:c r="O60" s="32" t="n">
        <x:v>3.06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Cyprinus carpio</x:v>
      </x:c>
      <x:c r="T60" s="32" t="n">
        <x:f>IF(O60="","",(1/'Metadata'!$B$5)^(O60-1))</x:f>
        <x:v>114.81536214968828</x:v>
      </x:c>
      <x:c r="U60" s="31" t="n">
        <x:f>IF(T60="","",I60*T60)</x:f>
        <x:v>0.03938226625722625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a4ce61b51e845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0.1441582709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18.57118278597823</x:v>
      </x:c>
    </x:row>
    <x:row r="3" ht="18" customHeight="1">
      <x:c r="A3" s="24" t="str">
        <x:v>Cod-likes</x:v>
      </x:c>
      <x:c r="B3" s="31" t="n">
        <x:v>6612.023390757601</x:v>
      </x:c>
      <x:c r="C3" s="32" t="n">
        <x:v>4.09886475771319</x:v>
      </x:c>
      <x:c r="D3" s="32" t="n">
        <x:f>IF(C3="","",(1/'Metadata'!$B$5)^(C3-1))</x:f>
        <x:v>1255.6388882257484</x:v>
      </x:c>
      <x:c r="E3" s="31" t="n">
        <x:f>IF(B3=0,"",B3*D3)</x:f>
        <x:v>8302313.6992935175</x:v>
      </x:c>
    </x:row>
    <x:row r="4" ht="18" customHeight="1">
      <x:c r="A4" s="24" t="str">
        <x:v>Crustaceans</x:v>
      </x:c>
      <x:c r="B4" s="31" t="n">
        <x:v>91.5779562252</x:v>
      </x:c>
      <x:c r="C4" s="32" t="n">
        <x:v>3.1042570884699074</x:v>
      </x:c>
      <x:c r="D4" s="32" t="n">
        <x:f>IF(C4="","",(1/'Metadata'!$B$5)^(C4-1))</x:f>
        <x:v>127.13264671852197</x:v>
      </x:c>
      <x:c r="E4" s="31" t="n">
        <x:f>IF(B4=0,"",B4*D4)</x:f>
        <x:v>11642.547955982622</x:v>
      </x:c>
    </x:row>
    <x:row r="5" ht="18" customHeight="1">
      <x:c r="A5" s="24" t="str">
        <x:v>Flatfishes</x:v>
      </x:c>
      <x:c r="B5" s="31" t="n">
        <x:v>5191.566288493899</x:v>
      </x:c>
      <x:c r="C5" s="32" t="n">
        <x:v>3.32207892238494</x:v>
      </x:c>
      <x:c r="D5" s="32" t="n">
        <x:f>IF(C5="","",(1/'Metadata'!$B$5)^(C5-1))</x:f>
        <x:v>209.93213491981393</x:v>
      </x:c>
      <x:c r="E5" s="31" t="n">
        <x:f>IF(B5=0,"",B5*D5)</x:f>
        <x:v>1089876.594521259</x:v>
      </x:c>
    </x:row>
    <x:row r="6" ht="18" customHeight="1">
      <x:c r="A6" s="24" t="str">
        <x:v>Herring-likes</x:v>
      </x:c>
      <x:c r="B6" s="31" t="n">
        <x:v>6987.2976472195005</x:v>
      </x:c>
      <x:c r="C6" s="32" t="n">
        <x:v>3.318657007070061</x:v>
      </x:c>
      <x:c r="D6" s="32" t="n">
        <x:f>IF(C6="","",(1/'Metadata'!$B$5)^(C6-1))</x:f>
        <x:v>208.28452637994047</x:v>
      </x:c>
      <x:c r="E6" s="31" t="n">
        <x:f>IF(B6=0,"",B6*D6)</x:f>
        <x:v>1455345.981126786</x:v>
      </x:c>
    </x:row>
    <x:row r="7" ht="18" customHeight="1">
      <x:c r="A7" s="24" t="str">
        <x:v>Molluscs</x:v>
      </x:c>
      <x:c r="B7" s="31" t="n">
        <x:v>5837.2510730245</x:v>
      </x:c>
      <x:c r="C7" s="32" t="n">
        <x:v>2.0037990038412827</x:v>
      </x:c>
      <x:c r="D7" s="32" t="n">
        <x:f>IF(C7="","",(1/'Metadata'!$B$5)^(C7-1))</x:f>
        <x:v>10.087859010538285</x:v>
      </x:c>
      <x:c r="E7" s="31" t="n">
        <x:f>IF(B7=0,"",B7*D7)</x:f>
        <x:v>58885.365833784475</x:v>
      </x:c>
    </x:row>
    <x:row r="8" ht="18" customHeight="1">
      <x:c r="A8" s="24" t="str">
        <x:v>Other fishes &amp; inverts</x:v>
      </x:c>
      <x:c r="B8" s="31" t="n">
        <x:v>1077.0101306651002</x:v>
      </x:c>
      <x:c r="C8" s="32" t="n">
        <x:v>3.1020994728175584</x:v>
      </x:c>
      <x:c r="D8" s="32" t="n">
        <x:f>IF(C8="","",(1/'Metadata'!$B$5)^(C8-1))</x:f>
        <x:v>126.5026061713423</x:v>
      </x:c>
      <x:c r="E8" s="31" t="n">
        <x:f>IF(B8=0,"",B8*D8)</x:f>
        <x:v>136244.58840207307</x:v>
      </x:c>
    </x:row>
    <x:row r="9" ht="18" customHeight="1">
      <x:c r="A9" s="24" t="str">
        <x:v>Perch-likes</x:v>
      </x:c>
      <x:c r="B9" s="31" t="n">
        <x:v>336.3118913666</x:v>
      </x:c>
      <x:c r="C9" s="32" t="n">
        <x:v>4.0496740253299475</x:v>
      </x:c>
      <x:c r="D9" s="32" t="n">
        <x:f>IF(C9="","",(1/'Metadata'!$B$5)^(C9-1))</x:f>
        <x:v>1121.176600716363</x:v>
      </x:c>
      <x:c r="E9" s="31" t="n">
        <x:f>IF(B9=0,"",B9*D9)</x:f>
        <x:v>377065.0231428953</x:v>
      </x:c>
    </x:row>
    <x:row r="10" ht="18" customHeight="1">
      <x:c r="A10" s="24" t="str">
        <x:v>Salmon, smelts, etc</x:v>
      </x:c>
      <x:c r="B10" s="31" t="n">
        <x:v>54.42805036760001</x:v>
      </x:c>
      <x:c r="C10" s="32" t="n">
        <x:v>4.07513202163661</x:v>
      </x:c>
      <x:c r="D10" s="32" t="n">
        <x:f>IF(C10="","",(1/'Metadata'!$B$5)^(C10-1))</x:f>
        <x:v>1188.8635764005724</x:v>
      </x:c>
      <x:c r="E10" s="31" t="n">
        <x:f>IF(B10=0,"",B10*D10)</x:f>
        <x:v>64707.52661653543</x:v>
      </x:c>
    </x:row>
    <x:row r="11" ht="18" customHeight="1">
      <x:c r="A11" s="24" t="str">
        <x:v>Scorpionfishes</x:v>
      </x:c>
      <x:c r="B11" s="31" t="n">
        <x:v>0.9008066088999999</x:v>
      </x:c>
      <x:c r="C11" s="32" t="n">
        <x:v>3.888927721302823</x:v>
      </x:c>
      <x:c r="D11" s="32" t="n">
        <x:f>IF(C11="","",(1/'Metadata'!$B$5)^(C11-1))</x:f>
        <x:v>774.332916515107</x:v>
      </x:c>
      <x:c r="E11" s="31" t="n">
        <x:f>IF(B11=0,"",B11*D11)</x:f>
        <x:v>697.5242086856202</x:v>
      </x:c>
    </x:row>
    <x:row r="12" ht="18" customHeight="1">
      <x:c r="A12" s="24" t="str">
        <x:v>Sharks &amp; rays</x:v>
      </x:c>
      <x:c r="B12" s="31" t="n">
        <x:v>0.0014561545999999999</x:v>
      </x:c>
      <x:c r="C12" s="32" t="n">
        <x:v>4.179999986951935</x:v>
      </x:c>
      <x:c r="D12" s="32" t="n">
        <x:f>IF(C12="","",(1/'Metadata'!$B$5)^(C12-1))</x:f>
        <x:v>1513.5612029623505</x:v>
      </x:c>
      <x:c r="E12" s="31" t="n">
        <x:f>IF(B12=0,"",B12*D12)</x:f>
        <x:v>2.2039791080751603</x:v>
      </x:c>
    </x:row>
  </x:sheetData>
  <x:pageMargins left="0.7" right="0.7" top="0.75" bottom="0.75" header="0.3" footer="0.3"/>
  <x:tableParts count="1">
    <x:tablePart xmlns:r="http://schemas.openxmlformats.org/officeDocument/2006/relationships" r:id="R8b8069c7b63949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6411.181359474501</x:v>
      </x:c>
      <x:c r="C2" s="32" t="n">
        <x:v>4.091557603438846</x:v>
      </x:c>
      <x:c r="D2" s="32" t="n">
        <x:f>IF(C2="","",(1/'Metadata'!$B$5)^(C2-1))</x:f>
        <x:v>1234.6890695418904</x:v>
      </x:c>
      <x:c r="E2" s="31" t="n">
        <x:f>IF(B2=0,"",B2*D2)</x:f>
        <x:v>7915815.547393884</x:v>
      </x:c>
    </x:row>
    <x:row r="3" ht="18" customHeight="1">
      <x:c r="A3" s="24" t="str">
        <x:v>Large demersals (&gt;=90 cm)</x:v>
      </x:c>
      <x:c r="B3" s="31" t="n">
        <x:v>94.75031030279999</x:v>
      </x:c>
      <x:c r="C3" s="32" t="n">
        <x:v>3.7147039723674746</x:v>
      </x:c>
      <x:c r="D3" s="32" t="n">
        <x:f>IF(C3="","",(1/'Metadata'!$B$5)^(C3-1))</x:f>
        <x:v>518.4465303683412</x:v>
      </x:c>
      <x:c r="E3" s="31" t="n">
        <x:f>IF(B3=0,"",B3*D3)</x:f>
        <x:v>49122.969627810344</x:v>
      </x:c>
    </x:row>
    <x:row r="4" ht="18" customHeight="1">
      <x:c r="A4" s="24" t="str">
        <x:v>Large flatfishes (&gt;=90 cm)</x:v>
      </x:c>
      <x:c r="B4" s="31" t="n">
        <x:v>1892.742851122</x:v>
      </x:c>
      <x:c r="C4" s="32" t="n">
        <x:v>3.2991273679736572</x:v>
      </x:c>
      <x:c r="D4" s="32" t="n">
        <x:f>IF(C4="","",(1/'Metadata'!$B$5)^(C4-1))</x:f>
        <x:v>199.12572405178918</x:v>
      </x:c>
      <x:c r="E4" s="31" t="n">
        <x:f>IF(B4=0,"",B4*D4)</x:f>
        <x:v>376893.79067351605</x:v>
      </x:c>
    </x:row>
    <x:row r="5" ht="18" customHeight="1">
      <x:c r="A5" s="24" t="str">
        <x:v>Large pelagics (&gt;=90 cm)</x:v>
      </x:c>
      <x:c r="B5" s="31" t="n">
        <x:v>90.55012688999999</x:v>
      </x:c>
      <x:c r="C5" s="32" t="n">
        <x:v>3.986810116760953</x:v>
      </x:c>
      <x:c r="D5" s="32" t="n">
        <x:f>IF(C5="","",(1/'Metadata'!$B$5)^(C5-1))</x:f>
        <x:v>970.085731379712</x:v>
      </x:c>
      <x:c r="E5" s="31" t="n">
        <x:f>IF(B5=0,"",B5*D5)</x:f>
        <x:v>87841.38607061136</x:v>
      </x:c>
    </x:row>
    <x:row r="6" ht="18" customHeight="1">
      <x:c r="A6" s="24" t="str">
        <x:v>Large sharks (&gt;=90 cm)</x:v>
      </x:c>
      <x:c r="B6" s="31" t="n">
        <x:v>0.0009707696999999999</x:v>
      </x:c>
      <x:c r="C6" s="32" t="n">
        <x:v>4.37</x:v>
      </x:c>
      <x:c r="D6" s="32" t="n">
        <x:f>IF(C6="","",(1/'Metadata'!$B$5)^(C6-1))</x:f>
        <x:v>2344.228815319923</x:v>
      </x:c>
      <x:c r="E6" s="31" t="n">
        <x:f>IF(B6=0,"",B6*D6)</x:f>
        <x:v>2.2757063037794767</x:v>
      </x:c>
    </x:row>
    <x:row r="7" ht="18" customHeight="1">
      <x:c r="A7" s="24" t="str">
        <x:v>Lobsters, crabs</x:v>
      </x:c>
      <x:c r="B7" s="31" t="n">
        <x:v>10.049594443999998</x:v>
      </x:c>
      <x:c r="C7" s="32" t="n">
        <x:v>2.600895945402193</x:v>
      </x:c>
      <x:c r="D7" s="32" t="n">
        <x:f>IF(C7="","",(1/'Metadata'!$B$5)^(C7-1))</x:f>
        <x:v>39.89293096161385</x:v>
      </x:c>
      <x:c r="E7" s="31" t="n">
        <x:f>IF(B7=0,"",B7*D7)</x:f>
        <x:v>400.9077773467101</x:v>
      </x:c>
    </x:row>
    <x:row r="8" ht="18" customHeight="1">
      <x:c r="A8" s="24" t="str">
        <x:v>Medium benthopelagics (30 - 89 cm)</x:v>
      </x:c>
      <x:c r="B8" s="31" t="n">
        <x:v>758.1702955183</x:v>
      </x:c>
      <x:c r="C8" s="32" t="n">
        <x:v>3.3650803766684065</x:v>
      </x:c>
      <x:c r="D8" s="32" t="n">
        <x:f>IF(C8="","",(1/'Metadata'!$B$5)^(C8-1))</x:f>
        <x:v>231.7823579431179</x:v>
      </x:c>
      <x:c r="E8" s="31" t="n">
        <x:f>IF(B8=0,"",B8*D8)</x:f>
        <x:v>175730.49881766207</x:v>
      </x:c>
    </x:row>
    <x:row r="9" ht="18" customHeight="1">
      <x:c r="A9" s="24" t="str">
        <x:v>Medium demersals (30 - 89 cm)</x:v>
      </x:c>
      <x:c r="B9" s="31" t="n">
        <x:v>571.3538227345</x:v>
      </x:c>
      <x:c r="C9" s="32" t="n">
        <x:v>3.4258256364387223</x:v>
      </x:c>
      <x:c r="D9" s="32" t="n">
        <x:f>IF(C9="","",(1/'Metadata'!$B$5)^(C9-1))</x:f>
        <x:v>266.5788170514017</x:v>
      </x:c>
      <x:c r="E9" s="31" t="n">
        <x:f>IF(B9=0,"",B9*D9)</x:f>
        <x:v>152310.82618235928</x:v>
      </x:c>
    </x:row>
    <x:row r="10" ht="18" customHeight="1">
      <x:c r="A10" s="24" t="str">
        <x:v>Medium pelagics (30 - 89 cm)</x:v>
      </x:c>
      <x:c r="B10" s="31" t="n">
        <x:v>5928.3641625138</x:v>
      </x:c>
      <x:c r="C10" s="32" t="n">
        <x:v>3.391868322046989</x:v>
      </x:c>
      <x:c r="D10" s="32" t="n">
        <x:f>IF(C10="","",(1/'Metadata'!$B$5)^(C10-1))</x:f>
        <x:v>246.52917482077305</x:v>
      </x:c>
      <x:c r="E10" s="31" t="n">
        <x:f>IF(B10=0,"",B10*D10)</x:f>
        <x:v>1461514.7250215705</x:v>
      </x:c>
    </x:row>
    <x:row r="11" ht="18" customHeight="1">
      <x:c r="A11" s="24" t="str">
        <x:v>Medium reef assoc. fish (30 - 89 cm)</x:v>
      </x:c>
      <x:c r="B11" s="31" t="n">
        <x:v>0.0788594233</x:v>
      </x:c>
      <x:c r="C11" s="32" t="n">
        <x:v>2.53</x:v>
      </x:c>
      <x:c r="D11" s="32" t="n">
        <x:f>IF(C11="","",(1/'Metadata'!$B$5)^(C11-1))</x:f>
        <x:v>33.88441561392024</x:v>
      </x:c>
      <x:c r="E11" s="31" t="n">
        <x:f>IF(B11=0,"",B11*D11)</x:f>
        <x:v>2.6721054741712655</x:v>
      </x:c>
    </x:row>
    <x:row r="12" ht="18" customHeight="1">
      <x:c r="A12" s="24" t="str">
        <x:v>Other demersal invertebrates</x:v>
      </x:c>
      <x:c r="B12" s="31" t="n">
        <x:v>5837.2510730245</x:v>
      </x:c>
      <x:c r="C12" s="32" t="n">
        <x:v>2.0037990038412827</x:v>
      </x:c>
      <x:c r="D12" s="32" t="n">
        <x:f>IF(C12="","",(1/'Metadata'!$B$5)^(C12-1))</x:f>
        <x:v>10.087859010538285</x:v>
      </x:c>
      <x:c r="E12" s="31" t="n">
        <x:f>IF(B12=0,"",B12*D12)</x:f>
        <x:v>58885.365833784475</x:v>
      </x:c>
    </x:row>
    <x:row r="13" ht="18" customHeight="1">
      <x:c r="A13" s="24" t="str">
        <x:v>Shrimps</x:v>
      </x:c>
      <x:c r="B13" s="31" t="n">
        <x:v>81.5283617812</x:v>
      </x:c>
      <x:c r="C13" s="32" t="n">
        <x:v>3.166303905506102</x:v>
      </x:c>
      <x:c r="D13" s="32" t="n">
        <x:f>IF(C13="","",(1/'Metadata'!$B$5)^(C13-1))</x:f>
        <x:v>146.6573743764866</x:v>
      </x:c>
      <x:c r="E13" s="31" t="n">
        <x:f>IF(B13=0,"",B13*D13)</x:f>
        <x:v>11956.73547604709</x:v>
      </x:c>
    </x:row>
    <x:row r="14" ht="18" customHeight="1">
      <x:c r="A14" s="24" t="str">
        <x:v>Small demersals (&lt;30 cm)</x:v>
      </x:c>
      <x:c r="B14" s="31" t="n">
        <x:v>50.51053014319999</x:v>
      </x:c>
      <x:c r="C14" s="32" t="n">
        <x:v>3.0800244888145993</x:v>
      </x:c>
      <x:c r="D14" s="32" t="n">
        <x:f>IF(C14="","",(1/'Metadata'!$B$5)^(C14-1))</x:f>
        <x:v>120.23322293101009</x:v>
      </x:c>
      <x:c r="E14" s="31" t="n">
        <x:f>IF(B14=0,"",B14*D14)</x:f>
        <x:v>6073.04383107087</x:v>
      </x:c>
    </x:row>
    <x:row r="15" ht="18" customHeight="1">
      <x:c r="A15" s="24" t="str">
        <x:v>Small pelagics (&lt;30 cm)</x:v>
      </x:c>
      <x:c r="B15" s="31" t="n">
        <x:v>1158.5813209000003</x:v>
      </x:c>
      <x:c r="C15" s="32" t="n">
        <x:v>3.010012442654503</x:v>
      </x:c>
      <x:c r="D15" s="32" t="n">
        <x:f>IF(C15="","",(1/'Metadata'!$B$5)^(C15-1))</x:f>
        <x:v>102.33223103220489</x:v>
      </x:c>
      <x:c r="E15" s="31" t="n">
        <x:f>IF(B15=0,"",B15*D15)</x:f>
        <x:v>118560.21139993594</x:v>
      </x:c>
    </x:row>
    <x:row r="16" ht="18" customHeight="1">
      <x:c r="A16" s="24" t="str">
        <x:v>Small reef assoc. fish (&lt;30 cm)</x:v>
      </x:c>
      <x:c r="B16" s="31" t="n">
        <x:v>4.5752873558</x:v>
      </x:c>
      <x:c r="C16" s="32" t="n">
        <x:v>3.11</x:v>
      </x:c>
      <x:c r="D16" s="32" t="n">
        <x:f>IF(C16="","",(1/'Metadata'!$B$5)^(C16-1))</x:f>
        <x:v>128.82495516931337</x:v>
      </x:c>
      <x:c r="E16" s="31" t="n">
        <x:f>IF(B16=0,"",B16*D16)</x:f>
        <x:v>589.4111884976612</x:v>
      </x:c>
    </x:row>
    <x:row r="17" ht="18" customHeight="1">
      <x:c r="A17" s="24" t="str">
        <x:v>Small to medium flatfishes (&lt;90 cm)</x:v>
      </x:c>
      <x:c r="B17" s="31" t="n">
        <x:v>3298.8234373719</x:v>
      </x:c>
      <x:c r="C17" s="32" t="n">
        <x:v>3.3352476752323783</x:v>
      </x:c>
      <x:c r="D17" s="32" t="n">
        <x:f>IF(C17="","",(1/'Metadata'!$B$5)^(C17-1))</x:f>
        <x:v>216.3952259368661</x:v>
      </x:c>
      <x:c r="E17" s="31" t="n">
        <x:f>IF(B17=0,"",B17*D17)</x:f>
        <x:v>713849.6430559215</x:v>
      </x:c>
    </x:row>
    <x:row r="18" ht="18" customHeight="1">
      <x:c r="A18" s="24" t="str">
        <x:v>Small to medium rays (&lt;90 cm)</x:v>
      </x:c>
      <x:c r="B18" s="31" t="n">
        <x:v>0.0004853849</x:v>
      </x:c>
      <x:c r="C18" s="32" t="n">
        <x:v>3.8</x:v>
      </x:c>
      <x:c r="D18" s="32" t="n">
        <x:f>IF(C18="","",(1/'Metadata'!$B$5)^(C18-1))</x:f>
        <x:v>630.957344480193</x:v>
      </x:c>
      <x:c r="E18" s="31" t="n">
        <x:f>IF(B18=0,"",B18*D18)</x:f>
        <x:v>0.306257167554784</x:v>
      </x:c>
    </x:row>
  </x:sheetData>
  <x:pageMargins left="0.7" right="0.7" top="0.75" bottom="0.75" header="0.3" footer="0.3"/>
  <x:tableParts count="1">
    <x:tablePart xmlns:r="http://schemas.openxmlformats.org/officeDocument/2006/relationships" r:id="Re036082cc61744d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EEZ_278</x:v>
      </x:c>
      <x:c r="B2" s="24" t="str">
        <x:v>raw_filtered_tonnes</x:v>
      </x:c>
      <x:c r="C2" s="24" t="n">
        <x:v>26188.5128491544</x:v>
      </x:c>
      <x:c r="D2" s="24" t="str">
        <x:v>tonnes</x:v>
      </x:c>
    </x:row>
    <x:row r="3" ht="18" customHeight="1">
      <x:c r="A3" s="24" t="str">
        <x:v>EEZ_278</x:v>
      </x:c>
      <x:c r="B3" s="24" t="str">
        <x:v>species_catch_tonnes</x:v>
      </x:c>
      <x:c r="C3" s="24" t="n">
        <x:v>26188.5128491544</x:v>
      </x:c>
      <x:c r="D3" s="24" t="str">
        <x:v>tonnes</x:v>
      </x:c>
    </x:row>
    <x:row r="4" ht="18" customHeight="1">
      <x:c r="A4" s="24" t="str">
        <x:v>EEZ_278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EEZ_278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EEZ_278</x:v>
      </x:c>
      <x:c r="B6" s="24" t="str">
        <x:v>matched_catch_tonnes</x:v>
      </x:c>
      <x:c r="C6" s="24" t="n">
        <x:v>26188.5128491544</x:v>
      </x:c>
      <x:c r="D6" s="24" t="str">
        <x:v>tonnes</x:v>
      </x:c>
    </x:row>
    <x:row r="7" ht="18" customHeight="1">
      <x:c r="A7" s="24" t="str">
        <x:v>EEZ_278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EEZ_278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EEZ_278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EEZ_278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EEZ_278</x:v>
      </x:c>
      <x:c r="B11" s="24" t="str">
        <x:v>species_ppr</x:v>
      </x:c>
      <x:c r="C11" s="24" t="n">
        <x:v>12082330.078822175</x:v>
      </x:c>
      <x:c r="D11" s="24" t="str">
        <x:v>tonnes_primary_production_equivalent</x:v>
      </x:c>
    </x:row>
    <x:row r="12" ht="18" customHeight="1">
      <x:c r="A12" s="24" t="str">
        <x:v>EEZ_278</x:v>
      </x:c>
      <x:c r="B12" s="24" t="str">
        <x:v>commercial_ppr</x:v>
      </x:c>
      <x:c r="C12" s="24" t="n">
        <x:v>11496799.626263414</x:v>
      </x:c>
      <x:c r="D12" s="24" t="str">
        <x:v>tonnes_primary_production_equivalent</x:v>
      </x:c>
    </x:row>
    <x:row r="13" ht="18" customHeight="1">
      <x:c r="A13" s="24" t="str">
        <x:v>EEZ_278</x:v>
      </x:c>
      <x:c r="B13" s="24" t="str">
        <x:v>functional_ppr</x:v>
      </x:c>
      <x:c r="C13" s="24" t="n">
        <x:v>11129550.316418964</x:v>
      </x:c>
      <x:c r="D13" s="24" t="str">
        <x:v>tonnes_primary_production_equivalent</x:v>
      </x:c>
    </x:row>
    <x:row r="14" ht="18" customHeight="1">
      <x:c r="A14" s="24" t="str">
        <x:v>EEZ_278</x:v>
      </x:c>
      <x:c r="B14" s="24" t="str">
        <x:v>commercial_ppr_difference</x:v>
      </x:c>
      <x:c r="C14" s="24" t="n">
        <x:v>-585530.4525587615</x:v>
      </x:c>
      <x:c r="D14" s="24" t="str">
        <x:v>tonnes_primary_production_equivalent</x:v>
      </x:c>
    </x:row>
    <x:row r="15" ht="18" customHeight="1">
      <x:c r="A15" s="24" t="str">
        <x:v>EEZ_278</x:v>
      </x:c>
      <x:c r="B15" s="24" t="str">
        <x:v>functional_ppr_difference</x:v>
      </x:c>
      <x:c r="C15" s="24" t="n">
        <x:v>-952779.7624032106</x:v>
      </x:c>
      <x:c r="D15" s="24" t="str">
        <x:v>tonnes_primary_production_equivalent</x:v>
      </x:c>
    </x:row>
    <x:row r="16" ht="18" customHeight="1">
      <x:c r="A16" s="24" t="str">
        <x:v>EEZ_278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EEZ_278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9c1b401754844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EEZ_278 - Germany (Baltic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