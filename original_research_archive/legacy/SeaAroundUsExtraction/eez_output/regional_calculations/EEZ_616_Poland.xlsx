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ab09e183f6484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18c0c8174e65423c"/>
    <x:sheet xmlns:r="http://schemas.openxmlformats.org/officeDocument/2006/relationships" name="Commercial" sheetId="2" r:id="R11d246e458ee4f9d"/>
    <x:sheet xmlns:r="http://schemas.openxmlformats.org/officeDocument/2006/relationships" name="Functional" sheetId="3" r:id="R1bb54733f1ff45f1"/>
    <x:sheet xmlns:r="http://schemas.openxmlformats.org/officeDocument/2006/relationships" name="Missing TL" sheetId="4" r:id="Rff82e6c3988a4acd"/>
    <x:sheet xmlns:r="http://schemas.openxmlformats.org/officeDocument/2006/relationships" name="Validation" sheetId="5" r:id="Radadf22a08bb4153"/>
    <x:sheet xmlns:r="http://schemas.openxmlformats.org/officeDocument/2006/relationships" name="Metadata" sheetId="6" r:id="Rb0f130f5ad3a4e1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0.0000"/>
    <x:numFmt numFmtId="203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A3412"/>
      </x:font>
      <x:fill>
        <x:patternFill patternType="solid">
          <x:bgColor rgb="FFFCEA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510df27b0d34b6e" /><Relationship Type="http://schemas.openxmlformats.org/officeDocument/2006/relationships/theme" Target="/xl/theme/theme1.xml" Id="Rf4df1e5b7647437f" /><Relationship Type="http://schemas.microsoft.com/office/2022/11/relationships/FeaturePropertyBag" Target="/xl/featurePropertyBag/featurePropertyBag.xml" Id="Rd02f699363f04ded" /><Relationship Type="http://schemas.openxmlformats.org/officeDocument/2006/relationships/sharedStrings" Target="/xl/sharedStrings.xml" Id="Rf6ab820103bc4110" /><Relationship Type="http://schemas.openxmlformats.org/officeDocument/2006/relationships/worksheet" Target="/xl/worksheets/sheet1.xml" Id="R18c0c8174e65423c" /><Relationship Type="http://schemas.openxmlformats.org/officeDocument/2006/relationships/worksheet" Target="/xl/worksheets/sheet2.xml" Id="R11d246e458ee4f9d" /><Relationship Type="http://schemas.openxmlformats.org/officeDocument/2006/relationships/worksheet" Target="/xl/worksheets/sheet3.xml" Id="R1bb54733f1ff45f1" /><Relationship Type="http://schemas.openxmlformats.org/officeDocument/2006/relationships/worksheet" Target="/xl/worksheets/sheet4.xml" Id="Rff82e6c3988a4acd" /><Relationship Type="http://schemas.openxmlformats.org/officeDocument/2006/relationships/worksheet" Target="/xl/worksheets/sheet5.xml" Id="Radadf22a08bb4153" /><Relationship Type="http://schemas.openxmlformats.org/officeDocument/2006/relationships/worksheet" Target="/xl/worksheets/sheet6.xml" Id="Rb0f130f5ad3a4e1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616SpeciesTable" displayName="EEZ616SpeciesTable" ref="A1:U57" headerRowCount="1" totalsRowCount="0" totalsRowShown="0">
  <x:autoFilter ref="A1:U57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616CommercialTable" displayName="EEZ616CommercialTable" ref="A1:E9" headerRowCount="1" totalsRowCount="0" totalsRowShown="0">
  <x:autoFilter ref="A1:E9"/>
  <x:tableColumns count="5">
    <x:tableColumn id="1" name="commerci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616FunctionalTable" displayName="EEZ616FunctionalTable" ref="A1:E15" headerRowCount="1" totalsRowCount="0" totalsRowShown="0">
  <x:autoFilter ref="A1:E15"/>
  <x:tableColumns count="5">
    <x:tableColumn id="1" name="function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616ValidationTable" displayName="EEZ616ValidationTable" ref="A1:D17" headerRowCount="1" totalsRowCount="0" totalsRowShown="0">
  <x:autoFilter ref="A1:D17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4478170c880493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9d391fcf37b483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9ad94b35874464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0327c123b234648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EEZ_616</x:v>
      </x:c>
      <x:c r="B2" s="24" t="str">
        <x:v>Poland</x:v>
      </x:c>
      <x:c r="C2" s="24" t="str">
        <x:v>EEZ</x:v>
      </x:c>
      <x:c r="D2" s="30" t="n">
        <x:v>2019</x:v>
      </x:c>
      <x:c r="E2" s="24" t="str">
        <x:v>Sprattus sprattus</x:v>
      </x:c>
      <x:c r="F2" s="24" t="str">
        <x:v>European sprat</x:v>
      </x:c>
      <x:c r="G2" s="24" t="str">
        <x:v>Small pelagics (&lt;30 cm)</x:v>
      </x:c>
      <x:c r="H2" s="24" t="str">
        <x:v>Herring-likes</x:v>
      </x:c>
      <x:c r="I2" s="31" t="n">
        <x:v>67877.848601801</x:v>
      </x:c>
      <x:c r="J2" s="31" t="n">
        <x:v>66909.678111261</x:v>
      </x:c>
      <x:c r="K2" s="31" t="n">
        <x:v>968.17049054</x:v>
      </x:c>
      <x:c r="L2" s="31" t="n">
        <x:v>64675.9444007646</x:v>
      </x:c>
      <x:c r="M2" s="31" t="n">
        <x:v>3201.9042010364</x:v>
      </x:c>
      <x:c r="N2" s="24" t="str">
        <x:v>sprattus sprattus</x:v>
      </x:c>
      <x:c r="O2" s="32" t="n">
        <x:v>3.01</x:v>
      </x:c>
      <x:c r="P2" s="24" t="str">
        <x:v>exact_2020_supplement</x:v>
      </x:c>
      <x:c r="Q2" s="32" t="str">
        <x:v>2020 supplement MeanTL</x:v>
      </x:c>
      <x:c r="R2" s="24" t="str">
        <x:v>high</x:v>
      </x:c>
      <x:c r="S2" s="24" t="str">
        <x:v>Sprattus sprattus</x:v>
      </x:c>
      <x:c r="T2" s="32" t="n">
        <x:f>IF(O2="","",(1/'Metadata'!$B$5)^(O2-1))</x:f>
        <x:v>102.32929922807536</x:v>
      </x:c>
      <x:c r="U2" s="31" t="n">
        <x:f>IF(T2="","",I2*T2)</x:f>
        <x:v>6945892.680531691</x:v>
      </x:c>
    </x:row>
    <x:row r="3" ht="18" customHeight="1">
      <x:c r="A3" s="24" t="str">
        <x:v>EEZ_616</x:v>
      </x:c>
      <x:c r="B3" s="24" t="str">
        <x:v>Poland</x:v>
      </x:c>
      <x:c r="C3" s="24" t="str">
        <x:v>EEZ</x:v>
      </x:c>
      <x:c r="D3" s="30" t="n">
        <x:v>2019</x:v>
      </x:c>
      <x:c r="E3" s="24" t="str">
        <x:v>Clupea harengus</x:v>
      </x:c>
      <x:c r="F3" s="24" t="str">
        <x:v>Atlantic herring</x:v>
      </x:c>
      <x:c r="G3" s="24" t="str">
        <x:v>Medium pelagics (30 - 89 cm)</x:v>
      </x:c>
      <x:c r="H3" s="24" t="str">
        <x:v>Herring-likes</x:v>
      </x:c>
      <x:c r="I3" s="31" t="n">
        <x:v>51029.5137487931</x:v>
      </x:c>
      <x:c r="J3" s="31" t="n">
        <x:v>49373.7920846805</x:v>
      </x:c>
      <x:c r="K3" s="31" t="n">
        <x:v>1655.7216641126001</x:v>
      </x:c>
      <x:c r="L3" s="31" t="n">
        <x:v>26816.9972469381</x:v>
      </x:c>
      <x:c r="M3" s="31" t="n">
        <x:v>24212.516501855</x:v>
      </x:c>
      <x:c r="N3" s="24" t="str">
        <x:v>clupea harengus</x:v>
      </x:c>
      <x:c r="O3" s="32" t="n">
        <x:v>3.38</x:v>
      </x:c>
      <x:c r="P3" s="24" t="str">
        <x:v>exact_2020_supplement</x:v>
      </x:c>
      <x:c r="Q3" s="32" t="str">
        <x:v>2020 supplement MeanTL</x:v>
      </x:c>
      <x:c r="R3" s="24" t="str">
        <x:v>high</x:v>
      </x:c>
      <x:c r="S3" s="24" t="str">
        <x:v>Clupea harengus</x:v>
      </x:c>
      <x:c r="T3" s="32" t="n">
        <x:f>IF(O3="","",(1/'Metadata'!$B$5)^(O3-1))</x:f>
        <x:v>239.88329190194898</x:v>
      </x:c>
      <x:c r="U3" s="31" t="n">
        <x:f>IF(T3="","",I3*T3)</x:f>
        <x:v>12241127.742216254</x:v>
      </x:c>
    </x:row>
    <x:row r="4" ht="18" customHeight="1">
      <x:c r="A4" s="24" t="str">
        <x:v>EEZ_616</x:v>
      </x:c>
      <x:c r="B4" s="24" t="str">
        <x:v>Poland</x:v>
      </x:c>
      <x:c r="C4" s="24" t="str">
        <x:v>EEZ</x:v>
      </x:c>
      <x:c r="D4" s="30" t="n">
        <x:v>2019</x:v>
      </x:c>
      <x:c r="E4" s="24" t="str">
        <x:v>Gadus morhua</x:v>
      </x:c>
      <x:c r="F4" s="24" t="str">
        <x:v>Atlantic cod</x:v>
      </x:c>
      <x:c r="G4" s="24" t="str">
        <x:v>Large benthopelagics (&gt;=90 cm)</x:v>
      </x:c>
      <x:c r="H4" s="24" t="str">
        <x:v>Cod-likes</x:v>
      </x:c>
      <x:c r="I4" s="31" t="n">
        <x:v>14344.4422675739</x:v>
      </x:c>
      <x:c r="J4" s="31" t="n">
        <x:v>12954.8573543774</x:v>
      </x:c>
      <x:c r="K4" s="31" t="n">
        <x:v>1389.5849131965</x:v>
      </x:c>
      <x:c r="L4" s="31" t="n">
        <x:v>2667.4452683778</x:v>
      </x:c>
      <x:c r="M4" s="31" t="n">
        <x:v>11676.9969991961</x:v>
      </x:c>
      <x:c r="N4" s="24" t="str">
        <x:v>gadus morhua</x:v>
      </x:c>
      <x:c r="O4" s="32" t="n">
        <x:v>4.09</x:v>
      </x:c>
      <x:c r="P4" s="24" t="str">
        <x:v>exact_2020_supplement</x:v>
      </x:c>
      <x:c r="Q4" s="32" t="str">
        <x:v>2020 supplement MeanTL</x:v>
      </x:c>
      <x:c r="R4" s="24" t="str">
        <x:v>high</x:v>
      </x:c>
      <x:c r="S4" s="24" t="str">
        <x:v>Gadus morhua</x:v>
      </x:c>
      <x:c r="T4" s="32" t="n">
        <x:f>IF(O4="","",(1/'Metadata'!$B$5)^(O4-1))</x:f>
        <x:v>1230.268770812381</x:v>
      </x:c>
      <x:c r="U4" s="31" t="n">
        <x:f>IF(T4="","",I4*T4)</x:f>
        <x:v>17647519.356517307</x:v>
      </x:c>
    </x:row>
    <x:row r="5" ht="18" customHeight="1">
      <x:c r="A5" s="24" t="str">
        <x:v>EEZ_616</x:v>
      </x:c>
      <x:c r="B5" s="24" t="str">
        <x:v>Poland</x:v>
      </x:c>
      <x:c r="C5" s="24" t="str">
        <x:v>EEZ</x:v>
      </x:c>
      <x:c r="D5" s="30" t="n">
        <x:v>2019</x:v>
      </x:c>
      <x:c r="E5" s="24" t="str">
        <x:v>Platichthys flesus</x:v>
      </x:c>
      <x:c r="F5" s="24" t="str">
        <x:v>European flounder</x:v>
      </x:c>
      <x:c r="G5" s="24" t="str">
        <x:v>Small to medium flatfishes (&lt;90 cm)</x:v>
      </x:c>
      <x:c r="H5" s="24" t="str">
        <x:v>Flatfishes</x:v>
      </x:c>
      <x:c r="I5" s="31" t="n">
        <x:v>9948.826081172</x:v>
      </x:c>
      <x:c r="J5" s="31" t="n">
        <x:v>7593.2383268623</x:v>
      </x:c>
      <x:c r="K5" s="31" t="n">
        <x:v>2355.5877543097</x:v>
      </x:c>
      <x:c r="L5" s="31" t="n">
        <x:v>7036.9055700797</x:v>
      </x:c>
      <x:c r="M5" s="31" t="n">
        <x:v>2911.9205110923</x:v>
      </x:c>
      <x:c r="N5" s="24" t="str">
        <x:v>platichthys flesus</x:v>
      </x:c>
      <x:c r="O5" s="32" t="n">
        <x:v>3.32</x:v>
      </x:c>
      <x:c r="P5" s="24" t="str">
        <x:v>exact_2020_supplement</x:v>
      </x:c>
      <x:c r="Q5" s="32" t="str">
        <x:v>2020 supplement MeanTL</x:v>
      </x:c>
      <x:c r="R5" s="24" t="str">
        <x:v>high</x:v>
      </x:c>
      <x:c r="S5" s="24" t="str">
        <x:v>Platichthys flesus</x:v>
      </x:c>
      <x:c r="T5" s="32" t="n">
        <x:f>IF(O5="","",(1/'Metadata'!$B$5)^(O5-1))</x:f>
        <x:v>208.92961308540387</x:v>
      </x:c>
      <x:c r="U5" s="31" t="n">
        <x:f>IF(T5="","",I5*T5)</x:f>
        <x:v>2078604.3837932406</x:v>
      </x:c>
    </x:row>
    <x:row r="6" ht="18" customHeight="1">
      <x:c r="A6" s="24" t="str">
        <x:v>EEZ_616</x:v>
      </x:c>
      <x:c r="B6" s="24" t="str">
        <x:v>Poland</x:v>
      </x:c>
      <x:c r="C6" s="24" t="str">
        <x:v>EEZ</x:v>
      </x:c>
      <x:c r="D6" s="30" t="n">
        <x:v>2019</x:v>
      </x:c>
      <x:c r="E6" s="24" t="str">
        <x:v>Scophthalmidae</x:v>
      </x:c>
      <x:c r="F6" s="24" t="str">
        <x:v>Turbots</x:v>
      </x:c>
      <x:c r="G6" s="24" t="str">
        <x:v>Small to medium flatfishes (&lt;90 cm)</x:v>
      </x:c>
      <x:c r="H6" s="24" t="str">
        <x:v>Flatfishes</x:v>
      </x:c>
      <x:c r="I6" s="31" t="n">
        <x:v>4257.1490996314</x:v>
      </x:c>
      <x:c r="J6" s="31" t="n">
        <x:v>2733.8334671456</x:v>
      </x:c>
      <x:c r="K6" s="31" t="n">
        <x:v>1523.3156324858</x:v>
      </x:c>
      <x:c r="L6" s="31" t="n">
        <x:v>0</x:v>
      </x:c>
      <x:c r="M6" s="31" t="n">
        <x:v>4257.1490996314</x:v>
      </x:c>
      <x:c r="N6" s="24" t="str">
        <x:v>scophthalmidae</x:v>
      </x:c>
      <x:c r="O6" s="32" t="n">
        <x:v>3.71</x:v>
      </x:c>
      <x:c r="P6" s="24" t="str">
        <x:v>exact_sea_around_us</x:v>
      </x:c>
      <x:c r="Q6" s="32" t="str">
        <x:v>Sea Around Us exploited organisms</x:v>
      </x:c>
      <x:c r="R6" s="24" t="str">
        <x:v>high</x:v>
      </x:c>
      <x:c r="S6" s="24" t="str">
        <x:v>Scophthalmidae</x:v>
      </x:c>
      <x:c r="T6" s="32" t="n">
        <x:f>IF(O6="","",(1/'Metadata'!$B$5)^(O6-1))</x:f>
        <x:v>512.8613839913648</x:v>
      </x:c>
      <x:c r="U6" s="31" t="n">
        <x:f>IF(T6="","",I6*T6)</x:f>
        <x:v>2183327.3790945522</x:v>
      </x:c>
    </x:row>
    <x:row r="7" ht="18" customHeight="1">
      <x:c r="A7" s="24" t="str">
        <x:v>EEZ_616</x:v>
      </x:c>
      <x:c r="B7" s="24" t="str">
        <x:v>Poland</x:v>
      </x:c>
      <x:c r="C7" s="24" t="str">
        <x:v>EEZ</x:v>
      </x:c>
      <x:c r="D7" s="30" t="n">
        <x:v>2019</x:v>
      </x:c>
      <x:c r="E7" s="24" t="str">
        <x:v>Cyprinidae</x:v>
      </x:c>
      <x:c r="F7" s="24" t="str">
        <x:v>Carps, barbels, other cyprinids</x:v>
      </x:c>
      <x:c r="G7" s="24" t="str">
        <x:v>Medium demersals (30 - 89 cm)</x:v>
      </x:c>
      <x:c r="H7" s="24" t="str">
        <x:v>Other fishes &amp; inverts</x:v>
      </x:c>
      <x:c r="I7" s="31" t="n">
        <x:v>1939.2503878905998</x:v>
      </x:c>
      <x:c r="J7" s="31" t="n">
        <x:v>1876.2129621764998</x:v>
      </x:c>
      <x:c r="K7" s="31" t="n">
        <x:v>63.0374257141</x:v>
      </x:c>
      <x:c r="L7" s="31" t="n">
        <x:v>1787.8359750291</x:v>
      </x:c>
      <x:c r="M7" s="31" t="n">
        <x:v>151.4144128615</x:v>
      </x:c>
      <x:c r="N7" s="24" t="str">
        <x:v>cyprinidae</x:v>
      </x:c>
      <x:c r="O7" s="32" t="n">
        <x:v>2.8</x:v>
      </x:c>
      <x:c r="P7" s="24" t="str">
        <x:v>exact_sea_around_us</x:v>
      </x:c>
      <x:c r="Q7" s="32" t="str">
        <x:v>Sea Around Us exploited organisms</x:v>
      </x:c>
      <x:c r="R7" s="24" t="str">
        <x:v>high</x:v>
      </x:c>
      <x:c r="S7" s="24" t="str">
        <x:v>Cyprinidae</x:v>
      </x:c>
      <x:c r="T7" s="32" t="n">
        <x:f>IF(O7="","",(1/'Metadata'!$B$5)^(O7-1))</x:f>
        <x:v>63.0957344480193</x:v>
      </x:c>
      <x:c r="U7" s="31" t="n">
        <x:f>IF(T7="","",I7*T7)</x:f>
        <x:v>122358.4275025637</x:v>
      </x:c>
    </x:row>
    <x:row r="8" ht="18" customHeight="1">
      <x:c r="A8" s="24" t="str">
        <x:v>EEZ_616</x:v>
      </x:c>
      <x:c r="B8" s="24" t="str">
        <x:v>Poland</x:v>
      </x:c>
      <x:c r="C8" s="24" t="str">
        <x:v>EEZ</x:v>
      </x:c>
      <x:c r="D8" s="30" t="n">
        <x:v>2019</x:v>
      </x:c>
      <x:c r="E8" s="24" t="str">
        <x:v>Merlangius merlangus</x:v>
      </x:c>
      <x:c r="F8" s="24" t="str">
        <x:v>Whiting</x:v>
      </x:c>
      <x:c r="G8" s="24" t="str">
        <x:v>Medium benthopelagics (30 - 89 cm)</x:v>
      </x:c>
      <x:c r="H8" s="24" t="str">
        <x:v>Cod-likes</x:v>
      </x:c>
      <x:c r="I8" s="31" t="n">
        <x:v>1713.2162765679</x:v>
      </x:c>
      <x:c r="J8" s="31" t="n">
        <x:v>1674.2953847612</x:v>
      </x:c>
      <x:c r="K8" s="31" t="n">
        <x:v>38.9208918067</x:v>
      </x:c>
      <x:c r="L8" s="31" t="n">
        <x:v>1651.7701444837</x:v>
      </x:c>
      <x:c r="M8" s="31" t="n">
        <x:v>61.4461320842</x:v>
      </x:c>
      <x:c r="N8" s="24" t="str">
        <x:v>merlangius merlangus</x:v>
      </x:c>
      <x:c r="O8" s="32" t="n">
        <x:v>4.36</x:v>
      </x:c>
      <x:c r="P8" s="24" t="str">
        <x:v>exact_2020_supplement</x:v>
      </x:c>
      <x:c r="Q8" s="32" t="str">
        <x:v>2020 supplement MeanTL</x:v>
      </x:c>
      <x:c r="R8" s="24" t="str">
        <x:v>high</x:v>
      </x:c>
      <x:c r="S8" s="24" t="str">
        <x:v>Merlangius merlangus</x:v>
      </x:c>
      <x:c r="T8" s="32" t="n">
        <x:f>IF(O8="","",(1/'Metadata'!$B$5)^(O8-1))</x:f>
        <x:v>2290.867652767775</x:v>
      </x:c>
      <x:c r="U8" s="31" t="n">
        <x:f>IF(T8="","",I8*T8)</x:f>
        <x:v>3924751.750184652</x:v>
      </x:c>
    </x:row>
    <x:row r="9" ht="18" customHeight="1">
      <x:c r="A9" s="24" t="str">
        <x:v>EEZ_616</x:v>
      </x:c>
      <x:c r="B9" s="24" t="str">
        <x:v>Poland</x:v>
      </x:c>
      <x:c r="C9" s="24" t="str">
        <x:v>EEZ</x:v>
      </x:c>
      <x:c r="D9" s="30" t="n">
        <x:v>2019</x:v>
      </x:c>
      <x:c r="E9" s="24" t="str">
        <x:v>Perca fluviatilis</x:v>
      </x:c>
      <x:c r="F9" s="24" t="str">
        <x:v>European perch</x:v>
      </x:c>
      <x:c r="G9" s="24" t="str">
        <x:v>Medium demersals (30 - 89 cm)</x:v>
      </x:c>
      <x:c r="H9" s="24" t="str">
        <x:v>Perch-likes</x:v>
      </x:c>
      <x:c r="I9" s="31" t="n">
        <x:v>1017.8898956277999</x:v>
      </x:c>
      <x:c r="J9" s="31" t="n">
        <x:v>989.3677978635</x:v>
      </x:c>
      <x:c r="K9" s="31" t="n">
        <x:v>28.5220977643</x:v>
      </x:c>
      <x:c r="L9" s="31" t="n">
        <x:v>954.1387166339</x:v>
      </x:c>
      <x:c r="M9" s="31" t="n">
        <x:v>63.7511789939</x:v>
      </x:c>
      <x:c r="N9" s="24" t="str">
        <x:v>perca fluviatilis</x:v>
      </x:c>
      <x:c r="O9" s="32" t="n">
        <x:v>4.35</x:v>
      </x:c>
      <x:c r="P9" s="24" t="str">
        <x:v>exact_2020_supplement</x:v>
      </x:c>
      <x:c r="Q9" s="32" t="str">
        <x:v>2020 supplement MeanTL</x:v>
      </x:c>
      <x:c r="R9" s="24" t="str">
        <x:v>high</x:v>
      </x:c>
      <x:c r="S9" s="24" t="str">
        <x:v>Perca fluviatilis</x:v>
      </x:c>
      <x:c r="T9" s="32" t="n">
        <x:f>IF(O9="","",(1/'Metadata'!$B$5)^(O9-1))</x:f>
        <x:v>2238.7211385683377</x:v>
      </x:c>
      <x:c r="U9" s="31" t="n">
        <x:f>IF(T9="","",I9*T9)</x:f>
        <x:v>2278771.6260770746</x:v>
      </x:c>
    </x:row>
    <x:row r="10" ht="18" customHeight="1">
      <x:c r="A10" s="24" t="str">
        <x:v>EEZ_616</x:v>
      </x:c>
      <x:c r="B10" s="24" t="str">
        <x:v>Poland</x:v>
      </x:c>
      <x:c r="C10" s="24" t="str">
        <x:v>EEZ</x:v>
      </x:c>
      <x:c r="D10" s="30" t="n">
        <x:v>2019</x:v>
      </x:c>
      <x:c r="E10" s="24" t="str">
        <x:v>Rutilus rutilus</x:v>
      </x:c>
      <x:c r="F10" s="24" t="str">
        <x:v>Roach</x:v>
      </x:c>
      <x:c r="G10" s="24" t="str">
        <x:v>Medium benthopelagics (30 - 89 cm)</x:v>
      </x:c>
      <x:c r="H10" s="24" t="str">
        <x:v>Other fishes &amp; inverts</x:v>
      </x:c>
      <x:c r="I10" s="31" t="n">
        <x:v>642.0888428697</x:v>
      </x:c>
      <x:c r="J10" s="31" t="n">
        <x:v>614.7407448218</x:v>
      </x:c>
      <x:c r="K10" s="31" t="n">
        <x:v>27.3480980479</x:v>
      </x:c>
      <x:c r="L10" s="31" t="n">
        <x:v>569.6670303649</x:v>
      </x:c>
      <x:c r="M10" s="31" t="n">
        <x:v>72.4218125048</x:v>
      </x:c>
      <x:c r="N10" s="24" t="str">
        <x:v>rutilus rutilus</x:v>
      </x:c>
      <x:c r="O10" s="32" t="n">
        <x:v>2.96</x:v>
      </x:c>
      <x:c r="P10" s="24" t="str">
        <x:v>exact_2020_supplement</x:v>
      </x:c>
      <x:c r="Q10" s="32" t="str">
        <x:v>2020 supplement MeanTL</x:v>
      </x:c>
      <x:c r="R10" s="24" t="str">
        <x:v>high</x:v>
      </x:c>
      <x:c r="S10" s="24" t="str">
        <x:v>Rutilus rutilus</x:v>
      </x:c>
      <x:c r="T10" s="32" t="n">
        <x:f>IF(O10="","",(1/'Metadata'!$B$5)^(O10-1))</x:f>
        <x:v>91.20108393559097</x:v>
      </x:c>
      <x:c r="U10" s="31" t="n">
        <x:f>IF(T10="","",I10*T10)</x:f>
        <x:v>58559.198452665994</x:v>
      </x:c>
    </x:row>
    <x:row r="11" ht="18" customHeight="1">
      <x:c r="A11" s="24" t="str">
        <x:v>EEZ_616</x:v>
      </x:c>
      <x:c r="B11" s="24" t="str">
        <x:v>Poland</x:v>
      </x:c>
      <x:c r="C11" s="24" t="str">
        <x:v>EEZ</x:v>
      </x:c>
      <x:c r="D11" s="30" t="n">
        <x:v>2019</x:v>
      </x:c>
      <x:c r="E11" s="24" t="str">
        <x:v>Ammodytes tobianus</x:v>
      </x:c>
      <x:c r="F11" s="24" t="str">
        <x:v>Small sandeel</x:v>
      </x:c>
      <x:c r="G11" s="24" t="str">
        <x:v>Small demersals (&lt;30 cm)</x:v>
      </x:c>
      <x:c r="H11" s="24" t="str">
        <x:v>Perch-likes</x:v>
      </x:c>
      <x:c r="I11" s="31" t="n">
        <x:v>454.7859441121</x:v>
      </x:c>
      <x:c r="J11" s="31" t="n">
        <x:v>445.19983566840006</x:v>
      </x:c>
      <x:c r="K11" s="31" t="n">
        <x:v>9.5861084437</x:v>
      </x:c>
      <x:c r="L11" s="31" t="n">
        <x:v>427.994</x:v>
      </x:c>
      <x:c r="M11" s="31" t="n">
        <x:v>26.791944112099998</x:v>
      </x:c>
      <x:c r="N11" s="24" t="str">
        <x:v>ammodytes tobianus</x:v>
      </x:c>
      <x:c r="O11" s="32" t="n">
        <x:v>3.08</x:v>
      </x:c>
      <x:c r="P11" s="24" t="str">
        <x:v>exact_2020_supplement</x:v>
      </x:c>
      <x:c r="Q11" s="32" t="str">
        <x:v>2020 supplement MeanTL</x:v>
      </x:c>
      <x:c r="R11" s="24" t="str">
        <x:v>high</x:v>
      </x:c>
      <x:c r="S11" s="24" t="str">
        <x:v>Ammodytes tobianus</x:v>
      </x:c>
      <x:c r="T11" s="32" t="n">
        <x:f>IF(O11="","",(1/'Metadata'!$B$5)^(O11-1))</x:f>
        <x:v>120.22644346174131</x:v>
      </x:c>
      <x:c r="U11" s="31" t="n">
        <x:f>IF(T11="","",I11*T11)</x:f>
        <x:v>54677.29659698804</x:v>
      </x:c>
    </x:row>
    <x:row r="12" ht="18" customHeight="1">
      <x:c r="A12" s="24" t="str">
        <x:v>EEZ_616</x:v>
      </x:c>
      <x:c r="B12" s="24" t="str">
        <x:v>Poland</x:v>
      </x:c>
      <x:c r="C12" s="24" t="str">
        <x:v>EEZ</x:v>
      </x:c>
      <x:c r="D12" s="30" t="n">
        <x:v>2019</x:v>
      </x:c>
      <x:c r="E12" s="24" t="str">
        <x:v>Sander lucioperca</x:v>
      </x:c>
      <x:c r="F12" s="24" t="str">
        <x:v>Pike-perch</x:v>
      </x:c>
      <x:c r="G12" s="24" t="str">
        <x:v>Large pelagics (&gt;=90 cm)</x:v>
      </x:c>
      <x:c r="H12" s="24" t="str">
        <x:v>Perch-likes</x:v>
      </x:c>
      <x:c r="I12" s="31" t="n">
        <x:v>427.19729290280003</x:v>
      </x:c>
      <x:c r="J12" s="31" t="n">
        <x:v>421.74340794640005</x:v>
      </x:c>
      <x:c r="K12" s="31" t="n">
        <x:v>5.4538849564</x:v>
      </x:c>
      <x:c r="L12" s="31" t="n">
        <x:v>414.9877076911</x:v>
      </x:c>
      <x:c r="M12" s="31" t="n">
        <x:v>12.2095852117</x:v>
      </x:c>
      <x:c r="N12" s="24" t="str">
        <x:v>sander lucioperca</x:v>
      </x:c>
      <x:c r="O12" s="32" t="n">
        <x:v>4.04</x:v>
      </x:c>
      <x:c r="P12" s="24" t="str">
        <x:v>exact_2020_supplement</x:v>
      </x:c>
      <x:c r="Q12" s="32" t="str">
        <x:v>2020 supplement MeanTL</x:v>
      </x:c>
      <x:c r="R12" s="24" t="str">
        <x:v>high</x:v>
      </x:c>
      <x:c r="S12" s="24" t="str">
        <x:v>Sander lucioperca</x:v>
      </x:c>
      <x:c r="T12" s="32" t="n">
        <x:f>IF(O12="","",(1/'Metadata'!$B$5)^(O12-1))</x:f>
        <x:v>1096.4781961431852</x:v>
      </x:c>
      <x:c r="U12" s="31" t="n">
        <x:f>IF(T12="","",I12*T12)</x:f>
        <x:v>468412.5171193141</x:v>
      </x:c>
    </x:row>
    <x:row r="13" ht="18" customHeight="1">
      <x:c r="A13" s="24" t="str">
        <x:v>EEZ_616</x:v>
      </x:c>
      <x:c r="B13" s="24" t="str">
        <x:v>Poland</x:v>
      </x:c>
      <x:c r="C13" s="24" t="str">
        <x:v>EEZ</x:v>
      </x:c>
      <x:c r="D13" s="30" t="n">
        <x:v>2019</x:v>
      </x:c>
      <x:c r="E13" s="24" t="str">
        <x:v>Pleuronectes platessa</x:v>
      </x:c>
      <x:c r="F13" s="24" t="str">
        <x:v>European plaice</x:v>
      </x:c>
      <x:c r="G13" s="24" t="str">
        <x:v>Large flatfishes (&gt;=90 cm)</x:v>
      </x:c>
      <x:c r="H13" s="24" t="str">
        <x:v>Flatfishes</x:v>
      </x:c>
      <x:c r="I13" s="31" t="n">
        <x:v>385.65820200300004</x:v>
      </x:c>
      <x:c r="J13" s="31" t="n">
        <x:v>348.09744548460003</x:v>
      </x:c>
      <x:c r="K13" s="31" t="n">
        <x:v>37.5607565184</x:v>
      </x:c>
      <x:c r="L13" s="31" t="n">
        <x:v>332.4976757747</x:v>
      </x:c>
      <x:c r="M13" s="31" t="n">
        <x:v>53.1605262283</x:v>
      </x:c>
      <x:c r="N13" s="24" t="str">
        <x:v>pleuronectes platessa</x:v>
      </x:c>
      <x:c r="O13" s="32" t="n">
        <x:v>3.26</x:v>
      </x:c>
      <x:c r="P13" s="24" t="str">
        <x:v>exact_2020_supplement</x:v>
      </x:c>
      <x:c r="Q13" s="32" t="str">
        <x:v>2020 supplement MeanTL</x:v>
      </x:c>
      <x:c r="R13" s="24" t="str">
        <x:v>high</x:v>
      </x:c>
      <x:c r="S13" s="24" t="str">
        <x:v>Pleuronectes platessa</x:v>
      </x:c>
      <x:c r="T13" s="32" t="n">
        <x:f>IF(O13="","",(1/'Metadata'!$B$5)^(O13-1))</x:f>
        <x:v>181.97008586099827</x:v>
      </x:c>
      <x:c r="U13" s="31" t="n">
        <x:f>IF(T13="","",I13*T13)</x:f>
        <x:v>70178.25613148413</x:v>
      </x:c>
    </x:row>
    <x:row r="14" ht="18" customHeight="1">
      <x:c r="A14" s="24" t="str">
        <x:v>EEZ_616</x:v>
      </x:c>
      <x:c r="B14" s="24" t="str">
        <x:v>Poland</x:v>
      </x:c>
      <x:c r="C14" s="24" t="str">
        <x:v>EEZ</x:v>
      </x:c>
      <x:c r="D14" s="30" t="n">
        <x:v>2019</x:v>
      </x:c>
      <x:c r="E14" s="24" t="str">
        <x:v>Marine fishes not identified</x:v>
      </x:c>
      <x:c r="F14" s="24" t="str">
        <x:v>Marine fishes nei</x:v>
      </x:c>
      <x:c r="G14" s="24" t="str">
        <x:v>Medium demersals (30 - 89 cm)</x:v>
      </x:c>
      <x:c r="H14" s="24" t="str">
        <x:v>Other fishes &amp; inverts</x:v>
      </x:c>
      <x:c r="I14" s="31" t="n">
        <x:v>272.22933195539997</x:v>
      </x:c>
      <x:c r="J14" s="31" t="n">
        <x:v>236.7958533776</x:v>
      </x:c>
      <x:c r="K14" s="31" t="n">
        <x:v>35.4334785778</x:v>
      </x:c>
      <x:c r="L14" s="31" t="n">
        <x:v>175.13335916050002</x:v>
      </x:c>
      <x:c r="M14" s="31" t="n">
        <x:v>97.0959727949</x:v>
      </x:c>
      <x:c r="N14" s="24" t="str">
        <x:v>marine fishes not identified</x:v>
      </x:c>
      <x:c r="O14" s="32" t="n">
        <x:v>3.28</x:v>
      </x:c>
      <x:c r="P14" s="24" t="str">
        <x:v>exact_sea_around_us</x:v>
      </x:c>
      <x:c r="Q14" s="32" t="str">
        <x:v>Sea Around Us exploited organisms</x:v>
      </x:c>
      <x:c r="R14" s="24" t="str">
        <x:v>high</x:v>
      </x:c>
      <x:c r="S14" s="24" t="str">
        <x:v>Marine fishes not identified</x:v>
      </x:c>
      <x:c r="T14" s="32" t="n">
        <x:f>IF(O14="","",(1/'Metadata'!$B$5)^(O14-1))</x:f>
        <x:v>190.54607179632464</x:v>
      </x:c>
      <x:c r="U14" s="31" t="n">
        <x:f>IF(T14="","",I14*T14)</x:f>
        <x:v>51872.22983183913</x:v>
      </x:c>
    </x:row>
    <x:row r="15" ht="18" customHeight="1">
      <x:c r="A15" s="24" t="str">
        <x:v>EEZ_616</x:v>
      </x:c>
      <x:c r="B15" s="24" t="str">
        <x:v>Poland</x:v>
      </x:c>
      <x:c r="C15" s="24" t="str">
        <x:v>EEZ</x:v>
      </x:c>
      <x:c r="D15" s="30" t="n">
        <x:v>2019</x:v>
      </x:c>
      <x:c r="E15" s="24" t="str">
        <x:v>Gobiidae</x:v>
      </x:c>
      <x:c r="F15" s="24" t="str">
        <x:v>Gobies</x:v>
      </x:c>
      <x:c r="G15" s="24" t="str">
        <x:v>Small reef assoc. fish (&lt;30 cm)</x:v>
      </x:c>
      <x:c r="H15" s="24" t="str">
        <x:v>Perch-likes</x:v>
      </x:c>
      <x:c r="I15" s="31" t="n">
        <x:v>186.7963899036</x:v>
      </x:c>
      <x:c r="J15" s="31" t="n">
        <x:v>167.03029426979998</x:v>
      </x:c>
      <x:c r="K15" s="31" t="n">
        <x:v>19.7660956338</x:v>
      </x:c>
      <x:c r="L15" s="31" t="n">
        <x:v>146.48683526149998</x:v>
      </x:c>
      <x:c r="M15" s="31" t="n">
        <x:v>40.309554642100004</x:v>
      </x:c>
      <x:c r="N15" s="24" t="str">
        <x:v>gobiidae</x:v>
      </x:c>
      <x:c r="O15" s="32" t="n">
        <x:v>3.11</x:v>
      </x:c>
      <x:c r="P15" s="24" t="str">
        <x:v>exact_sea_around_us</x:v>
      </x:c>
      <x:c r="Q15" s="32" t="str">
        <x:v>Sea Around Us exploited organisms</x:v>
      </x:c>
      <x:c r="R15" s="24" t="str">
        <x:v>high</x:v>
      </x:c>
      <x:c r="S15" s="24" t="str">
        <x:v>Gobiidae</x:v>
      </x:c>
      <x:c r="T15" s="32" t="n">
        <x:f>IF(O15="","",(1/'Metadata'!$B$5)^(O15-1))</x:f>
        <x:v>128.82495516931337</x:v>
      </x:c>
      <x:c r="U15" s="31" t="n">
        <x:f>IF(T15="","",I15*T15)</x:f>
        <x:v>24064.03655512085</x:v>
      </x:c>
    </x:row>
    <x:row r="16" ht="18" customHeight="1">
      <x:c r="A16" s="24" t="str">
        <x:v>EEZ_616</x:v>
      </x:c>
      <x:c r="B16" s="24" t="str">
        <x:v>Poland</x:v>
      </x:c>
      <x:c r="C16" s="24" t="str">
        <x:v>EEZ</x:v>
      </x:c>
      <x:c r="D16" s="30" t="n">
        <x:v>2019</x:v>
      </x:c>
      <x:c r="E16" s="24" t="str">
        <x:v>Osmerus eperlanus</x:v>
      </x:c>
      <x:c r="F16" s="24" t="str">
        <x:v>European smelt</x:v>
      </x:c>
      <x:c r="G16" s="24" t="str">
        <x:v>Medium pelagics (30 - 89 cm)</x:v>
      </x:c>
      <x:c r="H16" s="24" t="str">
        <x:v>Salmon, smelts, etc</x:v>
      </x:c>
      <x:c r="I16" s="31" t="n">
        <x:v>150.2497319049</x:v>
      </x:c>
      <x:c r="J16" s="31" t="n">
        <x:v>146.7379208157</x:v>
      </x:c>
      <x:c r="K16" s="31" t="n">
        <x:v>3.5118110892</x:v>
      </x:c>
      <x:c r="L16" s="31" t="n">
        <x:v>141.1820237139</x:v>
      </x:c>
      <x:c r="M16" s="31" t="n">
        <x:v>9.067708191</x:v>
      </x:c>
      <x:c r="N16" s="24" t="str">
        <x:v>osmerus eperlanus</x:v>
      </x:c>
      <x:c r="O16" s="32" t="n">
        <x:v>3.46</x:v>
      </x:c>
      <x:c r="P16" s="24" t="str">
        <x:v>exact_2020_supplement</x:v>
      </x:c>
      <x:c r="Q16" s="32" t="str">
        <x:v>2020 supplement MeanTL</x:v>
      </x:c>
      <x:c r="R16" s="24" t="str">
        <x:v>high</x:v>
      </x:c>
      <x:c r="S16" s="24" t="str">
        <x:v>Osmerus eperlanus</x:v>
      </x:c>
      <x:c r="T16" s="32" t="n">
        <x:f>IF(O16="","",(1/'Metadata'!$B$5)^(O16-1))</x:f>
        <x:v>288.40315031266056</x:v>
      </x:c>
      <x:c r="U16" s="31" t="n">
        <x:f>IF(T16="","",I16*T16)</x:f>
        <x:v>43332.496015005825</x:v>
      </x:c>
    </x:row>
    <x:row r="17" ht="18" customHeight="1">
      <x:c r="A17" s="24" t="str">
        <x:v>EEZ_616</x:v>
      </x:c>
      <x:c r="B17" s="24" t="str">
        <x:v>Poland</x:v>
      </x:c>
      <x:c r="C17" s="24" t="str">
        <x:v>EEZ</x:v>
      </x:c>
      <x:c r="D17" s="30" t="n">
        <x:v>2019</x:v>
      </x:c>
      <x:c r="E17" s="24" t="str">
        <x:v>Pelecus cultratus</x:v>
      </x:c>
      <x:c r="F17" s="24" t="str">
        <x:v>Sichel</x:v>
      </x:c>
      <x:c r="G17" s="24" t="str">
        <x:v>Medium pelagics (30 - 89 cm)</x:v>
      </x:c>
      <x:c r="H17" s="24" t="str">
        <x:v>Other fishes &amp; inverts</x:v>
      </x:c>
      <x:c r="I17" s="31" t="n">
        <x:v>119.1402206173</x:v>
      </x:c>
      <x:c r="J17" s="31" t="n">
        <x:v>111.5310140671</x:v>
      </x:c>
      <x:c r="K17" s="31" t="n">
        <x:v>7.6092065502</x:v>
      </x:c>
      <x:c r="L17" s="31" t="n">
        <x:v>99.6486421031</x:v>
      </x:c>
      <x:c r="M17" s="31" t="n">
        <x:v>19.4915785142</x:v>
      </x:c>
      <x:c r="N17" s="24" t="str">
        <x:v>pelecus cultratus</x:v>
      </x:c>
      <x:c r="O17" s="32" t="n">
        <x:v>3.33</x:v>
      </x:c>
      <x:c r="P17" s="24" t="str">
        <x:v>exact_2020_supplement</x:v>
      </x:c>
      <x:c r="Q17" s="32" t="str">
        <x:v>2020 supplement MeanTL</x:v>
      </x:c>
      <x:c r="R17" s="24" t="str">
        <x:v>high</x:v>
      </x:c>
      <x:c r="S17" s="24" t="str">
        <x:v>Pelecus cultratus</x:v>
      </x:c>
      <x:c r="T17" s="32" t="n">
        <x:f>IF(O17="","",(1/'Metadata'!$B$5)^(O17-1))</x:f>
        <x:v>213.79620895022325</x:v>
      </x:c>
      <x:c r="U17" s="31" t="n">
        <x:f>IF(T17="","",I17*T17)</x:f>
        <x:v>25471.727501471967</x:v>
      </x:c>
    </x:row>
    <x:row r="18" ht="18" customHeight="1">
      <x:c r="A18" s="24" t="str">
        <x:v>EEZ_616</x:v>
      </x:c>
      <x:c r="B18" s="24" t="str">
        <x:v>Poland</x:v>
      </x:c>
      <x:c r="C18" s="24" t="str">
        <x:v>EEZ</x:v>
      </x:c>
      <x:c r="D18" s="30" t="n">
        <x:v>2019</x:v>
      </x:c>
      <x:c r="E18" s="24" t="str">
        <x:v>Anguilla anguilla</x:v>
      </x:c>
      <x:c r="F18" s="24" t="str">
        <x:v>European eel</x:v>
      </x:c>
      <x:c r="G18" s="24" t="str">
        <x:v>Large demersals (&gt;=90 cm)</x:v>
      </x:c>
      <x:c r="H18" s="24" t="str">
        <x:v>Other fishes &amp; inverts</x:v>
      </x:c>
      <x:c r="I18" s="31" t="n">
        <x:v>103.7920516634</x:v>
      </x:c>
      <x:c r="J18" s="31" t="n">
        <x:v>100.89465044399999</x:v>
      </x:c>
      <x:c r="K18" s="31" t="n">
        <x:v>2.8974012194</x:v>
      </x:c>
      <x:c r="L18" s="31" t="n">
        <x:v>95.43424094539999</x:v>
      </x:c>
      <x:c r="M18" s="31" t="n">
        <x:v>8.357810718</x:v>
      </x:c>
      <x:c r="N18" s="24" t="str">
        <x:v>anguilla anguilla</x:v>
      </x:c>
      <x:c r="O18" s="32" t="n">
        <x:v>3.55</x:v>
      </x:c>
      <x:c r="P18" s="24" t="str">
        <x:v>exact_2020_supplement</x:v>
      </x:c>
      <x:c r="Q18" s="32" t="str">
        <x:v>2020 supplement MeanTL</x:v>
      </x:c>
      <x:c r="R18" s="24" t="str">
        <x:v>high</x:v>
      </x:c>
      <x:c r="S18" s="24" t="str">
        <x:v>Anguilla anguilla</x:v>
      </x:c>
      <x:c r="T18" s="32" t="n">
        <x:f>IF(O18="","",(1/'Metadata'!$B$5)^(O18-1))</x:f>
        <x:v>354.8133892335753</x:v>
      </x:c>
      <x:c r="U18" s="31" t="n">
        <x:f>IF(T18="","",I18*T18)</x:f>
        <x:v>36826.809626197304</x:v>
      </x:c>
    </x:row>
    <x:row r="19" ht="18" customHeight="1">
      <x:c r="A19" s="24" t="str">
        <x:v>EEZ_616</x:v>
      </x:c>
      <x:c r="B19" s="24" t="str">
        <x:v>Poland</x:v>
      </x:c>
      <x:c r="C19" s="24" t="str">
        <x:v>EEZ</x:v>
      </x:c>
      <x:c r="D19" s="30" t="n">
        <x:v>2019</x:v>
      </x:c>
      <x:c r="E19" s="24" t="str">
        <x:v>Salmo salar</x:v>
      </x:c>
      <x:c r="F19" s="24" t="str">
        <x:v>Atlantic salmon</x:v>
      </x:c>
      <x:c r="G19" s="24" t="str">
        <x:v>Large benthopelagics (&gt;=90 cm)</x:v>
      </x:c>
      <x:c r="H19" s="24" t="str">
        <x:v>Salmon, smelts, etc</x:v>
      </x:c>
      <x:c r="I19" s="31" t="n">
        <x:v>74.3551846513</x:v>
      </x:c>
      <x:c r="J19" s="31" t="n">
        <x:v>69.6083359992</x:v>
      </x:c>
      <x:c r="K19" s="31" t="n">
        <x:v>4.7468486521</x:v>
      </x:c>
      <x:c r="L19" s="31" t="n">
        <x:v>46.8983238805</x:v>
      </x:c>
      <x:c r="M19" s="31" t="n">
        <x:v>27.4568607708</x:v>
      </x:c>
      <x:c r="N19" s="24" t="str">
        <x:v>salmo salar</x:v>
      </x:c>
      <x:c r="O19" s="32" t="n">
        <x:v>4.5</x:v>
      </x:c>
      <x:c r="P19" s="24" t="str">
        <x:v>exact_2020_supplement</x:v>
      </x:c>
      <x:c r="Q19" s="32" t="str">
        <x:v>2020 supplement MeanTL</x:v>
      </x:c>
      <x:c r="R19" s="24" t="str">
        <x:v>high</x:v>
      </x:c>
      <x:c r="S19" s="24" t="str">
        <x:v>Salmo salar</x:v>
      </x:c>
      <x:c r="T19" s="32" t="n">
        <x:f>IF(O19="","",(1/'Metadata'!$B$5)^(O19-1))</x:f>
        <x:v>3162.2776601683795</x:v>
      </x:c>
      <x:c r="U19" s="31" t="n">
        <x:f>IF(T19="","",I19*T19)</x:f>
        <x:v>235131.73934050076</x:v>
      </x:c>
    </x:row>
    <x:row r="20" ht="18" customHeight="1">
      <x:c r="A20" s="24" t="str">
        <x:v>EEZ_616</x:v>
      </x:c>
      <x:c r="B20" s="24" t="str">
        <x:v>Poland</x:v>
      </x:c>
      <x:c r="C20" s="24" t="str">
        <x:v>EEZ</x:v>
      </x:c>
      <x:c r="D20" s="30" t="n">
        <x:v>2019</x:v>
      </x:c>
      <x:c r="E20" s="24" t="str">
        <x:v>Salmo trutta</x:v>
      </x:c>
      <x:c r="F20" s="24" t="str">
        <x:v>Sea trout</x:v>
      </x:c>
      <x:c r="G20" s="24" t="str">
        <x:v>Large pelagics (&gt;=90 cm)</x:v>
      </x:c>
      <x:c r="H20" s="24" t="str">
        <x:v>Salmon, smelts, etc</x:v>
      </x:c>
      <x:c r="I20" s="31" t="n">
        <x:v>69.8044445079</x:v>
      </x:c>
      <x:c r="J20" s="31" t="n">
        <x:v>64.4712009924</x:v>
      </x:c>
      <x:c r="K20" s="31" t="n">
        <x:v>5.3332435154999995</x:v>
      </x:c>
      <x:c r="L20" s="31" t="n">
        <x:v>54.6121133763</x:v>
      </x:c>
      <x:c r="M20" s="31" t="n">
        <x:v>15.1923311316</x:v>
      </x:c>
      <x:c r="N20" s="24" t="str">
        <x:v>salmo trutta</x:v>
      </x:c>
      <x:c r="O20" s="32" t="n">
        <x:v>3.36</x:v>
      </x:c>
      <x:c r="P20" s="24" t="str">
        <x:v>exact_2020_supplement</x:v>
      </x:c>
      <x:c r="Q20" s="32" t="str">
        <x:v>2020 supplement MeanTL</x:v>
      </x:c>
      <x:c r="R20" s="24" t="str">
        <x:v>high</x:v>
      </x:c>
      <x:c r="S20" s="24" t="str">
        <x:v>Salmo trutta</x:v>
      </x:c>
      <x:c r="T20" s="32" t="n">
        <x:f>IF(O20="","",(1/'Metadata'!$B$5)^(O20-1))</x:f>
        <x:v>229.08676527677724</x:v>
      </x:c>
      <x:c r="U20" s="31" t="n">
        <x:f>IF(T20="","",I20*T20)</x:f>
        <x:v>15991.27439425711</x:v>
      </x:c>
    </x:row>
    <x:row r="21" ht="18" customHeight="1">
      <x:c r="A21" s="24" t="str">
        <x:v>EEZ_616</x:v>
      </x:c>
      <x:c r="B21" s="24" t="str">
        <x:v>Poland</x:v>
      </x:c>
      <x:c r="C21" s="24" t="str">
        <x:v>EEZ</x:v>
      </x:c>
      <x:c r="D21" s="30" t="n">
        <x:v>2019</x:v>
      </x:c>
      <x:c r="E21" s="24" t="str">
        <x:v>Scophthalmus maximus</x:v>
      </x:c>
      <x:c r="F21" s="24" t="str">
        <x:v>Turbot</x:v>
      </x:c>
      <x:c r="G21" s="24" t="str">
        <x:v>Large flatfishes (&gt;=90 cm)</x:v>
      </x:c>
      <x:c r="H21" s="24" t="str">
        <x:v>Flatfishes</x:v>
      </x:c>
      <x:c r="I21" s="31" t="n">
        <x:v>35.9033776995</x:v>
      </x:c>
      <x:c r="J21" s="31" t="n">
        <x:v>31.0023748484</x:v>
      </x:c>
      <x:c r="K21" s="31" t="n">
        <x:v>4.9010028511</x:v>
      </x:c>
      <x:c r="L21" s="31" t="n">
        <x:v>29.4985157843</x:v>
      </x:c>
      <x:c r="M21" s="31" t="n">
        <x:v>6.4048619152</x:v>
      </x:c>
      <x:c r="N21" s="24" t="str">
        <x:v>scophthalmus maximus</x:v>
      </x:c>
      <x:c r="O21" s="32" t="n">
        <x:v>4.36</x:v>
      </x:c>
      <x:c r="P21" s="24" t="str">
        <x:v>exact_2020_supplement</x:v>
      </x:c>
      <x:c r="Q21" s="32" t="str">
        <x:v>2020 supplement MeanTL</x:v>
      </x:c>
      <x:c r="R21" s="24" t="str">
        <x:v>high</x:v>
      </x:c>
      <x:c r="S21" s="24" t="str">
        <x:v>Scophthalmus maximus</x:v>
      </x:c>
      <x:c r="T21" s="32" t="n">
        <x:f>IF(O21="","",(1/'Metadata'!$B$5)^(O21-1))</x:f>
        <x:v>2290.867652767775</x:v>
      </x:c>
      <x:c r="U21" s="31" t="n">
        <x:f>IF(T21="","",I21*T21)</x:f>
        <x:v>82249.88659688843</x:v>
      </x:c>
    </x:row>
    <x:row r="22" ht="18" customHeight="1">
      <x:c r="A22" s="24" t="str">
        <x:v>EEZ_616</x:v>
      </x:c>
      <x:c r="B22" s="24" t="str">
        <x:v>Poland</x:v>
      </x:c>
      <x:c r="C22" s="24" t="str">
        <x:v>EEZ</x:v>
      </x:c>
      <x:c r="D22" s="30" t="n">
        <x:v>2019</x:v>
      </x:c>
      <x:c r="E22" s="24" t="str">
        <x:v>Carassius carassius</x:v>
      </x:c>
      <x:c r="F22" s="24" t="str">
        <x:v>Crucian carp</x:v>
      </x:c>
      <x:c r="G22" s="24" t="str">
        <x:v>Medium demersals (30 - 89 cm)</x:v>
      </x:c>
      <x:c r="H22" s="24" t="str">
        <x:v>Other fishes &amp; inverts</x:v>
      </x:c>
      <x:c r="I22" s="31" t="n">
        <x:v>33.827879987</x:v>
      </x:c>
      <x:c r="J22" s="31" t="n">
        <x:v>33.432075607099996</x:v>
      </x:c>
      <x:c r="K22" s="31" t="n">
        <x:v>0.3958043799</x:v>
      </x:c>
      <x:c r="L22" s="31" t="n">
        <x:v>32.048806174199996</x:v>
      </x:c>
      <x:c r="M22" s="31" t="n">
        <x:v>1.7790738128</x:v>
      </x:c>
      <x:c r="N22" s="24" t="str">
        <x:v>carassius carassius</x:v>
      </x:c>
      <x:c r="O22" s="32" t="n">
        <x:v>3.11</x:v>
      </x:c>
      <x:c r="P22" s="24" t="str">
        <x:v>exact_2020_supplement</x:v>
      </x:c>
      <x:c r="Q22" s="32" t="str">
        <x:v>2020 supplement MeanTL</x:v>
      </x:c>
      <x:c r="R22" s="24" t="str">
        <x:v>high</x:v>
      </x:c>
      <x:c r="S22" s="24" t="str">
        <x:v>Carassius carassius</x:v>
      </x:c>
      <x:c r="T22" s="32" t="n">
        <x:f>IF(O22="","",(1/'Metadata'!$B$5)^(O22-1))</x:f>
        <x:v>128.82495516931337</x:v>
      </x:c>
      <x:c r="U22" s="31" t="n">
        <x:f>IF(T22="","",I22*T22)</x:f>
        <x:v>4357.875122798188</x:v>
      </x:c>
    </x:row>
    <x:row r="23" ht="18" customHeight="1">
      <x:c r="A23" s="24" t="str">
        <x:v>EEZ_616</x:v>
      </x:c>
      <x:c r="B23" s="24" t="str">
        <x:v>Poland</x:v>
      </x:c>
      <x:c r="C23" s="24" t="str">
        <x:v>EEZ</x:v>
      </x:c>
      <x:c r="D23" s="30" t="n">
        <x:v>2019</x:v>
      </x:c>
      <x:c r="E23" s="24" t="str">
        <x:v>Belone belone</x:v>
      </x:c>
      <x:c r="F23" s="24" t="str">
        <x:v>Garfish</x:v>
      </x:c>
      <x:c r="G23" s="24" t="str">
        <x:v>Medium pelagics (30 - 89 cm)</x:v>
      </x:c>
      <x:c r="H23" s="24" t="str">
        <x:v>Other fishes &amp; inverts</x:v>
      </x:c>
      <x:c r="I23" s="31" t="n">
        <x:v>31.881095671</x:v>
      </x:c>
      <x:c r="J23" s="31" t="n">
        <x:v>27.7873488627</x:v>
      </x:c>
      <x:c r="K23" s="31" t="n">
        <x:v>4.0937468083</x:v>
      </x:c>
      <x:c r="L23" s="31" t="n">
        <x:v>22.3633614914</x:v>
      </x:c>
      <x:c r="M23" s="31" t="n">
        <x:v>9.5177341796</x:v>
      </x:c>
      <x:c r="N23" s="24" t="str">
        <x:v>belone belone</x:v>
      </x:c>
      <x:c r="O23" s="32" t="n">
        <x:v>4.16</x:v>
      </x:c>
      <x:c r="P23" s="24" t="str">
        <x:v>exact_2020_supplement</x:v>
      </x:c>
      <x:c r="Q23" s="32" t="str">
        <x:v>2020 supplement MeanTL</x:v>
      </x:c>
      <x:c r="R23" s="24" t="str">
        <x:v>high</x:v>
      </x:c>
      <x:c r="S23" s="24" t="str">
        <x:v>Belone belone</x:v>
      </x:c>
      <x:c r="T23" s="32" t="n">
        <x:f>IF(O23="","",(1/'Metadata'!$B$5)^(O23-1))</x:f>
        <x:v>1445.439770745928</x:v>
      </x:c>
      <x:c r="U23" s="31" t="n">
        <x:f>IF(T23="","",I23*T23)</x:f>
        <x:v>46082.203617819236</x:v>
      </x:c>
    </x:row>
    <x:row r="24" ht="18" customHeight="1">
      <x:c r="A24" s="24" t="str">
        <x:v>EEZ_616</x:v>
      </x:c>
      <x:c r="B24" s="24" t="str">
        <x:v>Poland</x:v>
      </x:c>
      <x:c r="C24" s="24" t="str">
        <x:v>EEZ</x:v>
      </x:c>
      <x:c r="D24" s="30" t="n">
        <x:v>2019</x:v>
      </x:c>
      <x:c r="E24" s="24" t="str">
        <x:v>Esox lucius</x:v>
      </x:c>
      <x:c r="F24" s="24" t="str">
        <x:v>Northern pike</x:v>
      </x:c>
      <x:c r="G24" s="24" t="str">
        <x:v>Large demersals (&gt;=90 cm)</x:v>
      </x:c>
      <x:c r="H24" s="24" t="str">
        <x:v>Salmon, smelts, etc</x:v>
      </x:c>
      <x:c r="I24" s="31" t="n">
        <x:v>18.5829819428</x:v>
      </x:c>
      <x:c r="J24" s="31" t="n">
        <x:v>17.4826369369</x:v>
      </x:c>
      <x:c r="K24" s="31" t="n">
        <x:v>1.1003450059</x:v>
      </x:c>
      <x:c r="L24" s="31" t="n">
        <x:v>16.4543118926</x:v>
      </x:c>
      <x:c r="M24" s="31" t="n">
        <x:v>2.1286700502</x:v>
      </x:c>
      <x:c r="N24" s="24" t="str">
        <x:v>esox lucius</x:v>
      </x:c>
      <x:c r="O24" s="32" t="n">
        <x:v>4.07</x:v>
      </x:c>
      <x:c r="P24" s="24" t="str">
        <x:v>exact_2020_supplement</x:v>
      </x:c>
      <x:c r="Q24" s="32" t="str">
        <x:v>2020 supplement MeanTL</x:v>
      </x:c>
      <x:c r="R24" s="24" t="str">
        <x:v>high</x:v>
      </x:c>
      <x:c r="S24" s="24" t="str">
        <x:v>Esox lucius</x:v>
      </x:c>
      <x:c r="T24" s="32" t="n">
        <x:f>IF(O24="","",(1/'Metadata'!$B$5)^(O24-1))</x:f>
        <x:v>1174.8975549395302</x:v>
      </x:c>
      <x:c r="U24" s="31" t="n">
        <x:f>IF(T24="","",I24*T24)</x:f>
        <x:v>21833.10004808116</x:v>
      </x:c>
    </x:row>
    <x:row r="25" ht="18" customHeight="1">
      <x:c r="A25" s="24" t="str">
        <x:v>EEZ_616</x:v>
      </x:c>
      <x:c r="B25" s="24" t="str">
        <x:v>Poland</x:v>
      </x:c>
      <x:c r="C25" s="24" t="str">
        <x:v>EEZ</x:v>
      </x:c>
      <x:c r="D25" s="30" t="n">
        <x:v>2019</x:v>
      </x:c>
      <x:c r="E25" s="24" t="str">
        <x:v>Alosa fallax</x:v>
      </x:c>
      <x:c r="F25" s="24" t="str">
        <x:v>Twaite shad</x:v>
      </x:c>
      <x:c r="G25" s="24" t="str">
        <x:v>Medium pelagics (30 - 89 cm)</x:v>
      </x:c>
      <x:c r="H25" s="24" t="str">
        <x:v>Herring-likes</x:v>
      </x:c>
      <x:c r="I25" s="31" t="n">
        <x:v>17.5420420777</x:v>
      </x:c>
      <x:c r="J25" s="31" t="n">
        <x:v>16.8288463715</x:v>
      </x:c>
      <x:c r="K25" s="31" t="n">
        <x:v>0.7131957062</x:v>
      </x:c>
      <x:c r="L25" s="31" t="n">
        <x:v>15.6779855258</x:v>
      </x:c>
      <x:c r="M25" s="31" t="n">
        <x:v>1.8640565519</x:v>
      </x:c>
      <x:c r="N25" s="24" t="str">
        <x:v>alosa fallax</x:v>
      </x:c>
      <x:c r="O25" s="32" t="n">
        <x:v>4.03</x:v>
      </x:c>
      <x:c r="P25" s="24" t="str">
        <x:v>exact_2020_supplement</x:v>
      </x:c>
      <x:c r="Q25" s="32" t="str">
        <x:v>2020 supplement MeanTL</x:v>
      </x:c>
      <x:c r="R25" s="24" t="str">
        <x:v>high</x:v>
      </x:c>
      <x:c r="S25" s="24" t="str">
        <x:v>Alosa fallax</x:v>
      </x:c>
      <x:c r="T25" s="32" t="n">
        <x:f>IF(O25="","",(1/'Metadata'!$B$5)^(O25-1))</x:f>
        <x:v>1071.519305237607</x:v>
      </x:c>
      <x:c r="U25" s="31" t="n">
        <x:f>IF(T25="","",I25*T25)</x:f>
        <x:v>18796.636739545975</x:v>
      </x:c>
    </x:row>
    <x:row r="26" ht="18" customHeight="1">
      <x:c r="A26" s="24" t="str">
        <x:v>EEZ_616</x:v>
      </x:c>
      <x:c r="B26" s="24" t="str">
        <x:v>Poland</x:v>
      </x:c>
      <x:c r="C26" s="24" t="str">
        <x:v>EEZ</x:v>
      </x:c>
      <x:c r="D26" s="30" t="n">
        <x:v>2019</x:v>
      </x:c>
      <x:c r="E26" s="24" t="str">
        <x:v>Perciformes</x:v>
      </x:c>
      <x:c r="F26" s="24" t="str">
        <x:v>Perch-likes</x:v>
      </x:c>
      <x:c r="G26" s="24" t="str">
        <x:v>Medium demersals (30 - 89 cm)</x:v>
      </x:c>
      <x:c r="H26" s="24" t="str">
        <x:v>Perch-likes</x:v>
      </x:c>
      <x:c r="I26" s="31" t="n">
        <x:v>17.3671814036</x:v>
      </x:c>
      <x:c r="J26" s="31" t="n">
        <x:v>10.723107981</x:v>
      </x:c>
      <x:c r="K26" s="31" t="n">
        <x:v>6.6440734226</x:v>
      </x:c>
      <x:c r="L26" s="31" t="n">
        <x:v>0</x:v>
      </x:c>
      <x:c r="M26" s="31" t="n">
        <x:v>17.3671814036</x:v>
      </x:c>
      <x:c r="N26" s="24" t="str">
        <x:v>perciformes</x:v>
      </x:c>
      <x:c r="O26" s="32" t="n">
        <x:v>3.53</x:v>
      </x:c>
      <x:c r="P26" s="24" t="str">
        <x:v>exact_sea_around_us</x:v>
      </x:c>
      <x:c r="Q26" s="32" t="str">
        <x:v>Sea Around Us exploited organisms</x:v>
      </x:c>
      <x:c r="R26" s="24" t="str">
        <x:v>high</x:v>
      </x:c>
      <x:c r="S26" s="24" t="str">
        <x:v>Perciformes</x:v>
      </x:c>
      <x:c r="T26" s="32" t="n">
        <x:f>IF(O26="","",(1/'Metadata'!$B$5)^(O26-1))</x:f>
        <x:v>338.84415613920237</x:v>
      </x:c>
      <x:c r="U26" s="31" t="n">
        <x:f>IF(T26="","",I26*T26)</x:f>
        <x:v>5884.76792721929</x:v>
      </x:c>
    </x:row>
    <x:row r="27" ht="18" customHeight="1">
      <x:c r="A27" s="24" t="str">
        <x:v>EEZ_616</x:v>
      </x:c>
      <x:c r="B27" s="24" t="str">
        <x:v>Poland</x:v>
      </x:c>
      <x:c r="C27" s="24" t="str">
        <x:v>EEZ</x:v>
      </x:c>
      <x:c r="D27" s="30" t="n">
        <x:v>2019</x:v>
      </x:c>
      <x:c r="E27" s="24" t="str">
        <x:v>Gasterosteus aculeatus</x:v>
      </x:c>
      <x:c r="F27" s="24" t="str">
        <x:v>Three-spined stickleback</x:v>
      </x:c>
      <x:c r="G27" s="24" t="str">
        <x:v>Small benthopelagics (&lt;30 cm)</x:v>
      </x:c>
      <x:c r="H27" s="24" t="str">
        <x:v>Other fishes &amp; inverts</x:v>
      </x:c>
      <x:c r="I27" s="31" t="n">
        <x:v>12.529248864200001</x:v>
      </x:c>
      <x:c r="J27" s="31" t="n">
        <x:v>12.142879455000001</x:v>
      </x:c>
      <x:c r="K27" s="31" t="n">
        <x:v>0.3863694092</x:v>
      </x:c>
      <x:c r="L27" s="31" t="n">
        <x:v>12.142020843100001</x:v>
      </x:c>
      <x:c r="M27" s="31" t="n">
        <x:v>0.3872280211</x:v>
      </x:c>
      <x:c r="N27" s="24" t="str">
        <x:v>gasterosteus aculeatus</x:v>
      </x:c>
      <x:c r="O27" s="32" t="n">
        <x:v>3.31</x:v>
      </x:c>
      <x:c r="P27" s="24" t="str">
        <x:v>exact_2020_supplement</x:v>
      </x:c>
      <x:c r="Q27" s="32" t="str">
        <x:v>2020 supplement MeanTL</x:v>
      </x:c>
      <x:c r="R27" s="24" t="str">
        <x:v>high</x:v>
      </x:c>
      <x:c r="S27" s="24" t="str">
        <x:v>Gasterosteus aculeatus</x:v>
      </x:c>
      <x:c r="T27" s="32" t="n">
        <x:f>IF(O27="","",(1/'Metadata'!$B$5)^(O27-1))</x:f>
        <x:v>204.17379446695296</x:v>
      </x:c>
      <x:c r="U27" s="31" t="n">
        <x:f>IF(T27="","",I27*T27)</x:f>
        <x:v>2558.144282424475</x:v>
      </x:c>
    </x:row>
    <x:row r="28" ht="18" customHeight="1">
      <x:c r="A28" s="24" t="str">
        <x:v>EEZ_616</x:v>
      </x:c>
      <x:c r="B28" s="24" t="str">
        <x:v>Poland</x:v>
      </x:c>
      <x:c r="C28" s="24" t="str">
        <x:v>EEZ</x:v>
      </x:c>
      <x:c r="D28" s="30" t="n">
        <x:v>2019</x:v>
      </x:c>
      <x:c r="E28" s="24" t="str">
        <x:v>Vimba</x:v>
      </x:c>
      <x:c r="F28" s="24" t="str">
        <x:v>Vimba breams</x:v>
      </x:c>
      <x:c r="G28" s="24" t="str">
        <x:v>Medium demersals (30 - 89 cm)</x:v>
      </x:c>
      <x:c r="H28" s="24" t="str">
        <x:v>Other fishes &amp; inverts</x:v>
      </x:c>
      <x:c r="I28" s="31" t="n">
        <x:v>12.002493889</x:v>
      </x:c>
      <x:c r="J28" s="31" t="n">
        <x:v>11.9133692215</x:v>
      </x:c>
      <x:c r="K28" s="31" t="n">
        <x:v>0.0891246675</x:v>
      </x:c>
      <x:c r="L28" s="31" t="n">
        <x:v>11.8107582012</x:v>
      </x:c>
      <x:c r="M28" s="31" t="n">
        <x:v>0.1917356878</x:v>
      </x:c>
      <x:c r="N28" s="24" t="str">
        <x:v>vimba</x:v>
      </x:c>
      <x:c r="O28" s="32" t="n">
        <x:v>3.05</x:v>
      </x:c>
      <x:c r="P28" s="24" t="str">
        <x:v>exact_sea_around_us</x:v>
      </x:c>
      <x:c r="Q28" s="32" t="str">
        <x:v>Sea Around Us exploited organisms</x:v>
      </x:c>
      <x:c r="R28" s="24" t="str">
        <x:v>high</x:v>
      </x:c>
      <x:c r="S28" s="24" t="str">
        <x:v>Vimba</x:v>
      </x:c>
      <x:c r="T28" s="32" t="n">
        <x:f>IF(O28="","",(1/'Metadata'!$B$5)^(O28-1))</x:f>
        <x:v>112.2018454301963</x:v>
      </x:c>
      <x:c r="U28" s="31" t="n">
        <x:f>IF(T28="","",I28*T28)</x:f>
        <x:v>1346.7019641104537</x:v>
      </x:c>
    </x:row>
    <x:row r="29" ht="18" customHeight="1">
      <x:c r="A29" s="24" t="str">
        <x:v>EEZ_616</x:v>
      </x:c>
      <x:c r="B29" s="24" t="str">
        <x:v>Poland</x:v>
      </x:c>
      <x:c r="C29" s="24" t="str">
        <x:v>EEZ</x:v>
      </x:c>
      <x:c r="D29" s="30" t="n">
        <x:v>2019</x:v>
      </x:c>
      <x:c r="E29" s="24" t="str">
        <x:v>Limanda limanda</x:v>
      </x:c>
      <x:c r="F29" s="24" t="str">
        <x:v>Common dab</x:v>
      </x:c>
      <x:c r="G29" s="24" t="str">
        <x:v>Small to medium flatfishes (&lt;90 cm)</x:v>
      </x:c>
      <x:c r="H29" s="24" t="str">
        <x:v>Flatfishes</x:v>
      </x:c>
      <x:c r="I29" s="31" t="n">
        <x:v>11.6195456927</x:v>
      </x:c>
      <x:c r="J29" s="31" t="n">
        <x:v>9.8632105879</x:v>
      </x:c>
      <x:c r="K29" s="31" t="n">
        <x:v>1.7563351048</x:v>
      </x:c>
      <x:c r="L29" s="31" t="n">
        <x:v>9.3497739424</x:v>
      </x:c>
      <x:c r="M29" s="31" t="n">
        <x:v>2.2697717503</x:v>
      </x:c>
      <x:c r="N29" s="24" t="str">
        <x:v>limanda limanda</x:v>
      </x:c>
      <x:c r="O29" s="32" t="n">
        <x:v>3.29</x:v>
      </x:c>
      <x:c r="P29" s="24" t="str">
        <x:v>exact_2020_supplement</x:v>
      </x:c>
      <x:c r="Q29" s="32" t="str">
        <x:v>2020 supplement MeanTL</x:v>
      </x:c>
      <x:c r="R29" s="24" t="str">
        <x:v>high</x:v>
      </x:c>
      <x:c r="S29" s="24" t="str">
        <x:v>Limanda limanda</x:v>
      </x:c>
      <x:c r="T29" s="32" t="n">
        <x:f>IF(O29="","",(1/'Metadata'!$B$5)^(O29-1))</x:f>
        <x:v>194.98445997580455</x:v>
      </x:c>
      <x:c r="U29" s="31" t="n">
        <x:f>IF(T29="","",I29*T29)</x:f>
        <x:v>2265.630842055295</x:v>
      </x:c>
    </x:row>
    <x:row r="30" ht="18" customHeight="1">
      <x:c r="A30" s="24" t="str">
        <x:v>EEZ_616</x:v>
      </x:c>
      <x:c r="B30" s="24" t="str">
        <x:v>Poland</x:v>
      </x:c>
      <x:c r="C30" s="24" t="str">
        <x:v>EEZ</x:v>
      </x:c>
      <x:c r="D30" s="30" t="n">
        <x:v>2019</x:v>
      </x:c>
      <x:c r="E30" s="24" t="str">
        <x:v>Lota lota</x:v>
      </x:c>
      <x:c r="F30" s="24" t="str">
        <x:v>Burbot</x:v>
      </x:c>
      <x:c r="G30" s="24" t="str">
        <x:v>Large demersals (&gt;=90 cm)</x:v>
      </x:c>
      <x:c r="H30" s="24" t="str">
        <x:v>Cod-likes</x:v>
      </x:c>
      <x:c r="I30" s="31" t="n">
        <x:v>5.8602127742</x:v>
      </x:c>
      <x:c r="J30" s="31" t="n">
        <x:v>5.5863506383</x:v>
      </x:c>
      <x:c r="K30" s="31" t="n">
        <x:v>0.27386213589999997</x:v>
      </x:c>
      <x:c r="L30" s="31" t="n">
        <x:v>5.1585181418</x:v>
      </x:c>
      <x:c r="M30" s="31" t="n">
        <x:v>0.7016946324</x:v>
      </x:c>
      <x:c r="N30" s="24" t="str">
        <x:v>lota lota</x:v>
      </x:c>
      <x:c r="O30" s="32" t="n">
        <x:v>3.84</x:v>
      </x:c>
      <x:c r="P30" s="24" t="str">
        <x:v>exact_2020_supplement</x:v>
      </x:c>
      <x:c r="Q30" s="32" t="str">
        <x:v>2020 supplement MeanTL</x:v>
      </x:c>
      <x:c r="R30" s="24" t="str">
        <x:v>high</x:v>
      </x:c>
      <x:c r="S30" s="24" t="str">
        <x:v>Lota lota</x:v>
      </x:c>
      <x:c r="T30" s="32" t="n">
        <x:f>IF(O30="","",(1/'Metadata'!$B$5)^(O30-1))</x:f>
        <x:v>691.8309709189363</x:v>
      </x:c>
      <x:c r="U30" s="31" t="n">
        <x:f>IF(T30="","",I30*T30)</x:f>
        <x:v>4054.276693366339</x:v>
      </x:c>
    </x:row>
    <x:row r="31" ht="18" customHeight="1">
      <x:c r="A31" s="24" t="str">
        <x:v>EEZ_616</x:v>
      </x:c>
      <x:c r="B31" s="24" t="str">
        <x:v>Poland</x:v>
      </x:c>
      <x:c r="C31" s="24" t="str">
        <x:v>EEZ</x:v>
      </x:c>
      <x:c r="D31" s="30" t="n">
        <x:v>2019</x:v>
      </x:c>
      <x:c r="E31" s="24" t="str">
        <x:v>Osteichthyes</x:v>
      </x:c>
      <x:c r="F31" s="24" t="str">
        <x:v>Bony fishes</x:v>
      </x:c>
      <x:c r="G31" s="24" t="str">
        <x:v>Medium demersals (30 - 89 cm)</x:v>
      </x:c>
      <x:c r="H31" s="24" t="str">
        <x:v>Other fishes &amp; inverts</x:v>
      </x:c>
      <x:c r="I31" s="31" t="n">
        <x:v>5.8009059196</x:v>
      </x:c>
      <x:c r="J31" s="31" t="n">
        <x:v>5.800351173499999</x:v>
      </x:c>
      <x:c r="K31" s="31" t="n">
        <x:v>0.0005547461</x:v>
      </x:c>
      <x:c r="L31" s="31" t="n">
        <x:v>5.800102498899999</x:v>
      </x:c>
      <x:c r="M31" s="31" t="n">
        <x:v>0.0008034207</x:v>
      </x:c>
      <x:c r="N31" s="24" t="str">
        <x:v>osteichthyes</x:v>
      </x:c>
      <x:c r="O31" s="32" t="n">
        <x:v>3.79</x:v>
      </x:c>
      <x:c r="P31" s="24" t="str">
        <x:v>exact_sea_around_us</x:v>
      </x:c>
      <x:c r="Q31" s="32" t="str">
        <x:v>Sea Around Us exploited organisms</x:v>
      </x:c>
      <x:c r="R31" s="24" t="str">
        <x:v>high</x:v>
      </x:c>
      <x:c r="S31" s="24" t="str">
        <x:v>Osteichthyes</x:v>
      </x:c>
      <x:c r="T31" s="32" t="n">
        <x:f>IF(O31="","",(1/'Metadata'!$B$5)^(O31-1))</x:f>
        <x:v>616.5950018614822</x:v>
      </x:c>
      <x:c r="U31" s="31" t="n">
        <x:f>IF(T31="","",I31*T31)</x:f>
        <x:v>3576.8095962940447</x:v>
      </x:c>
    </x:row>
    <x:row r="32" ht="18" customHeight="1">
      <x:c r="A32" s="24" t="str">
        <x:v>EEZ_616</x:v>
      </x:c>
      <x:c r="B32" s="24" t="str">
        <x:v>Poland</x:v>
      </x:c>
      <x:c r="C32" s="24" t="str">
        <x:v>EEZ</x:v>
      </x:c>
      <x:c r="D32" s="30" t="n">
        <x:v>2019</x:v>
      </x:c>
      <x:c r="E32" s="24" t="str">
        <x:v>Coregonus</x:v>
      </x:c>
      <x:c r="F32" s="24" t="str">
        <x:v>Whitefishes</x:v>
      </x:c>
      <x:c r="G32" s="24" t="str">
        <x:v>Medium pelagics (30 - 89 cm)</x:v>
      </x:c>
      <x:c r="H32" s="24" t="str">
        <x:v>Salmon, smelts, etc</x:v>
      </x:c>
      <x:c r="I32" s="31" t="n">
        <x:v>4.2143342325</x:v>
      </x:c>
      <x:c r="J32" s="31" t="n">
        <x:v>3.8599067273</x:v>
      </x:c>
      <x:c r="K32" s="31" t="n">
        <x:v>0.3544275052</x:v>
      </x:c>
      <x:c r="L32" s="31" t="n">
        <x:v>3.4002903173</x:v>
      </x:c>
      <x:c r="M32" s="31" t="n">
        <x:v>0.8140439152</x:v>
      </x:c>
      <x:c r="N32" s="24" t="str">
        <x:v>coregonus</x:v>
      </x:c>
      <x:c r="O32" s="32" t="n">
        <x:v>3.3</x:v>
      </x:c>
      <x:c r="P32" s="24" t="str">
        <x:v>exact_sea_around_us</x:v>
      </x:c>
      <x:c r="Q32" s="32" t="str">
        <x:v>Sea Around Us exploited organisms</x:v>
      </x:c>
      <x:c r="R32" s="24" t="str">
        <x:v>high</x:v>
      </x:c>
      <x:c r="S32" s="24" t="str">
        <x:v>Coregonus</x:v>
      </x:c>
      <x:c r="T32" s="32" t="n">
        <x:f>IF(O32="","",(1/'Metadata'!$B$5)^(O32-1))</x:f>
        <x:v>199.52623149688787</x:v>
      </x:c>
      <x:c r="U32" s="31" t="n">
        <x:f>IF(T32="","",I32*T32)</x:f>
        <x:v>840.8702276790542</x:v>
      </x:c>
    </x:row>
    <x:row r="33" ht="18" customHeight="1">
      <x:c r="A33" s="24" t="str">
        <x:v>EEZ_616</x:v>
      </x:c>
      <x:c r="B33" s="24" t="str">
        <x:v>Poland</x:v>
      </x:c>
      <x:c r="C33" s="24" t="str">
        <x:v>EEZ</x:v>
      </x:c>
      <x:c r="D33" s="30" t="n">
        <x:v>2019</x:v>
      </x:c>
      <x:c r="E33" s="24" t="str">
        <x:v>Tinca tinca</x:v>
      </x:c>
      <x:c r="F33" s="24" t="str">
        <x:v>Tench</x:v>
      </x:c>
      <x:c r="G33" s="24" t="str">
        <x:v>Medium demersals (30 - 89 cm)</x:v>
      </x:c>
      <x:c r="H33" s="24" t="str">
        <x:v>Other fishes &amp; inverts</x:v>
      </x:c>
      <x:c r="I33" s="31" t="n">
        <x:v>3.7045140526</x:v>
      </x:c>
      <x:c r="J33" s="31" t="n">
        <x:v>3.5904287312000003</x:v>
      </x:c>
      <x:c r="K33" s="31" t="n">
        <x:v>0.1140853214</x:v>
      </x:c>
      <x:c r="L33" s="31" t="n">
        <x:v>3.4038419976</x:v>
      </x:c>
      <x:c r="M33" s="31" t="n">
        <x:v>0.300672055</x:v>
      </x:c>
      <x:c r="N33" s="24" t="str">
        <x:v>tinca tinca</x:v>
      </x:c>
      <x:c r="O33" s="32" t="n">
        <x:v>3.69</x:v>
      </x:c>
      <x:c r="P33" s="24" t="str">
        <x:v>exact_2020_supplement</x:v>
      </x:c>
      <x:c r="Q33" s="32" t="str">
        <x:v>2020 supplement MeanTL</x:v>
      </x:c>
      <x:c r="R33" s="24" t="str">
        <x:v>high</x:v>
      </x:c>
      <x:c r="S33" s="24" t="str">
        <x:v>Tinca tinca</x:v>
      </x:c>
      <x:c r="T33" s="32" t="n">
        <x:f>IF(O33="","",(1/'Metadata'!$B$5)^(O33-1))</x:f>
        <x:v>489.77881936844614</x:v>
      </x:c>
      <x:c r="U33" s="31" t="n">
        <x:f>IF(T33="","",I33*T33)</x:f>
        <x:v>1814.3925190162458</x:v>
      </x:c>
    </x:row>
    <x:row r="34" ht="18" customHeight="1">
      <x:c r="A34" s="24" t="str">
        <x:v>EEZ_616</x:v>
      </x:c>
      <x:c r="B34" s="24" t="str">
        <x:v>Poland</x:v>
      </x:c>
      <x:c r="C34" s="24" t="str">
        <x:v>EEZ</x:v>
      </x:c>
      <x:c r="D34" s="30" t="n">
        <x:v>2019</x:v>
      </x:c>
      <x:c r="E34" s="24" t="str">
        <x:v>Scardinius erythrophthalmus</x:v>
      </x:c>
      <x:c r="F34" s="24" t="str">
        <x:v>Rudd</x:v>
      </x:c>
      <x:c r="G34" s="24" t="str">
        <x:v>Medium benthopelagics (30 - 89 cm)</x:v>
      </x:c>
      <x:c r="H34" s="24" t="str">
        <x:v>Other fishes &amp; inverts</x:v>
      </x:c>
      <x:c r="I34" s="31" t="n">
        <x:v>2.4387039837999995</x:v>
      </x:c>
      <x:c r="J34" s="31" t="n">
        <x:v>2.4387039837999995</x:v>
      </x:c>
      <x:c r="K34" s="31" t="n">
        <x:v>0</x:v>
      </x:c>
      <x:c r="L34" s="31" t="n">
        <x:v>2.4387039837999995</x:v>
      </x:c>
      <x:c r="M34" s="31" t="n">
        <x:v>0</x:v>
      </x:c>
      <x:c r="N34" s="24" t="str">
        <x:v>scardinius erythrophthalmus</x:v>
      </x:c>
      <x:c r="O34" s="32" t="n">
        <x:v>2.89</x:v>
      </x:c>
      <x:c r="P34" s="24" t="str">
        <x:v>exact_2020_supplement</x:v>
      </x:c>
      <x:c r="Q34" s="32" t="str">
        <x:v>2020 supplement MeanTL</x:v>
      </x:c>
      <x:c r="R34" s="24" t="str">
        <x:v>high</x:v>
      </x:c>
      <x:c r="S34" s="24" t="str">
        <x:v>Scardinius erythrophthalmus</x:v>
      </x:c>
      <x:c r="T34" s="32" t="n">
        <x:f>IF(O34="","",(1/'Metadata'!$B$5)^(O34-1))</x:f>
        <x:v>77.6247116628692</x:v>
      </x:c>
      <x:c r="U34" s="31" t="n">
        <x:f>IF(T34="","",I34*T34)</x:f>
        <x:v>189.3036935735654</x:v>
      </x:c>
    </x:row>
    <x:row r="35" ht="18" customHeight="1">
      <x:c r="A35" s="24" t="str">
        <x:v>EEZ_616</x:v>
      </x:c>
      <x:c r="B35" s="24" t="str">
        <x:v>Poland</x:v>
      </x:c>
      <x:c r="C35" s="24" t="str">
        <x:v>EEZ</x:v>
      </x:c>
      <x:c r="D35" s="30" t="n">
        <x:v>2019</x:v>
      </x:c>
      <x:c r="E35" s="24" t="str">
        <x:v>Silurus glanis</x:v>
      </x:c>
      <x:c r="F35" s="24" t="str">
        <x:v>Wels catfish</x:v>
      </x:c>
      <x:c r="G35" s="24" t="str">
        <x:v>Large demersals (&gt;=90 cm)</x:v>
      </x:c>
      <x:c r="H35" s="24" t="str">
        <x:v>Other fishes &amp; inverts</x:v>
      </x:c>
      <x:c r="I35" s="31" t="n">
        <x:v>2.0158709063</x:v>
      </x:c>
      <x:c r="J35" s="31" t="n">
        <x:v>2.0157503996</x:v>
      </x:c>
      <x:c r="K35" s="31" t="n">
        <x:v>0.0001205067</x:v>
      </x:c>
      <x:c r="L35" s="31" t="n">
        <x:v>1.9475272773</x:v>
      </x:c>
      <x:c r="M35" s="31" t="n">
        <x:v>0.068343629</x:v>
      </x:c>
      <x:c r="N35" s="24" t="str">
        <x:v>silurus glanis</x:v>
      </x:c>
      <x:c r="O35" s="32" t="n">
        <x:v>4.36</x:v>
      </x:c>
      <x:c r="P35" s="24" t="str">
        <x:v>exact_2020_supplement</x:v>
      </x:c>
      <x:c r="Q35" s="32" t="str">
        <x:v>2020 supplement MeanTL</x:v>
      </x:c>
      <x:c r="R35" s="24" t="str">
        <x:v>high</x:v>
      </x:c>
      <x:c r="S35" s="24" t="str">
        <x:v>Silurus glanis</x:v>
      </x:c>
      <x:c r="T35" s="32" t="n">
        <x:f>IF(O35="","",(1/'Metadata'!$B$5)^(O35-1))</x:f>
        <x:v>2290.867652767775</x:v>
      </x:c>
      <x:c r="U35" s="31" t="n">
        <x:f>IF(T35="","",I35*T35)</x:f>
        <x:v>4618.093451398328</x:v>
      </x:c>
    </x:row>
    <x:row r="36" ht="18" customHeight="1">
      <x:c r="A36" s="24" t="str">
        <x:v>EEZ_616</x:v>
      </x:c>
      <x:c r="B36" s="24" t="str">
        <x:v>Poland</x:v>
      </x:c>
      <x:c r="C36" s="24" t="str">
        <x:v>EEZ</x:v>
      </x:c>
      <x:c r="D36" s="30" t="n">
        <x:v>2019</x:v>
      </x:c>
      <x:c r="E36" s="24" t="str">
        <x:v>Gymnocephalus cernua</x:v>
      </x:c>
      <x:c r="F36" s="24" t="str">
        <x:v>Ruffe</x:v>
      </x:c>
      <x:c r="G36" s="24" t="str">
        <x:v>Small demersals (&lt;30 cm)</x:v>
      </x:c>
      <x:c r="H36" s="24" t="str">
        <x:v>Perch-likes</x:v>
      </x:c>
      <x:c r="I36" s="31" t="n">
        <x:v>0.8790369749</x:v>
      </x:c>
      <x:c r="J36" s="31" t="n">
        <x:v>0.833437287</x:v>
      </x:c>
      <x:c r="K36" s="31" t="n">
        <x:v>0.0455996879</x:v>
      </x:c>
      <x:c r="L36" s="31" t="n">
        <x:v>0.7612691493999999</x:v>
      </x:c>
      <x:c r="M36" s="31" t="n">
        <x:v>0.11776782549999999</x:v>
      </x:c>
      <x:c r="N36" s="24" t="str">
        <x:v>gymnocephalus cernua</x:v>
      </x:c>
      <x:c r="O36" s="32" t="n">
        <x:v>3.32</x:v>
      </x:c>
      <x:c r="P36" s="24" t="str">
        <x:v>exact_2020_supplement</x:v>
      </x:c>
      <x:c r="Q36" s="32" t="str">
        <x:v>2020 supplement MeanTL</x:v>
      </x:c>
      <x:c r="R36" s="24" t="str">
        <x:v>high</x:v>
      </x:c>
      <x:c r="S36" s="24" t="str">
        <x:v>Gymnocephalus cernua</x:v>
      </x:c>
      <x:c r="T36" s="32" t="n">
        <x:f>IF(O36="","",(1/'Metadata'!$B$5)^(O36-1))</x:f>
        <x:v>208.92961308540387</x:v>
      </x:c>
      <x:c r="U36" s="31" t="n">
        <x:f>IF(T36="","",I36*T36)</x:f>
        <x:v>183.65685505362086</x:v>
      </x:c>
    </x:row>
    <x:row r="37" ht="18" customHeight="1">
      <x:c r="A37" s="24" t="str">
        <x:v>EEZ_616</x:v>
      </x:c>
      <x:c r="B37" s="24" t="str">
        <x:v>Poland</x:v>
      </x:c>
      <x:c r="C37" s="24" t="str">
        <x:v>EEZ</x:v>
      </x:c>
      <x:c r="D37" s="30" t="n">
        <x:v>2019</x:v>
      </x:c>
      <x:c r="E37" s="24" t="str">
        <x:v>Cyclopterus lumpus</x:v>
      </x:c>
      <x:c r="F37" s="24" t="str">
        <x:v>Lumpfish</x:v>
      </x:c>
      <x:c r="G37" s="24" t="str">
        <x:v>Medium benthopelagics (30 - 89 cm)</x:v>
      </x:c>
      <x:c r="H37" s="24" t="str">
        <x:v>Scorpionfishes</x:v>
      </x:c>
      <x:c r="I37" s="31" t="n">
        <x:v>0.5860556178</x:v>
      </x:c>
      <x:c r="J37" s="31" t="n">
        <x:v>0.4336380696</x:v>
      </x:c>
      <x:c r="K37" s="31" t="n">
        <x:v>0.1524175482</x:v>
      </x:c>
      <x:c r="L37" s="31" t="n">
        <x:v>0.2779352462</x:v>
      </x:c>
      <x:c r="M37" s="31" t="n">
        <x:v>0.3081203716</x:v>
      </x:c>
      <x:c r="N37" s="24" t="str">
        <x:v>cyclopterus lumpus</x:v>
      </x:c>
      <x:c r="O37" s="32" t="n">
        <x:v>3.89</x:v>
      </x:c>
      <x:c r="P37" s="24" t="str">
        <x:v>exact_2020_supplement</x:v>
      </x:c>
      <x:c r="Q37" s="32" t="str">
        <x:v>2020 supplement MeanTL</x:v>
      </x:c>
      <x:c r="R37" s="24" t="str">
        <x:v>high</x:v>
      </x:c>
      <x:c r="S37" s="24" t="str">
        <x:v>Cyclopterus lumpus</x:v>
      </x:c>
      <x:c r="T37" s="32" t="n">
        <x:f>IF(O37="","",(1/'Metadata'!$B$5)^(O37-1))</x:f>
        <x:v>776.247116628692</x:v>
      </x:c>
      <x:c r="U37" s="31" t="n">
        <x:f>IF(T37="","",I37*T37)</x:f>
        <x:v>454.92398350129673</x:v>
      </x:c>
    </x:row>
    <x:row r="38" ht="18" customHeight="1">
      <x:c r="A38" s="24" t="str">
        <x:v>EEZ_616</x:v>
      </x:c>
      <x:c r="B38" s="24" t="str">
        <x:v>Poland</x:v>
      </x:c>
      <x:c r="C38" s="24" t="str">
        <x:v>EEZ</x:v>
      </x:c>
      <x:c r="D38" s="30" t="n">
        <x:v>2019</x:v>
      </x:c>
      <x:c r="E38" s="24" t="str">
        <x:v>Zoarces viviparus</x:v>
      </x:c>
      <x:c r="F38" s="24" t="str">
        <x:v>Eelpout</x:v>
      </x:c>
      <x:c r="G38" s="24" t="str">
        <x:v>Medium demersals (30 - 89 cm)</x:v>
      </x:c>
      <x:c r="H38" s="24" t="str">
        <x:v>Perch-likes</x:v>
      </x:c>
      <x:c r="I38" s="31" t="n">
        <x:v>0.5433660763</x:v>
      </x:c>
      <x:c r="J38" s="31" t="n">
        <x:v>0.5196446796</x:v>
      </x:c>
      <x:c r="K38" s="31" t="n">
        <x:v>0.0237213967</x:v>
      </x:c>
      <x:c r="L38" s="31" t="n">
        <x:v>0.4940000001</x:v>
      </x:c>
      <x:c r="M38" s="31" t="n">
        <x:v>0.0493660762</x:v>
      </x:c>
      <x:c r="N38" s="24" t="str">
        <x:v>zoarces viviparus</x:v>
      </x:c>
      <x:c r="O38" s="32" t="n">
        <x:v>3.47</x:v>
      </x:c>
      <x:c r="P38" s="24" t="str">
        <x:v>exact_2020_supplement</x:v>
      </x:c>
      <x:c r="Q38" s="32" t="str">
        <x:v>2020 supplement MeanTL</x:v>
      </x:c>
      <x:c r="R38" s="24" t="str">
        <x:v>high</x:v>
      </x:c>
      <x:c r="S38" s="24" t="str">
        <x:v>Zoarces viviparus</x:v>
      </x:c>
      <x:c r="T38" s="32" t="n">
        <x:f>IF(O38="","",(1/'Metadata'!$B$5)^(O38-1))</x:f>
        <x:v>295.1209226666387</x:v>
      </x:c>
      <x:c r="U38" s="31" t="n">
        <x:f>IF(T38="","",I38*T38)</x:f>
        <x:v>160.3586977834072</x:v>
      </x:c>
    </x:row>
    <x:row r="39" ht="18" customHeight="1">
      <x:c r="A39" s="24" t="str">
        <x:v>EEZ_616</x:v>
      </x:c>
      <x:c r="B39" s="24" t="str">
        <x:v>Poland</x:v>
      </x:c>
      <x:c r="C39" s="24" t="str">
        <x:v>EEZ</x:v>
      </x:c>
      <x:c r="D39" s="30" t="n">
        <x:v>2019</x:v>
      </x:c>
      <x:c r="E39" s="24" t="str">
        <x:v>Scomber scombrus</x:v>
      </x:c>
      <x:c r="F39" s="24" t="str">
        <x:v>Atlantic mackerel</x:v>
      </x:c>
      <x:c r="G39" s="24" t="str">
        <x:v>Medium pelagics (30 - 89 cm)</x:v>
      </x:c>
      <x:c r="H39" s="24" t="str">
        <x:v>Perch-likes</x:v>
      </x:c>
      <x:c r="I39" s="31" t="n">
        <x:v>0.34483156579999996</x:v>
      </x:c>
      <x:c r="J39" s="31" t="n">
        <x:v>0.3165590554</x:v>
      </x:c>
      <x:c r="K39" s="31" t="n">
        <x:v>0.0282725104</x:v>
      </x:c>
      <x:c r="L39" s="31" t="n">
        <x:v>0.2728378491</x:v>
      </x:c>
      <x:c r="M39" s="31" t="n">
        <x:v>0.0719937167</x:v>
      </x:c>
      <x:c r="N39" s="24" t="str">
        <x:v>scomber scombrus</x:v>
      </x:c>
      <x:c r="O39" s="32" t="n">
        <x:v>3.63</x:v>
      </x:c>
      <x:c r="P39" s="24" t="str">
        <x:v>exact_2020_supplement</x:v>
      </x:c>
      <x:c r="Q39" s="32" t="str">
        <x:v>2020 supplement MeanTL</x:v>
      </x:c>
      <x:c r="R39" s="24" t="str">
        <x:v>high</x:v>
      </x:c>
      <x:c r="S39" s="24" t="str">
        <x:v>Scomber scombrus</x:v>
      </x:c>
      <x:c r="T39" s="32" t="n">
        <x:f>IF(O39="","",(1/'Metadata'!$B$5)^(O39-1))</x:f>
        <x:v>426.57951880159254</x:v>
      </x:c>
      <x:c r="U39" s="31" t="n">
        <x:f>IF(T39="","",I39*T39)</x:f>
        <x:v>147.0980834065637</x:v>
      </x:c>
    </x:row>
    <x:row r="40" ht="18" customHeight="1">
      <x:c r="A40" s="24" t="str">
        <x:v>EEZ_616</x:v>
      </x:c>
      <x:c r="B40" s="24" t="str">
        <x:v>Poland</x:v>
      </x:c>
      <x:c r="C40" s="24" t="str">
        <x:v>EEZ</x:v>
      </x:c>
      <x:c r="D40" s="30" t="n">
        <x:v>2019</x:v>
      </x:c>
      <x:c r="E40" s="24" t="str">
        <x:v>Leuciscus aspius</x:v>
      </x:c>
      <x:c r="F40" s="24" t="str">
        <x:v>Asp</x:v>
      </x:c>
      <x:c r="G40" s="24" t="str">
        <x:v>Large benthopelagics (&gt;=90 cm)</x:v>
      </x:c>
      <x:c r="H40" s="24" t="str">
        <x:v>Other fishes &amp; inverts</x:v>
      </x:c>
      <x:c r="I40" s="31" t="n">
        <x:v>0.2940754537</x:v>
      </x:c>
      <x:c r="J40" s="31" t="n">
        <x:v>0.1907257231</x:v>
      </x:c>
      <x:c r="K40" s="31" t="n">
        <x:v>0.1033497306</x:v>
      </x:c>
      <x:c r="L40" s="31" t="n">
        <x:v>0.0052262068</x:v>
      </x:c>
      <x:c r="M40" s="31" t="n">
        <x:v>0.28884924689999997</x:v>
      </x:c>
      <x:c r="N40" s="24" t="str">
        <x:v>leuciscus aspius</x:v>
      </x:c>
      <x:c r="O40" s="32" t="n">
        <x:v>4.47</x:v>
      </x:c>
      <x:c r="P40" s="24" t="str">
        <x:v>exact_2020_supplement</x:v>
      </x:c>
      <x:c r="Q40" s="32" t="str">
        <x:v>2020 supplement MeanTL</x:v>
      </x:c>
      <x:c r="R40" s="24" t="str">
        <x:v>high</x:v>
      </x:c>
      <x:c r="S40" s="24" t="str">
        <x:v>Leuciscus aspius</x:v>
      </x:c>
      <x:c r="T40" s="32" t="n">
        <x:f>IF(O40="","",(1/'Metadata'!$B$5)^(O40-1))</x:f>
        <x:v>2951.209226666384</x:v>
      </x:c>
      <x:c r="U40" s="31" t="n">
        <x:f>IF(T40="","",I40*T40)</x:f>
        <x:v>867.8781922955429</x:v>
      </x:c>
    </x:row>
    <x:row r="41" ht="18" customHeight="1">
      <x:c r="A41" s="24" t="str">
        <x:v>EEZ_616</x:v>
      </x:c>
      <x:c r="B41" s="24" t="str">
        <x:v>Poland</x:v>
      </x:c>
      <x:c r="C41" s="24" t="str">
        <x:v>EEZ</x:v>
      </x:c>
      <x:c r="D41" s="30" t="n">
        <x:v>2019</x:v>
      </x:c>
      <x:c r="E41" s="24" t="str">
        <x:v>Scophthalmus rhombus</x:v>
      </x:c>
      <x:c r="F41" s="24" t="str">
        <x:v>Brill</x:v>
      </x:c>
      <x:c r="G41" s="24" t="str">
        <x:v>Small to medium flatfishes (&lt;90 cm)</x:v>
      </x:c>
      <x:c r="H41" s="24" t="str">
        <x:v>Flatfishes</x:v>
      </x:c>
      <x:c r="I41" s="31" t="n">
        <x:v>0.1677024188</x:v>
      </x:c>
      <x:c r="J41" s="31" t="n">
        <x:v>0.1253630781</x:v>
      </x:c>
      <x:c r="K41" s="31" t="n">
        <x:v>0.042339340700000005</x:v>
      </x:c>
      <x:c r="L41" s="31" t="n">
        <x:v>0.11149645949999999</x:v>
      </x:c>
      <x:c r="M41" s="31" t="n">
        <x:v>0.056205959300000004</x:v>
      </x:c>
      <x:c r="N41" s="24" t="str">
        <x:v>scophthalmus rhombus</x:v>
      </x:c>
      <x:c r="O41" s="32" t="n">
        <x:v>4.42</x:v>
      </x:c>
      <x:c r="P41" s="24" t="str">
        <x:v>exact_2020_supplement</x:v>
      </x:c>
      <x:c r="Q41" s="32" t="str">
        <x:v>2020 supplement MeanTL</x:v>
      </x:c>
      <x:c r="R41" s="24" t="str">
        <x:v>high</x:v>
      </x:c>
      <x:c r="S41" s="24" t="str">
        <x:v>Scophthalmus rhombus</x:v>
      </x:c>
      <x:c r="T41" s="32" t="n">
        <x:f>IF(O41="","",(1/'Metadata'!$B$5)^(O41-1))</x:f>
        <x:v>2630.2679918953813</x:v>
      </x:c>
      <x:c r="U41" s="31" t="n">
        <x:f>IF(T41="","",I41*T41)</x:f>
        <x:v>441.10230433307424</x:v>
      </x:c>
    </x:row>
    <x:row r="42" ht="18" customHeight="1">
      <x:c r="A42" s="24" t="str">
        <x:v>EEZ_616</x:v>
      </x:c>
      <x:c r="B42" s="24" t="str">
        <x:v>Poland</x:v>
      </x:c>
      <x:c r="C42" s="24" t="str">
        <x:v>EEZ</x:v>
      </x:c>
      <x:c r="D42" s="30" t="n">
        <x:v>2019</x:v>
      </x:c>
      <x:c r="E42" s="24" t="str">
        <x:v>Marine finfishes not identified</x:v>
      </x:c>
      <x:c r="F42" s="24" t="str">
        <x:v>Finfishes</x:v>
      </x:c>
      <x:c r="G42" s="24" t="str">
        <x:v>Medium demersals (30 - 89 cm)</x:v>
      </x:c>
      <x:c r="H42" s="24" t="str">
        <x:v>Other fishes &amp; inverts</x:v>
      </x:c>
      <x:c r="I42" s="31" t="n">
        <x:v>0.12260792440000001</x:v>
      </x:c>
      <x:c r="J42" s="31" t="n">
        <x:v>0.0757024403</x:v>
      </x:c>
      <x:c r="K42" s="31" t="n">
        <x:v>0.0469054841</x:v>
      </x:c>
      <x:c r="L42" s="31" t="n">
        <x:v>0</x:v>
      </x:c>
      <x:c r="M42" s="31" t="n">
        <x:v>0.12260792440000001</x:v>
      </x:c>
      <x:c r="N42" s="24" t="str">
        <x:v>marine finfishes not identified</x:v>
      </x:c>
      <x:c r="O42" s="32" t="n">
        <x:v>3.23</x:v>
      </x:c>
      <x:c r="P42" s="24" t="str">
        <x:v>exact_sea_around_us</x:v>
      </x:c>
      <x:c r="Q42" s="32" t="str">
        <x:v>Sea Around Us exploited organisms</x:v>
      </x:c>
      <x:c r="R42" s="24" t="str">
        <x:v>high</x:v>
      </x:c>
      <x:c r="S42" s="24" t="str">
        <x:v>Marine finfishes not identified</x:v>
      </x:c>
      <x:c r="T42" s="32" t="n">
        <x:f>IF(O42="","",(1/'Metadata'!$B$5)^(O42-1))</x:f>
        <x:v>169.82436524617444</x:v>
      </x:c>
      <x:c r="U42" s="31" t="n">
        <x:f>IF(T42="","",I42*T42)</x:f>
        <x:v>20.821812935380944</x:v>
      </x:c>
    </x:row>
    <x:row r="43" ht="18" customHeight="1">
      <x:c r="A43" s="24" t="str">
        <x:v>EEZ_616</x:v>
      </x:c>
      <x:c r="B43" s="24" t="str">
        <x:v>Poland</x:v>
      </x:c>
      <x:c r="C43" s="24" t="str">
        <x:v>EEZ</x:v>
      </x:c>
      <x:c r="D43" s="30" t="n">
        <x:v>2019</x:v>
      </x:c>
      <x:c r="E43" s="24" t="str">
        <x:v>Petromyzontidae</x:v>
      </x:c>
      <x:c r="F43" s="24" t="str">
        <x:v>Lampreys</x:v>
      </x:c>
      <x:c r="G43" s="24" t="str">
        <x:v>Large demersals (&gt;=90 cm)</x:v>
      </x:c>
      <x:c r="H43" s="24" t="str">
        <x:v>Other fishes &amp; inverts</x:v>
      </x:c>
      <x:c r="I43" s="31" t="n">
        <x:v>0.08941692929999999</x:v>
      </x:c>
      <x:c r="J43" s="31" t="n">
        <x:v>0.08911435759999999</x:v>
      </x:c>
      <x:c r="K43" s="31" t="n">
        <x:v>0.0003025717</x:v>
      </x:c>
      <x:c r="L43" s="31" t="n">
        <x:v>0.0888117859</x:v>
      </x:c>
      <x:c r="M43" s="31" t="n">
        <x:v>0.0006051434</x:v>
      </x:c>
      <x:c r="N43" s="24" t="str">
        <x:v>petromyzontidae</x:v>
      </x:c>
      <x:c r="O43" s="32" t="n">
        <x:v>4</x:v>
      </x:c>
      <x:c r="P43" s="24" t="str">
        <x:v>exact_sea_around_us</x:v>
      </x:c>
      <x:c r="Q43" s="32" t="str">
        <x:v>Sea Around Us exploited organisms</x:v>
      </x:c>
      <x:c r="R43" s="24" t="str">
        <x:v>high</x:v>
      </x:c>
      <x:c r="S43" s="24" t="str">
        <x:v>Petromyzontidae</x:v>
      </x:c>
      <x:c r="T43" s="32" t="n">
        <x:f>IF(O43="","",(1/'Metadata'!$B$5)^(O43-1))</x:f>
        <x:v>1000</x:v>
      </x:c>
      <x:c r="U43" s="31" t="n">
        <x:f>IF(T43="","",I43*T43)</x:f>
        <x:v>89.41692929999999</x:v>
      </x:c>
    </x:row>
    <x:row r="44" ht="18" customHeight="1">
      <x:c r="A44" s="24" t="str">
        <x:v>EEZ_616</x:v>
      </x:c>
      <x:c r="B44" s="24" t="str">
        <x:v>Poland</x:v>
      </x:c>
      <x:c r="C44" s="24" t="str">
        <x:v>EEZ</x:v>
      </x:c>
      <x:c r="D44" s="30" t="n">
        <x:v>2019</x:v>
      </x:c>
      <x:c r="E44" s="24" t="str">
        <x:v>Triglidae</x:v>
      </x:c>
      <x:c r="F44" s="24" t="str">
        <x:v>Searobins, gurnards</x:v>
      </x:c>
      <x:c r="G44" s="24" t="str">
        <x:v>Medium demersals (30 - 89 cm)</x:v>
      </x:c>
      <x:c r="H44" s="24" t="str">
        <x:v>Scorpionfishes</x:v>
      </x:c>
      <x:c r="I44" s="31" t="n">
        <x:v>0.05</x:v>
      </x:c>
      <x:c r="J44" s="31" t="n">
        <x:v>0.05</x:v>
      </x:c>
      <x:c r="K44" s="31" t="n">
        <x:v>0</x:v>
      </x:c>
      <x:c r="L44" s="31" t="n">
        <x:v>0.05</x:v>
      </x:c>
      <x:c r="M44" s="31" t="n">
        <x:v>0</x:v>
      </x:c>
      <x:c r="N44" s="24" t="str">
        <x:v>triglidae</x:v>
      </x:c>
      <x:c r="O44" s="32" t="n">
        <x:v>3.74</x:v>
      </x:c>
      <x:c r="P44" s="24" t="str">
        <x:v>exact_sea_around_us</x:v>
      </x:c>
      <x:c r="Q44" s="32" t="str">
        <x:v>Sea Around Us exploited organisms</x:v>
      </x:c>
      <x:c r="R44" s="24" t="str">
        <x:v>high</x:v>
      </x:c>
      <x:c r="S44" s="24" t="str">
        <x:v>Triglidae</x:v>
      </x:c>
      <x:c r="T44" s="32" t="n">
        <x:f>IF(O44="","",(1/'Metadata'!$B$5)^(O44-1))</x:f>
        <x:v>549.5408738576248</x:v>
      </x:c>
      <x:c r="U44" s="31" t="n">
        <x:f>IF(T44="","",I44*T44)</x:f>
        <x:v>27.47704369288124</x:v>
      </x:c>
    </x:row>
    <x:row r="45" ht="18" customHeight="1">
      <x:c r="A45" s="24" t="str">
        <x:v>EEZ_616</x:v>
      </x:c>
      <x:c r="B45" s="24" t="str">
        <x:v>Poland</x:v>
      </x:c>
      <x:c r="C45" s="24" t="str">
        <x:v>EEZ</x:v>
      </x:c>
      <x:c r="D45" s="30" t="n">
        <x:v>2019</x:v>
      </x:c>
      <x:c r="E45" s="24" t="str">
        <x:v>Buccinum undatum</x:v>
      </x:c>
      <x:c r="F45" s="24" t="str">
        <x:v>Whelk</x:v>
      </x:c>
      <x:c r="G45" s="24" t="str">
        <x:v>Other demersal invertebrates</x:v>
      </x:c>
      <x:c r="H45" s="24" t="str">
        <x:v>Molluscs</x:v>
      </x:c>
      <x:c r="I45" s="31" t="n">
        <x:v>0.04108159</x:v>
      </x:c>
      <x:c r="J45" s="31" t="n">
        <x:v>0.0274086672</x:v>
      </x:c>
      <x:c r="K45" s="31" t="n">
        <x:v>0.0136729228</x:v>
      </x:c>
      <x:c r="L45" s="31" t="n">
        <x:v>0</x:v>
      </x:c>
      <x:c r="M45" s="31" t="n">
        <x:v>0.04108159</x:v>
      </x:c>
      <x:c r="N45" s="24" t="str">
        <x:v>buccinum undatum</x:v>
      </x:c>
      <x:c r="O45" s="32" t="n">
        <x:v>3.75</x:v>
      </x:c>
      <x:c r="P45" s="24" t="str">
        <x:v>exact_2020_supplement</x:v>
      </x:c>
      <x:c r="Q45" s="32" t="str">
        <x:v>2020 supplement MeanTL</x:v>
      </x:c>
      <x:c r="R45" s="24" t="str">
        <x:v>high</x:v>
      </x:c>
      <x:c r="S45" s="24" t="str">
        <x:v>Buccinum undatum</x:v>
      </x:c>
      <x:c r="T45" s="32" t="n">
        <x:f>IF(O45="","",(1/'Metadata'!$B$5)^(O45-1))</x:f>
        <x:v>562.341325190349</x:v>
      </x:c>
      <x:c r="U45" s="31" t="n">
        <x:f>IF(T45="","",I45*T45)</x:f>
        <x:v>23.101875761526593</x:v>
      </x:c>
    </x:row>
    <x:row r="46" ht="18" customHeight="1">
      <x:c r="A46" s="24" t="str">
        <x:v>EEZ_616</x:v>
      </x:c>
      <x:c r="B46" s="24" t="str">
        <x:v>Poland</x:v>
      </x:c>
      <x:c r="C46" s="24" t="str">
        <x:v>EEZ</x:v>
      </x:c>
      <x:c r="D46" s="30" t="n">
        <x:v>2019</x:v>
      </x:c>
      <x:c r="E46" s="24" t="str">
        <x:v>Cyprinus carpio</x:v>
      </x:c>
      <x:c r="F46" s="24" t="str">
        <x:v>Common carp</x:v>
      </x:c>
      <x:c r="G46" s="24" t="str">
        <x:v>Large benthopelagics (&gt;=90 cm)</x:v>
      </x:c>
      <x:c r="H46" s="24" t="str">
        <x:v>Other fishes &amp; inverts</x:v>
      </x:c>
      <x:c r="I46" s="31" t="n">
        <x:v>0.026922049700000002</x:v>
      </x:c>
      <x:c r="J46" s="31" t="n">
        <x:v>0.0246364243</x:v>
      </x:c>
      <x:c r="K46" s="31" t="n">
        <x:v>0.0022856254</x:v>
      </x:c>
      <x:c r="L46" s="31" t="n">
        <x:v>0.017017176000000002</x:v>
      </x:c>
      <x:c r="M46" s="31" t="n">
        <x:v>0.0099048737</x:v>
      </x:c>
      <x:c r="N46" s="24" t="str">
        <x:v>cyprinus carpio</x:v>
      </x:c>
      <x:c r="O46" s="32" t="n">
        <x:v>3.06</x:v>
      </x:c>
      <x:c r="P46" s="24" t="str">
        <x:v>exact_2020_supplement</x:v>
      </x:c>
      <x:c r="Q46" s="32" t="str">
        <x:v>2020 supplement MeanTL</x:v>
      </x:c>
      <x:c r="R46" s="24" t="str">
        <x:v>high</x:v>
      </x:c>
      <x:c r="S46" s="24" t="str">
        <x:v>Cyprinus carpio</x:v>
      </x:c>
      <x:c r="T46" s="32" t="n">
        <x:f>IF(O46="","",(1/'Metadata'!$B$5)^(O46-1))</x:f>
        <x:v>114.81536214968828</x:v>
      </x:c>
      <x:c r="U46" s="31" t="n">
        <x:f>IF(T46="","",I46*T46)</x:f>
        <x:v>3.0910648861174073</x:v>
      </x:c>
    </x:row>
    <x:row r="47" ht="18" customHeight="1">
      <x:c r="A47" s="24" t="str">
        <x:v>EEZ_616</x:v>
      </x:c>
      <x:c r="B47" s="24" t="str">
        <x:v>Poland</x:v>
      </x:c>
      <x:c r="C47" s="24" t="str">
        <x:v>EEZ</x:v>
      </x:c>
      <x:c r="D47" s="30" t="n">
        <x:v>2019</x:v>
      </x:c>
      <x:c r="E47" s="24" t="str">
        <x:v>Solea solea</x:v>
      </x:c>
      <x:c r="F47" s="24" t="str">
        <x:v>Common sole</x:v>
      </x:c>
      <x:c r="G47" s="24" t="str">
        <x:v>Small to medium flatfishes (&lt;90 cm)</x:v>
      </x:c>
      <x:c r="H47" s="24" t="str">
        <x:v>Flatfishes</x:v>
      </x:c>
      <x:c r="I47" s="31" t="n">
        <x:v>0.0076531527</x:v>
      </x:c>
      <x:c r="J47" s="31" t="n">
        <x:v>0.0043120317</x:v>
      </x:c>
      <x:c r="K47" s="31" t="n">
        <x:v>0.003341121</x:v>
      </x:c>
      <x:c r="L47" s="31" t="n">
        <x:v>0.0011534094</x:v>
      </x:c>
      <x:c r="M47" s="31" t="n">
        <x:v>0.0064997433</x:v>
      </x:c>
      <x:c r="N47" s="24" t="str">
        <x:v>solea solea</x:v>
      </x:c>
      <x:c r="O47" s="32" t="n">
        <x:v>3.21</x:v>
      </x:c>
      <x:c r="P47" s="24" t="str">
        <x:v>exact_2020_supplement</x:v>
      </x:c>
      <x:c r="Q47" s="32" t="str">
        <x:v>2020 supplement MeanTL</x:v>
      </x:c>
      <x:c r="R47" s="24" t="str">
        <x:v>high</x:v>
      </x:c>
      <x:c r="S47" s="24" t="str">
        <x:v>Solea solea</x:v>
      </x:c>
      <x:c r="T47" s="32" t="n">
        <x:f>IF(O47="","",(1/'Metadata'!$B$5)^(O47-1))</x:f>
        <x:v>162.18100973589299</x:v>
      </x:c>
      <x:c r="U47" s="31" t="n">
        <x:f>IF(T47="","",I47*T47)</x:f>
        <x:v>1.2411960325489757</x:v>
      </x:c>
    </x:row>
    <x:row r="48" ht="18" customHeight="1">
      <x:c r="A48" s="24" t="str">
        <x:v>EEZ_616</x:v>
      </x:c>
      <x:c r="B48" s="24" t="str">
        <x:v>Poland</x:v>
      </x:c>
      <x:c r="C48" s="24" t="str">
        <x:v>EEZ</x:v>
      </x:c>
      <x:c r="D48" s="30" t="n">
        <x:v>2019</x:v>
      </x:c>
      <x:c r="E48" s="24" t="str">
        <x:v>Acipenseridae</x:v>
      </x:c>
      <x:c r="F48" s="24" t="str">
        <x:v>Sturgeons</x:v>
      </x:c>
      <x:c r="G48" s="24" t="str">
        <x:v>Large demersals (&gt;=90 cm)</x:v>
      </x:c>
      <x:c r="H48" s="24" t="str">
        <x:v>Other fishes &amp; inverts</x:v>
      </x:c>
      <x:c r="I48" s="31" t="n">
        <x:v>0.0069109248</x:v>
      </x:c>
      <x:c r="J48" s="31" t="n">
        <x:v>0.0049965288</x:v>
      </x:c>
      <x:c r="K48" s="31" t="n">
        <x:v>0.001914396</x:v>
      </x:c>
      <x:c r="L48" s="31" t="n">
        <x:v>0.0015604336</x:v>
      </x:c>
      <x:c r="M48" s="31" t="n">
        <x:v>0.005350491200000001</x:v>
      </x:c>
      <x:c r="N48" s="24" t="str">
        <x:v>acipenseridae</x:v>
      </x:c>
      <x:c r="O48" s="32" t="n">
        <x:v>3.6</x:v>
      </x:c>
      <x:c r="P48" s="24" t="str">
        <x:v>exact_sea_around_us</x:v>
      </x:c>
      <x:c r="Q48" s="32" t="str">
        <x:v>Sea Around Us exploited organisms</x:v>
      </x:c>
      <x:c r="R48" s="24" t="str">
        <x:v>high</x:v>
      </x:c>
      <x:c r="S48" s="24" t="str">
        <x:v>Acipenseridae</x:v>
      </x:c>
      <x:c r="T48" s="32" t="n">
        <x:f>IF(O48="","",(1/'Metadata'!$B$5)^(O48-1))</x:f>
        <x:v>398.1071705534973</x:v>
      </x:c>
      <x:c r="U48" s="31" t="n">
        <x:f>IF(T48="","",I48*T48)</x:f>
        <x:v>2.7512887180359944</x:v>
      </x:c>
    </x:row>
    <x:row r="49" ht="18" customHeight="1">
      <x:c r="A49" s="24" t="str">
        <x:v>EEZ_616</x:v>
      </x:c>
      <x:c r="B49" s="24" t="str">
        <x:v>Poland</x:v>
      </x:c>
      <x:c r="C49" s="24" t="str">
        <x:v>EEZ</x:v>
      </x:c>
      <x:c r="D49" s="30" t="n">
        <x:v>2019</x:v>
      </x:c>
      <x:c r="E49" s="24" t="str">
        <x:v>Myoxocephalus quadricornis</x:v>
      </x:c>
      <x:c r="F49" s="24" t="str">
        <x:v>Fourhorn sculpin</x:v>
      </x:c>
      <x:c r="G49" s="24" t="str">
        <x:v>Medium demersals (30 - 89 cm)</x:v>
      </x:c>
      <x:c r="H49" s="24" t="str">
        <x:v>Scorpionfishes</x:v>
      </x:c>
      <x:c r="I49" s="31" t="n">
        <x:v>0.0066304916999999994</x:v>
      </x:c>
      <x:c r="J49" s="31" t="n">
        <x:v>0.0066304916999999994</x:v>
      </x:c>
      <x:c r="K49" s="31" t="n">
        <x:v>0</x:v>
      </x:c>
      <x:c r="L49" s="31" t="n">
        <x:v>0.0066304916999999994</x:v>
      </x:c>
      <x:c r="M49" s="31" t="n">
        <x:v>0</x:v>
      </x:c>
      <x:c r="N49" s="24" t="str">
        <x:v>myoxocephalus quadricornis</x:v>
      </x:c>
      <x:c r="O49" s="32" t="n">
        <x:v>3.69</x:v>
      </x:c>
      <x:c r="P49" s="24" t="str">
        <x:v>exact_2020_supplement</x:v>
      </x:c>
      <x:c r="Q49" s="32" t="str">
        <x:v>2020 supplement MeanTL</x:v>
      </x:c>
      <x:c r="R49" s="24" t="str">
        <x:v>high</x:v>
      </x:c>
      <x:c r="S49" s="24" t="str">
        <x:v>Myoxocephalus quadricornis</x:v>
      </x:c>
      <x:c r="T49" s="32" t="n">
        <x:f>IF(O49="","",(1/'Metadata'!$B$5)^(O49-1))</x:f>
        <x:v>489.77881936844614</x:v>
      </x:c>
      <x:c r="U49" s="31" t="n">
        <x:f>IF(T49="","",I49*T49)</x:f>
        <x:v>3.247474396658281</x:v>
      </x:c>
    </x:row>
    <x:row r="50" ht="18" customHeight="1">
      <x:c r="A50" s="24" t="str">
        <x:v>EEZ_616</x:v>
      </x:c>
      <x:c r="B50" s="24" t="str">
        <x:v>Poland</x:v>
      </x:c>
      <x:c r="C50" s="24" t="str">
        <x:v>EEZ</x:v>
      </x:c>
      <x:c r="D50" s="30" t="n">
        <x:v>2019</x:v>
      </x:c>
      <x:c r="E50" s="24" t="str">
        <x:v>Anarhichas lupus</x:v>
      </x:c>
      <x:c r="F50" s="24" t="str">
        <x:v>Atlantic wolffish</x:v>
      </x:c>
      <x:c r="G50" s="24" t="str">
        <x:v>Large demersals (&gt;=90 cm)</x:v>
      </x:c>
      <x:c r="H50" s="24" t="str">
        <x:v>Perch-likes</x:v>
      </x:c>
      <x:c r="I50" s="31" t="n">
        <x:v>0.0033565485999999998</x:v>
      </x:c>
      <x:c r="J50" s="31" t="n">
        <x:v>0.0022567301</x:v>
      </x:c>
      <x:c r="K50" s="31" t="n">
        <x:v>0.0010998185</x:v>
      </x:c>
      <x:c r="L50" s="31" t="n">
        <x:v>0</x:v>
      </x:c>
      <x:c r="M50" s="31" t="n">
        <x:v>0.0033565485999999998</x:v>
      </x:c>
      <x:c r="N50" s="24" t="str">
        <x:v>anarhichas lupus</x:v>
      </x:c>
      <x:c r="O50" s="32" t="n">
        <x:v>3.55</x:v>
      </x:c>
      <x:c r="P50" s="24" t="str">
        <x:v>exact_2020_supplement</x:v>
      </x:c>
      <x:c r="Q50" s="32" t="str">
        <x:v>2020 supplement MeanTL</x:v>
      </x:c>
      <x:c r="R50" s="24" t="str">
        <x:v>high</x:v>
      </x:c>
      <x:c r="S50" s="24" t="str">
        <x:v>Anarhichas lupus</x:v>
      </x:c>
      <x:c r="T50" s="32" t="n">
        <x:f>IF(O50="","",(1/'Metadata'!$B$5)^(O50-1))</x:f>
        <x:v>354.8133892335753</x:v>
      </x:c>
      <x:c r="U50" s="31" t="n">
        <x:f>IF(T50="","",I50*T50)</x:f>
        <x:v>1.1909483848932123</x:v>
      </x:c>
    </x:row>
    <x:row r="51" ht="18" customHeight="1">
      <x:c r="A51" s="24" t="str">
        <x:v>EEZ_616</x:v>
      </x:c>
      <x:c r="B51" s="24" t="str">
        <x:v>Poland</x:v>
      </x:c>
      <x:c r="C51" s="24" t="str">
        <x:v>EEZ</x:v>
      </x:c>
      <x:c r="D51" s="30" t="n">
        <x:v>2019</x:v>
      </x:c>
      <x:c r="E51" s="24" t="str">
        <x:v>Merluccius merluccius</x:v>
      </x:c>
      <x:c r="F51" s="24" t="str">
        <x:v>European hake</x:v>
      </x:c>
      <x:c r="G51" s="24" t="str">
        <x:v>Large demersals (&gt;=90 cm)</x:v>
      </x:c>
      <x:c r="H51" s="24" t="str">
        <x:v>Cod-likes</x:v>
      </x:c>
      <x:c r="I51" s="31" t="n">
        <x:v>0.0031835049</x:v>
      </x:c>
      <x:c r="J51" s="31" t="n">
        <x:v>0.0020214265</x:v>
      </x:c>
      <x:c r="K51" s="31" t="n">
        <x:v>0.0011620784000000001</x:v>
      </x:c>
      <x:c r="L51" s="31" t="n">
        <x:v>0</x:v>
      </x:c>
      <x:c r="M51" s="31" t="n">
        <x:v>0.0031835049</x:v>
      </x:c>
      <x:c r="N51" s="24" t="str">
        <x:v>merluccius merluccius</x:v>
      </x:c>
      <x:c r="O51" s="32" t="n">
        <x:v>4.42</x:v>
      </x:c>
      <x:c r="P51" s="24" t="str">
        <x:v>exact_2020_supplement</x:v>
      </x:c>
      <x:c r="Q51" s="32" t="str">
        <x:v>2020 supplement MeanTL</x:v>
      </x:c>
      <x:c r="R51" s="24" t="str">
        <x:v>high</x:v>
      </x:c>
      <x:c r="S51" s="24" t="str">
        <x:v>Merluccius merluccius</x:v>
      </x:c>
      <x:c r="T51" s="32" t="n">
        <x:f>IF(O51="","",(1/'Metadata'!$B$5)^(O51-1))</x:f>
        <x:v>2630.2679918953813</x:v>
      </x:c>
      <x:c r="U51" s="31" t="n">
        <x:f>IF(T51="","",I51*T51)</x:f>
        <x:v>8.373471040512108</x:v>
      </x:c>
    </x:row>
    <x:row r="52" ht="18" customHeight="1">
      <x:c r="A52" s="24" t="str">
        <x:v>EEZ_616</x:v>
      </x:c>
      <x:c r="B52" s="24" t="str">
        <x:v>Poland</x:v>
      </x:c>
      <x:c r="C52" s="24" t="str">
        <x:v>EEZ</x:v>
      </x:c>
      <x:c r="D52" s="30" t="n">
        <x:v>2019</x:v>
      </x:c>
      <x:c r="E52" s="24" t="str">
        <x:v>Pollachius pollachius</x:v>
      </x:c>
      <x:c r="F52" s="24" t="str">
        <x:v>Pollack</x:v>
      </x:c>
      <x:c r="G52" s="24" t="str">
        <x:v>Large benthopelagics (&gt;=90 cm)</x:v>
      </x:c>
      <x:c r="H52" s="24" t="str">
        <x:v>Cod-likes</x:v>
      </x:c>
      <x:c r="I52" s="31" t="n">
        <x:v>0.0026436665</x:v>
      </x:c>
      <x:c r="J52" s="31" t="n">
        <x:v>0.0016322926</x:v>
      </x:c>
      <x:c r="K52" s="31" t="n">
        <x:v>0.0010113739</x:v>
      </x:c>
      <x:c r="L52" s="31" t="n">
        <x:v>0</x:v>
      </x:c>
      <x:c r="M52" s="31" t="n">
        <x:v>0.0026436665</x:v>
      </x:c>
      <x:c r="N52" s="24" t="str">
        <x:v>pollachius pollachius</x:v>
      </x:c>
      <x:c r="O52" s="32" t="n">
        <x:v>4.32</x:v>
      </x:c>
      <x:c r="P52" s="24" t="str">
        <x:v>exact_2020_supplement</x:v>
      </x:c>
      <x:c r="Q52" s="32" t="str">
        <x:v>2020 supplement MeanTL</x:v>
      </x:c>
      <x:c r="R52" s="24" t="str">
        <x:v>high</x:v>
      </x:c>
      <x:c r="S52" s="24" t="str">
        <x:v>Pollachius pollachius</x:v>
      </x:c>
      <x:c r="T52" s="32" t="n">
        <x:f>IF(O52="","",(1/'Metadata'!$B$5)^(O52-1))</x:f>
        <x:v>2089.2961308540407</x:v>
      </x:c>
      <x:c r="U52" s="31" t="n">
        <x:f>IF(T52="","",I52*T52)</x:f>
        <x:v>5.5234021897184435</x:v>
      </x:c>
    </x:row>
    <x:row r="53" ht="18" customHeight="1">
      <x:c r="A53" s="24" t="str">
        <x:v>EEZ_616</x:v>
      </x:c>
      <x:c r="B53" s="24" t="str">
        <x:v>Poland</x:v>
      </x:c>
      <x:c r="C53" s="24" t="str">
        <x:v>EEZ</x:v>
      </x:c>
      <x:c r="D53" s="30" t="n">
        <x:v>2019</x:v>
      </x:c>
      <x:c r="E53" s="24" t="str">
        <x:v>Mugilidae</x:v>
      </x:c>
      <x:c r="F53" s="24" t="str">
        <x:v>Mullets, grey mullets</x:v>
      </x:c>
      <x:c r="G53" s="24" t="str">
        <x:v>Medium reef assoc. fish (30 - 89 cm)</x:v>
      </x:c>
      <x:c r="H53" s="24" t="str">
        <x:v>Perch-likes</x:v>
      </x:c>
      <x:c r="I53" s="31" t="n">
        <x:v>0.0026092687000000003</x:v>
      </x:c>
      <x:c r="J53" s="31" t="n">
        <x:v>0.000976604</x:v>
      </x:c>
      <x:c r="K53" s="31" t="n">
        <x:v>0.0016326647</x:v>
      </x:c>
      <x:c r="L53" s="31" t="n">
        <x:v>0</x:v>
      </x:c>
      <x:c r="M53" s="31" t="n">
        <x:v>0.0026092687000000003</x:v>
      </x:c>
      <x:c r="N53" s="24" t="str">
        <x:v>mugilidae</x:v>
      </x:c>
      <x:c r="O53" s="32" t="n">
        <x:v>2.53</x:v>
      </x:c>
      <x:c r="P53" s="24" t="str">
        <x:v>exact_sea_around_us</x:v>
      </x:c>
      <x:c r="Q53" s="32" t="str">
        <x:v>Sea Around Us exploited organisms</x:v>
      </x:c>
      <x:c r="R53" s="24" t="str">
        <x:v>high</x:v>
      </x:c>
      <x:c r="S53" s="24" t="str">
        <x:v>Mugilidae</x:v>
      </x:c>
      <x:c r="T53" s="32" t="n">
        <x:f>IF(O53="","",(1/'Metadata'!$B$5)^(O53-1))</x:f>
        <x:v>33.88441561392024</x:v>
      </x:c>
      <x:c r="U53" s="31" t="n">
        <x:f>IF(T53="","",I53*T53)</x:f>
        <x:v>0.08841354507919337</x:v>
      </x:c>
    </x:row>
    <x:row r="54" ht="18" customHeight="1">
      <x:c r="A54" s="24" t="str">
        <x:v>EEZ_616</x:v>
      </x:c>
      <x:c r="B54" s="24" t="str">
        <x:v>Poland</x:v>
      </x:c>
      <x:c r="C54" s="24" t="str">
        <x:v>EEZ</x:v>
      </x:c>
      <x:c r="D54" s="30" t="n">
        <x:v>2019</x:v>
      </x:c>
      <x:c r="E54" s="24" t="str">
        <x:v>Leuciscus idus</x:v>
      </x:c>
      <x:c r="F54" s="24" t="str">
        <x:v>Ide</x:v>
      </x:c>
      <x:c r="G54" s="24" t="str">
        <x:v>Medium benthopelagics (30 - 89 cm)</x:v>
      </x:c>
      <x:c r="H54" s="24" t="str">
        <x:v>Other fishes &amp; inverts</x:v>
      </x:c>
      <x:c r="I54" s="31" t="n">
        <x:v>0.001702941</x:v>
      </x:c>
      <x:c r="J54" s="31" t="n">
        <x:v>0.0010090752</x:v>
      </x:c>
      <x:c r="K54" s="31" t="n">
        <x:v>0.0006938658</x:v>
      </x:c>
      <x:c r="L54" s="31" t="n">
        <x:v>0</x:v>
      </x:c>
      <x:c r="M54" s="31" t="n">
        <x:v>0.001702941</x:v>
      </x:c>
      <x:c r="N54" s="24" t="str">
        <x:v>leuciscus idus</x:v>
      </x:c>
      <x:c r="O54" s="32" t="n">
        <x:v>3.79</x:v>
      </x:c>
      <x:c r="P54" s="24" t="str">
        <x:v>exact_2020_supplement</x:v>
      </x:c>
      <x:c r="Q54" s="32" t="str">
        <x:v>2020 supplement MeanTL</x:v>
      </x:c>
      <x:c r="R54" s="24" t="str">
        <x:v>high</x:v>
      </x:c>
      <x:c r="S54" s="24" t="str">
        <x:v>Leuciscus idus</x:v>
      </x:c>
      <x:c r="T54" s="32" t="n">
        <x:f>IF(O54="","",(1/'Metadata'!$B$5)^(O54-1))</x:f>
        <x:v>616.5950018614822</x:v>
      </x:c>
      <x:c r="U54" s="31" t="n">
        <x:f>IF(T54="","",I54*T54)</x:f>
        <x:v>1.0500249090649942</x:v>
      </x:c>
    </x:row>
    <x:row r="55" ht="18" customHeight="1">
      <x:c r="A55" s="24" t="str">
        <x:v>EEZ_616</x:v>
      </x:c>
      <x:c r="B55" s="24" t="str">
        <x:v>Poland</x:v>
      </x:c>
      <x:c r="C55" s="24" t="str">
        <x:v>EEZ</x:v>
      </x:c>
      <x:c r="D55" s="30" t="n">
        <x:v>2019</x:v>
      </x:c>
      <x:c r="E55" s="24" t="str">
        <x:v>Hippoglossoides platessoides</x:v>
      </x:c>
      <x:c r="F55" s="24" t="str">
        <x:v>American plaice</x:v>
      </x:c>
      <x:c r="G55" s="24" t="str">
        <x:v>Small to medium flatfishes (&lt;90 cm)</x:v>
      </x:c>
      <x:c r="H55" s="24" t="str">
        <x:v>Flatfishes</x:v>
      </x:c>
      <x:c r="I55" s="31" t="n">
        <x:v>0.0004808758</x:v>
      </x:c>
      <x:c r="J55" s="31" t="n">
        <x:v>0.0003222422</x:v>
      </x:c>
      <x:c r="K55" s="31" t="n">
        <x:v>0.0001586336</x:v>
      </x:c>
      <x:c r="L55" s="31" t="n">
        <x:v>0</x:v>
      </x:c>
      <x:c r="M55" s="31" t="n">
        <x:v>0.0004808758</x:v>
      </x:c>
      <x:c r="N55" s="24" t="str">
        <x:v>hippoglossoides platessoides</x:v>
      </x:c>
      <x:c r="O55" s="32" t="n">
        <x:v>4.08</x:v>
      </x:c>
      <x:c r="P55" s="24" t="str">
        <x:v>exact_2020_supplement</x:v>
      </x:c>
      <x:c r="Q55" s="32" t="str">
        <x:v>2020 supplement MeanTL</x:v>
      </x:c>
      <x:c r="R55" s="24" t="str">
        <x:v>high</x:v>
      </x:c>
      <x:c r="S55" s="24" t="str">
        <x:v>Hippoglossoides platessoides</x:v>
      </x:c>
      <x:c r="T55" s="32" t="n">
        <x:f>IF(O55="","",(1/'Metadata'!$B$5)^(O55-1))</x:f>
        <x:v>1202.2644346174131</x:v>
      </x:c>
      <x:c r="U55" s="31" t="n">
        <x:f>IF(T55="","",I55*T55)</x:f>
        <x:v>0.5781398718081963</x:v>
      </x:c>
    </x:row>
    <x:row r="56" ht="18" customHeight="1">
      <x:c r="A56" s="24" t="str">
        <x:v>EEZ_616</x:v>
      </x:c>
      <x:c r="B56" s="24" t="str">
        <x:v>Poland</x:v>
      </x:c>
      <x:c r="C56" s="24" t="str">
        <x:v>EEZ</x:v>
      </x:c>
      <x:c r="D56" s="30" t="n">
        <x:v>2019</x:v>
      </x:c>
      <x:c r="E56" s="24" t="str">
        <x:v>Salmo</x:v>
      </x:c>
      <x:c r="F56" s="24" t="str">
        <x:v>Trouts</x:v>
      </x:c>
      <x:c r="G56" s="24" t="str">
        <x:v>Large benthopelagics (&gt;=90 cm)</x:v>
      </x:c>
      <x:c r="H56" s="24" t="str">
        <x:v>Salmon, smelts, etc</x:v>
      </x:c>
      <x:c r="I56" s="31" t="n">
        <x:v>0.0003821355</x:v>
      </x:c>
      <x:c r="J56" s="31" t="n">
        <x:v>0.0002579889</x:v>
      </x:c>
      <x:c r="K56" s="31" t="n">
        <x:v>0.0001241466</x:v>
      </x:c>
      <x:c r="L56" s="31" t="n">
        <x:v>0</x:v>
      </x:c>
      <x:c r="M56" s="31" t="n">
        <x:v>0.0003821355</x:v>
      </x:c>
      <x:c r="N56" s="24" t="str">
        <x:v>salmo</x:v>
      </x:c>
      <x:c r="O56" s="32" t="n">
        <x:v>4</x:v>
      </x:c>
      <x:c r="P56" s="24" t="str">
        <x:v>exact_sea_around_us</x:v>
      </x:c>
      <x:c r="Q56" s="32" t="str">
        <x:v>Sea Around Us exploited organisms</x:v>
      </x:c>
      <x:c r="R56" s="24" t="str">
        <x:v>high</x:v>
      </x:c>
      <x:c r="S56" s="24" t="str">
        <x:v>Salmo</x:v>
      </x:c>
      <x:c r="T56" s="32" t="n">
        <x:f>IF(O56="","",(1/'Metadata'!$B$5)^(O56-1))</x:f>
        <x:v>1000</x:v>
      </x:c>
      <x:c r="U56" s="31" t="n">
        <x:f>IF(T56="","",I56*T56)</x:f>
        <x:v>0.38213549999999996</x:v>
      </x:c>
    </x:row>
    <x:row r="57" ht="18" customHeight="1">
      <x:c r="A57" s="24" t="str">
        <x:v>EEZ_616</x:v>
      </x:c>
      <x:c r="B57" s="24" t="str">
        <x:v>Poland</x:v>
      </x:c>
      <x:c r="C57" s="24" t="str">
        <x:v>EEZ</x:v>
      </x:c>
      <x:c r="D57" s="30" t="n">
        <x:v>2019</x:v>
      </x:c>
      <x:c r="E57" s="24" t="str">
        <x:v>Belonidae</x:v>
      </x:c>
      <x:c r="F57" s="24" t="str">
        <x:v>Needlefishes, garfishes</x:v>
      </x:c>
      <x:c r="G57" s="24" t="str">
        <x:v>Medium pelagics (30 - 89 cm)</x:v>
      </x:c>
      <x:c r="H57" s="24" t="str">
        <x:v>Other fishes &amp; inverts</x:v>
      </x:c>
      <x:c r="I57" s="31" t="n">
        <x:v>0.0003204052</x:v>
      </x:c>
      <x:c r="J57" s="31" t="n">
        <x:v>0.0002137668</x:v>
      </x:c>
      <x:c r="K57" s="31" t="n">
        <x:v>0.0001066384</x:v>
      </x:c>
      <x:c r="L57" s="31" t="n">
        <x:v>0</x:v>
      </x:c>
      <x:c r="M57" s="31" t="n">
        <x:v>0.0003204052</x:v>
      </x:c>
      <x:c r="N57" s="24" t="str">
        <x:v>belonidae</x:v>
      </x:c>
      <x:c r="O57" s="32" t="n">
        <x:v>4.38</x:v>
      </x:c>
      <x:c r="P57" s="24" t="str">
        <x:v>exact_sea_around_us</x:v>
      </x:c>
      <x:c r="Q57" s="32" t="str">
        <x:v>Sea Around Us exploited organisms</x:v>
      </x:c>
      <x:c r="R57" s="24" t="str">
        <x:v>high</x:v>
      </x:c>
      <x:c r="S57" s="24" t="str">
        <x:v>Belonidae</x:v>
      </x:c>
      <x:c r="T57" s="32" t="n">
        <x:f>IF(O57="","",(1/'Metadata'!$B$5)^(O57-1))</x:f>
        <x:v>2398.83291901949</x:v>
      </x:c>
      <x:c r="U57" s="31" t="n">
        <x:f>IF(T57="","",I57*T57)</x:f>
        <x:v>0.7685985411850236</x:v>
      </x:c>
    </x:row>
  </x:sheetData>
  <x:conditionalFormatting sqref="R2:R57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a4478170c880493f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commercial_group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Cod-likes</x:v>
      </x:c>
      <x:c r="B2" s="31" t="n">
        <x:v>16063.5245840874</x:v>
      </x:c>
      <x:c r="C2" s="32" t="n">
        <x:v>4.1187050950534525</x:v>
      </x:c>
      <x:c r="D2" s="32" t="n">
        <x:f>IF(C2="","",(1/'Metadata'!$B$5)^(C2-1))</x:f>
        <x:v>1314.3320401681592</x:v>
      </x:c>
      <x:c r="E2" s="31" t="n">
        <x:f>IF(B2=0,"",B2*D2)</x:f>
        <x:v>21112805.038894974</x:v>
      </x:c>
    </x:row>
    <x:row r="3" ht="18" customHeight="1">
      <x:c r="A3" s="24" t="str">
        <x:v>Flatfishes</x:v>
      </x:c>
      <x:c r="B3" s="31" t="n">
        <x:v>14639.332142645899</x:v>
      </x:c>
      <x:c r="C3" s="32" t="n">
        <x:v>3.4343715821963476</x:v>
      </x:c>
      <x:c r="D3" s="32" t="n">
        <x:f>IF(C3="","",(1/'Metadata'!$B$5)^(C3-1))</x:f>
        <x:v>271.8764447831204</x:v>
      </x:c>
      <x:c r="E3" s="31" t="n">
        <x:f>IF(B3=0,"",B3*D3)</x:f>
        <x:v>3980089.5769418273</x:v>
      </x:c>
    </x:row>
    <x:row r="4" ht="18" customHeight="1">
      <x:c r="A4" s="24" t="str">
        <x:v>Herring-likes</x:v>
      </x:c>
      <x:c r="B4" s="31" t="n">
        <x:v>118924.9043926718</x:v>
      </x:c>
      <x:c r="C4" s="32" t="n">
        <x:v>3.16891383782468</x:v>
      </x:c>
      <x:c r="D4" s="32" t="n">
        <x:f>IF(C4="","",(1/'Metadata'!$B$5)^(C4-1))</x:f>
        <x:v>147.54137884261326</x:v>
      </x:c>
      <x:c r="E4" s="31" t="n">
        <x:f>IF(B4=0,"",B4*D4)</x:f>
        <x:v>17546344.37282075</x:v>
      </x:c>
    </x:row>
    <x:row r="5" ht="18" customHeight="1">
      <x:c r="A5" s="24" t="str">
        <x:v>Molluscs</x:v>
      </x:c>
      <x:c r="B5" s="31" t="n">
        <x:v>0.04108159</x:v>
      </x:c>
      <x:c r="C5" s="32" t="n">
        <x:v>3.75</x:v>
      </x:c>
      <x:c r="D5" s="32" t="n">
        <x:f>IF(C5="","",(1/'Metadata'!$B$5)^(C5-1))</x:f>
        <x:v>562.341325190349</x:v>
      </x:c>
      <x:c r="E5" s="31" t="n">
        <x:f>IF(B5=0,"",B5*D5)</x:f>
        <x:v>23.101875761526593</x:v>
      </x:c>
    </x:row>
    <x:row r="6" ht="18" customHeight="1">
      <x:c r="A6" s="24" t="str">
        <x:v>Other fishes &amp; inverts</x:v>
      </x:c>
      <x:c r="B6" s="31" t="n">
        <x:v>3181.243504898</x:v>
      </x:c>
      <x:c r="C6" s="32" t="n">
        <x:v>2.9416735710971365</x:v>
      </x:c>
      <x:c r="D6" s="32" t="n">
        <x:f>IF(C6="","",(1/'Metadata'!$B$5)^(C6-1))</x:f>
        <x:v>87.43263579858363</x:v>
      </x:c>
      <x:c r="E6" s="31" t="n">
        <x:f>IF(B6=0,"",B6*D6)</x:f>
        <x:v>278144.50475035654</x:v>
      </x:c>
    </x:row>
    <x:row r="7" ht="18" customHeight="1">
      <x:c r="A7" s="24" t="str">
        <x:v>Perch-likes</x:v>
      </x:c>
      <x:c r="B7" s="31" t="n">
        <x:v>2105.8099043842</x:v>
      </x:c>
      <x:c r="C7" s="32" t="n">
        <x:v>3.8952974159126494</x:v>
      </x:c>
      <x:c r="D7" s="32" t="n">
        <x:f>IF(C7="","",(1/'Metadata'!$B$5)^(C7-1))</x:f>
        <x:v>785.7735681287119</x:v>
      </x:c>
      <x:c r="E7" s="31" t="n">
        <x:f>IF(B7=0,"",B7*D7)</x:f>
        <x:v>1654689.7623687543</x:v>
      </x:c>
    </x:row>
    <x:row r="8" ht="18" customHeight="1">
      <x:c r="A8" s="24" t="str">
        <x:v>Salmon, smelts, etc</x:v>
      </x:c>
      <x:c r="B8" s="31" t="n">
        <x:v>317.2070593749</x:v>
      </x:c>
      <x:c r="C8" s="32" t="n">
        <x:v>3.7153867483506904</x:v>
      </x:c>
      <x:c r="D8" s="32" t="n">
        <x:f>IF(C8="","",(1/'Metadata'!$B$5)^(C8-1))</x:f>
        <x:v>519.2622470241637</x:v>
      </x:c>
      <x:c r="E8" s="31" t="n">
        <x:f>IF(B8=0,"",B8*D8)</x:f>
        <x:v>164713.65042293788</x:v>
      </x:c>
    </x:row>
    <x:row r="9" ht="18" customHeight="1">
      <x:c r="A9" s="24" t="str">
        <x:v>Scorpionfishes</x:v>
      </x:c>
      <x:c r="B9" s="31" t="n">
        <x:v>0.6426861095</x:v>
      </x:c>
      <x:c r="C9" s="32" t="n">
        <x:v>3.876266859965487</x:v>
      </x:c>
      <x:c r="D9" s="32" t="n">
        <x:f>IF(C9="","",(1/'Metadata'!$B$5)^(C9-1))</x:f>
        <x:v>752.0848839925635</x:v>
      </x:c>
      <x:c r="E9" s="31" t="n">
        <x:f>IF(B9=0,"",B9*D9)</x:f>
        <x:v>483.3545081069395</x:v>
      </x:c>
    </x:row>
  </x:sheetData>
  <x:pageMargins left="0.7" right="0.7" top="0.75" bottom="0.75" header="0.3" footer="0.3"/>
  <x:tableParts count="1">
    <x:tablePart xmlns:r="http://schemas.openxmlformats.org/officeDocument/2006/relationships" r:id="R59d391fcf37b4830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functional_group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Large benthopelagics (&gt;=90 cm)</x:v>
      </x:c>
      <x:c r="B2" s="31" t="n">
        <x:v>14419.1214755306</x:v>
      </x:c>
      <x:c r="C2" s="32" t="n">
        <x:v>4.092120116566827</x:v>
      </x:c>
      <x:c r="D2" s="32" t="n">
        <x:f>IF(C2="","",(1/'Metadata'!$B$5)^(C2-1))</x:f>
        <x:v>1236.2893173520545</x:v>
      </x:c>
      <x:c r="E2" s="31" t="n">
        <x:f>IF(B2=0,"",B2*D2)</x:f>
        <x:v>17826205.845800072</x:v>
      </x:c>
    </x:row>
    <x:row r="3" ht="18" customHeight="1">
      <x:c r="A3" s="24" t="str">
        <x:v>Large demersals (&gt;=90 cm)</x:v>
      </x:c>
      <x:c r="B3" s="31" t="n">
        <x:v>130.3539851943</x:v>
      </x:c>
      <x:c r="C3" s="32" t="n">
        <x:v>3.650026251925707</x:v>
      </x:c>
      <x:c r="D3" s="32" t="n">
        <x:f>IF(C3="","",(1/'Metadata'!$B$5)^(C3-1))</x:f>
        <x:v>446.71059378092417</x:v>
      </x:c>
      <x:c r="E3" s="31" t="n">
        <x:f>IF(B3=0,"",B3*D3)</x:f>
        <x:v>58230.50612785555</x:v>
      </x:c>
    </x:row>
    <x:row r="4" ht="18" customHeight="1">
      <x:c r="A4" s="24" t="str">
        <x:v>Large flatfishes (&gt;=90 cm)</x:v>
      </x:c>
      <x:c r="B4" s="31" t="n">
        <x:v>421.5615797025</x:v>
      </x:c>
      <x:c r="C4" s="32" t="n">
        <x:v>3.3536843331342507</x:v>
      </x:c>
      <x:c r="D4" s="32" t="n">
        <x:f>IF(C4="","",(1/'Metadata'!$B$5)^(C4-1))</x:f>
        <x:v>225.779409643681</x:v>
      </x:c>
      <x:c r="E4" s="31" t="n">
        <x:f>IF(B4=0,"",B4*D4)</x:f>
        <x:v>95179.92459368802</x:v>
      </x:c>
    </x:row>
    <x:row r="5" ht="18" customHeight="1">
      <x:c r="A5" s="24" t="str">
        <x:v>Large pelagics (&gt;=90 cm)</x:v>
      </x:c>
      <x:c r="B5" s="31" t="n">
        <x:v>497.0017374107</x:v>
      </x:c>
      <x:c r="C5" s="32" t="n">
        <x:v>3.9444932468190803</x:v>
      </x:c>
      <x:c r="D5" s="32" t="n">
        <x:f>IF(C5="","",(1/'Metadata'!$B$5)^(C5-1))</x:f>
        <x:v>880.0214274468676</x:v>
      </x:c>
      <x:c r="E5" s="31" t="n">
        <x:f>IF(B5=0,"",B5*D5)</x:f>
        <x:v>437372.17839973746</x:v>
      </x:c>
    </x:row>
    <x:row r="6" ht="18" customHeight="1">
      <x:c r="A6" s="24" t="str">
        <x:v>Medium benthopelagics (30 - 89 cm)</x:v>
      </x:c>
      <x:c r="B6" s="31" t="n">
        <x:v>2358.3315819802</x:v>
      </x:c>
      <x:c r="C6" s="32" t="n">
        <x:v>3.9771930619983196</x:v>
      </x:c>
      <x:c r="D6" s="32" t="n">
        <x:f>IF(C6="","",(1/'Metadata'!$B$5)^(C6-1))</x:f>
        <x:v>948.8401685631416</x:v>
      </x:c>
      <x:c r="E6" s="31" t="n">
        <x:f>IF(B6=0,"",B6*D6)</x:f>
        <x:v>2237679.7357738735</x:v>
      </x:c>
    </x:row>
    <x:row r="7" ht="18" customHeight="1">
      <x:c r="A7" s="24" t="str">
        <x:v>Medium demersals (30 - 89 cm)</x:v>
      </x:c>
      <x:c r="B7" s="31" t="n">
        <x:v>3302.7951952180006</x:v>
      </x:c>
      <x:c r="C7" s="32" t="n">
        <x:v>3.328060087093245</x:v>
      </x:c>
      <x:c r="D7" s="32" t="n">
        <x:f>IF(C7="","",(1/'Metadata'!$B$5)^(C7-1))</x:f>
        <x:v>212.84335064031274</x:v>
      </x:c>
      <x:c r="E7" s="31" t="n">
        <x:f>IF(B7=0,"",B7*D7)</x:f>
        <x:v>702977.995828925</x:v>
      </x:c>
    </x:row>
    <x:row r="8" ht="18" customHeight="1">
      <x:c r="A8" s="24" t="str">
        <x:v>Medium pelagics (30 - 89 cm)</x:v>
      </x:c>
      <x:c r="B8" s="31" t="n">
        <x:v>51352.8863252675</x:v>
      </x:c>
      <x:c r="C8" s="32" t="n">
        <x:v>3.380819465741164</x:v>
      </x:c>
      <x:c r="D8" s="32" t="n">
        <x:f>IF(C8="","",(1/'Metadata'!$B$5)^(C8-1))</x:f>
        <x:v>240.33635249384852</x:v>
      </x:c>
      <x:c r="E8" s="31" t="n">
        <x:f>IF(B8=0,"",B8*D8)</x:f>
        <x:v>12341965.389446024</x:v>
      </x:c>
    </x:row>
    <x:row r="9" ht="18" customHeight="1">
      <x:c r="A9" s="24" t="str">
        <x:v>Medium reef assoc. fish (30 - 89 cm)</x:v>
      </x:c>
      <x:c r="B9" s="31" t="n">
        <x:v>0.0026092687000000003</x:v>
      </x:c>
      <x:c r="C9" s="32" t="n">
        <x:v>2.53</x:v>
      </x:c>
      <x:c r="D9" s="32" t="n">
        <x:f>IF(C9="","",(1/'Metadata'!$B$5)^(C9-1))</x:f>
        <x:v>33.88441561392024</x:v>
      </x:c>
      <x:c r="E9" s="31" t="n">
        <x:f>IF(B9=0,"",B9*D9)</x:f>
        <x:v>0.08841354507919337</x:v>
      </x:c>
    </x:row>
    <x:row r="10" ht="18" customHeight="1">
      <x:c r="A10" s="24" t="str">
        <x:v>Other demersal invertebrates</x:v>
      </x:c>
      <x:c r="B10" s="31" t="n">
        <x:v>0.04108159</x:v>
      </x:c>
      <x:c r="C10" s="32" t="n">
        <x:v>3.75</x:v>
      </x:c>
      <x:c r="D10" s="32" t="n">
        <x:f>IF(C10="","",(1/'Metadata'!$B$5)^(C10-1))</x:f>
        <x:v>562.341325190349</x:v>
      </x:c>
      <x:c r="E10" s="31" t="n">
        <x:f>IF(B10=0,"",B10*D10)</x:f>
        <x:v>23.101875761526593</x:v>
      </x:c>
    </x:row>
    <x:row r="11" ht="18" customHeight="1">
      <x:c r="A11" s="24" t="str">
        <x:v>Small benthopelagics (&lt;30 cm)</x:v>
      </x:c>
      <x:c r="B11" s="31" t="n">
        <x:v>12.529248864200001</x:v>
      </x:c>
      <x:c r="C11" s="32" t="n">
        <x:v>3.31</x:v>
      </x:c>
      <x:c r="D11" s="32" t="n">
        <x:f>IF(C11="","",(1/'Metadata'!$B$5)^(C11-1))</x:f>
        <x:v>204.17379446695296</x:v>
      </x:c>
      <x:c r="E11" s="31" t="n">
        <x:f>IF(B11=0,"",B11*D11)</x:f>
        <x:v>2558.144282424475</x:v>
      </x:c>
    </x:row>
    <x:row r="12" ht="18" customHeight="1">
      <x:c r="A12" s="24" t="str">
        <x:v>Small demersals (&lt;30 cm)</x:v>
      </x:c>
      <x:c r="B12" s="31" t="n">
        <x:v>455.664981087</x:v>
      </x:c>
      <x:c r="C12" s="32" t="n">
        <x:v>3.0804629911946995</x:v>
      </x:c>
      <x:c r="D12" s="32" t="n">
        <x:f>IF(C12="","",(1/'Metadata'!$B$5)^(C12-1))</x:f>
        <x:v>120.3546824067198</x:v>
      </x:c>
      <x:c r="E12" s="31" t="n">
        <x:f>IF(B12=0,"",B12*D12)</x:f>
        <x:v>54841.41408258987</x:v>
      </x:c>
    </x:row>
    <x:row r="13" ht="18" customHeight="1">
      <x:c r="A13" s="24" t="str">
        <x:v>Small pelagics (&lt;30 cm)</x:v>
      </x:c>
      <x:c r="B13" s="31" t="n">
        <x:v>67877.848601801</x:v>
      </x:c>
      <x:c r="C13" s="32" t="n">
        <x:v>3.01</x:v>
      </x:c>
      <x:c r="D13" s="32" t="n">
        <x:f>IF(C13="","",(1/'Metadata'!$B$5)^(C13-1))</x:f>
        <x:v>102.32929922807536</x:v>
      </x:c>
      <x:c r="E13" s="31" t="n">
        <x:f>IF(B13=0,"",B13*D13)</x:f>
        <x:v>6945892.680531691</x:v>
      </x:c>
    </x:row>
    <x:row r="14" ht="18" customHeight="1">
      <x:c r="A14" s="24" t="str">
        <x:v>Small reef assoc. fish (&lt;30 cm)</x:v>
      </x:c>
      <x:c r="B14" s="31" t="n">
        <x:v>186.7963899036</x:v>
      </x:c>
      <x:c r="C14" s="32" t="n">
        <x:v>3.11</x:v>
      </x:c>
      <x:c r="D14" s="32" t="n">
        <x:f>IF(C14="","",(1/'Metadata'!$B$5)^(C14-1))</x:f>
        <x:v>128.82495516931337</x:v>
      </x:c>
      <x:c r="E14" s="31" t="n">
        <x:f>IF(B14=0,"",B14*D14)</x:f>
        <x:v>24064.03655512085</x:v>
      </x:c>
    </x:row>
    <x:row r="15" ht="18" customHeight="1">
      <x:c r="A15" s="24" t="str">
        <x:v>Small to medium flatfishes (&lt;90 cm)</x:v>
      </x:c>
      <x:c r="B15" s="31" t="n">
        <x:v>14217.770562943397</x:v>
      </x:c>
      <x:c r="C15" s="32" t="n">
        <x:v>3.436763985704752</x:v>
      </x:c>
      <x:c r="D15" s="32" t="n">
        <x:f>IF(C15="","",(1/'Metadata'!$B$5)^(C15-1))</x:f>
        <x:v>273.378266750053</x:v>
      </x:c>
      <x:c r="E15" s="31" t="n">
        <x:f>IF(B15=0,"",B15*D15)</x:f>
        <x:v>3886829.473547391</x:v>
      </x:c>
    </x:row>
  </x:sheetData>
  <x:pageMargins left="0.7" right="0.7" top="0.75" bottom="0.75" header="0.3" footer="0.3"/>
  <x:tableParts count="1">
    <x:tablePart xmlns:r="http://schemas.openxmlformats.org/officeDocument/2006/relationships" r:id="Re9ad94b358744644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EEZ_616</x:v>
      </x:c>
      <x:c r="B2" s="24" t="str">
        <x:v>raw_filtered_tonnes</x:v>
      </x:c>
      <x:c r="C2" s="24" t="n">
        <x:v>155232.7053557617</x:v>
      </x:c>
      <x:c r="D2" s="24" t="str">
        <x:v>tonnes</x:v>
      </x:c>
    </x:row>
    <x:row r="3" ht="18" customHeight="1">
      <x:c r="A3" s="24" t="str">
        <x:v>EEZ_616</x:v>
      </x:c>
      <x:c r="B3" s="24" t="str">
        <x:v>species_catch_tonnes</x:v>
      </x:c>
      <x:c r="C3" s="24" t="n">
        <x:v>155232.70535576172</x:v>
      </x:c>
      <x:c r="D3" s="24" t="str">
        <x:v>tonnes</x:v>
      </x:c>
    </x:row>
    <x:row r="4" ht="18" customHeight="1">
      <x:c r="A4" s="24" t="str">
        <x:v>EEZ_616</x:v>
      </x:c>
      <x:c r="B4" s="24" t="str">
        <x:v>catch_difference_tonnes</x:v>
      </x:c>
      <x:c r="C4" s="24" t="n">
        <x:v>2.9103830456733704e-11</x:v>
      </x:c>
      <x:c r="D4" s="24" t="str">
        <x:v>tonnes</x:v>
      </x:c>
    </x:row>
    <x:row r="5" ht="18" customHeight="1">
      <x:c r="A5" s="24" t="str">
        <x:v>EEZ_616</x:v>
      </x:c>
      <x:c r="B5" s="24" t="str">
        <x:v>catch_reconciled</x:v>
      </x:c>
      <x:c r="C5" s="33" t="b">
        <x:v>1</x:v>
      </x:c>
      <x:c r="D5" s="24" t="str">
        <x:v>boolean</x:v>
      </x:c>
    </x:row>
    <x:row r="6" ht="18" customHeight="1">
      <x:c r="A6" s="24" t="str">
        <x:v>EEZ_616</x:v>
      </x:c>
      <x:c r="B6" s="24" t="str">
        <x:v>matched_catch_tonnes</x:v>
      </x:c>
      <x:c r="C6" s="24" t="n">
        <x:v>155232.70535576172</x:v>
      </x:c>
      <x:c r="D6" s="24" t="str">
        <x:v>tonnes</x:v>
      </x:c>
    </x:row>
    <x:row r="7" ht="18" customHeight="1">
      <x:c r="A7" s="24" t="str">
        <x:v>EEZ_616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EEZ_616</x:v>
      </x:c>
      <x:c r="B8" s="24" t="str">
        <x:v>taxa_count</x:v>
      </x:c>
      <x:c r="C8" s="24" t="n">
        <x:v>56</x:v>
      </x:c>
      <x:c r="D8" s="24" t="str">
        <x:v>count</x:v>
      </x:c>
    </x:row>
    <x:row r="9" ht="18" customHeight="1">
      <x:c r="A9" s="24" t="str">
        <x:v>EEZ_616</x:v>
      </x:c>
      <x:c r="B9" s="24" t="str">
        <x:v>matched_taxa_count</x:v>
      </x:c>
      <x:c r="C9" s="24" t="n">
        <x:v>56</x:v>
      </x:c>
      <x:c r="D9" s="24" t="str">
        <x:v>count</x:v>
      </x:c>
    </x:row>
    <x:row r="10" ht="18" customHeight="1">
      <x:c r="A10" s="24" t="str">
        <x:v>EEZ_616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EEZ_616</x:v>
      </x:c>
      <x:c r="B11" s="24" t="str">
        <x:v>species_ppr</x:v>
      </x:c>
      <x:c r="C11" s="24" t="n">
        <x:v>48709783.74274053</x:v>
      </x:c>
      <x:c r="D11" s="24" t="str">
        <x:v>tonnes_primary_production_equivalent</x:v>
      </x:c>
    </x:row>
    <x:row r="12" ht="18" customHeight="1">
      <x:c r="A12" s="24" t="str">
        <x:v>EEZ_616</x:v>
      </x:c>
      <x:c r="B12" s="24" t="str">
        <x:v>commercial_ppr</x:v>
      </x:c>
      <x:c r="C12" s="24" t="n">
        <x:v>44737293.36258347</x:v>
      </x:c>
      <x:c r="D12" s="24" t="str">
        <x:v>tonnes_primary_production_equivalent</x:v>
      </x:c>
    </x:row>
    <x:row r="13" ht="18" customHeight="1">
      <x:c r="A13" s="24" t="str">
        <x:v>EEZ_616</x:v>
      </x:c>
      <x:c r="B13" s="24" t="str">
        <x:v>functional_ppr</x:v>
      </x:c>
      <x:c r="C13" s="24" t="n">
        <x:v>44613820.51525869</x:v>
      </x:c>
      <x:c r="D13" s="24" t="str">
        <x:v>tonnes_primary_production_equivalent</x:v>
      </x:c>
    </x:row>
    <x:row r="14" ht="18" customHeight="1">
      <x:c r="A14" s="24" t="str">
        <x:v>EEZ_616</x:v>
      </x:c>
      <x:c r="B14" s="24" t="str">
        <x:v>commercial_ppr_difference</x:v>
      </x:c>
      <x:c r="C14" s="24" t="n">
        <x:v>-3972490.3801570535</x:v>
      </x:c>
      <x:c r="D14" s="24" t="str">
        <x:v>tonnes_primary_production_equivalent</x:v>
      </x:c>
    </x:row>
    <x:row r="15" ht="18" customHeight="1">
      <x:c r="A15" s="24" t="str">
        <x:v>EEZ_616</x:v>
      </x:c>
      <x:c r="B15" s="24" t="str">
        <x:v>functional_ppr_difference</x:v>
      </x:c>
      <x:c r="C15" s="24" t="n">
        <x:v>-4095963.2274818346</x:v>
      </x:c>
      <x:c r="D15" s="24" t="str">
        <x:v>tonnes_primary_production_equivalent</x:v>
      </x:c>
    </x:row>
    <x:row r="16" ht="18" customHeight="1">
      <x:c r="A16" s="24" t="str">
        <x:v>EEZ_616</x:v>
      </x:c>
      <x:c r="B16" s="24" t="str">
        <x:v>tl_coverage_complete</x:v>
      </x:c>
      <x:c r="C16" s="33" t="b">
        <x:v>1</x:v>
      </x:c>
      <x:c r="D16" s="24" t="str">
        <x:v>boolean</x:v>
      </x:c>
    </x:row>
    <x:row r="17" ht="18" customHeight="1">
      <x:c r="A17" s="24" t="str">
        <x:v>EEZ_616</x:v>
      </x:c>
      <x:c r="B17" s="24" t="str">
        <x:v>group_ppr_within_convexity_bound</x:v>
      </x:c>
      <x:c r="C17" s="33" t="b">
        <x:v>1</x:v>
      </x:c>
      <x:c r="D17" s="24" t="str">
        <x:v>boolean</x:v>
      </x:c>
    </x:row>
  </x:sheetData>
  <x:pageMargins left="0.7" right="0.7" top="0.75" bottom="0.75" header="0.3" footer="0.3"/>
  <x:tableParts count="1">
    <x:tablePart xmlns:r="http://schemas.openxmlformats.org/officeDocument/2006/relationships" r:id="R50327c123b23464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EEZ_616 - Poland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EEZ_616</x:v>
      </x:c>
      <x:c r="C4" s="18" t="str">
        <x:v>Sea Around Us region identifier</x:v>
      </x:c>
    </x:row>
    <x:row r="5">
      <x:c r="A5" s="22" t="str">
        <x:v>Transfer efficiency</x:v>
      </x:c>
      <x:c r="B5" s="34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raw_data/SAU_downloads/EEZ_616-catch.zip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