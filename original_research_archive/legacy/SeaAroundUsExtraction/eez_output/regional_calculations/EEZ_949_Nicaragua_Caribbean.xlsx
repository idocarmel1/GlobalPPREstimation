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3f119bb63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040f2991bc94fc1"/>
    <x:sheet xmlns:r="http://schemas.openxmlformats.org/officeDocument/2006/relationships" name="Commercial" sheetId="2" r:id="R85d1a8294bf44966"/>
    <x:sheet xmlns:r="http://schemas.openxmlformats.org/officeDocument/2006/relationships" name="Functional" sheetId="3" r:id="R36250c845d0d4aae"/>
    <x:sheet xmlns:r="http://schemas.openxmlformats.org/officeDocument/2006/relationships" name="Missing TL" sheetId="4" r:id="R1a77bebc091b4b42"/>
    <x:sheet xmlns:r="http://schemas.openxmlformats.org/officeDocument/2006/relationships" name="Validation" sheetId="5" r:id="R863b3195723e429d"/>
    <x:sheet xmlns:r="http://schemas.openxmlformats.org/officeDocument/2006/relationships" name="Metadata" sheetId="6" r:id="R2208be071ee4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873bd4bb644d2" /><Relationship Type="http://schemas.openxmlformats.org/officeDocument/2006/relationships/theme" Target="/xl/theme/theme1.xml" Id="R035557725a6143ba" /><Relationship Type="http://schemas.microsoft.com/office/2022/11/relationships/FeaturePropertyBag" Target="/xl/featurePropertyBag/featurePropertyBag.xml" Id="R18f5af108f664f58" /><Relationship Type="http://schemas.openxmlformats.org/officeDocument/2006/relationships/sharedStrings" Target="/xl/sharedStrings.xml" Id="Rc63f97a6dab04f49" /><Relationship Type="http://schemas.openxmlformats.org/officeDocument/2006/relationships/worksheet" Target="/xl/worksheets/sheet1.xml" Id="R8040f2991bc94fc1" /><Relationship Type="http://schemas.openxmlformats.org/officeDocument/2006/relationships/worksheet" Target="/xl/worksheets/sheet2.xml" Id="R85d1a8294bf44966" /><Relationship Type="http://schemas.openxmlformats.org/officeDocument/2006/relationships/worksheet" Target="/xl/worksheets/sheet3.xml" Id="R36250c845d0d4aae" /><Relationship Type="http://schemas.openxmlformats.org/officeDocument/2006/relationships/worksheet" Target="/xl/worksheets/sheet4.xml" Id="R1a77bebc091b4b42" /><Relationship Type="http://schemas.openxmlformats.org/officeDocument/2006/relationships/worksheet" Target="/xl/worksheets/sheet5.xml" Id="R863b3195723e429d" /><Relationship Type="http://schemas.openxmlformats.org/officeDocument/2006/relationships/worksheet" Target="/xl/worksheets/sheet6.xml" Id="R2208be071ee441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9SpeciesTable" displayName="EEZ949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9CommercialTable" displayName="EEZ949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9FunctionalTable" displayName="EEZ949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9ValidationTable" displayName="EEZ94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9cf588df7444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dde8e1569b43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504fb90b8741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acf8721d3647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EEZ_949</x:v>
      </x:c>
      <x:c r="B2" s="24" t="str">
        <x:v>Nicaragua (Caribbean)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11651.3</x:v>
      </x:c>
      <x:c r="J2" s="31" t="n">
        <x:v>11651.3</x:v>
      </x:c>
      <x:c r="K2" s="31" t="n">
        <x:v>0</x:v>
      </x:c>
      <x:c r="L2" s="31" t="n">
        <x:v>11651.3</x:v>
      </x:c>
      <x:c r="M2" s="31" t="n">
        <x:v>0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180457.2707193499</x:v>
      </x:c>
    </x:row>
    <x:row r="3" ht="18" customHeight="1">
      <x:c r="A3" s="24" t="str">
        <x:v>EEZ_949</x:v>
      </x:c>
      <x:c r="B3" s="24" t="str">
        <x:v>Nicaragua (Caribbean)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8188.8776532905</x:v>
      </x:c>
      <x:c r="J3" s="31" t="n">
        <x:v>8121.622279478001</x:v>
      </x:c>
      <x:c r="K3" s="31" t="n">
        <x:v>67.2553738125</x:v>
      </x:c>
      <x:c r="L3" s="31" t="n">
        <x:v>7998.4135371429</x:v>
      </x:c>
      <x:c r="M3" s="31" t="n">
        <x:v>190.4641161476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1560358.4692552101</x:v>
      </x:c>
    </x:row>
    <x:row r="4" ht="18" customHeight="1">
      <x:c r="A4" s="24" t="str">
        <x:v>EEZ_949</x:v>
      </x:c>
      <x:c r="B4" s="24" t="str">
        <x:v>Nicaragua (Caribbean)</x:v>
      </x:c>
      <x:c r="C4" s="24" t="str">
        <x:v>EEZ</x:v>
      </x:c>
      <x:c r="D4" s="30" t="n">
        <x:v>2019</x:v>
      </x:c>
      <x:c r="E4" s="24" t="str">
        <x:v>Panulirus argus</x:v>
      </x:c>
      <x:c r="F4" s="24" t="str">
        <x:v>Caribbean spiny lobster</x:v>
      </x:c>
      <x:c r="G4" s="24" t="str">
        <x:v>Lobsters, crabs</x:v>
      </x:c>
      <x:c r="H4" s="24" t="str">
        <x:v>Crustaceans</x:v>
      </x:c>
      <x:c r="I4" s="31" t="n">
        <x:v>4074.8999999999996</x:v>
      </x:c>
      <x:c r="J4" s="31" t="n">
        <x:v>4074.8999999999996</x:v>
      </x:c>
      <x:c r="K4" s="31" t="n">
        <x:v>0</x:v>
      </x:c>
      <x:c r="L4" s="31" t="n">
        <x:v>4074.8999999999996</x:v>
      </x:c>
      <x:c r="M4" s="31" t="n">
        <x:v>0</x:v>
      </x:c>
      <x:c r="N4" s="24" t="str">
        <x:v>panulirus argus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 argus</x:v>
      </x:c>
      <x:c r="T4" s="32" t="n">
        <x:f>IF(O4="","",(1/'Metadata'!$B$5)^(O4-1))</x:f>
        <x:v>158.48931924611142</x:v>
      </x:c>
      <x:c r="U4" s="31" t="n">
        <x:f>IF(T4="","",I4*T4)</x:f>
        <x:v>645828.1269959793</x:v>
      </x:c>
    </x:row>
    <x:row r="5" ht="18" customHeight="1">
      <x:c r="A5" s="24" t="str">
        <x:v>EEZ_949</x:v>
      </x:c>
      <x:c r="B5" s="24" t="str">
        <x:v>Nicaragua (Caribbean)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2478.1505835331</x:v>
      </x:c>
      <x:c r="J5" s="31" t="n">
        <x:v>1725.6072844081</x:v>
      </x:c>
      <x:c r="K5" s="31" t="n">
        <x:v>752.543299125</x:v>
      </x:c>
      <x:c r="L5" s="31" t="n">
        <x:v>272.16008</x:v>
      </x:c>
      <x:c r="M5" s="31" t="n">
        <x:v>2205.9905035331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2594942.2223865017</x:v>
      </x:c>
    </x:row>
    <x:row r="6" ht="18" customHeight="1">
      <x:c r="A6" s="24" t="str">
        <x:v>EEZ_949</x:v>
      </x:c>
      <x:c r="B6" s="24" t="str">
        <x:v>Nicaragua (Caribbean)</x:v>
      </x:c>
      <x:c r="C6" s="24" t="str">
        <x:v>EEZ</x:v>
      </x:c>
      <x:c r="D6" s="30" t="n">
        <x:v>2019</x:v>
      </x:c>
      <x:c r="E6" s="24" t="str">
        <x:v>Centropomidae</x:v>
      </x:c>
      <x:c r="F6" s="24" t="str">
        <x:v>Snooks</x:v>
      </x:c>
      <x:c r="G6" s="24" t="str">
        <x:v>Large reef assoc. fish (&gt;=90 cm)</x:v>
      </x:c>
      <x:c r="H6" s="24" t="str">
        <x:v>Perch-likes</x:v>
      </x:c>
      <x:c r="I6" s="31" t="n">
        <x:v>2452.8060081177</x:v>
      </x:c>
      <x:c r="J6" s="31" t="n">
        <x:v>1665.8285235646</x:v>
      </x:c>
      <x:c r="K6" s="31" t="n">
        <x:v>786.9774845531</x:v>
      </x:c>
      <x:c r="L6" s="31" t="n">
        <x:v>536.431398</x:v>
      </x:c>
      <x:c r="M6" s="31" t="n">
        <x:v>1916.3746101177</x:v>
      </x:c>
      <x:c r="N6" s="24" t="str">
        <x:v>centropomidae</x:v>
      </x:c>
      <x:c r="O6" s="32" t="n">
        <x:v>3.92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Centropomidae</x:v>
      </x:c>
      <x:c r="T6" s="32" t="n">
        <x:f>IF(O6="","",(1/'Metadata'!$B$5)^(O6-1))</x:f>
        <x:v>831.7637711026708</x:v>
      </x:c>
      <x:c r="U6" s="31" t="n">
        <x:f>IF(T6="","",I6*T6)</x:f>
        <x:v>2040155.1750952664</x:v>
      </x:c>
    </x:row>
    <x:row r="7" ht="18" customHeight="1">
      <x:c r="A7" s="24" t="str">
        <x:v>EEZ_949</x:v>
      </x:c>
      <x:c r="B7" s="24" t="str">
        <x:v>Nicaragua (Caribbean)</x:v>
      </x:c>
      <x:c r="C7" s="24" t="str">
        <x:v>EEZ</x:v>
      </x:c>
      <x:c r="D7" s="30" t="n">
        <x:v>2019</x:v>
      </x:c>
      <x:c r="E7" s="24" t="str">
        <x:v>Stomolophus</x:v>
      </x:c>
      <x:c r="F7" s="24" t="str">
        <x:v>Cannonball jellies</x:v>
      </x:c>
      <x:c r="G7" s="24" t="str">
        <x:v>Jellyfish</x:v>
      </x:c>
      <x:c r="H7" s="24" t="str">
        <x:v>Other fishes &amp; inverts</x:v>
      </x:c>
      <x:c r="I7" s="31" t="n">
        <x:v>1000.0153846154</x:v>
      </x:c>
      <x:c r="J7" s="31" t="n">
        <x:v>1000.0153846154</x:v>
      </x:c>
      <x:c r="K7" s="31" t="n">
        <x:v>0</x:v>
      </x:c>
      <x:c r="L7" s="31" t="n">
        <x:v>753.88</x:v>
      </x:c>
      <x:c r="M7" s="31" t="n">
        <x:v>246.1353846154</x:v>
      </x:c>
      <x:c r="N7" s="24" t="str">
        <x:v>stomolophus</x:v>
      </x:c>
      <x:c r="O7" s="32" t="n">
        <x:v>3.46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Stomolophus</x:v>
      </x:c>
      <x:c r="T7" s="32" t="n">
        <x:f>IF(O7="","",(1/'Metadata'!$B$5)^(O7-1))</x:f>
        <x:v>288.40315031266056</x:v>
      </x:c>
      <x:c r="U7" s="31" t="n">
        <x:f>IF(T7="","",I7*T7)</x:f>
        <x:v>288407.5872842083</x:v>
      </x:c>
    </x:row>
    <x:row r="8" ht="18" customHeight="1">
      <x:c r="A8" s="24" t="str">
        <x:v>EEZ_949</x:v>
      </x:c>
      <x:c r="B8" s="24" t="str">
        <x:v>Nicaragua (Caribbean)</x:v>
      </x:c>
      <x:c r="C8" s="24" t="str">
        <x:v>EEZ</x:v>
      </x:c>
      <x:c r="D8" s="30" t="n">
        <x:v>2019</x:v>
      </x:c>
      <x:c r="E8" s="24" t="str">
        <x:v>Ocyurus chrysurus</x:v>
      </x:c>
      <x:c r="F8" s="24" t="str">
        <x:v>Yellowtail snapper</x:v>
      </x:c>
      <x:c r="G8" s="24" t="str">
        <x:v>Medium reef assoc. fish (30 - 89 cm)</x:v>
      </x:c>
      <x:c r="H8" s="24" t="str">
        <x:v>Perch-likes</x:v>
      </x:c>
      <x:c r="I8" s="31" t="n">
        <x:v>882.66</x:v>
      </x:c>
      <x:c r="J8" s="31" t="n">
        <x:v>882.66</x:v>
      </x:c>
      <x:c r="K8" s="31" t="n">
        <x:v>0</x:v>
      </x:c>
      <x:c r="L8" s="31" t="n">
        <x:v>882.66</x:v>
      </x:c>
      <x:c r="M8" s="31" t="n">
        <x:v>0</x:v>
      </x:c>
      <x:c r="N8" s="24" t="str">
        <x:v>ocyurus chrysurus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Ocyurus chrysurus</x:v>
      </x:c>
      <x:c r="T8" s="32" t="n">
        <x:f>IF(O8="","",(1/'Metadata'!$B$5)^(O8-1))</x:f>
        <x:v>1071.519305237607</x:v>
      </x:c>
      <x:c r="U8" s="31" t="n">
        <x:f>IF(T8="","",I8*T8)</x:f>
        <x:v>945787.2299610262</x:v>
      </x:c>
    </x:row>
    <x:row r="9" ht="18" customHeight="1">
      <x:c r="A9" s="24" t="str">
        <x:v>EEZ_949</x:v>
      </x:c>
      <x:c r="B9" s="24" t="str">
        <x:v>Nicaragua (Caribbean)</x:v>
      </x:c>
      <x:c r="C9" s="24" t="str">
        <x:v>EEZ</x:v>
      </x:c>
      <x:c r="D9" s="30" t="n">
        <x:v>2019</x:v>
      </x:c>
      <x:c r="E9" s="24" t="str">
        <x:v>Mollusca</x:v>
      </x:c>
      <x:c r="F9" s="24" t="str">
        <x:v>Clams, seasnails, squids, octopuses</x:v>
      </x:c>
      <x:c r="G9" s="24" t="str">
        <x:v>Other demersal invertebrates</x:v>
      </x:c>
      <x:c r="H9" s="24" t="str">
        <x:v>Molluscs</x:v>
      </x:c>
      <x:c r="I9" s="31" t="n">
        <x:v>775.5235742223</x:v>
      </x:c>
      <x:c r="J9" s="31" t="n">
        <x:v>267.6072761454</x:v>
      </x:c>
      <x:c r="K9" s="31" t="n">
        <x:v>507.9162980769</x:v>
      </x:c>
      <x:c r="L9" s="31" t="n">
        <x:v>0</x:v>
      </x:c>
      <x:c r="M9" s="31" t="n">
        <x:v>775.5235742223</x:v>
      </x:c>
      <x:c r="N9" s="24" t="str">
        <x:v>mollusca</x:v>
      </x:c>
      <x:c r="O9" s="32" t="n">
        <x:v>2.1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Mollusca</x:v>
      </x:c>
      <x:c r="T9" s="32" t="n">
        <x:f>IF(O9="","",(1/'Metadata'!$B$5)^(O9-1))</x:f>
        <x:v>12.589254117941675</x:v>
      </x:c>
      <x:c r="U9" s="31" t="n">
        <x:f>IF(T9="","",I9*T9)</x:f>
        <x:v>9763.263350338937</x:v>
      </x:c>
    </x:row>
    <x:row r="10" ht="18" customHeight="1">
      <x:c r="A10" s="24" t="str">
        <x:v>EEZ_949</x:v>
      </x:c>
      <x:c r="B10" s="24" t="str">
        <x:v>Nicaragua (Caribbean)</x:v>
      </x:c>
      <x:c r="C10" s="24" t="str">
        <x:v>EEZ</x:v>
      </x:c>
      <x:c r="D10" s="30" t="n">
        <x:v>2019</x:v>
      </x:c>
      <x:c r="E10" s="24" t="str">
        <x:v>Miscellaneous marine crustaceans</x:v>
      </x:c>
      <x:c r="F10" s="24" t="str">
        <x:v>Marine crabs, shrimps, lobsters nei</x:v>
      </x:c>
      <x:c r="G10" s="24" t="str">
        <x:v>Shrimps</x:v>
      </x:c>
      <x:c r="H10" s="24" t="str">
        <x:v>Crustaceans</x:v>
      </x:c>
      <x:c r="I10" s="31" t="n">
        <x:v>775.5235742223</x:v>
      </x:c>
      <x:c r="J10" s="31" t="n">
        <x:v>267.6072761454</x:v>
      </x:c>
      <x:c r="K10" s="31" t="n">
        <x:v>507.9162980769</x:v>
      </x:c>
      <x:c r="L10" s="31" t="n">
        <x:v>0</x:v>
      </x:c>
      <x:c r="M10" s="31" t="n">
        <x:v>775.5235742223</x:v>
      </x:c>
      <x:c r="N10" s="24" t="str">
        <x:v>miscellaneous marine crustaceans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Miscellaneous marine crustaceans</x:v>
      </x:c>
      <x:c r="T10" s="32" t="n">
        <x:f>IF(O10="","",(1/'Metadata'!$B$5)^(O10-1))</x:f>
        <x:v>50.11872336272725</x:v>
      </x:c>
      <x:c r="U10" s="31" t="n">
        <x:f>IF(T10="","",I10*T10)</x:f>
        <x:v>38868.25147772093</x:v>
      </x:c>
    </x:row>
    <x:row r="11" ht="18" customHeight="1">
      <x:c r="A11" s="24" t="str">
        <x:v>EEZ_949</x:v>
      </x:c>
      <x:c r="B11" s="24" t="str">
        <x:v>Nicaragua (Caribbean)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426.6477660124</x:v>
      </x:c>
      <x:c r="J11" s="31" t="n">
        <x:v>335.6690731062</x:v>
      </x:c>
      <x:c r="K11" s="31" t="n">
        <x:v>90.9786929062</x:v>
      </x:c>
      <x:c r="L11" s="31" t="n">
        <x:v>157.18022000000002</x:v>
      </x:c>
      <x:c r="M11" s="31" t="n">
        <x:v>269.4675460124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407445.45338445035</x:v>
      </x:c>
    </x:row>
    <x:row r="12" ht="18" customHeight="1">
      <x:c r="A12" s="24" t="str">
        <x:v>EEZ_949</x:v>
      </x:c>
      <x:c r="B12" s="24" t="str">
        <x:v>Nicaragua (Caribbean)</x:v>
      </x:c>
      <x:c r="C12" s="24" t="str">
        <x:v>EEZ</x:v>
      </x:c>
      <x:c r="D12" s="30" t="n">
        <x:v>2019</x:v>
      </x:c>
      <x:c r="E12" s="24" t="str">
        <x:v>Callinectes sapidus</x:v>
      </x:c>
      <x:c r="F12" s="24" t="str">
        <x:v>Blue crab</x:v>
      </x:c>
      <x:c r="G12" s="24" t="str">
        <x:v>Lobsters, crabs</x:v>
      </x:c>
      <x:c r="H12" s="24" t="str">
        <x:v>Crustaceans</x:v>
      </x:c>
      <x:c r="I12" s="31" t="n">
        <x:v>386.34000000000003</x:v>
      </x:c>
      <x:c r="J12" s="31" t="n">
        <x:v>386.34000000000003</x:v>
      </x:c>
      <x:c r="K12" s="31" t="n">
        <x:v>0</x:v>
      </x:c>
      <x:c r="L12" s="31" t="n">
        <x:v>386.34000000000003</x:v>
      </x:c>
      <x:c r="M12" s="31" t="n">
        <x:v>0</x:v>
      </x:c>
      <x:c r="N12" s="24" t="str">
        <x:v>callinectes sapidus</x:v>
      </x:c>
      <x:c r="O12" s="32" t="n">
        <x:v>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Callinectes sapidus</x:v>
      </x:c>
      <x:c r="T12" s="32" t="n">
        <x:f>IF(O12="","",(1/'Metadata'!$B$5)^(O12-1))</x:f>
        <x:v>1000</x:v>
      </x:c>
      <x:c r="U12" s="31" t="n">
        <x:f>IF(T12="","",I12*T12)</x:f>
        <x:v>386340.00000000006</x:v>
      </x:c>
    </x:row>
    <x:row r="13" ht="18" customHeight="1">
      <x:c r="A13" s="24" t="str">
        <x:v>EEZ_949</x:v>
      </x:c>
      <x:c r="B13" s="24" t="str">
        <x:v>Nicaragua (Caribbean)</x:v>
      </x:c>
      <x:c r="C13" s="24" t="str">
        <x:v>EEZ</x:v>
      </x:c>
      <x:c r="D13" s="30" t="n">
        <x:v>2019</x:v>
      </x:c>
      <x:c r="E13" s="24" t="str">
        <x:v>Carcharhinidae</x:v>
      </x:c>
      <x:c r="F13" s="24" t="str">
        <x:v>Requiem sharks</x:v>
      </x:c>
      <x:c r="G13" s="24" t="str">
        <x:v>Large sharks (&gt;=90 cm)</x:v>
      </x:c>
      <x:c r="H13" s="24" t="str">
        <x:v>Sharks &amp; rays</x:v>
      </x:c>
      <x:c r="I13" s="31" t="n">
        <x:v>203.74990041159998</x:v>
      </x:c>
      <x:c r="J13" s="31" t="n">
        <x:v>135.0324532554</x:v>
      </x:c>
      <x:c r="K13" s="31" t="n">
        <x:v>68.7174471562</x:v>
      </x:c>
      <x:c r="L13" s="31" t="n">
        <x:v>9.14526</x:v>
      </x:c>
      <x:c r="M13" s="31" t="n">
        <x:v>194.6046404116</x:v>
      </x:c>
      <x:c r="N13" s="24" t="str">
        <x:v>carcharhinidae</x:v>
      </x:c>
      <x:c r="O13" s="32" t="n">
        <x:v>4.24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Carcharhinidae</x:v>
      </x:c>
      <x:c r="T13" s="32" t="n">
        <x:f>IF(O13="","",(1/'Metadata'!$B$5)^(O13-1))</x:f>
        <x:v>1737.8008287493763</x:v>
      </x:c>
      <x:c r="U13" s="31" t="n">
        <x:f>IF(T13="","",I13*T13)</x:f>
        <x:v>354076.74579288135</x:v>
      </x:c>
    </x:row>
    <x:row r="14" ht="18" customHeight="1">
      <x:c r="A14" s="24" t="str">
        <x:v>EEZ_949</x:v>
      </x:c>
      <x:c r="B14" s="24" t="str">
        <x:v>Nicaragua (Caribbean)</x:v>
      </x:c>
      <x:c r="C14" s="24" t="str">
        <x:v>EEZ</x:v>
      </x:c>
      <x:c r="D14" s="30" t="n">
        <x:v>2019</x:v>
      </x:c>
      <x:c r="E14" s="24" t="str">
        <x:v>Penaeus notialis</x:v>
      </x:c>
      <x:c r="F14" s="24" t="str">
        <x:v>Southern pink shrimp</x:v>
      </x:c>
      <x:c r="G14" s="24" t="str">
        <x:v>Shrimps</x:v>
      </x:c>
      <x:c r="H14" s="24" t="str">
        <x:v>Crustaceans</x:v>
      </x:c>
      <x:c r="I14" s="31" t="n">
        <x:v>145.8342857143</x:v>
      </x:c>
      <x:c r="J14" s="31" t="n">
        <x:v>145.8342857143</x:v>
      </x:c>
      <x:c r="K14" s="31" t="n">
        <x:v>0</x:v>
      </x:c>
      <x:c r="L14" s="31" t="n">
        <x:v>145.8342857143</x:v>
      </x:c>
      <x:c r="M14" s="31" t="n">
        <x:v>0</x:v>
      </x:c>
      <x:c r="N14" s="24" t="str">
        <x:v>penaeus notialis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notialis</x:v>
      </x:c>
      <x:c r="T14" s="32" t="n">
        <x:f>IF(O14="","",(1/'Metadata'!$B$5)^(O14-1))</x:f>
        <x:v>50.11872336272725</x:v>
      </x:c>
      <x:c r="U14" s="31" t="n">
        <x:f>IF(T14="","",I14*T14)</x:f>
        <x:v>7309.028222515928</x:v>
      </x:c>
    </x:row>
    <x:row r="15" ht="18" customHeight="1">
      <x:c r="A15" s="24" t="str">
        <x:v>EEZ_949</x:v>
      </x:c>
      <x:c r="B15" s="24" t="str">
        <x:v>Nicaragua (Caribbean)</x:v>
      </x:c>
      <x:c r="C15" s="24" t="str">
        <x:v>EEZ</x:v>
      </x:c>
      <x:c r="D15" s="30" t="n">
        <x:v>2019</x:v>
      </x:c>
      <x:c r="E15" s="24" t="str">
        <x:v>Penaeus schmitti</x:v>
      </x:c>
      <x:c r="F15" s="24" t="str">
        <x:v>Southern white shrimp</x:v>
      </x:c>
      <x:c r="G15" s="24" t="str">
        <x:v>Shrimps</x:v>
      </x:c>
      <x:c r="H15" s="24" t="str">
        <x:v>Crustaceans</x:v>
      </x:c>
      <x:c r="I15" s="31" t="n">
        <x:v>145.8342857143</x:v>
      </x:c>
      <x:c r="J15" s="31" t="n">
        <x:v>145.8342857143</x:v>
      </x:c>
      <x:c r="K15" s="31" t="n">
        <x:v>0</x:v>
      </x:c>
      <x:c r="L15" s="31" t="n">
        <x:v>145.8342857143</x:v>
      </x:c>
      <x:c r="M15" s="31" t="n">
        <x:v>0</x:v>
      </x:c>
      <x:c r="N15" s="24" t="str">
        <x:v>penaeus schmitti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Penaeus schmitti</x:v>
      </x:c>
      <x:c r="T15" s="32" t="n">
        <x:f>IF(O15="","",(1/'Metadata'!$B$5)^(O15-1))</x:f>
        <x:v>50.11872336272725</x:v>
      </x:c>
      <x:c r="U15" s="31" t="n">
        <x:f>IF(T15="","",I15*T15)</x:f>
        <x:v>7309.028222515928</x:v>
      </x:c>
    </x:row>
    <x:row r="16" ht="18" customHeight="1">
      <x:c r="A16" s="24" t="str">
        <x:v>EEZ_949</x:v>
      </x:c>
      <x:c r="B16" s="24" t="str">
        <x:v>Nicaragua (Caribbean)</x:v>
      </x:c>
      <x:c r="C16" s="24" t="str">
        <x:v>EEZ</x:v>
      </x:c>
      <x:c r="D16" s="30" t="n">
        <x:v>2019</x:v>
      </x:c>
      <x:c r="E16" s="24" t="str">
        <x:v>Penaeus brasiliensis</x:v>
      </x:c>
      <x:c r="F16" s="24" t="str">
        <x:v>Redspotted shrimp</x:v>
      </x:c>
      <x:c r="G16" s="24" t="str">
        <x:v>Shrimps</x:v>
      </x:c>
      <x:c r="H16" s="24" t="str">
        <x:v>Crustaceans</x:v>
      </x:c>
      <x:c r="I16" s="31" t="n">
        <x:v>145.8342857143</x:v>
      </x:c>
      <x:c r="J16" s="31" t="n">
        <x:v>145.8342857143</x:v>
      </x:c>
      <x:c r="K16" s="31" t="n">
        <x:v>0</x:v>
      </x:c>
      <x:c r="L16" s="31" t="n">
        <x:v>145.8342857143</x:v>
      </x:c>
      <x:c r="M16" s="31" t="n">
        <x:v>0</x:v>
      </x:c>
      <x:c r="N16" s="24" t="str">
        <x:v>penaeus brasiliensis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brasiliensis</x:v>
      </x:c>
      <x:c r="T16" s="32" t="n">
        <x:f>IF(O16="","",(1/'Metadata'!$B$5)^(O16-1))</x:f>
        <x:v>50.11872336272725</x:v>
      </x:c>
      <x:c r="U16" s="31" t="n">
        <x:f>IF(T16="","",I16*T16)</x:f>
        <x:v>7309.028222515928</x:v>
      </x:c>
    </x:row>
    <x:row r="17" ht="18" customHeight="1">
      <x:c r="A17" s="24" t="str">
        <x:v>EEZ_949</x:v>
      </x:c>
      <x:c r="B17" s="24" t="str">
        <x:v>Nicaragua (Caribbean)</x:v>
      </x:c>
      <x:c r="C17" s="24" t="str">
        <x:v>EEZ</x:v>
      </x:c>
      <x:c r="D17" s="30" t="n">
        <x:v>2019</x:v>
      </x:c>
      <x:c r="E17" s="24" t="str">
        <x:v>Penaeus subtilis</x:v>
      </x:c>
      <x:c r="F17" s="24" t="str">
        <x:v>Southern brown shrimp</x:v>
      </x:c>
      <x:c r="G17" s="24" t="str">
        <x:v>Shrimps</x:v>
      </x:c>
      <x:c r="H17" s="24" t="str">
        <x:v>Crustaceans</x:v>
      </x:c>
      <x:c r="I17" s="31" t="n">
        <x:v>145.8342857143</x:v>
      </x:c>
      <x:c r="J17" s="31" t="n">
        <x:v>145.8342857143</x:v>
      </x:c>
      <x:c r="K17" s="31" t="n">
        <x:v>0</x:v>
      </x:c>
      <x:c r="L17" s="31" t="n">
        <x:v>145.8342857143</x:v>
      </x:c>
      <x:c r="M17" s="31" t="n">
        <x:v>0</x:v>
      </x:c>
      <x:c r="N17" s="24" t="str">
        <x:v>penaeus subtilis</x:v>
      </x:c>
      <x:c r="O17" s="32" t="n">
        <x:v>2.76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subtilis</x:v>
      </x:c>
      <x:c r="T17" s="32" t="n">
        <x:f>IF(O17="","",(1/'Metadata'!$B$5)^(O17-1))</x:f>
        <x:v>57.543993733715666</x:v>
      </x:c>
      <x:c r="U17" s="31" t="n">
        <x:f>IF(T17="","",I17*T17)</x:f>
        <x:v>8391.887223304579</x:v>
      </x:c>
    </x:row>
    <x:row r="18" ht="18" customHeight="1">
      <x:c r="A18" s="24" t="str">
        <x:v>EEZ_949</x:v>
      </x:c>
      <x:c r="B18" s="24" t="str">
        <x:v>Nicaragua (Caribbean)</x:v>
      </x:c>
      <x:c r="C18" s="24" t="str">
        <x:v>EEZ</x:v>
      </x:c>
      <x:c r="D18" s="30" t="n">
        <x:v>2019</x:v>
      </x:c>
      <x:c r="E18" s="24" t="str">
        <x:v>Ariidae</x:v>
      </x:c>
      <x:c r="F18" s="24" t="str">
        <x:v>Sea catfishes, coblers</x:v>
      </x:c>
      <x:c r="G18" s="24" t="str">
        <x:v>Medium demersals (30 - 89 cm)</x:v>
      </x:c>
      <x:c r="H18" s="24" t="str">
        <x:v>Other fishes &amp; inverts</x:v>
      </x:c>
      <x:c r="I18" s="31" t="n">
        <x:v>129.0020852816</x:v>
      </x:c>
      <x:c r="J18" s="31" t="n">
        <x:v>99.7606184066</x:v>
      </x:c>
      <x:c r="K18" s="31" t="n">
        <x:v>29.241466875</x:v>
      </x:c>
      <x:c r="L18" s="31" t="n">
        <x:v>46.1916</x:v>
      </x:c>
      <x:c r="M18" s="31" t="n">
        <x:v>82.8104852816</x:v>
      </x:c>
      <x:c r="N18" s="24" t="str">
        <x:v>ariidae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Ariidae</x:v>
      </x:c>
      <x:c r="T18" s="32" t="n">
        <x:f>IF(O18="","",(1/'Metadata'!$B$5)^(O18-1))</x:f>
        <x:v>301.9951720402016</x:v>
      </x:c>
      <x:c r="U18" s="31" t="n">
        <x:f>IF(T18="","",I18*T18)</x:f>
        <x:v>38958.00693816155</x:v>
      </x:c>
    </x:row>
    <x:row r="19" ht="18" customHeight="1">
      <x:c r="A19" s="24" t="str">
        <x:v>EEZ_949</x:v>
      </x:c>
      <x:c r="B19" s="24" t="str">
        <x:v>Nicaragua (Caribbean)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109.86062584519999</x:v>
      </x:c>
      <x:c r="J19" s="31" t="n">
        <x:v>72.9786466577</x:v>
      </x:c>
      <x:c r="K19" s="31" t="n">
        <x:v>36.8819791875</x:v>
      </x:c>
      <x:c r="L19" s="31" t="n">
        <x:v>4.28076</x:v>
      </x:c>
      <x:c r="M19" s="31" t="n">
        <x:v>105.5798658452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63218.19165218269</x:v>
      </x:c>
    </x:row>
    <x:row r="20" ht="18" customHeight="1">
      <x:c r="A20" s="24" t="str">
        <x:v>EEZ_949</x:v>
      </x:c>
      <x:c r="B20" s="24" t="str">
        <x:v>Nicaragua (Caribbean)</x:v>
      </x:c>
      <x:c r="C20" s="24" t="str">
        <x:v>EEZ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107.16</x:v>
      </x:c>
      <x:c r="J20" s="31" t="n">
        <x:v>107.16</x:v>
      </x:c>
      <x:c r="K20" s="31" t="n">
        <x:v>0</x:v>
      </x:c>
      <x:c r="L20" s="31" t="n">
        <x:v>107.16</x:v>
      </x:c>
      <x:c r="M20" s="31" t="n">
        <x:v>0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120235.49756299835</x:v>
      </x:c>
    </x:row>
    <x:row r="21" ht="18" customHeight="1">
      <x:c r="A21" s="24" t="str">
        <x:v>EEZ_949</x:v>
      </x:c>
      <x:c r="B21" s="24" t="str">
        <x:v>Nicaragua (Caribbean)</x:v>
      </x:c>
      <x:c r="C21" s="24" t="str">
        <x:v>EEZ</x:v>
      </x:c>
      <x:c r="D21" s="30" t="n">
        <x:v>2019</x:v>
      </x:c>
      <x:c r="E21" s="24" t="str">
        <x:v>Batoidea</x:v>
      </x:c>
      <x:c r="F21" s="24" t="str">
        <x:v>Batoids, skates, rays, sawfishes</x:v>
      </x:c>
      <x:c r="G21" s="24" t="str">
        <x:v>Large rays (&gt;=90 cm)</x:v>
      </x:c>
      <x:c r="H21" s="24" t="str">
        <x:v>Sharks &amp; rays</x:v>
      </x:c>
      <x:c r="I21" s="31" t="n">
        <x:v>106.21005446999999</x:v>
      </x:c>
      <x:c r="J21" s="31" t="n">
        <x:v>70.3892575481</x:v>
      </x:c>
      <x:c r="K21" s="31" t="n">
        <x:v>35.8207969219</x:v>
      </x:c>
      <x:c r="L21" s="31" t="n">
        <x:v>4.76721</x:v>
      </x:c>
      <x:c r="M21" s="31" t="n">
        <x:v>101.44284447</x:v>
      </x:c>
      <x:c r="N21" s="24" t="str">
        <x:v>batoidea</x:v>
      </x:c>
      <x:c r="O21" s="32" t="n">
        <x:v>3.72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Batoidea</x:v>
      </x:c>
      <x:c r="T21" s="32" t="n">
        <x:f>IF(O21="","",(1/'Metadata'!$B$5)^(O21-1))</x:f>
        <x:v>524.8074602497728</x:v>
      </x:c>
      <x:c r="U21" s="31" t="n">
        <x:f>IF(T21="","",I21*T21)</x:f>
        <x:v>55739.828939390725</x:v>
      </x:c>
    </x:row>
    <x:row r="22" ht="18" customHeight="1">
      <x:c r="A22" s="24" t="str">
        <x:v>EEZ_949</x:v>
      </x:c>
      <x:c r="B22" s="24" t="str">
        <x:v>Nicaragua (Caribbean)</x:v>
      </x:c>
      <x:c r="C22" s="24" t="str">
        <x:v>EEZ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69.04914596980001</x:v>
      </x:c>
      <x:c r="J22" s="31" t="n">
        <x:v>67.0022432885</x:v>
      </x:c>
      <x:c r="K22" s="31" t="n">
        <x:v>2.0469026813</x:v>
      </x:c>
      <x:c r="L22" s="31" t="n">
        <x:v>63.252412</x:v>
      </x:c>
      <x:c r="M22" s="31" t="n">
        <x:v>5.7967339698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77474.41603190562</x:v>
      </x:c>
    </x:row>
    <x:row r="23" ht="18" customHeight="1">
      <x:c r="A23" s="24" t="str">
        <x:v>EEZ_949</x:v>
      </x:c>
      <x:c r="B23" s="24" t="str">
        <x:v>Nicaragua (Caribbean)</x:v>
      </x:c>
      <x:c r="C23" s="24" t="str">
        <x:v>EEZ</x:v>
      </x:c>
      <x:c r="D23" s="30" t="n">
        <x:v>2019</x:v>
      </x:c>
      <x:c r="E23" s="24" t="str">
        <x:v>Haemulidae</x:v>
      </x:c>
      <x:c r="F23" s="24" t="str">
        <x:v>Grunts, sweetlips, bonnetmouths</x:v>
      </x:c>
      <x:c r="G23" s="24" t="str">
        <x:v>Medium demersals (30 - 89 cm)</x:v>
      </x:c>
      <x:c r="H23" s="24" t="str">
        <x:v>Perch-likes</x:v>
      </x:c>
      <x:c r="I23" s="31" t="n">
        <x:v>57.6057298486</x:v>
      </x:c>
      <x:c r="J23" s="31" t="n">
        <x:v>47.371216442299996</x:v>
      </x:c>
      <x:c r="K23" s="31" t="n">
        <x:v>10.2345134063</x:v>
      </x:c>
      <x:c r="L23" s="31" t="n">
        <x:v>28.622059999999998</x:v>
      </x:c>
      <x:c r="M23" s="31" t="n">
        <x:v>28.9836698486</x:v>
      </x:c>
      <x:c r="N23" s="24" t="str">
        <x:v>haemulidae</x:v>
      </x:c>
      <x:c r="O23" s="32" t="n">
        <x:v>3.36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Haemulidae</x:v>
      </x:c>
      <x:c r="T23" s="32" t="n">
        <x:f>IF(O23="","",(1/'Metadata'!$B$5)^(O23-1))</x:f>
        <x:v>229.08676527677724</x:v>
      </x:c>
      <x:c r="U23" s="31" t="n">
        <x:f>IF(T23="","",I23*T23)</x:f>
        <x:v>13196.71031242367</x:v>
      </x:c>
    </x:row>
    <x:row r="24" ht="18" customHeight="1">
      <x:c r="A24" s="24" t="str">
        <x:v>EEZ_949</x:v>
      </x:c>
      <x:c r="B24" s="24" t="str">
        <x:v>Nicaragua (Caribbean)</x:v>
      </x:c>
      <x:c r="C24" s="24" t="str">
        <x:v>EEZ</x:v>
      </x:c>
      <x:c r="D24" s="30" t="n">
        <x:v>2019</x:v>
      </x:c>
      <x:c r="E24" s="24" t="str">
        <x:v>Rajiformes</x:v>
      </x:c>
      <x:c r="F24" s="24" t="str">
        <x:v>Skates and rays</x:v>
      </x:c>
      <x:c r="G24" s="24" t="str">
        <x:v>Large rays (&gt;=90 cm)</x:v>
      </x:c>
      <x:c r="H24" s="24" t="str">
        <x:v>Sharks &amp; rays</x:v>
      </x:c>
      <x:c r="I24" s="31" t="n">
        <x:v>54.519999999999996</x:v>
      </x:c>
      <x:c r="J24" s="31" t="n">
        <x:v>54.519999999999996</x:v>
      </x:c>
      <x:c r="K24" s="31" t="n">
        <x:v>0</x:v>
      </x:c>
      <x:c r="L24" s="31" t="n">
        <x:v>54.519999999999996</x:v>
      </x:c>
      <x:c r="M24" s="31" t="n">
        <x:v>0</x:v>
      </x:c>
      <x:c r="N24" s="24" t="str">
        <x:v>rajiformes</x:v>
      </x:c>
      <x:c r="O24" s="32" t="n">
        <x:v>3.61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Rajiformes</x:v>
      </x:c>
      <x:c r="T24" s="32" t="n">
        <x:f>IF(O24="","",(1/'Metadata'!$B$5)^(O24-1))</x:f>
        <x:v>407.3802778041126</x:v>
      </x:c>
      <x:c r="U24" s="31" t="n">
        <x:f>IF(T24="","",I24*T24)</x:f>
        <x:v>22210.372745880217</x:v>
      </x:c>
    </x:row>
    <x:row r="25" ht="18" customHeight="1">
      <x:c r="A25" s="24" t="str">
        <x:v>EEZ_949</x:v>
      </x:c>
      <x:c r="B25" s="24" t="str">
        <x:v>Nicaragua (Caribbean)</x:v>
      </x:c>
      <x:c r="C25" s="24" t="str">
        <x:v>EEZ</x:v>
      </x:c>
      <x:c r="D25" s="30" t="n">
        <x:v>2019</x:v>
      </x:c>
      <x:c r="E25" s="24" t="str">
        <x:v>Scomberomorus</x:v>
      </x:c>
      <x:c r="F25" s="24" t="str">
        <x:v>Spanish mackerels</x:v>
      </x:c>
      <x:c r="G25" s="24" t="str">
        <x:v>Large pelagics (&gt;=90 cm)</x:v>
      </x:c>
      <x:c r="H25" s="24" t="str">
        <x:v>Perch-likes</x:v>
      </x:c>
      <x:c r="I25" s="31" t="n">
        <x:v>52.64</x:v>
      </x:c>
      <x:c r="J25" s="31" t="n">
        <x:v>52.64</x:v>
      </x:c>
      <x:c r="K25" s="31" t="n">
        <x:v>0</x:v>
      </x:c>
      <x:c r="L25" s="31" t="n">
        <x:v>52.64</x:v>
      </x:c>
      <x:c r="M25" s="31" t="n">
        <x:v>0</x:v>
      </x:c>
      <x:c r="N25" s="24" t="str">
        <x:v>scomberomorus</x:v>
      </x:c>
      <x:c r="O25" s="32" t="n">
        <x:v>4.35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Scomberomorus</x:v>
      </x:c>
      <x:c r="T25" s="32" t="n">
        <x:f>IF(O25="","",(1/'Metadata'!$B$5)^(O25-1))</x:f>
        <x:v>2238.7211385683377</x:v>
      </x:c>
      <x:c r="U25" s="31" t="n">
        <x:f>IF(T25="","",I25*T25)</x:f>
        <x:v>117846.2807342373</x:v>
      </x:c>
    </x:row>
    <x:row r="26" ht="18" customHeight="1">
      <x:c r="A26" s="24" t="str">
        <x:v>EEZ_949</x:v>
      </x:c>
      <x:c r="B26" s="24" t="str">
        <x:v>Nicaragua (Caribbean)</x:v>
      </x:c>
      <x:c r="C26" s="24" t="str">
        <x:v>EEZ</x:v>
      </x:c>
      <x:c r="D26" s="30" t="n">
        <x:v>2019</x:v>
      </x:c>
      <x:c r="E26" s="24" t="str">
        <x:v>Cynoscion</x:v>
      </x:c>
      <x:c r="F26" s="24" t="str">
        <x:v>Weakfishes</x:v>
      </x:c>
      <x:c r="G26" s="24" t="str">
        <x:v>Medium demersals (30 - 89 cm)</x:v>
      </x:c>
      <x:c r="H26" s="24" t="str">
        <x:v>Perch-likes</x:v>
      </x:c>
      <x:c r="I26" s="31" t="n">
        <x:v>19.74</x:v>
      </x:c>
      <x:c r="J26" s="31" t="n">
        <x:v>19.74</x:v>
      </x:c>
      <x:c r="K26" s="31" t="n">
        <x:v>0</x:v>
      </x:c>
      <x:c r="L26" s="31" t="n">
        <x:v>19.74</x:v>
      </x:c>
      <x:c r="M26" s="31" t="n">
        <x:v>0</x:v>
      </x:c>
      <x:c r="N26" s="24" t="str">
        <x:v>cynoscion</x:v>
      </x:c>
      <x:c r="O26" s="32" t="n">
        <x:v>4.21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Cynoscion</x:v>
      </x:c>
      <x:c r="T26" s="32" t="n">
        <x:f>IF(O26="","",(1/'Metadata'!$B$5)^(O26-1))</x:f>
        <x:v>1621.8100973589299</x:v>
      </x:c>
      <x:c r="U26" s="31" t="n">
        <x:f>IF(T26="","",I26*T26)</x:f>
        <x:v>32014.531321865274</x:v>
      </x:c>
    </x:row>
    <x:row r="27" ht="18" customHeight="1">
      <x:c r="A27" s="24" t="str">
        <x:v>EEZ_949</x:v>
      </x:c>
      <x:c r="B27" s="24" t="str">
        <x:v>Nicaragua (Caribbean)</x:v>
      </x:c>
      <x:c r="C27" s="24" t="str">
        <x:v>EEZ</x:v>
      </x:c>
      <x:c r="D27" s="30" t="n">
        <x:v>2019</x:v>
      </x:c>
      <x:c r="E27" s="24" t="str">
        <x:v>Scombridae</x:v>
      </x:c>
      <x:c r="F27" s="24" t="str">
        <x:v>Mackerels, tunas, bonitos</x:v>
      </x:c>
      <x:c r="G27" s="24" t="str">
        <x:v>Medium pelagics (30 - 89 cm)</x:v>
      </x:c>
      <x:c r="H27" s="24" t="str">
        <x:v>Perch-likes</x:v>
      </x:c>
      <x:c r="I27" s="31" t="n">
        <x:v>17.3404170563</x:v>
      </x:c>
      <x:c r="J27" s="31" t="n">
        <x:v>11.4921236813</x:v>
      </x:c>
      <x:c r="K27" s="31" t="n">
        <x:v>5.848293375</x:v>
      </x:c>
      <x:c r="L27" s="31" t="n">
        <x:v>0.77832</x:v>
      </x:c>
      <x:c r="M27" s="31" t="n">
        <x:v>16.5620970563</x:v>
      </x:c>
      <x:c r="N27" s="24" t="str">
        <x:v>scombridae</x:v>
      </x:c>
      <x:c r="O27" s="32" t="n">
        <x:v>4.26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Scombridae</x:v>
      </x:c>
      <x:c r="T27" s="32" t="n">
        <x:f>IF(O27="","",(1/'Metadata'!$B$5)^(O27-1))</x:f>
        <x:v>1819.7008586099826</x:v>
      </x:c>
      <x:c r="U27" s="31" t="n">
        <x:f>IF(T27="","",I27*T27)</x:f>
        <x:v>31554.3718060043</x:v>
      </x:c>
    </x:row>
    <x:row r="28" ht="18" customHeight="1">
      <x:c r="A28" s="24" t="str">
        <x:v>EEZ_949</x:v>
      </x:c>
      <x:c r="B28" s="24" t="str">
        <x:v>Nicaragua (Caribbean)</x:v>
      </x:c>
      <x:c r="C28" s="24" t="str">
        <x:v>EEZ</x:v>
      </x:c>
      <x:c r="D28" s="30" t="n">
        <x:v>2019</x:v>
      </x:c>
      <x:c r="E28" s="24" t="str">
        <x:v>Crassostrea rhizophorae</x:v>
      </x:c>
      <x:c r="F28" s="24" t="str">
        <x:v>Mangrove cupped oyster</x:v>
      </x:c>
      <x:c r="G28" s="24" t="str">
        <x:v>Other demersal invertebrates</x:v>
      </x:c>
      <x:c r="H28" s="24" t="str">
        <x:v>Molluscs</x:v>
      </x:c>
      <x:c r="I28" s="31" t="n">
        <x:v>2.82</x:v>
      </x:c>
      <x:c r="J28" s="31" t="n">
        <x:v>2.82</x:v>
      </x:c>
      <x:c r="K28" s="31" t="n">
        <x:v>0</x:v>
      </x:c>
      <x:c r="L28" s="31" t="n">
        <x:v>2.82</x:v>
      </x:c>
      <x:c r="M28" s="31" t="n">
        <x:v>0</x:v>
      </x:c>
      <x:c r="N28" s="24" t="str">
        <x:v>crassostrea rhizophorae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Crassostrea rhizophorae</x:v>
      </x:c>
      <x:c r="T28" s="32" t="n">
        <x:f>IF(O28="","",(1/'Metadata'!$B$5)^(O28-1))</x:f>
        <x:v>10</x:v>
      </x:c>
      <x:c r="U28" s="31" t="n">
        <x:f>IF(T28="","",I28*T28)</x:f>
        <x:v>28.2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19cf588df7444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5820.100717079499</x:v>
      </x:c>
      <x:c r="C2" s="32" t="n">
        <x:v>3.137869064647674</x:v>
      </x:c>
      <x:c r="D2" s="32" t="n">
        <x:f>IF(C2="","",(1/'Metadata'!$B$5)^(C2-1))</x:f>
        <x:v>137.3627777826701</x:v>
      </x:c>
      <x:c r="E2" s="31" t="n">
        <x:f>IF(B2=0,"",B2*D2)</x:f>
        <x:v>799465.2014729502</x:v>
      </x:c>
    </x:row>
    <x:row r="3" ht="18" customHeight="1">
      <x:c r="A3" s="24" t="str">
        <x:v>Molluscs</x:v>
      </x:c>
      <x:c r="B3" s="31" t="n">
        <x:v>12429.643574222298</x:v>
      </x:c>
      <x:c r="C3" s="32" t="n">
        <x:v>2.1843415174168093</x:v>
      </x:c>
      <x:c r="D3" s="32" t="n">
        <x:f>IF(C3="","",(1/'Metadata'!$B$5)^(C3-1))</x:f>
        <x:v>15.287677672427808</x:v>
      </x:c>
      <x:c r="E3" s="31" t="n">
        <x:f>IF(B3=0,"",B3*D3)</x:f>
        <x:v>190020.384545874</x:v>
      </x:c>
    </x:row>
    <x:row r="4" ht="18" customHeight="1">
      <x:c r="A4" s="24" t="str">
        <x:v>Other fishes &amp; inverts</x:v>
      </x:c>
      <x:c r="B4" s="31" t="n">
        <x:v>9317.8951231875</x:v>
      </x:c>
      <x:c r="C4" s="32" t="n">
        <x:v>3.302086875154342</x:v>
      </x:c>
      <x:c r="D4" s="32" t="n">
        <x:f>IF(C4="","",(1/'Metadata'!$B$5)^(C4-1))</x:f>
        <x:v>200.48730369158486</x:v>
      </x:c>
      <x:c r="E4" s="31" t="n">
        <x:f>IF(B4=0,"",B4*D4)</x:f>
        <x:v>1868119.6693288297</x:v>
      </x:c>
    </x:row>
    <x:row r="5" ht="18" customHeight="1">
      <x:c r="A5" s="24" t="str">
        <x:v>Perch-likes</x:v>
      </x:c>
      <x:c r="B5" s="31" t="n">
        <x:v>6566.5002763831</x:v>
      </x:c>
      <x:c r="C5" s="32" t="n">
        <x:v>3.9754178833354534</x:v>
      </x:c>
      <x:c r="D5" s="32" t="n">
        <x:f>IF(C5="","",(1/'Metadata'!$B$5)^(C5-1))</x:f>
        <x:v>944.9697001025075</x:v>
      </x:c>
      <x:c r="E5" s="31" t="n">
        <x:f>IF(B5=0,"",B5*D5)</x:f>
        <x:v>6205143.796896771</x:v>
      </x:c>
    </x:row>
    <x:row r="6" ht="18" customHeight="1">
      <x:c r="A6" s="24" t="str">
        <x:v>Sharks &amp; rays</x:v>
      </x:c>
      <x:c r="B6" s="31" t="n">
        <x:v>471.6399548816</x:v>
      </x:c>
      <x:c r="C6" s="32" t="n">
        <x:v>4.006904336270665</x:v>
      </x:c>
      <x:c r="D6" s="32" t="n">
        <x:f>IF(C6="","",(1/'Metadata'!$B$5)^(C6-1))</x:f>
        <x:v>1016.0248644836906</x:v>
      </x:c>
      <x:c r="E6" s="31" t="n">
        <x:f>IF(B6=0,"",B6*D6)</x:f>
        <x:v>479197.92124367156</x:v>
      </x:c>
    </x:row>
  </x:sheetData>
  <x:pageMargins left="0.7" right="0.7" top="0.75" bottom="0.75" header="0.3" footer="0.3"/>
  <x:tableParts count="1">
    <x:tablePart xmlns:r="http://schemas.openxmlformats.org/officeDocument/2006/relationships" r:id="Rdedde8e1569b43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Jellyfish</x:v>
      </x:c>
      <x:c r="B2" s="31" t="n">
        <x:v>1000.0153846154</x:v>
      </x:c>
      <x:c r="C2" s="32" t="n">
        <x:v>3.46</x:v>
      </x:c>
      <x:c r="D2" s="32" t="n">
        <x:f>IF(C2="","",(1/'Metadata'!$B$5)^(C2-1))</x:f>
        <x:v>288.40315031266056</x:v>
      </x:c>
      <x:c r="E2" s="31" t="n">
        <x:f>IF(B2=0,"",B2*D2)</x:f>
        <x:v>288407.5872842083</x:v>
      </x:c>
    </x:row>
    <x:row r="3" ht="18" customHeight="1">
      <x:c r="A3" s="24" t="str">
        <x:v>Large pelagics (&gt;=90 cm)</x:v>
      </x:c>
      <x:c r="B3" s="31" t="n">
        <x:v>52.64</x:v>
      </x:c>
      <x:c r="C3" s="32" t="n">
        <x:v>4.35</x:v>
      </x:c>
      <x:c r="D3" s="32" t="n">
        <x:f>IF(C3="","",(1/'Metadata'!$B$5)^(C3-1))</x:f>
        <x:v>2238.7211385683377</x:v>
      </x:c>
      <x:c r="E3" s="31" t="n">
        <x:f>IF(B3=0,"",B3*D3)</x:f>
        <x:v>117846.2807342373</x:v>
      </x:c>
    </x:row>
    <x:row r="4" ht="18" customHeight="1">
      <x:c r="A4" s="24" t="str">
        <x:v>Large rays (&gt;=90 cm)</x:v>
      </x:c>
      <x:c r="B4" s="31" t="n">
        <x:v>160.73005446999997</x:v>
      </x:c>
      <x:c r="C4" s="32" t="n">
        <x:v>3.682687749843827</x:v>
      </x:c>
      <x:c r="D4" s="32" t="n">
        <x:f>IF(C4="","",(1/'Metadata'!$B$5)^(C4-1))</x:f>
        <x:v>481.6014101044817</x:v>
      </x:c>
      <x:c r="E4" s="31" t="n">
        <x:f>IF(B4=0,"",B4*D4)</x:f>
        <x:v>77407.82087892214</x:v>
      </x:c>
    </x:row>
    <x:row r="5" ht="18" customHeight="1">
      <x:c r="A5" s="24" t="str">
        <x:v>Large reef assoc. fish (&gt;=90 cm)</x:v>
      </x:c>
      <x:c r="B5" s="31" t="n">
        <x:v>2452.8060081177</x:v>
      </x:c>
      <x:c r="C5" s="32" t="n">
        <x:v>3.92</x:v>
      </x:c>
      <x:c r="D5" s="32" t="n">
        <x:f>IF(C5="","",(1/'Metadata'!$B$5)^(C5-1))</x:f>
        <x:v>831.7637711026708</x:v>
      </x:c>
      <x:c r="E5" s="31" t="n">
        <x:f>IF(B5=0,"",B5*D5)</x:f>
        <x:v>2040155.1750952664</x:v>
      </x:c>
    </x:row>
    <x:row r="6" ht="18" customHeight="1">
      <x:c r="A6" s="24" t="str">
        <x:v>Large sharks (&gt;=90 cm)</x:v>
      </x:c>
      <x:c r="B6" s="31" t="n">
        <x:v>310.9099004116</x:v>
      </x:c>
      <x:c r="C6" s="32" t="n">
        <x:v>4.174513503838103</x:v>
      </x:c>
      <x:c r="D6" s="32" t="n">
        <x:f>IF(C6="","",(1/'Metadata'!$B$5)^(C6-1))</x:f>
        <x:v>1494.56051311448</x:v>
      </x:c>
      <x:c r="E6" s="31" t="n">
        <x:f>IF(B6=0,"",B6*D6)</x:f>
        <x:v>464673.6602915328</x:v>
      </x:c>
    </x:row>
    <x:row r="7" ht="18" customHeight="1">
      <x:c r="A7" s="24" t="str">
        <x:v>Lobsters, crabs</x:v>
      </x:c>
      <x:c r="B7" s="31" t="n">
        <x:v>4461.24</x:v>
      </x:c>
      <x:c r="C7" s="32" t="n">
        <x:v>3.269279393173199</x:v>
      </x:c>
      <x:c r="D7" s="32" t="n">
        <x:f>IF(C7="","",(1/'Metadata'!$B$5)^(C7-1))</x:f>
        <x:v>185.90000145592856</x:v>
      </x:c>
      <x:c r="E7" s="31" t="n">
        <x:f>IF(B7=0,"",B7*D7)</x:f>
        <x:v>829344.5224952467</x:v>
      </x:c>
    </x:row>
    <x:row r="8" ht="18" customHeight="1">
      <x:c r="A8" s="24" t="str">
        <x:v>Medium demersals (30 - 89 cm)</x:v>
      </x:c>
      <x:c r="B8" s="31" t="n">
        <x:v>8505.0860942659</x:v>
      </x:c>
      <x:c r="C8" s="32" t="n">
        <x:v>3.2919340562488055</x:v>
      </x:c>
      <x:c r="D8" s="32" t="n">
        <x:f>IF(C8="","",(1/'Metadata'!$B$5)^(C8-1))</x:f>
        <x:v>195.85472629591632</x:v>
      </x:c>
      <x:c r="E8" s="31" t="n">
        <x:f>IF(B8=0,"",B8*D8)</x:f>
        <x:v>1665761.3091156518</x:v>
      </x:c>
    </x:row>
    <x:row r="9" ht="18" customHeight="1">
      <x:c r="A9" s="24" t="str">
        <x:v>Medium pelagics (30 - 89 cm)</x:v>
      </x:c>
      <x:c r="B9" s="31" t="n">
        <x:v>86.3895630261</x:v>
      </x:c>
      <x:c r="C9" s="32" t="n">
        <x:v>4.092151938894782</x:v>
      </x:c>
      <x:c r="D9" s="32" t="n">
        <x:f>IF(C9="","",(1/'Metadata'!$B$5)^(C9-1))</x:f>
        <x:v>1236.379908062113</x:v>
      </x:c>
      <x:c r="E9" s="31" t="n">
        <x:f>IF(B9=0,"",B9*D9)</x:f>
        <x:v>106810.31999173564</x:v>
      </x:c>
    </x:row>
    <x:row r="10" ht="18" customHeight="1">
      <x:c r="A10" s="24" t="str">
        <x:v>Medium reef assoc. fish (30 - 89 cm)</x:v>
      </x:c>
      <x:c r="B10" s="31" t="n">
        <x:v>3787.4583495455</x:v>
      </x:c>
      <x:c r="C10" s="32" t="n">
        <x:v>4.017824580528659</x:v>
      </x:c>
      <x:c r="D10" s="32" t="n">
        <x:f>IF(C10="","",(1/'Metadata'!$B$5)^(C10-1))</x:f>
        <x:v>1041.8965033667134</x:v>
      </x:c>
      <x:c r="E10" s="31" t="n">
        <x:f>IF(B10=0,"",B10*D10)</x:f>
        <x:v>3946139.61103852</x:v>
      </x:c>
    </x:row>
    <x:row r="11" ht="18" customHeight="1">
      <x:c r="A11" s="24" t="str">
        <x:v>Other demersal invertebrates</x:v>
      </x:c>
      <x:c r="B11" s="31" t="n">
        <x:v>12429.643574222298</x:v>
      </x:c>
      <x:c r="C11" s="32" t="n">
        <x:v>2.1843415174168093</x:v>
      </x:c>
      <x:c r="D11" s="32" t="n">
        <x:f>IF(C11="","",(1/'Metadata'!$B$5)^(C11-1))</x:f>
        <x:v>15.287677672427808</x:v>
      </x:c>
      <x:c r="E11" s="31" t="n">
        <x:f>IF(B11=0,"",B11*D11)</x:f>
        <x:v>190020.384545874</x:v>
      </x:c>
    </x:row>
    <x:row r="12" ht="18" customHeight="1">
      <x:c r="A12" s="24" t="str">
        <x:v>Shrimps</x:v>
      </x:c>
      <x:c r="B12" s="31" t="n">
        <x:v>1358.8607170794999</x:v>
      </x:c>
      <x:c r="C12" s="32" t="n">
        <x:v>2.7064392597658307</x:v>
      </x:c>
      <x:c r="D12" s="32" t="n">
        <x:f>IF(C12="","",(1/'Metadata'!$B$5)^(C12-1))</x:f>
        <x:v>50.86736717946807</x:v>
      </x:c>
      <x:c r="E12" s="31" t="n">
        <x:f>IF(B12=0,"",B12*D12)</x:f>
        <x:v>69121.6670414382</x:v>
      </x:c>
    </x:row>
  </x:sheetData>
  <x:pageMargins left="0.7" right="0.7" top="0.75" bottom="0.75" header="0.3" footer="0.3"/>
  <x:tableParts count="1">
    <x:tablePart xmlns:r="http://schemas.openxmlformats.org/officeDocument/2006/relationships" r:id="R09504fb90b8741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EEZ_949</x:v>
      </x:c>
      <x:c r="B2" s="24" t="str">
        <x:v>raw_filtered_tonnes</x:v>
      </x:c>
      <x:c r="C2" s="24" t="n">
        <x:v>34605.779645753995</x:v>
      </x:c>
      <x:c r="D2" s="24" t="str">
        <x:v>tonnes</x:v>
      </x:c>
    </x:row>
    <x:row r="3" ht="18" customHeight="1">
      <x:c r="A3" s="24" t="str">
        <x:v>EEZ_949</x:v>
      </x:c>
      <x:c r="B3" s="24" t="str">
        <x:v>species_catch_tonnes</x:v>
      </x:c>
      <x:c r="C3" s="24" t="n">
        <x:v>34605.779645753995</x:v>
      </x:c>
      <x:c r="D3" s="24" t="str">
        <x:v>tonnes</x:v>
      </x:c>
    </x:row>
    <x:row r="4" ht="18" customHeight="1">
      <x:c r="A4" s="24" t="str">
        <x:v>EEZ_949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EEZ_949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EEZ_949</x:v>
      </x:c>
      <x:c r="B6" s="24" t="str">
        <x:v>matched_catch_tonnes</x:v>
      </x:c>
      <x:c r="C6" s="24" t="n">
        <x:v>34605.779645753995</x:v>
      </x:c>
      <x:c r="D6" s="24" t="str">
        <x:v>tonnes</x:v>
      </x:c>
    </x:row>
    <x:row r="7" ht="18" customHeight="1">
      <x:c r="A7" s="24" t="str">
        <x:v>EEZ_949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EEZ_949</x:v>
      </x:c>
      <x:c r="B8" s="24" t="str">
        <x:v>taxa_count</x:v>
      </x:c>
      <x:c r="C8" s="24" t="n">
        <x:v>27</x:v>
      </x:c>
      <x:c r="D8" s="24" t="str">
        <x:v>count</x:v>
      </x:c>
    </x:row>
    <x:row r="9" ht="18" customHeight="1">
      <x:c r="A9" s="24" t="str">
        <x:v>EEZ_949</x:v>
      </x:c>
      <x:c r="B9" s="24" t="str">
        <x:v>matched_taxa_count</x:v>
      </x:c>
      <x:c r="C9" s="24" t="n">
        <x:v>27</x:v>
      </x:c>
      <x:c r="D9" s="24" t="str">
        <x:v>count</x:v>
      </x:c>
    </x:row>
    <x:row r="10" ht="18" customHeight="1">
      <x:c r="A10" s="24" t="str">
        <x:v>EEZ_949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EEZ_949</x:v>
      </x:c>
      <x:c r="B11" s="24" t="str">
        <x:v>species_ppr</x:v>
      </x:c>
      <x:c r="C11" s="24" t="n">
        <x:v>10055225.175638834</x:v>
      </x:c>
      <x:c r="D11" s="24" t="str">
        <x:v>tonnes_primary_production_equivalent</x:v>
      </x:c>
    </x:row>
    <x:row r="12" ht="18" customHeight="1">
      <x:c r="A12" s="24" t="str">
        <x:v>EEZ_949</x:v>
      </x:c>
      <x:c r="B12" s="24" t="str">
        <x:v>commercial_ppr</x:v>
      </x:c>
      <x:c r="C12" s="24" t="n">
        <x:v>9541946.973488096</x:v>
      </x:c>
      <x:c r="D12" s="24" t="str">
        <x:v>tonnes_primary_production_equivalent</x:v>
      </x:c>
    </x:row>
    <x:row r="13" ht="18" customHeight="1">
      <x:c r="A13" s="24" t="str">
        <x:v>EEZ_949</x:v>
      </x:c>
      <x:c r="B13" s="24" t="str">
        <x:v>functional_ppr</x:v>
      </x:c>
      <x:c r="C13" s="24" t="n">
        <x:v>9795688.338512633</x:v>
      </x:c>
      <x:c r="D13" s="24" t="str">
        <x:v>tonnes_primary_production_equivalent</x:v>
      </x:c>
    </x:row>
    <x:row r="14" ht="18" customHeight="1">
      <x:c r="A14" s="24" t="str">
        <x:v>EEZ_949</x:v>
      </x:c>
      <x:c r="B14" s="24" t="str">
        <x:v>commercial_ppr_difference</x:v>
      </x:c>
      <x:c r="C14" s="24" t="n">
        <x:v>-513278.20215073787</x:v>
      </x:c>
      <x:c r="D14" s="24" t="str">
        <x:v>tonnes_primary_production_equivalent</x:v>
      </x:c>
    </x:row>
    <x:row r="15" ht="18" customHeight="1">
      <x:c r="A15" s="24" t="str">
        <x:v>EEZ_949</x:v>
      </x:c>
      <x:c r="B15" s="24" t="str">
        <x:v>functional_ppr_difference</x:v>
      </x:c>
      <x:c r="C15" s="24" t="n">
        <x:v>-259536.83712620102</x:v>
      </x:c>
      <x:c r="D15" s="24" t="str">
        <x:v>tonnes_primary_production_equivalent</x:v>
      </x:c>
    </x:row>
    <x:row r="16" ht="18" customHeight="1">
      <x:c r="A16" s="24" t="str">
        <x:v>EEZ_949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1acf8721d3647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EEZ_949 - Nicaragua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