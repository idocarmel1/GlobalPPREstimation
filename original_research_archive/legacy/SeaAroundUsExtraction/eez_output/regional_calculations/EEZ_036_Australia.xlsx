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048ca1ed4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60d19118e9c48fa"/>
    <x:sheet xmlns:r="http://schemas.openxmlformats.org/officeDocument/2006/relationships" name="Commercial" sheetId="2" r:id="Rf8989723375740f4"/>
    <x:sheet xmlns:r="http://schemas.openxmlformats.org/officeDocument/2006/relationships" name="Functional" sheetId="3" r:id="Rfd9ccb6343b04960"/>
    <x:sheet xmlns:r="http://schemas.openxmlformats.org/officeDocument/2006/relationships" name="Missing TL" sheetId="4" r:id="R384e485195464456"/>
    <x:sheet xmlns:r="http://schemas.openxmlformats.org/officeDocument/2006/relationships" name="Validation" sheetId="5" r:id="R15a21cd6c0a040af"/>
    <x:sheet xmlns:r="http://schemas.openxmlformats.org/officeDocument/2006/relationships" name="Metadata" sheetId="6" r:id="R22cb8deb9c9b4c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26e0b837b49a4" /><Relationship Type="http://schemas.openxmlformats.org/officeDocument/2006/relationships/theme" Target="/xl/theme/theme1.xml" Id="Rea4eee88e670488d" /><Relationship Type="http://schemas.microsoft.com/office/2022/11/relationships/FeaturePropertyBag" Target="/xl/featurePropertyBag/featurePropertyBag.xml" Id="R53160a50958d43c1" /><Relationship Type="http://schemas.openxmlformats.org/officeDocument/2006/relationships/sharedStrings" Target="/xl/sharedStrings.xml" Id="R982a0f9a746c4e29" /><Relationship Type="http://schemas.openxmlformats.org/officeDocument/2006/relationships/worksheet" Target="/xl/worksheets/sheet1.xml" Id="R860d19118e9c48fa" /><Relationship Type="http://schemas.openxmlformats.org/officeDocument/2006/relationships/worksheet" Target="/xl/worksheets/sheet2.xml" Id="Rf8989723375740f4" /><Relationship Type="http://schemas.openxmlformats.org/officeDocument/2006/relationships/worksheet" Target="/xl/worksheets/sheet3.xml" Id="Rfd9ccb6343b04960" /><Relationship Type="http://schemas.openxmlformats.org/officeDocument/2006/relationships/worksheet" Target="/xl/worksheets/sheet4.xml" Id="R384e485195464456" /><Relationship Type="http://schemas.openxmlformats.org/officeDocument/2006/relationships/worksheet" Target="/xl/worksheets/sheet5.xml" Id="R15a21cd6c0a040af" /><Relationship Type="http://schemas.openxmlformats.org/officeDocument/2006/relationships/worksheet" Target="/xl/worksheets/sheet6.xml" Id="R22cb8deb9c9b4c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36SpeciesTable" displayName="EEZ036SpeciesTable" ref="A1:U530" headerRowCount="1" totalsRowCount="0" totalsRowShown="0">
  <x:autoFilter ref="A1:U5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36CommercialTable" displayName="EEZ036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36FunctionalTable" displayName="EEZ036FunctionalTable" ref="A1:E27" headerRowCount="1" totalsRowCount="0" totalsRowShown="0">
  <x:autoFilter ref="A1:E2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36ValidationTable" displayName="EEZ03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18936e2d3b4b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173d3cc8e24e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b34370c889543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c2a1b4ca3b4c8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EEZ_036</x:v>
      </x:c>
      <x:c r="B2" s="24" t="str">
        <x:v>Australia</x:v>
      </x:c>
      <x:c r="C2" s="24" t="str">
        <x:v>EEZ</x:v>
      </x:c>
      <x:c r="D2" s="30" t="n">
        <x:v>2019</x:v>
      </x:c>
      <x:c r="E2" s="24" t="str">
        <x:v>Sardinops sagax</x:v>
      </x:c>
      <x:c r="F2" s="24" t="str">
        <x:v>South American pilchard</x:v>
      </x:c>
      <x:c r="G2" s="24" t="str">
        <x:v>Medium pelagics (30 - 89 cm)</x:v>
      </x:c>
      <x:c r="H2" s="24" t="str">
        <x:v>Herring-likes</x:v>
      </x:c>
      <x:c r="I2" s="31" t="n">
        <x:v>36368.8286056247</x:v>
      </x:c>
      <x:c r="J2" s="31" t="n">
        <x:v>36368.8286056247</x:v>
      </x:c>
      <x:c r="K2" s="31" t="n">
        <x:v>0</x:v>
      </x:c>
      <x:c r="L2" s="31" t="n">
        <x:v>32040.113572642098</x:v>
      </x:c>
      <x:c r="M2" s="31" t="n">
        <x:v>4328.7150329826</x:v>
      </x:c>
      <x:c r="N2" s="24" t="str">
        <x:v>sardinops sagax</x:v>
      </x:c>
      <x:c r="O2" s="32" t="n">
        <x:v>2.84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Sardinops sagax</x:v>
      </x:c>
      <x:c r="T2" s="32" t="n">
        <x:f>IF(O2="","",(1/'Metadata'!$B$5)^(O2-1))</x:f>
        <x:v>69.18309709189363</x:v>
      </x:c>
      <x:c r="U2" s="31" t="n">
        <x:f>IF(T2="","",I2*T2)</x:f>
        <x:v>2516108.200541372</x:v>
      </x:c>
    </x:row>
    <x:row r="3" ht="18" customHeight="1">
      <x:c r="A3" s="24" t="str">
        <x:v>EEZ_036</x:v>
      </x:c>
      <x:c r="B3" s="24" t="str">
        <x:v>Australia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18543.2327440949</x:v>
      </x:c>
      <x:c r="J3" s="31" t="n">
        <x:v>14819.0648067345</x:v>
      </x:c>
      <x:c r="K3" s="31" t="n">
        <x:v>3724.1679373603997</x:v>
      </x:c>
      <x:c r="L3" s="31" t="n">
        <x:v>11736.1524473057</x:v>
      </x:c>
      <x:c r="M3" s="31" t="n">
        <x:v>6807.0802967892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3533340.157792265</x:v>
      </x:c>
    </x:row>
    <x:row r="4" ht="18" customHeight="1">
      <x:c r="A4" s="24" t="str">
        <x:v>EEZ_036</x:v>
      </x:c>
      <x:c r="B4" s="24" t="str">
        <x:v>Australia</x:v>
      </x:c>
      <x:c r="C4" s="24" t="str">
        <x:v>EEZ</x:v>
      </x:c>
      <x:c r="D4" s="30" t="n">
        <x:v>2019</x:v>
      </x:c>
      <x:c r="E4" s="24" t="str">
        <x:v>Trachurus declivis</x:v>
      </x:c>
      <x:c r="F4" s="24" t="str">
        <x:v>Greenback horse mackerel</x:v>
      </x:c>
      <x:c r="G4" s="24" t="str">
        <x:v>Medium benthopelagics (30 - 89 cm)</x:v>
      </x:c>
      <x:c r="H4" s="24" t="str">
        <x:v>Perch-likes</x:v>
      </x:c>
      <x:c r="I4" s="31" t="n">
        <x:v>13223.6569154112</x:v>
      </x:c>
      <x:c r="J4" s="31" t="n">
        <x:v>12950.4928894327</x:v>
      </x:c>
      <x:c r="K4" s="31" t="n">
        <x:v>273.1640259785</x:v>
      </x:c>
      <x:c r="L4" s="31" t="n">
        <x:v>12950.4925548501</x:v>
      </x:c>
      <x:c r="M4" s="31" t="n">
        <x:v>273.16436056109995</x:v>
      </x:c>
      <x:c r="N4" s="24" t="str">
        <x:v>trachurus declivis</x:v>
      </x:c>
      <x:c r="O4" s="32" t="n">
        <x:v>3.93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Trachurus declivis</x:v>
      </x:c>
      <x:c r="T4" s="32" t="n">
        <x:f>IF(O4="","",(1/'Metadata'!$B$5)^(O4-1))</x:f>
        <x:v>851.1380382023768</x:v>
      </x:c>
      <x:c r="U4" s="31" t="n">
        <x:f>IF(T4="","",I4*T4)</x:f>
        <x:v>11255157.404844383</x:v>
      </x:c>
    </x:row>
    <x:row r="5" ht="18" customHeight="1">
      <x:c r="A5" s="24" t="str">
        <x:v>EEZ_036</x:v>
      </x:c>
      <x:c r="B5" s="24" t="str">
        <x:v>Australia</x:v>
      </x:c>
      <x:c r="C5" s="24" t="str">
        <x:v>EEZ</x:v>
      </x:c>
      <x:c r="D5" s="30" t="n">
        <x:v>2019</x:v>
      </x:c>
      <x:c r="E5" s="24" t="str">
        <x:v>Thunnus maccoyii</x:v>
      </x:c>
      <x:c r="F5" s="24" t="str">
        <x:v>Southern bluefin tuna</x:v>
      </x:c>
      <x:c r="G5" s="24" t="str">
        <x:v>Large pelagics (&gt;=90 cm)</x:v>
      </x:c>
      <x:c r="H5" s="24" t="str">
        <x:v>Tuna &amp; billfishes</x:v>
      </x:c>
      <x:c r="I5" s="31" t="n">
        <x:v>10591.7924334783</x:v>
      </x:c>
      <x:c r="J5" s="31" t="n">
        <x:v>10591.032585951201</x:v>
      </x:c>
      <x:c r="K5" s="31" t="n">
        <x:v>0.7598475271</x:v>
      </x:c>
      <x:c r="L5" s="31" t="n">
        <x:v>10525.372303838101</x:v>
      </x:c>
      <x:c r="M5" s="31" t="n">
        <x:v>66.4201296402</x:v>
      </x:c>
      <x:c r="N5" s="24" t="str">
        <x:v>thunnus maccoyii</x:v>
      </x:c>
      <x:c r="O5" s="32" t="n">
        <x:v>3.93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maccoyii</x:v>
      </x:c>
      <x:c r="T5" s="32" t="n">
        <x:f>IF(O5="","",(1/'Metadata'!$B$5)^(O5-1))</x:f>
        <x:v>851.1380382023768</x:v>
      </x:c>
      <x:c r="U5" s="31" t="n">
        <x:f>IF(T5="","",I5*T5)</x:f>
        <x:v>9015077.4328775</x:v>
      </x:c>
    </x:row>
    <x:row r="6" ht="18" customHeight="1">
      <x:c r="A6" s="24" t="str">
        <x:v>EEZ_036</x:v>
      </x:c>
      <x:c r="B6" s="24" t="str">
        <x:v>Australia</x:v>
      </x:c>
      <x:c r="C6" s="24" t="str">
        <x:v>EEZ</x:v>
      </x:c>
      <x:c r="D6" s="30" t="n">
        <x:v>2019</x:v>
      </x:c>
      <x:c r="E6" s="24" t="str">
        <x:v>Panulirus cygnus</x:v>
      </x:c>
      <x:c r="F6" s="24" t="str">
        <x:v>Australian spiny lobster</x:v>
      </x:c>
      <x:c r="G6" s="24" t="str">
        <x:v>Lobsters, crabs</x:v>
      </x:c>
      <x:c r="H6" s="24" t="str">
        <x:v>Crustaceans</x:v>
      </x:c>
      <x:c r="I6" s="31" t="n">
        <x:v>7844.9456320758</x:v>
      </x:c>
      <x:c r="J6" s="31" t="n">
        <x:v>7844.9456320758</x:v>
      </x:c>
      <x:c r="K6" s="31" t="n">
        <x:v>0</x:v>
      </x:c>
      <x:c r="L6" s="31" t="n">
        <x:v>5782.6837640797</x:v>
      </x:c>
      <x:c r="M6" s="31" t="n">
        <x:v>2062.2618679961</x:v>
      </x:c>
      <x:c r="N6" s="24" t="str">
        <x:v>panulirus cygnus</x:v>
      </x:c>
      <x:c r="O6" s="32" t="n">
        <x:v>2.6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Panulirus cygnus</x:v>
      </x:c>
      <x:c r="T6" s="32" t="n">
        <x:f>IF(O6="","",(1/'Metadata'!$B$5)^(O6-1))</x:f>
        <x:v>39.810717055349734</x:v>
      </x:c>
      <x:c r="U6" s="31" t="n">
        <x:f>IF(T6="","",I6*T6)</x:f>
        <x:v>312312.91087317147</x:v>
      </x:c>
    </x:row>
    <x:row r="7" ht="18" customHeight="1">
      <x:c r="A7" s="24" t="str">
        <x:v>EEZ_036</x:v>
      </x:c>
      <x:c r="B7" s="24" t="str">
        <x:v>Australia</x:v>
      </x:c>
      <x:c r="C7" s="24" t="str">
        <x:v>EEZ</x:v>
      </x:c>
      <x:c r="D7" s="30" t="n">
        <x:v>2019</x:v>
      </x:c>
      <x:c r="E7" s="24" t="str">
        <x:v>Penaeidae</x:v>
      </x:c>
      <x:c r="F7" s="24" t="str">
        <x:v>Commercial shrimps and prawns</x:v>
      </x:c>
      <x:c r="G7" s="24" t="str">
        <x:v>Shrimps</x:v>
      </x:c>
      <x:c r="H7" s="24" t="str">
        <x:v>Crustaceans</x:v>
      </x:c>
      <x:c r="I7" s="31" t="n">
        <x:v>6407.8361408631</x:v>
      </x:c>
      <x:c r="J7" s="31" t="n">
        <x:v>6351.7838660515</x:v>
      </x:c>
      <x:c r="K7" s="31" t="n">
        <x:v>56.0522748116</x:v>
      </x:c>
      <x:c r="L7" s="31" t="n">
        <x:v>6244.7147942885</x:v>
      </x:c>
      <x:c r="M7" s="31" t="n">
        <x:v>163.1213465746</x:v>
      </x:c>
      <x:c r="N7" s="24" t="str">
        <x:v>penaeidae</x:v>
      </x:c>
      <x:c r="O7" s="32" t="n">
        <x:v>3.31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Penaeidae</x:v>
      </x:c>
      <x:c r="T7" s="32" t="n">
        <x:f>IF(O7="","",(1/'Metadata'!$B$5)^(O7-1))</x:f>
        <x:v>204.17379446695296</x:v>
      </x:c>
      <x:c r="U7" s="31" t="n">
        <x:f>IF(T7="","",I7*T7)</x:f>
        <x:v>1308312.2192024956</x:v>
      </x:c>
    </x:row>
    <x:row r="8" ht="18" customHeight="1">
      <x:c r="A8" s="24" t="str">
        <x:v>EEZ_036</x:v>
      </x:c>
      <x:c r="B8" s="24" t="str">
        <x:v>Australia</x:v>
      </x:c>
      <x:c r="C8" s="24" t="str">
        <x:v>EEZ</x:v>
      </x:c>
      <x:c r="D8" s="30" t="n">
        <x:v>2019</x:v>
      </x:c>
      <x:c r="E8" s="24" t="str">
        <x:v>Platycephalidae</x:v>
      </x:c>
      <x:c r="F8" s="24" t="str">
        <x:v>Flatheads</x:v>
      </x:c>
      <x:c r="G8" s="24" t="str">
        <x:v>Medium demersals (30 - 89 cm)</x:v>
      </x:c>
      <x:c r="H8" s="24" t="str">
        <x:v>Scorpionfishes</x:v>
      </x:c>
      <x:c r="I8" s="31" t="n">
        <x:v>4567.2584569397995</x:v>
      </x:c>
      <x:c r="J8" s="31" t="n">
        <x:v>4227.2333759929</x:v>
      </x:c>
      <x:c r="K8" s="31" t="n">
        <x:v>340.0250809469</x:v>
      </x:c>
      <x:c r="L8" s="31" t="n">
        <x:v>3198.9988370581</x:v>
      </x:c>
      <x:c r="M8" s="31" t="n">
        <x:v>1368.2596198817</x:v>
      </x:c>
      <x:c r="N8" s="24" t="str">
        <x:v>platycephalidae</x:v>
      </x:c>
      <x:c r="O8" s="32" t="n">
        <x:v>3.9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Platycephalidae</x:v>
      </x:c>
      <x:c r="T8" s="32" t="n">
        <x:f>IF(O8="","",(1/'Metadata'!$B$5)^(O8-1))</x:f>
        <x:v>794.3282347242813</x:v>
      </x:c>
      <x:c r="U8" s="31" t="n">
        <x:f>IF(T8="","",I8*T8)</x:f>
        <x:v>3627902.3476305357</x:v>
      </x:c>
    </x:row>
    <x:row r="9" ht="18" customHeight="1">
      <x:c r="A9" s="24" t="str">
        <x:v>EEZ_036</x:v>
      </x:c>
      <x:c r="B9" s="24" t="str">
        <x:v>Australia</x:v>
      </x:c>
      <x:c r="C9" s="24" t="str">
        <x:v>EEZ</x:v>
      </x:c>
      <x:c r="D9" s="30" t="n">
        <x:v>2019</x:v>
      </x:c>
      <x:c r="E9" s="24" t="str">
        <x:v>Lates calcarifer</x:v>
      </x:c>
      <x:c r="F9" s="24" t="str">
        <x:v>Barramundi</x:v>
      </x:c>
      <x:c r="G9" s="24" t="str">
        <x:v>Large demersals (&gt;=90 cm)</x:v>
      </x:c>
      <x:c r="H9" s="24" t="str">
        <x:v>Perch-likes</x:v>
      </x:c>
      <x:c r="I9" s="31" t="n">
        <x:v>4562.1564398767005</x:v>
      </x:c>
      <x:c r="J9" s="31" t="n">
        <x:v>4562.1564398767005</x:v>
      </x:c>
      <x:c r="K9" s="31" t="n">
        <x:v>0</x:v>
      </x:c>
      <x:c r="L9" s="31" t="n">
        <x:v>2038.0999985408998</x:v>
      </x:c>
      <x:c r="M9" s="31" t="n">
        <x:v>2524.0564413358</x:v>
      </x:c>
      <x:c r="N9" s="24" t="str">
        <x:v>lates calcarifer</x:v>
      </x:c>
      <x:c r="O9" s="32" t="n">
        <x:v>4.35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Lates calcarifer</x:v>
      </x:c>
      <x:c r="T9" s="32" t="n">
        <x:f>IF(O9="","",(1/'Metadata'!$B$5)^(O9-1))</x:f>
        <x:v>2238.7211385683377</x:v>
      </x:c>
      <x:c r="U9" s="31" t="n">
        <x:f>IF(T9="","",I9*T9)</x:f>
        <x:v>10213396.05940764</x:v>
      </x:c>
    </x:row>
    <x:row r="10" ht="18" customHeight="1">
      <x:c r="A10" s="24" t="str">
        <x:v>EEZ_036</x:v>
      </x:c>
      <x:c r="B10" s="24" t="str">
        <x:v>Australia</x:v>
      </x:c>
      <x:c r="C10" s="24" t="str">
        <x:v>EEZ</x:v>
      </x:c>
      <x:c r="D10" s="30" t="n">
        <x:v>2019</x:v>
      </x:c>
      <x:c r="E10" s="24" t="str">
        <x:v>Sillago</x:v>
      </x:c>
      <x:c r="F10" s="24" t="str">
        <x:v>Smelt-whitings</x:v>
      </x:c>
      <x:c r="G10" s="24" t="str">
        <x:v>Medium demersals (30 - 89 cm)</x:v>
      </x:c>
      <x:c r="H10" s="24" t="str">
        <x:v>Perch-likes</x:v>
      </x:c>
      <x:c r="I10" s="31" t="n">
        <x:v>4410.4724112452</x:v>
      </x:c>
      <x:c r="J10" s="31" t="n">
        <x:v>2845.0716310027997</x:v>
      </x:c>
      <x:c r="K10" s="31" t="n">
        <x:v>1565.4007802424</x:v>
      </x:c>
      <x:c r="L10" s="31" t="n">
        <x:v>2594.9263312353996</x:v>
      </x:c>
      <x:c r="M10" s="31" t="n">
        <x:v>1815.5460800098</x:v>
      </x:c>
      <x:c r="N10" s="24" t="str">
        <x:v>sillago</x:v>
      </x:c>
      <x:c r="O10" s="32" t="n">
        <x:v>3.33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Sillago</x:v>
      </x:c>
      <x:c r="T10" s="32" t="n">
        <x:f>IF(O10="","",(1/'Metadata'!$B$5)^(O10-1))</x:f>
        <x:v>213.79620895022325</x:v>
      </x:c>
      <x:c r="U10" s="31" t="n">
        <x:f>IF(T10="","",I10*T10)</x:f>
        <x:v>942942.2812037738</x:v>
      </x:c>
    </x:row>
    <x:row r="11" ht="18" customHeight="1">
      <x:c r="A11" s="24" t="str">
        <x:v>EEZ_036</x:v>
      </x:c>
      <x:c r="B11" s="24" t="str">
        <x:v>Australia</x:v>
      </x:c>
      <x:c r="C11" s="24" t="str">
        <x:v>EEZ</x:v>
      </x:c>
      <x:c r="D11" s="30" t="n">
        <x:v>2019</x:v>
      </x:c>
      <x:c r="E11" s="24" t="str">
        <x:v>Jasus edwardsii</x:v>
      </x:c>
      <x:c r="F11" s="24" t="str">
        <x:v>Red rock lobster</x:v>
      </x:c>
      <x:c r="G11" s="24" t="str">
        <x:v>Lobsters, crabs</x:v>
      </x:c>
      <x:c r="H11" s="24" t="str">
        <x:v>Crustaceans</x:v>
      </x:c>
      <x:c r="I11" s="31" t="n">
        <x:v>3609.4070166549</x:v>
      </x:c>
      <x:c r="J11" s="31" t="n">
        <x:v>3609.4070166549</x:v>
      </x:c>
      <x:c r="K11" s="31" t="n">
        <x:v>0</x:v>
      </x:c>
      <x:c r="L11" s="31" t="n">
        <x:v>3538.8371029814</x:v>
      </x:c>
      <x:c r="M11" s="31" t="n">
        <x:v>70.5699136735</x:v>
      </x:c>
      <x:c r="N11" s="24" t="str">
        <x:v>jasus edwardsii</x:v>
      </x:c>
      <x:c r="O11" s="32" t="n">
        <x:v>2.6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Jasus edwardsii</x:v>
      </x:c>
      <x:c r="T11" s="32" t="n">
        <x:f>IF(O11="","",(1/'Metadata'!$B$5)^(O11-1))</x:f>
        <x:v>39.810717055349734</x:v>
      </x:c>
      <x:c r="U11" s="31" t="n">
        <x:f>IF(T11="","",I11*T11)</x:f>
        <x:v>143693.08147764223</x:v>
      </x:c>
    </x:row>
    <x:row r="12" ht="18" customHeight="1">
      <x:c r="A12" s="24" t="str">
        <x:v>EEZ_036</x:v>
      </x:c>
      <x:c r="B12" s="24" t="str">
        <x:v>Australia</x:v>
      </x:c>
      <x:c r="C12" s="24" t="str">
        <x:v>EEZ</x:v>
      </x:c>
      <x:c r="D12" s="30" t="n">
        <x:v>2019</x:v>
      </x:c>
      <x:c r="E12" s="24" t="str">
        <x:v>Elasmobranchii</x:v>
      </x:c>
      <x:c r="F12" s="24" t="str">
        <x:v>Sharks, rays, skates</x:v>
      </x:c>
      <x:c r="G12" s="24" t="str">
        <x:v>Large sharks (&gt;=90 cm)</x:v>
      </x:c>
      <x:c r="H12" s="24" t="str">
        <x:v>Sharks &amp; rays</x:v>
      </x:c>
      <x:c r="I12" s="31" t="n">
        <x:v>3554.1259402736996</x:v>
      </x:c>
      <x:c r="J12" s="31" t="n">
        <x:v>3541.5503148596</x:v>
      </x:c>
      <x:c r="K12" s="31" t="n">
        <x:v>12.5756254141</x:v>
      </x:c>
      <x:c r="L12" s="31" t="n">
        <x:v>171.6653581533</x:v>
      </x:c>
      <x:c r="M12" s="31" t="n">
        <x:v>3382.4605821203995</x:v>
      </x:c>
      <x:c r="N12" s="24" t="str">
        <x:v>elasmobranchii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Elasmobranchii</x:v>
      </x:c>
      <x:c r="T12" s="32" t="n">
        <x:f>IF(O12="","",(1/'Metadata'!$B$5)^(O12-1))</x:f>
        <x:v>1122.018454301963</x:v>
      </x:c>
      <x:c r="U12" s="31" t="n">
        <x:f>IF(T12="","",I12*T12)</x:f>
        <x:v>3987794.893900407</x:v>
      </x:c>
    </x:row>
    <x:row r="13" ht="18" customHeight="1">
      <x:c r="A13" s="24" t="str">
        <x:v>EEZ_036</x:v>
      </x:c>
      <x:c r="B13" s="24" t="str">
        <x:v>Australia</x:v>
      </x:c>
      <x:c r="C13" s="24" t="str">
        <x:v>EEZ</x:v>
      </x:c>
      <x:c r="D13" s="30" t="n">
        <x:v>2019</x:v>
      </x:c>
      <x:c r="E13" s="24" t="str">
        <x:v>Penaeus</x:v>
      </x:c>
      <x:c r="F13" s="24" t="str">
        <x:v>Tiger prawns</x:v>
      </x:c>
      <x:c r="G13" s="24" t="str">
        <x:v>Shrimps</x:v>
      </x:c>
      <x:c r="H13" s="24" t="str">
        <x:v>Crustaceans</x:v>
      </x:c>
      <x:c r="I13" s="31" t="n">
        <x:v>3547.6363221871998</x:v>
      </x:c>
      <x:c r="J13" s="31" t="n">
        <x:v>3547.6363221871998</x:v>
      </x:c>
      <x:c r="K13" s="31" t="n">
        <x:v>0</x:v>
      </x:c>
      <x:c r="L13" s="31" t="n">
        <x:v>3547.6363221871998</x:v>
      </x:c>
      <x:c r="M13" s="31" t="n">
        <x:v>0</x:v>
      </x:c>
      <x:c r="N13" s="24" t="str">
        <x:v>penaeus</x:v>
      </x:c>
      <x:c r="O13" s="32" t="n">
        <x:v>2.7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Penaeus</x:v>
      </x:c>
      <x:c r="T13" s="32" t="n">
        <x:f>IF(O13="","",(1/'Metadata'!$B$5)^(O13-1))</x:f>
        <x:v>50.11872336272725</x:v>
      </x:c>
      <x:c r="U13" s="31" t="n">
        <x:f>IF(T13="","",I13*T13)</x:f>
        <x:v>177803.0034232634</x:v>
      </x:c>
    </x:row>
    <x:row r="14" ht="18" customHeight="1">
      <x:c r="A14" s="24" t="str">
        <x:v>EEZ_036</x:v>
      </x:c>
      <x:c r="B14" s="24" t="str">
        <x:v>Australia</x:v>
      </x:c>
      <x:c r="C14" s="24" t="str">
        <x:v>EEZ</x:v>
      </x:c>
      <x:c r="D14" s="30" t="n">
        <x:v>2019</x:v>
      </x:c>
      <x:c r="E14" s="24" t="str">
        <x:v>Thunnus albacares</x:v>
      </x:c>
      <x:c r="F14" s="24" t="str">
        <x:v>Yellowfin tuna</x:v>
      </x:c>
      <x:c r="G14" s="24" t="str">
        <x:v>Large pelagics (&gt;=90 cm)</x:v>
      </x:c>
      <x:c r="H14" s="24" t="str">
        <x:v>Tuna &amp; billfishes</x:v>
      </x:c>
      <x:c r="I14" s="31" t="n">
        <x:v>3513.364041169</x:v>
      </x:c>
      <x:c r="J14" s="31" t="n">
        <x:v>3494.2364880827</x:v>
      </x:c>
      <x:c r="K14" s="31" t="n">
        <x:v>19.1275530863</x:v>
      </x:c>
      <x:c r="L14" s="31" t="n">
        <x:v>3195.3209498366</x:v>
      </x:c>
      <x:c r="M14" s="31" t="n">
        <x:v>318.0430913324</x:v>
      </x:c>
      <x:c r="N14" s="24" t="str">
        <x:v>thunnus albacares</x:v>
      </x:c>
      <x:c r="O14" s="32" t="n">
        <x:v>4.41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albacares</x:v>
      </x:c>
      <x:c r="T14" s="32" t="n">
        <x:f>IF(O14="","",(1/'Metadata'!$B$5)^(O14-1))</x:f>
        <x:v>2570.3957827688646</x:v>
      </x:c>
      <x:c r="U14" s="31" t="n">
        <x:f>IF(T14="","",I14*T14)</x:f>
        <x:v>9030736.114752572</x:v>
      </x:c>
    </x:row>
    <x:row r="15" ht="18" customHeight="1">
      <x:c r="A15" s="24" t="str">
        <x:v>EEZ_036</x:v>
      </x:c>
      <x:c r="B15" s="24" t="str">
        <x:v>Australia</x:v>
      </x:c>
      <x:c r="C15" s="24" t="str">
        <x:v>EEZ</x:v>
      </x:c>
      <x:c r="D15" s="30" t="n">
        <x:v>2019</x:v>
      </x:c>
      <x:c r="E15" s="24" t="str">
        <x:v>Scomber australasicus</x:v>
      </x:c>
      <x:c r="F15" s="24" t="str">
        <x:v>Blue mackerel</x:v>
      </x:c>
      <x:c r="G15" s="24" t="str">
        <x:v>Medium pelagics (30 - 89 cm)</x:v>
      </x:c>
      <x:c r="H15" s="24" t="str">
        <x:v>Perch-likes</x:v>
      </x:c>
      <x:c r="I15" s="31" t="n">
        <x:v>3360.2167184993</x:v>
      </x:c>
      <x:c r="J15" s="31" t="n">
        <x:v>3354.9295761194</x:v>
      </x:c>
      <x:c r="K15" s="31" t="n">
        <x:v>5.2871423799</x:v>
      </x:c>
      <x:c r="L15" s="31" t="n">
        <x:v>3152.5855494619</x:v>
      </x:c>
      <x:c r="M15" s="31" t="n">
        <x:v>207.63116903739999</x:v>
      </x:c>
      <x:c r="N15" s="24" t="str">
        <x:v>scomber australasicus</x:v>
      </x:c>
      <x:c r="O15" s="32" t="n">
        <x:v>4.23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Scomber australasicus</x:v>
      </x:c>
      <x:c r="T15" s="32" t="n">
        <x:f>IF(O15="","",(1/'Metadata'!$B$5)^(O15-1))</x:f>
        <x:v>1698.243652461746</x:v>
      </x:c>
      <x:c r="U15" s="31" t="n">
        <x:f>IF(T15="","",I15*T15)</x:f>
        <x:v>5706466.713087274</x:v>
      </x:c>
    </x:row>
    <x:row r="16" ht="18" customHeight="1">
      <x:c r="A16" s="24" t="str">
        <x:v>EEZ_036</x:v>
      </x:c>
      <x:c r="B16" s="24" t="str">
        <x:v>Australia</x:v>
      </x:c>
      <x:c r="C16" s="24" t="str">
        <x:v>EEZ</x:v>
      </x:c>
      <x:c r="D16" s="30" t="n">
        <x:v>2019</x:v>
      </x:c>
      <x:c r="E16" s="24" t="str">
        <x:v>Mugil cephalus</x:v>
      </x:c>
      <x:c r="F16" s="24" t="str">
        <x:v>Flathead grey mullet</x:v>
      </x:c>
      <x:c r="G16" s="24" t="str">
        <x:v>Large benthopelagics (&gt;=90 cm)</x:v>
      </x:c>
      <x:c r="H16" s="24" t="str">
        <x:v>Perch-likes</x:v>
      </x:c>
      <x:c r="I16" s="31" t="n">
        <x:v>3243.6475123618998</x:v>
      </x:c>
      <x:c r="J16" s="31" t="n">
        <x:v>3243.6475123618998</x:v>
      </x:c>
      <x:c r="K16" s="31" t="n">
        <x:v>0</x:v>
      </x:c>
      <x:c r="L16" s="31" t="n">
        <x:v>3189.5783887318</x:v>
      </x:c>
      <x:c r="M16" s="31" t="n">
        <x:v>54.0691236301</x:v>
      </x:c>
      <x:c r="N16" s="24" t="str">
        <x:v>mugil cephalus</x:v>
      </x:c>
      <x:c r="O16" s="32" t="n">
        <x:v>2.14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Mugil cephalus</x:v>
      </x:c>
      <x:c r="T16" s="32" t="n">
        <x:f>IF(O16="","",(1/'Metadata'!$B$5)^(O16-1))</x:f>
        <x:v>13.803842646028853</x:v>
      </x:c>
      <x:c r="U16" s="31" t="n">
        <x:f>IF(T16="","",I16*T16)</x:f>
        <x:v>44774.79985982659</x:v>
      </x:c>
    </x:row>
    <x:row r="17" ht="18" customHeight="1">
      <x:c r="A17" s="24" t="str">
        <x:v>EEZ_036</x:v>
      </x:c>
      <x:c r="B17" s="24" t="str">
        <x:v>Australia</x:v>
      </x:c>
      <x:c r="C17" s="24" t="str">
        <x:v>EEZ</x:v>
      </x:c>
      <x:c r="D17" s="30" t="n">
        <x:v>2019</x:v>
      </x:c>
      <x:c r="E17" s="24" t="str">
        <x:v>Pagrus auratus</x:v>
      </x:c>
      <x:c r="F17" s="24" t="str">
        <x:v>Silver seabream</x:v>
      </x:c>
      <x:c r="G17" s="24" t="str">
        <x:v>Large demersals (&gt;=90 cm)</x:v>
      </x:c>
      <x:c r="H17" s="24" t="str">
        <x:v>Perch-likes</x:v>
      </x:c>
      <x:c r="I17" s="31" t="n">
        <x:v>3135.6682974586997</x:v>
      </x:c>
      <x:c r="J17" s="31" t="n">
        <x:v>2136.9858479481</x:v>
      </x:c>
      <x:c r="K17" s="31" t="n">
        <x:v>998.6824495106</x:v>
      </x:c>
      <x:c r="L17" s="31" t="n">
        <x:v>1975.3595871966</x:v>
      </x:c>
      <x:c r="M17" s="31" t="n">
        <x:v>1160.3087102621</x:v>
      </x:c>
      <x:c r="N17" s="24" t="str">
        <x:v>pagrus auratus</x:v>
      </x:c>
      <x:c r="O17" s="32" t="n">
        <x:v>3.59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Pagrus auratus</x:v>
      </x:c>
      <x:c r="T17" s="32" t="n">
        <x:f>IF(O17="","",(1/'Metadata'!$B$5)^(O17-1))</x:f>
        <x:v>389.04514499428046</x:v>
      </x:c>
      <x:c r="U17" s="31" t="n">
        <x:f>IF(T17="","",I17*T17)</x:f>
        <x:v>1219916.5274387884</x:v>
      </x:c>
    </x:row>
    <x:row r="18" ht="18" customHeight="1">
      <x:c r="A18" s="24" t="str">
        <x:v>EEZ_036</x:v>
      </x:c>
      <x:c r="B18" s="24" t="str">
        <x:v>Australia</x:v>
      </x:c>
      <x:c r="C18" s="24" t="str">
        <x:v>EEZ</x:v>
      </x:c>
      <x:c r="D18" s="30" t="n">
        <x:v>2019</x:v>
      </x:c>
      <x:c r="E18" s="24" t="str">
        <x:v>Sparidae</x:v>
      </x:c>
      <x:c r="F18" s="24" t="str">
        <x:v>Porgies, seabreams</x:v>
      </x:c>
      <x:c r="G18" s="24" t="str">
        <x:v>Medium benthopelagics (30 - 89 cm)</x:v>
      </x:c>
      <x:c r="H18" s="24" t="str">
        <x:v>Perch-likes</x:v>
      </x:c>
      <x:c r="I18" s="31" t="n">
        <x:v>3072.1527667032</x:v>
      </x:c>
      <x:c r="J18" s="31" t="n">
        <x:v>3072.1527667032</x:v>
      </x:c>
      <x:c r="K18" s="31" t="n">
        <x:v>0</x:v>
      </x:c>
      <x:c r="L18" s="31" t="n">
        <x:v>835.3447747578</x:v>
      </x:c>
      <x:c r="M18" s="31" t="n">
        <x:v>2236.8079919454003</x:v>
      </x:c>
      <x:c r="N18" s="24" t="str">
        <x:v>sparidae</x:v>
      </x:c>
      <x:c r="O18" s="32" t="n">
        <x:v>3.31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Sparidae</x:v>
      </x:c>
      <x:c r="T18" s="32" t="n">
        <x:f>IF(O18="","",(1/'Metadata'!$B$5)^(O18-1))</x:f>
        <x:v>204.17379446695296</x:v>
      </x:c>
      <x:c r="U18" s="31" t="n">
        <x:f>IF(T18="","",I18*T18)</x:f>
        <x:v>627253.0875599401</x:v>
      </x:c>
    </x:row>
    <x:row r="19" ht="18" customHeight="1">
      <x:c r="A19" s="24" t="str">
        <x:v>EEZ_036</x:v>
      </x:c>
      <x:c r="B19" s="24" t="str">
        <x:v>Australia</x:v>
      </x:c>
      <x:c r="C19" s="24" t="str">
        <x:v>EEZ</x:v>
      </x:c>
      <x:c r="D19" s="30" t="n">
        <x:v>2019</x:v>
      </x:c>
      <x:c r="E19" s="24" t="str">
        <x:v>Perciformes</x:v>
      </x:c>
      <x:c r="F19" s="24" t="str">
        <x:v>Perch-likes</x:v>
      </x:c>
      <x:c r="G19" s="24" t="str">
        <x:v>Medium demersals (30 - 89 cm)</x:v>
      </x:c>
      <x:c r="H19" s="24" t="str">
        <x:v>Perch-likes</x:v>
      </x:c>
      <x:c r="I19" s="31" t="n">
        <x:v>2926.3701883409003</x:v>
      </x:c>
      <x:c r="J19" s="31" t="n">
        <x:v>2683.9123285388</x:v>
      </x:c>
      <x:c r="K19" s="31" t="n">
        <x:v>242.4578598021</x:v>
      </x:c>
      <x:c r="L19" s="31" t="n">
        <x:v>1548.4527806915</x:v>
      </x:c>
      <x:c r="M19" s="31" t="n">
        <x:v>1377.9174076494</x:v>
      </x:c>
      <x:c r="N19" s="24" t="str">
        <x:v>perciformes</x:v>
      </x:c>
      <x:c r="O19" s="32" t="n">
        <x:v>3.53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Perciformes</x:v>
      </x:c>
      <x:c r="T19" s="32" t="n">
        <x:f>IF(O19="","",(1/'Metadata'!$B$5)^(O19-1))</x:f>
        <x:v>338.84415613920237</x:v>
      </x:c>
      <x:c r="U19" s="31" t="n">
        <x:f>IF(T19="","",I19*T19)</x:f>
        <x:v>991583.4370192911</x:v>
      </x:c>
    </x:row>
    <x:row r="20" ht="18" customHeight="1">
      <x:c r="A20" s="24" t="str">
        <x:v>EEZ_036</x:v>
      </x:c>
      <x:c r="B20" s="24" t="str">
        <x:v>Australia</x:v>
      </x:c>
      <x:c r="C20" s="24" t="str">
        <x:v>EEZ</x:v>
      </x:c>
      <x:c r="D20" s="30" t="n">
        <x:v>2019</x:v>
      </x:c>
      <x:c r="E20" s="24" t="str">
        <x:v>Arripis trutta</x:v>
      </x:c>
      <x:c r="F20" s="24" t="str">
        <x:v>Australian salmon</x:v>
      </x:c>
      <x:c r="G20" s="24" t="str">
        <x:v>Medium pelagics (30 - 89 cm)</x:v>
      </x:c>
      <x:c r="H20" s="24" t="str">
        <x:v>Perch-likes</x:v>
      </x:c>
      <x:c r="I20" s="31" t="n">
        <x:v>2349.6569064740997</x:v>
      </x:c>
      <x:c r="J20" s="31" t="n">
        <x:v>2349.6569064740997</x:v>
      </x:c>
      <x:c r="K20" s="31" t="n">
        <x:v>0</x:v>
      </x:c>
      <x:c r="L20" s="31" t="n">
        <x:v>1539.2056928923</x:v>
      </x:c>
      <x:c r="M20" s="31" t="n">
        <x:v>810.4512135818</x:v>
      </x:c>
      <x:c r="N20" s="24" t="str">
        <x:v>arripis trutta</x:v>
      </x:c>
      <x:c r="O20" s="32" t="n">
        <x:v>4.07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Arripis trutta</x:v>
      </x:c>
      <x:c r="T20" s="32" t="n">
        <x:f>IF(O20="","",(1/'Metadata'!$B$5)^(O20-1))</x:f>
        <x:v>1174.8975549395302</x:v>
      </x:c>
      <x:c r="U20" s="31" t="n">
        <x:f>IF(T20="","",I20*T20)</x:f>
        <x:v>2760606.1543632</x:v>
      </x:c>
    </x:row>
    <x:row r="21" ht="18" customHeight="1">
      <x:c r="A21" s="24" t="str">
        <x:v>EEZ_036</x:v>
      </x:c>
      <x:c r="B21" s="24" t="str">
        <x:v>Australia</x:v>
      </x:c>
      <x:c r="C21" s="24" t="str">
        <x:v>EEZ</x:v>
      </x:c>
      <x:c r="D21" s="30" t="n">
        <x:v>2019</x:v>
      </x:c>
      <x:c r="E21" s="24" t="str">
        <x:v>Mugilidae</x:v>
      </x:c>
      <x:c r="F21" s="24" t="str">
        <x:v>Mullets, grey mullets</x:v>
      </x:c>
      <x:c r="G21" s="24" t="str">
        <x:v>Medium reef assoc. fish (30 - 89 cm)</x:v>
      </x:c>
      <x:c r="H21" s="24" t="str">
        <x:v>Perch-likes</x:v>
      </x:c>
      <x:c r="I21" s="31" t="n">
        <x:v>2301.2235758182</x:v>
      </x:c>
      <x:c r="J21" s="31" t="n">
        <x:v>2301.2235758182</x:v>
      </x:c>
      <x:c r="K21" s="31" t="n">
        <x:v>0</x:v>
      </x:c>
      <x:c r="L21" s="31" t="n">
        <x:v>1894.7027011554</x:v>
      </x:c>
      <x:c r="M21" s="31" t="n">
        <x:v>406.5208746628</x:v>
      </x:c>
      <x:c r="N21" s="24" t="str">
        <x:v>mugilidae</x:v>
      </x:c>
      <x:c r="O21" s="32" t="n">
        <x:v>2.53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Mugilidae</x:v>
      </x:c>
      <x:c r="T21" s="32" t="n">
        <x:f>IF(O21="","",(1/'Metadata'!$B$5)^(O21-1))</x:f>
        <x:v>33.88441561392024</x:v>
      </x:c>
      <x:c r="U21" s="31" t="n">
        <x:f>IF(T21="","",I21*T21)</x:f>
        <x:v>77975.61606357558</x:v>
      </x:c>
    </x:row>
    <x:row r="22" ht="18" customHeight="1">
      <x:c r="A22" s="24" t="str">
        <x:v>EEZ_036</x:v>
      </x:c>
      <x:c r="B22" s="24" t="str">
        <x:v>Australia</x:v>
      </x:c>
      <x:c r="C22" s="24" t="str">
        <x:v>EEZ</x:v>
      </x:c>
      <x:c r="D22" s="30" t="n">
        <x:v>2019</x:v>
      </x:c>
      <x:c r="E22" s="24" t="str">
        <x:v>Prionace glauca</x:v>
      </x:c>
      <x:c r="F22" s="24" t="str">
        <x:v>Blue shark</x:v>
      </x:c>
      <x:c r="G22" s="24" t="str">
        <x:v>Large sharks (&gt;=90 cm)</x:v>
      </x:c>
      <x:c r="H22" s="24" t="str">
        <x:v>Sharks &amp; rays</x:v>
      </x:c>
      <x:c r="I22" s="31" t="n">
        <x:v>2038.7600637710998</x:v>
      </x:c>
      <x:c r="J22" s="31" t="n">
        <x:v>872.4155560884</x:v>
      </x:c>
      <x:c r="K22" s="31" t="n">
        <x:v>1166.3445076827</x:v>
      </x:c>
      <x:c r="L22" s="31" t="n">
        <x:v>822.7254721334</x:v>
      </x:c>
      <x:c r="M22" s="31" t="n">
        <x:v>1216.0345916377</x:v>
      </x:c>
      <x:c r="N22" s="24" t="str">
        <x:v>prionace glauca</x:v>
      </x:c>
      <x:c r="O22" s="32" t="n">
        <x:v>4.35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Prionace glauca</x:v>
      </x:c>
      <x:c r="T22" s="32" t="n">
        <x:f>IF(O22="","",(1/'Metadata'!$B$5)^(O22-1))</x:f>
        <x:v>2238.7211385683377</x:v>
      </x:c>
      <x:c r="U22" s="31" t="n">
        <x:f>IF(T22="","",I22*T22)</x:f>
        <x:v>4564215.251233294</x:v>
      </x:c>
    </x:row>
    <x:row r="23" ht="18" customHeight="1">
      <x:c r="A23" s="24" t="str">
        <x:v>EEZ_036</x:v>
      </x:c>
      <x:c r="B23" s="24" t="str">
        <x:v>Australia</x:v>
      </x:c>
      <x:c r="C23" s="24" t="str">
        <x:v>EEZ</x:v>
      </x:c>
      <x:c r="D23" s="30" t="n">
        <x:v>2019</x:v>
      </x:c>
      <x:c r="E23" s="24" t="str">
        <x:v>Melicertus plebejus</x:v>
      </x:c>
      <x:c r="F23" s="24" t="str">
        <x:v>Eastern king prawn</x:v>
      </x:c>
      <x:c r="G23" s="24" t="str">
        <x:v>Shrimps</x:v>
      </x:c>
      <x:c r="H23" s="24" t="str">
        <x:v>Crustaceans</x:v>
      </x:c>
      <x:c r="I23" s="31" t="n">
        <x:v>1963.8040276586</x:v>
      </x:c>
      <x:c r="J23" s="31" t="n">
        <x:v>1963.8040276586</x:v>
      </x:c>
      <x:c r="K23" s="31" t="n">
        <x:v>0</x:v>
      </x:c>
      <x:c r="L23" s="31" t="n">
        <x:v>1963.8040276586</x:v>
      </x:c>
      <x:c r="M23" s="31" t="n">
        <x:v>0</x:v>
      </x:c>
      <x:c r="N23" s="24" t="str">
        <x:v>melicertus plebejus</x:v>
      </x:c>
      <x:c r="O23" s="32" t="n">
        <x:v>3.655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Melicertus plebejus</x:v>
      </x:c>
      <x:c r="T23" s="32" t="n">
        <x:f>IF(O23="","",(1/'Metadata'!$B$5)^(O23-1))</x:f>
        <x:v>451.85594437492216</x:v>
      </x:c>
      <x:c r="U23" s="31" t="n">
        <x:f>IF(T23="","",I23*T23)</x:f>
        <x:v>887356.5234849525</x:v>
      </x:c>
    </x:row>
    <x:row r="24" ht="18" customHeight="1">
      <x:c r="A24" s="24" t="str">
        <x:v>EEZ_036</x:v>
      </x:c>
      <x:c r="B24" s="24" t="str">
        <x:v>Australia</x:v>
      </x:c>
      <x:c r="C24" s="24" t="str">
        <x:v>EEZ</x:v>
      </x:c>
      <x:c r="D24" s="30" t="n">
        <x:v>2019</x:v>
      </x:c>
      <x:c r="E24" s="24" t="str">
        <x:v>Scomberomorus commerson</x:v>
      </x:c>
      <x:c r="F24" s="24" t="str">
        <x:v>Narrow-barred Spanish mackerel</x:v>
      </x:c>
      <x:c r="G24" s="24" t="str">
        <x:v>Large pelagics (&gt;=90 cm)</x:v>
      </x:c>
      <x:c r="H24" s="24" t="str">
        <x:v>Perch-likes</x:v>
      </x:c>
      <x:c r="I24" s="31" t="n">
        <x:v>1849.5726045865001</x:v>
      </x:c>
      <x:c r="J24" s="31" t="n">
        <x:v>1849.5726045865001</x:v>
      </x:c>
      <x:c r="K24" s="31" t="n">
        <x:v>0</x:v>
      </x:c>
      <x:c r="L24" s="31" t="n">
        <x:v>1023.1606097997</x:v>
      </x:c>
      <x:c r="M24" s="31" t="n">
        <x:v>826.4119947868</x:v>
      </x:c>
      <x:c r="N24" s="24" t="str">
        <x:v>scomberomorus commerson</x:v>
      </x:c>
      <x:c r="O24" s="32" t="n">
        <x:v>4.5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Scomberomorus commerson</x:v>
      </x:c>
      <x:c r="T24" s="32" t="n">
        <x:f>IF(O24="","",(1/'Metadata'!$B$5)^(O24-1))</x:f>
        <x:v>3162.2776601683795</x:v>
      </x:c>
      <x:c r="U24" s="31" t="n">
        <x:f>IF(T24="","",I24*T24)</x:f>
        <x:v>5848862.128343333</x:v>
      </x:c>
    </x:row>
    <x:row r="25" ht="18" customHeight="1">
      <x:c r="A25" s="24" t="str">
        <x:v>EEZ_036</x:v>
      </x:c>
      <x:c r="B25" s="24" t="str">
        <x:v>Australia</x:v>
      </x:c>
      <x:c r="C25" s="24" t="str">
        <x:v>EEZ</x:v>
      </x:c>
      <x:c r="D25" s="30" t="n">
        <x:v>2019</x:v>
      </x:c>
      <x:c r="E25" s="24" t="str">
        <x:v>Metapenaeus</x:v>
      </x:c>
      <x:c r="F25" s="24" t="str">
        <x:v>Indo-Pacific prawns</x:v>
      </x:c>
      <x:c r="G25" s="24" t="str">
        <x:v>Shrimps</x:v>
      </x:c>
      <x:c r="H25" s="24" t="str">
        <x:v>Crustaceans</x:v>
      </x:c>
      <x:c r="I25" s="31" t="n">
        <x:v>1801.9694160225</x:v>
      </x:c>
      <x:c r="J25" s="31" t="n">
        <x:v>1782.7418217743</x:v>
      </x:c>
      <x:c r="K25" s="31" t="n">
        <x:v>19.2275942482</x:v>
      </x:c>
      <x:c r="L25" s="31" t="n">
        <x:v>1782.7418217743</x:v>
      </x:c>
      <x:c r="M25" s="31" t="n">
        <x:v>19.2275942482</x:v>
      </x:c>
      <x:c r="N25" s="24" t="str">
        <x:v>metapenaeus</x:v>
      </x:c>
      <x:c r="O25" s="32" t="n">
        <x:v>2.7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Metapenaeus</x:v>
      </x:c>
      <x:c r="T25" s="32" t="n">
        <x:f>IF(O25="","",(1/'Metadata'!$B$5)^(O25-1))</x:f>
        <x:v>50.11872336272725</x:v>
      </x:c>
      <x:c r="U25" s="31" t="n">
        <x:f>IF(T25="","",I25*T25)</x:f>
        <x:v>90312.40666972684</x:v>
      </x:c>
    </x:row>
    <x:row r="26" ht="18" customHeight="1">
      <x:c r="A26" s="24" t="str">
        <x:v>EEZ_036</x:v>
      </x:c>
      <x:c r="B26" s="24" t="str">
        <x:v>Australia</x:v>
      </x:c>
      <x:c r="C26" s="24" t="str">
        <x:v>EEZ</x:v>
      </x:c>
      <x:c r="D26" s="30" t="n">
        <x:v>2019</x:v>
      </x:c>
      <x:c r="E26" s="24" t="str">
        <x:v>Lutjanus malabaricus</x:v>
      </x:c>
      <x:c r="F26" s="24" t="str">
        <x:v>Malabar blood snapper</x:v>
      </x:c>
      <x:c r="G26" s="24" t="str">
        <x:v>Medium reef assoc. fish (30 - 89 cm)</x:v>
      </x:c>
      <x:c r="H26" s="24" t="str">
        <x:v>Perch-likes</x:v>
      </x:c>
      <x:c r="I26" s="31" t="n">
        <x:v>1776.4060828800998</x:v>
      </x:c>
      <x:c r="J26" s="31" t="n">
        <x:v>1776.4060828800998</x:v>
      </x:c>
      <x:c r="K26" s="31" t="n">
        <x:v>0</x:v>
      </x:c>
      <x:c r="L26" s="31" t="n">
        <x:v>1735.0523317872999</x:v>
      </x:c>
      <x:c r="M26" s="31" t="n">
        <x:v>41.3537510928</x:v>
      </x:c>
      <x:c r="N26" s="24" t="str">
        <x:v>lutjanus malabaricus</x:v>
      </x:c>
      <x:c r="O26" s="32" t="n">
        <x:v>4.48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Lutjanus malabaricus</x:v>
      </x:c>
      <x:c r="T26" s="32" t="n">
        <x:f>IF(O26="","",(1/'Metadata'!$B$5)^(O26-1))</x:f>
        <x:v>3019.951720402019</x:v>
      </x:c>
      <x:c r="U26" s="31" t="n">
        <x:f>IF(T26="","",I26*T26)</x:f>
        <x:v>5364660.606126369</x:v>
      </x:c>
    </x:row>
    <x:row r="27" ht="18" customHeight="1">
      <x:c r="A27" s="24" t="str">
        <x:v>EEZ_036</x:v>
      </x:c>
      <x:c r="B27" s="24" t="str">
        <x:v>Australia</x:v>
      </x:c>
      <x:c r="C27" s="24" t="str">
        <x:v>EEZ</x:v>
      </x:c>
      <x:c r="D27" s="30" t="n">
        <x:v>2019</x:v>
      </x:c>
      <x:c r="E27" s="24" t="str">
        <x:v>Haliotis</x:v>
      </x:c>
      <x:c r="F27" s="24" t="str">
        <x:v>Abalones</x:v>
      </x:c>
      <x:c r="G27" s="24" t="str">
        <x:v>Other demersal invertebrates</x:v>
      </x:c>
      <x:c r="H27" s="24" t="str">
        <x:v>Molluscs</x:v>
      </x:c>
      <x:c r="I27" s="31" t="n">
        <x:v>1754.3353042817998</x:v>
      </x:c>
      <x:c r="J27" s="31" t="n">
        <x:v>1754.3353042817998</x:v>
      </x:c>
      <x:c r="K27" s="31" t="n">
        <x:v>0</x:v>
      </x:c>
      <x:c r="L27" s="31" t="n">
        <x:v>1743.2977372579999</x:v>
      </x:c>
      <x:c r="M27" s="31" t="n">
        <x:v>11.0375670238</x:v>
      </x:c>
      <x:c r="N27" s="24" t="str">
        <x:v>haliotis</x:v>
      </x:c>
      <x:c r="O27" s="32" t="n">
        <x:v>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Haliotis</x:v>
      </x:c>
      <x:c r="T27" s="32" t="n">
        <x:f>IF(O27="","",(1/'Metadata'!$B$5)^(O27-1))</x:f>
        <x:v>10</x:v>
      </x:c>
      <x:c r="U27" s="31" t="n">
        <x:f>IF(T27="","",I27*T27)</x:f>
        <x:v>17543.353042818</x:v>
      </x:c>
    </x:row>
    <x:row r="28" ht="18" customHeight="1">
      <x:c r="A28" s="24" t="str">
        <x:v>EEZ_036</x:v>
      </x:c>
      <x:c r="B28" s="24" t="str">
        <x:v>Australia</x:v>
      </x:c>
      <x:c r="C28" s="24" t="str">
        <x:v>EEZ</x:v>
      </x:c>
      <x:c r="D28" s="30" t="n">
        <x:v>2019</x:v>
      </x:c>
      <x:c r="E28" s="24" t="str">
        <x:v>Macruronus novaezelandiae</x:v>
      </x:c>
      <x:c r="F28" s="24" t="str">
        <x:v>Blue grenadier</x:v>
      </x:c>
      <x:c r="G28" s="24" t="str">
        <x:v>Large demersals (&gt;=90 cm)</x:v>
      </x:c>
      <x:c r="H28" s="24" t="str">
        <x:v>Cod-likes</x:v>
      </x:c>
      <x:c r="I28" s="31" t="n">
        <x:v>1739.4564700874</x:v>
      </x:c>
      <x:c r="J28" s="31" t="n">
        <x:v>1522.0942488639</x:v>
      </x:c>
      <x:c r="K28" s="31" t="n">
        <x:v>217.3622212235</x:v>
      </x:c>
      <x:c r="L28" s="31" t="n">
        <x:v>1522.0942488639</x:v>
      </x:c>
      <x:c r="M28" s="31" t="n">
        <x:v>217.3622212235</x:v>
      </x:c>
      <x:c r="N28" s="24" t="str">
        <x:v>macruronus novaezelandiae</x:v>
      </x:c>
      <x:c r="O28" s="32" t="n">
        <x:v>4.53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Macruronus novaezelandiae</x:v>
      </x:c>
      <x:c r="T28" s="32" t="n">
        <x:f>IF(O28="","",(1/'Metadata'!$B$5)^(O28-1))</x:f>
        <x:v>3388.4415613920273</x:v>
      </x:c>
      <x:c r="U28" s="31" t="n">
        <x:f>IF(T28="","",I28*T28)</x:f>
        <x:v>5894046.597476414</x:v>
      </x:c>
    </x:row>
    <x:row r="29" ht="18" customHeight="1">
      <x:c r="A29" s="24" t="str">
        <x:v>EEZ_036</x:v>
      </x:c>
      <x:c r="B29" s="24" t="str">
        <x:v>Australia</x:v>
      </x:c>
      <x:c r="C29" s="24" t="str">
        <x:v>EEZ</x:v>
      </x:c>
      <x:c r="D29" s="30" t="n">
        <x:v>2019</x:v>
      </x:c>
      <x:c r="E29" s="24" t="str">
        <x:v>Sillaginidae</x:v>
      </x:c>
      <x:c r="F29" s="24" t="str">
        <x:v>Smelt-whitings</x:v>
      </x:c>
      <x:c r="G29" s="24" t="str">
        <x:v>Medium demersals (30 - 89 cm)</x:v>
      </x:c>
      <x:c r="H29" s="24" t="str">
        <x:v>Perch-likes</x:v>
      </x:c>
      <x:c r="I29" s="31" t="n">
        <x:v>1685.758346521</x:v>
      </x:c>
      <x:c r="J29" s="31" t="n">
        <x:v>1685.758346521</x:v>
      </x:c>
      <x:c r="K29" s="31" t="n">
        <x:v>0</x:v>
      </x:c>
      <x:c r="L29" s="31" t="n">
        <x:v>806.4941242339999</x:v>
      </x:c>
      <x:c r="M29" s="31" t="n">
        <x:v>879.264222287</x:v>
      </x:c>
      <x:c r="N29" s="24" t="str">
        <x:v>sillaginidae</x:v>
      </x:c>
      <x:c r="O29" s="32" t="n">
        <x:v>3.25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Sillaginidae</x:v>
      </x:c>
      <x:c r="T29" s="32" t="n">
        <x:f>IF(O29="","",(1/'Metadata'!$B$5)^(O29-1))</x:f>
        <x:v>177.82794100389228</x:v>
      </x:c>
      <x:c r="U29" s="31" t="n">
        <x:f>IF(T29="","",I29*T29)</x:f>
        <x:v>299774.9357919554</x:v>
      </x:c>
    </x:row>
    <x:row r="30" ht="18" customHeight="1">
      <x:c r="A30" s="24" t="str">
        <x:v>EEZ_036</x:v>
      </x:c>
      <x:c r="B30" s="24" t="str">
        <x:v>Australia</x:v>
      </x:c>
      <x:c r="C30" s="24" t="str">
        <x:v>EEZ</x:v>
      </x:c>
      <x:c r="D30" s="30" t="n">
        <x:v>2019</x:v>
      </x:c>
      <x:c r="E30" s="24" t="str">
        <x:v>Scombridae</x:v>
      </x:c>
      <x:c r="F30" s="24" t="str">
        <x:v>Mackerels, tunas, bonitos</x:v>
      </x:c>
      <x:c r="G30" s="24" t="str">
        <x:v>Medium pelagics (30 - 89 cm)</x:v>
      </x:c>
      <x:c r="H30" s="24" t="str">
        <x:v>Perch-likes</x:v>
      </x:c>
      <x:c r="I30" s="31" t="n">
        <x:v>1567.9449390623</x:v>
      </x:c>
      <x:c r="J30" s="31" t="n">
        <x:v>1455.6982292865</x:v>
      </x:c>
      <x:c r="K30" s="31" t="n">
        <x:v>112.2467097758</x:v>
      </x:c>
      <x:c r="L30" s="31" t="n">
        <x:v>683.9198054752</x:v>
      </x:c>
      <x:c r="M30" s="31" t="n">
        <x:v>884.0251335871001</x:v>
      </x:c>
      <x:c r="N30" s="24" t="str">
        <x:v>scombridae</x:v>
      </x:c>
      <x:c r="O30" s="32" t="n">
        <x:v>4.26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Scombridae</x:v>
      </x:c>
      <x:c r="T30" s="32" t="n">
        <x:f>IF(O30="","",(1/'Metadata'!$B$5)^(O30-1))</x:f>
        <x:v>1819.7008586099826</x:v>
      </x:c>
      <x:c r="U30" s="31" t="n">
        <x:f>IF(T30="","",I30*T30)</x:f>
        <x:v>2853190.751864844</x:v>
      </x:c>
    </x:row>
    <x:row r="31" ht="18" customHeight="1">
      <x:c r="A31" s="24" t="str">
        <x:v>EEZ_036</x:v>
      </x:c>
      <x:c r="B31" s="24" t="str">
        <x:v>Australia</x:v>
      </x:c>
      <x:c r="C31" s="24" t="str">
        <x:v>EEZ</x:v>
      </x:c>
      <x:c r="D31" s="30" t="n">
        <x:v>2019</x:v>
      </x:c>
      <x:c r="E31" s="24" t="str">
        <x:v>Scylla</x:v>
      </x:c>
      <x:c r="F31" s="24" t="str">
        <x:v>Mud crabs</x:v>
      </x:c>
      <x:c r="G31" s="24" t="str">
        <x:v>Lobsters, crabs</x:v>
      </x:c>
      <x:c r="H31" s="24" t="str">
        <x:v>Crustaceans</x:v>
      </x:c>
      <x:c r="I31" s="31" t="n">
        <x:v>1462.0537946011</x:v>
      </x:c>
      <x:c r="J31" s="31" t="n">
        <x:v>1462.0537946011</x:v>
      </x:c>
      <x:c r="K31" s="31" t="n">
        <x:v>0</x:v>
      </x:c>
      <x:c r="L31" s="31" t="n">
        <x:v>857.5618457574</x:v>
      </x:c>
      <x:c r="M31" s="31" t="n">
        <x:v>604.4919488437</x:v>
      </x:c>
      <x:c r="N31" s="24" t="str">
        <x:v>scylla</x:v>
      </x:c>
      <x:c r="O31" s="32" t="n">
        <x:v>3.17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Scylla</x:v>
      </x:c>
      <x:c r="T31" s="32" t="n">
        <x:f>IF(O31="","",(1/'Metadata'!$B$5)^(O31-1))</x:f>
        <x:v>147.91083881682073</x:v>
      </x:c>
      <x:c r="U31" s="31" t="n">
        <x:f>IF(T31="","",I31*T31)</x:f>
        <x:v>216253.60315476442</x:v>
      </x:c>
    </x:row>
    <x:row r="32" ht="18" customHeight="1">
      <x:c r="A32" s="24" t="str">
        <x:v>EEZ_036</x:v>
      </x:c>
      <x:c r="B32" s="24" t="str">
        <x:v>Australia</x:v>
      </x:c>
      <x:c r="C32" s="24" t="str">
        <x:v>EEZ</x:v>
      </x:c>
      <x:c r="D32" s="30" t="n">
        <x:v>2019</x:v>
      </x:c>
      <x:c r="E32" s="24" t="str">
        <x:v>Monacanthidae</x:v>
      </x:c>
      <x:c r="F32" s="24" t="str">
        <x:v>Filefishes</x:v>
      </x:c>
      <x:c r="G32" s="24" t="str">
        <x:v>Medium reef assoc. fish (30 - 89 cm)</x:v>
      </x:c>
      <x:c r="H32" s="24" t="str">
        <x:v>Other fishes &amp; inverts</x:v>
      </x:c>
      <x:c r="I32" s="31" t="n">
        <x:v>1403.7024126457</x:v>
      </x:c>
      <x:c r="J32" s="31" t="n">
        <x:v>913.5456364606</x:v>
      </x:c>
      <x:c r="K32" s="31" t="n">
        <x:v>490.1567761851</x:v>
      </x:c>
      <x:c r="L32" s="31" t="n">
        <x:v>743.0221727766</x:v>
      </x:c>
      <x:c r="M32" s="31" t="n">
        <x:v>660.6802398691</x:v>
      </x:c>
      <x:c r="N32" s="24" t="str">
        <x:v>monacanthidae</x:v>
      </x:c>
      <x:c r="O32" s="32" t="n">
        <x:v>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Monacanthidae</x:v>
      </x:c>
      <x:c r="T32" s="32" t="n">
        <x:f>IF(O32="","",(1/'Metadata'!$B$5)^(O32-1))</x:f>
        <x:v>100</x:v>
      </x:c>
      <x:c r="U32" s="31" t="n">
        <x:f>IF(T32="","",I32*T32)</x:f>
        <x:v>140370.24126456998</x:v>
      </x:c>
    </x:row>
    <x:row r="33" ht="18" customHeight="1">
      <x:c r="A33" s="24" t="str">
        <x:v>EEZ_036</x:v>
      </x:c>
      <x:c r="B33" s="24" t="str">
        <x:v>Australia</x:v>
      </x:c>
      <x:c r="C33" s="24" t="str">
        <x:v>EEZ</x:v>
      </x:c>
      <x:c r="D33" s="30" t="n">
        <x:v>2019</x:v>
      </x:c>
      <x:c r="E33" s="24" t="str">
        <x:v>Serranidae</x:v>
      </x:c>
      <x:c r="F33" s="24" t="str">
        <x:v>Basses, groupers, hinds</x:v>
      </x:c>
      <x:c r="G33" s="24" t="str">
        <x:v>Medium reef assoc. fish (30 - 89 cm)</x:v>
      </x:c>
      <x:c r="H33" s="24" t="str">
        <x:v>Perch-likes</x:v>
      </x:c>
      <x:c r="I33" s="31" t="n">
        <x:v>1397.278089683</x:v>
      </x:c>
      <x:c r="J33" s="31" t="n">
        <x:v>1396.433899799</x:v>
      </x:c>
      <x:c r="K33" s="31" t="n">
        <x:v>0.844189884</x:v>
      </x:c>
      <x:c r="L33" s="31" t="n">
        <x:v>54.3598089817</x:v>
      </x:c>
      <x:c r="M33" s="31" t="n">
        <x:v>1342.9182807013</x:v>
      </x:c>
      <x:c r="N33" s="24" t="str">
        <x:v>serranidae</x:v>
      </x:c>
      <x:c r="O33" s="32" t="n">
        <x:v>3.98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Serranidae</x:v>
      </x:c>
      <x:c r="T33" s="32" t="n">
        <x:f>IF(O33="","",(1/'Metadata'!$B$5)^(O33-1))</x:f>
        <x:v>954.992586021436</x:v>
      </x:c>
      <x:c r="U33" s="31" t="n">
        <x:f>IF(T33="","",I33*T33)</x:f>
        <x:v>1334390.21625746</x:v>
      </x:c>
    </x:row>
    <x:row r="34" ht="18" customHeight="1">
      <x:c r="A34" s="24" t="str">
        <x:v>EEZ_036</x:v>
      </x:c>
      <x:c r="B34" s="24" t="str">
        <x:v>Australia</x:v>
      </x:c>
      <x:c r="C34" s="24" t="str">
        <x:v>EEZ</x:v>
      </x:c>
      <x:c r="D34" s="30" t="n">
        <x:v>2019</x:v>
      </x:c>
      <x:c r="E34" s="24" t="str">
        <x:v>Lutjanus</x:v>
      </x:c>
      <x:c r="F34" s="24" t="str">
        <x:v>Snappers</x:v>
      </x:c>
      <x:c r="G34" s="24" t="str">
        <x:v>Medium reef assoc. fish (30 - 89 cm)</x:v>
      </x:c>
      <x:c r="H34" s="24" t="str">
        <x:v>Perch-likes</x:v>
      </x:c>
      <x:c r="I34" s="31" t="n">
        <x:v>1326.8457124564002</x:v>
      </x:c>
      <x:c r="J34" s="31" t="n">
        <x:v>1326.8457124564002</x:v>
      </x:c>
      <x:c r="K34" s="31" t="n">
        <x:v>0</x:v>
      </x:c>
      <x:c r="L34" s="31" t="n">
        <x:v>530.7116195395</x:v>
      </x:c>
      <x:c r="M34" s="31" t="n">
        <x:v>796.1340929169</x:v>
      </x:c>
      <x:c r="N34" s="24" t="str">
        <x:v>lutjanus</x:v>
      </x:c>
      <x:c r="O34" s="32" t="n">
        <x:v>4.02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Lutjanus</x:v>
      </x:c>
      <x:c r="T34" s="32" t="n">
        <x:f>IF(O34="","",(1/'Metadata'!$B$5)^(O34-1))</x:f>
        <x:v>1047.1285480508984</x:v>
      </x:c>
      <x:c r="U34" s="31" t="n">
        <x:f>IF(T34="","",I34*T34)</x:f>
        <x:v>1389378.0243720303</x:v>
      </x:c>
    </x:row>
    <x:row r="35" ht="18" customHeight="1">
      <x:c r="A35" s="24" t="str">
        <x:v>EEZ_036</x:v>
      </x:c>
      <x:c r="B35" s="24" t="str">
        <x:v>Australia</x:v>
      </x:c>
      <x:c r="C35" s="24" t="str">
        <x:v>EEZ</x:v>
      </x:c>
      <x:c r="D35" s="30" t="n">
        <x:v>2019</x:v>
      </x:c>
      <x:c r="E35" s="24" t="str">
        <x:v>Thunnus alalunga</x:v>
      </x:c>
      <x:c r="F35" s="24" t="str">
        <x:v>Albacore</x:v>
      </x:c>
      <x:c r="G35" s="24" t="str">
        <x:v>Large pelagics (&gt;=90 cm)</x:v>
      </x:c>
      <x:c r="H35" s="24" t="str">
        <x:v>Tuna &amp; billfishes</x:v>
      </x:c>
      <x:c r="I35" s="31" t="n">
        <x:v>1316.4541267477</x:v>
      </x:c>
      <x:c r="J35" s="31" t="n">
        <x:v>1316.4461755519</x:v>
      </x:c>
      <x:c r="K35" s="31" t="n">
        <x:v>0.0079511958</x:v>
      </x:c>
      <x:c r="L35" s="31" t="n">
        <x:v>1316.4388236493</x:v>
      </x:c>
      <x:c r="M35" s="31" t="n">
        <x:v>0.0153030984</x:v>
      </x:c>
      <x:c r="N35" s="24" t="str">
        <x:v>thunnus alalunga</x:v>
      </x:c>
      <x:c r="O35" s="32" t="n">
        <x:v>4.3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Thunnus alalunga</x:v>
      </x:c>
      <x:c r="T35" s="32" t="n">
        <x:f>IF(O35="","",(1/'Metadata'!$B$5)^(O35-1))</x:f>
        <x:v>1995.2623149688789</x:v>
      </x:c>
      <x:c r="U35" s="31" t="n">
        <x:f>IF(T35="","",I35*T35)</x:f>
        <x:v>2626671.3084849496</x:v>
      </x:c>
    </x:row>
    <x:row r="36" ht="18" customHeight="1">
      <x:c r="A36" s="24" t="str">
        <x:v>EEZ_036</x:v>
      </x:c>
      <x:c r="B36" s="24" t="str">
        <x:v>Australia</x:v>
      </x:c>
      <x:c r="C36" s="24" t="str">
        <x:v>EEZ</x:v>
      </x:c>
      <x:c r="D36" s="30" t="n">
        <x:v>2019</x:v>
      </x:c>
      <x:c r="E36" s="24" t="str">
        <x:v>Carangidae</x:v>
      </x:c>
      <x:c r="F36" s="24" t="str">
        <x:v>Jacks, pompanos</x:v>
      </x:c>
      <x:c r="G36" s="24" t="str">
        <x:v>Medium pelagics (30 - 89 cm)</x:v>
      </x:c>
      <x:c r="H36" s="24" t="str">
        <x:v>Perch-likes</x:v>
      </x:c>
      <x:c r="I36" s="31" t="n">
        <x:v>1308.3128819738001</x:v>
      </x:c>
      <x:c r="J36" s="31" t="n">
        <x:v>1142.2193284329</x:v>
      </x:c>
      <x:c r="K36" s="31" t="n">
        <x:v>166.0935535409</x:v>
      </x:c>
      <x:c r="L36" s="31" t="n">
        <x:v>541.2949281437</x:v>
      </x:c>
      <x:c r="M36" s="31" t="n">
        <x:v>767.0179538300999</x:v>
      </x:c>
      <x:c r="N36" s="24" t="str">
        <x:v>carangidae</x:v>
      </x:c>
      <x:c r="O36" s="32" t="n">
        <x:v>4.05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Carangidae</x:v>
      </x:c>
      <x:c r="T36" s="32" t="n">
        <x:f>IF(O36="","",(1/'Metadata'!$B$5)^(O36-1))</x:f>
        <x:v>1122.018454301963</x:v>
      </x:c>
      <x:c r="U36" s="31" t="n">
        <x:f>IF(T36="","",I36*T36)</x:f>
        <x:v>1467951.1975755896</x:v>
      </x:c>
    </x:row>
    <x:row r="37" ht="18" customHeight="1">
      <x:c r="A37" s="24" t="str">
        <x:v>EEZ_036</x:v>
      </x:c>
      <x:c r="B37" s="24" t="str">
        <x:v>Australia</x:v>
      </x:c>
      <x:c r="C37" s="24" t="str">
        <x:v>EEZ</x:v>
      </x:c>
      <x:c r="D37" s="30" t="n">
        <x:v>2019</x:v>
      </x:c>
      <x:c r="E37" s="24" t="str">
        <x:v>Haliotidae</x:v>
      </x:c>
      <x:c r="F37" s="24" t="str">
        <x:v>Abalones, ear shells</x:v>
      </x:c>
      <x:c r="G37" s="24" t="str">
        <x:v>Other demersal invertebrates</x:v>
      </x:c>
      <x:c r="H37" s="24" t="str">
        <x:v>Molluscs</x:v>
      </x:c>
      <x:c r="I37" s="31" t="n">
        <x:v>1302.4843716517</x:v>
      </x:c>
      <x:c r="J37" s="31" t="n">
        <x:v>1302.4843716517</x:v>
      </x:c>
      <x:c r="K37" s="31" t="n">
        <x:v>0</x:v>
      </x:c>
      <x:c r="L37" s="31" t="n">
        <x:v>1272.1206618894998</x:v>
      </x:c>
      <x:c r="M37" s="31" t="n">
        <x:v>30.3637097622</x:v>
      </x:c>
      <x:c r="N37" s="24" t="str">
        <x:v>haliotidae</x:v>
      </x:c>
      <x:c r="O37" s="32" t="n">
        <x:v>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Haliotidae</x:v>
      </x:c>
      <x:c r="T37" s="32" t="n">
        <x:f>IF(O37="","",(1/'Metadata'!$B$5)^(O37-1))</x:f>
        <x:v>10</x:v>
      </x:c>
      <x:c r="U37" s="31" t="n">
        <x:f>IF(T37="","",I37*T37)</x:f>
        <x:v>13024.843716517</x:v>
      </x:c>
    </x:row>
    <x:row r="38" ht="18" customHeight="1">
      <x:c r="A38" s="24" t="str">
        <x:v>EEZ_036</x:v>
      </x:c>
      <x:c r="B38" s="24" t="str">
        <x:v>Australia</x:v>
      </x:c>
      <x:c r="C38" s="24" t="str">
        <x:v>EEZ</x:v>
      </x:c>
      <x:c r="D38" s="30" t="n">
        <x:v>2019</x:v>
      </x:c>
      <x:c r="E38" s="24" t="str">
        <x:v>Portunus</x:v>
      </x:c>
      <x:c r="F38" s="24" t="str">
        <x:v>Swimmer crabs</x:v>
      </x:c>
      <x:c r="G38" s="24" t="str">
        <x:v>Lobsters, crabs</x:v>
      </x:c>
      <x:c r="H38" s="24" t="str">
        <x:v>Crustaceans</x:v>
      </x:c>
      <x:c r="I38" s="31" t="n">
        <x:v>1280.9645260011</x:v>
      </x:c>
      <x:c r="J38" s="31" t="n">
        <x:v>1186.0037544088</x:v>
      </x:c>
      <x:c r="K38" s="31" t="n">
        <x:v>94.9607715923</x:v>
      </x:c>
      <x:c r="L38" s="31" t="n">
        <x:v>645.319222471</x:v>
      </x:c>
      <x:c r="M38" s="31" t="n">
        <x:v>635.6453035301</x:v>
      </x:c>
      <x:c r="N38" s="24" t="str">
        <x:v>portunus</x:v>
      </x:c>
      <x:c r="O38" s="32" t="n">
        <x:v>3.26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Portunus</x:v>
      </x:c>
      <x:c r="T38" s="32" t="n">
        <x:f>IF(O38="","",(1/'Metadata'!$B$5)^(O38-1))</x:f>
        <x:v>181.97008586099827</x:v>
      </x:c>
      <x:c r="U38" s="31" t="n">
        <x:f>IF(T38="","",I38*T38)</x:f>
        <x:v>233097.22478131313</x:v>
      </x:c>
    </x:row>
    <x:row r="39" ht="18" customHeight="1">
      <x:c r="A39" s="24" t="str">
        <x:v>EEZ_036</x:v>
      </x:c>
      <x:c r="B39" s="24" t="str">
        <x:v>Australia</x:v>
      </x:c>
      <x:c r="C39" s="24" t="str">
        <x:v>EEZ</x:v>
      </x:c>
      <x:c r="D39" s="30" t="n">
        <x:v>2019</x:v>
      </x:c>
      <x:c r="E39" s="24" t="str">
        <x:v>Pomatomus saltatrix</x:v>
      </x:c>
      <x:c r="F39" s="24" t="str">
        <x:v>Bluefish</x:v>
      </x:c>
      <x:c r="G39" s="24" t="str">
        <x:v>Large pelagics (&gt;=90 cm)</x:v>
      </x:c>
      <x:c r="H39" s="24" t="str">
        <x:v>Perch-likes</x:v>
      </x:c>
      <x:c r="I39" s="31" t="n">
        <x:v>1185.3846012115</x:v>
      </x:c>
      <x:c r="J39" s="31" t="n">
        <x:v>1181.272379361</x:v>
      </x:c>
      <x:c r="K39" s="31" t="n">
        <x:v>4.1122218505</x:v>
      </x:c>
      <x:c r="L39" s="31" t="n">
        <x:v>681.8711554985</x:v>
      </x:c>
      <x:c r="M39" s="31" t="n">
        <x:v>503.51344571299995</x:v>
      </x:c>
      <x:c r="N39" s="24" t="str">
        <x:v>pomatomus saltatrix</x:v>
      </x:c>
      <x:c r="O39" s="32" t="n">
        <x:v>4.53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Pomatomus saltatrix</x:v>
      </x:c>
      <x:c r="T39" s="32" t="n">
        <x:f>IF(O39="","",(1/'Metadata'!$B$5)^(O39-1))</x:f>
        <x:v>3388.4415613920273</x:v>
      </x:c>
      <x:c r="U39" s="31" t="n">
        <x:f>IF(T39="","",I39*T39)</x:f>
        <x:v>4016606.4489791607</x:v>
      </x:c>
    </x:row>
    <x:row r="40" ht="18" customHeight="1">
      <x:c r="A40" s="24" t="str">
        <x:v>EEZ_036</x:v>
      </x:c>
      <x:c r="B40" s="24" t="str">
        <x:v>Australia</x:v>
      </x:c>
      <x:c r="C40" s="24" t="str">
        <x:v>EEZ</x:v>
      </x:c>
      <x:c r="D40" s="30" t="n">
        <x:v>2019</x:v>
      </x:c>
      <x:c r="E40" s="24" t="str">
        <x:v>Centroberyx affinis</x:v>
      </x:c>
      <x:c r="F40" s="24" t="str">
        <x:v>Redfish</x:v>
      </x:c>
      <x:c r="G40" s="24" t="str">
        <x:v>Medium benthopelagics (30 - 89 cm)</x:v>
      </x:c>
      <x:c r="H40" s="24" t="str">
        <x:v>Other fishes &amp; inverts</x:v>
      </x:c>
      <x:c r="I40" s="31" t="n">
        <x:v>1180.745230234</x:v>
      </x:c>
      <x:c r="J40" s="31" t="n">
        <x:v>943.0871734981</x:v>
      </x:c>
      <x:c r="K40" s="31" t="n">
        <x:v>237.6580567359</x:v>
      </x:c>
      <x:c r="L40" s="31" t="n">
        <x:v>54.070923850199996</x:v>
      </x:c>
      <x:c r="M40" s="31" t="n">
        <x:v>1126.6743063838</x:v>
      </x:c>
      <x:c r="N40" s="24" t="str">
        <x:v>centroberyx affinis</x:v>
      </x:c>
      <x:c r="O40" s="32" t="n">
        <x:v>3.81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Centroberyx affinis</x:v>
      </x:c>
      <x:c r="T40" s="32" t="n">
        <x:f>IF(O40="","",(1/'Metadata'!$B$5)^(O40-1))</x:f>
        <x:v>645.6542290346556</x:v>
      </x:c>
      <x:c r="U40" s="31" t="n">
        <x:f>IF(T40="","",I40*T40)</x:f>
        <x:v>762353.1513130802</x:v>
      </x:c>
    </x:row>
    <x:row r="41" ht="18" customHeight="1">
      <x:c r="A41" s="24" t="str">
        <x:v>EEZ_036</x:v>
      </x:c>
      <x:c r="B41" s="24" t="str">
        <x:v>Australia</x:v>
      </x:c>
      <x:c r="C41" s="24" t="str">
        <x:v>EEZ</x:v>
      </x:c>
      <x:c r="D41" s="30" t="n">
        <x:v>2019</x:v>
      </x:c>
      <x:c r="E41" s="24" t="str">
        <x:v>Decapoda</x:v>
      </x:c>
      <x:c r="F41" s="24" t="str">
        <x:v>Crabs, lobsters, shrimps</x:v>
      </x:c>
      <x:c r="G41" s="24" t="str">
        <x:v>Lobsters, crabs</x:v>
      </x:c>
      <x:c r="H41" s="24" t="str">
        <x:v>Crustaceans</x:v>
      </x:c>
      <x:c r="I41" s="31" t="n">
        <x:v>1128.3819316517</x:v>
      </x:c>
      <x:c r="J41" s="31" t="n">
        <x:v>1113.1354645826</x:v>
      </x:c>
      <x:c r="K41" s="31" t="n">
        <x:v>15.2464670691</x:v>
      </x:c>
      <x:c r="L41" s="31" t="n">
        <x:v>322.9667823595</x:v>
      </x:c>
      <x:c r="M41" s="31" t="n">
        <x:v>805.4151492922</x:v>
      </x:c>
      <x:c r="N41" s="24" t="str">
        <x:v>decapoda</x:v>
      </x:c>
      <x:c r="O41" s="32" t="n">
        <x:v>3.43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Decapoda</x:v>
      </x:c>
      <x:c r="T41" s="32" t="n">
        <x:f>IF(O41="","",(1/'Metadata'!$B$5)^(O41-1))</x:f>
        <x:v>269.1534803926917</x:v>
      </x:c>
      <x:c r="U41" s="31" t="n">
        <x:f>IF(T41="","",I41*T41)</x:f>
        <x:v>303707.92411628336</x:v>
      </x:c>
    </x:row>
    <x:row r="42" ht="18" customHeight="1">
      <x:c r="A42" s="24" t="str">
        <x:v>EEZ_036</x:v>
      </x:c>
      <x:c r="B42" s="24" t="str">
        <x:v>Australia</x:v>
      </x:c>
      <x:c r="C42" s="24" t="str">
        <x:v>EEZ</x:v>
      </x:c>
      <x:c r="D42" s="30" t="n">
        <x:v>2019</x:v>
      </x:c>
      <x:c r="E42" s="24" t="str">
        <x:v>Emmelichthys nitidus</x:v>
      </x:c>
      <x:c r="F42" s="24" t="str">
        <x:v>Cape bonnetmouth</x:v>
      </x:c>
      <x:c r="G42" s="24" t="str">
        <x:v>Medium bathydemersals (30 - 89 cm)</x:v>
      </x:c>
      <x:c r="H42" s="24" t="str">
        <x:v>Perch-likes</x:v>
      </x:c>
      <x:c r="I42" s="31" t="n">
        <x:v>1095.285332059</x:v>
      </x:c>
      <x:c r="J42" s="31" t="n">
        <x:v>1095.285332059</x:v>
      </x:c>
      <x:c r="K42" s="31" t="n">
        <x:v>0</x:v>
      </x:c>
      <x:c r="L42" s="31" t="n">
        <x:v>1095.285332059</x:v>
      </x:c>
      <x:c r="M42" s="31" t="n">
        <x:v>0</x:v>
      </x:c>
      <x:c r="N42" s="24" t="str">
        <x:v>emmelichthys nitidus</x:v>
      </x:c>
      <x:c r="O42" s="32" t="n">
        <x:v>3.61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Emmelichthys nitidus</x:v>
      </x:c>
      <x:c r="T42" s="32" t="n">
        <x:f>IF(O42="","",(1/'Metadata'!$B$5)^(O42-1))</x:f>
        <x:v>407.3802778041126</x:v>
      </x:c>
      <x:c r="U42" s="31" t="n">
        <x:f>IF(T42="","",I42*T42)</x:f>
        <x:v>446197.64284896513</x:v>
      </x:c>
    </x:row>
    <x:row r="43" ht="18" customHeight="1">
      <x:c r="A43" s="24" t="str">
        <x:v>EEZ_036</x:v>
      </x:c>
      <x:c r="B43" s="24" t="str">
        <x:v>Australia</x:v>
      </x:c>
      <x:c r="C43" s="24" t="str">
        <x:v>EEZ</x:v>
      </x:c>
      <x:c r="D43" s="30" t="n">
        <x:v>2019</x:v>
      </x:c>
      <x:c r="E43" s="24" t="str">
        <x:v>Ranina ranina</x:v>
      </x:c>
      <x:c r="F43" s="24" t="str">
        <x:v>Kona crab </x:v>
      </x:c>
      <x:c r="G43" s="24" t="str">
        <x:v>Lobsters, crabs</x:v>
      </x:c>
      <x:c r="H43" s="24" t="str">
        <x:v>Crustaceans</x:v>
      </x:c>
      <x:c r="I43" s="31" t="n">
        <x:v>1069.7534340996</x:v>
      </x:c>
      <x:c r="J43" s="31" t="n">
        <x:v>1069.7534340996</x:v>
      </x:c>
      <x:c r="K43" s="31" t="n">
        <x:v>0</x:v>
      </x:c>
      <x:c r="L43" s="31" t="n">
        <x:v>1069.7534340996</x:v>
      </x:c>
      <x:c r="M43" s="31" t="n">
        <x:v>0</x:v>
      </x:c>
      <x:c r="N43" s="24" t="str">
        <x:v>ranina ranina</x:v>
      </x:c>
      <x:c r="O43" s="32" t="n">
        <x:v>3.92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Ranina ranina</x:v>
      </x:c>
      <x:c r="T43" s="32" t="n">
        <x:f>IF(O43="","",(1/'Metadata'!$B$5)^(O43-1))</x:f>
        <x:v>831.7637711026708</x:v>
      </x:c>
      <x:c r="U43" s="31" t="n">
        <x:f>IF(T43="","",I43*T43)</x:f>
        <x:v>889782.1504967158</x:v>
      </x:c>
    </x:row>
    <x:row r="44" ht="18" customHeight="1">
      <x:c r="A44" s="24" t="str">
        <x:v>EEZ_036</x:v>
      </x:c>
      <x:c r="B44" s="24" t="str">
        <x:v>Australia</x:v>
      </x:c>
      <x:c r="C44" s="24" t="str">
        <x:v>EEZ</x:v>
      </x:c>
      <x:c r="D44" s="30" t="n">
        <x:v>2019</x:v>
      </x:c>
      <x:c r="E44" s="24" t="str">
        <x:v>Chondrichthyes</x:v>
      </x:c>
      <x:c r="F44" s="24" t="str">
        <x:v>Sharks, rays, chimaeras</x:v>
      </x:c>
      <x:c r="G44" s="24" t="str">
        <x:v>Large sharks (&gt;=90 cm)</x:v>
      </x:c>
      <x:c r="H44" s="24" t="str">
        <x:v>Sharks &amp; rays</x:v>
      </x:c>
      <x:c r="I44" s="31" t="n">
        <x:v>1060.8183053372</x:v>
      </x:c>
      <x:c r="J44" s="31" t="n">
        <x:v>1060.8183053372</x:v>
      </x:c>
      <x:c r="K44" s="31" t="n">
        <x:v>0</x:v>
      </x:c>
      <x:c r="L44" s="31" t="n">
        <x:v>277.2636946475</x:v>
      </x:c>
      <x:c r="M44" s="31" t="n">
        <x:v>783.5546106897</x:v>
      </x:c>
      <x:c r="N44" s="24" t="str">
        <x:v>chondrichthyes</x:v>
      </x:c>
      <x:c r="O44" s="32" t="n">
        <x:v>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Chondrichthyes</x:v>
      </x:c>
      <x:c r="T44" s="32" t="n">
        <x:f>IF(O44="","",(1/'Metadata'!$B$5)^(O44-1))</x:f>
        <x:v>1000</x:v>
      </x:c>
      <x:c r="U44" s="31" t="n">
        <x:f>IF(T44="","",I44*T44)</x:f>
        <x:v>1060818.3053372</x:v>
      </x:c>
    </x:row>
    <x:row r="45" ht="18" customHeight="1">
      <x:c r="A45" s="24" t="str">
        <x:v>EEZ_036</x:v>
      </x:c>
      <x:c r="B45" s="24" t="str">
        <x:v>Australia</x:v>
      </x:c>
      <x:c r="C45" s="24" t="str">
        <x:v>EEZ</x:v>
      </x:c>
      <x:c r="D45" s="30" t="n">
        <x:v>2019</x:v>
      </x:c>
      <x:c r="E45" s="24" t="str">
        <x:v>Thyrsites atun</x:v>
      </x:c>
      <x:c r="F45" s="24" t="str">
        <x:v>Snoek</x:v>
      </x:c>
      <x:c r="G45" s="24" t="str">
        <x:v>Large benthopelagics (&gt;=90 cm)</x:v>
      </x:c>
      <x:c r="H45" s="24" t="str">
        <x:v>Perch-likes</x:v>
      </x:c>
      <x:c r="I45" s="31" t="n">
        <x:v>1054.8755448187999</x:v>
      </x:c>
      <x:c r="J45" s="31" t="n">
        <x:v>392.6917924009</x:v>
      </x:c>
      <x:c r="K45" s="31" t="n">
        <x:v>662.1837524179</x:v>
      </x:c>
      <x:c r="L45" s="31" t="n">
        <x:v>22.3617582482</x:v>
      </x:c>
      <x:c r="M45" s="31" t="n">
        <x:v>1032.5137865706001</x:v>
      </x:c>
      <x:c r="N45" s="24" t="str">
        <x:v>thyrsites atun</x:v>
      </x:c>
      <x:c r="O45" s="32" t="n">
        <x:v>3.63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Thyrsites atun</x:v>
      </x:c>
      <x:c r="T45" s="32" t="n">
        <x:f>IF(O45="","",(1/'Metadata'!$B$5)^(O45-1))</x:f>
        <x:v>426.57951880159254</x:v>
      </x:c>
      <x:c r="U45" s="31" t="n">
        <x:f>IF(T45="","",I45*T45)</x:f>
        <x:v>449988.30230437143</x:v>
      </x:c>
    </x:row>
    <x:row r="46" ht="18" customHeight="1">
      <x:c r="A46" s="24" t="str">
        <x:v>EEZ_036</x:v>
      </x:c>
      <x:c r="B46" s="24" t="str">
        <x:v>Australia</x:v>
      </x:c>
      <x:c r="C46" s="24" t="str">
        <x:v>EEZ</x:v>
      </x:c>
      <x:c r="D46" s="30" t="n">
        <x:v>2019</x:v>
      </x:c>
      <x:c r="E46" s="24" t="str">
        <x:v>Triglidae</x:v>
      </x:c>
      <x:c r="F46" s="24" t="str">
        <x:v>Searobins, gurnards</x:v>
      </x:c>
      <x:c r="G46" s="24" t="str">
        <x:v>Medium demersals (30 - 89 cm)</x:v>
      </x:c>
      <x:c r="H46" s="24" t="str">
        <x:v>Scorpionfishes</x:v>
      </x:c>
      <x:c r="I46" s="31" t="n">
        <x:v>1053.857903887</x:v>
      </x:c>
      <x:c r="J46" s="31" t="n">
        <x:v>45.7659316086</x:v>
      </x:c>
      <x:c r="K46" s="31" t="n">
        <x:v>1008.0919722784</x:v>
      </x:c>
      <x:c r="L46" s="31" t="n">
        <x:v>11.690022579</x:v>
      </x:c>
      <x:c r="M46" s="31" t="n">
        <x:v>1042.167881308</x:v>
      </x:c>
      <x:c r="N46" s="24" t="str">
        <x:v>triglidae</x:v>
      </x:c>
      <x:c r="O46" s="32" t="n">
        <x:v>3.74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Triglidae</x:v>
      </x:c>
      <x:c r="T46" s="32" t="n">
        <x:f>IF(O46="","",(1/'Metadata'!$B$5)^(O46-1))</x:f>
        <x:v>549.5408738576248</x:v>
      </x:c>
      <x:c r="U46" s="31" t="n">
        <x:f>IF(T46="","",I46*T46)</x:f>
        <x:v>579137.9934238268</x:v>
      </x:c>
    </x:row>
    <x:row r="47" ht="18" customHeight="1">
      <x:c r="A47" s="24" t="str">
        <x:v>EEZ_036</x:v>
      </x:c>
      <x:c r="B47" s="24" t="str">
        <x:v>Australia</x:v>
      </x:c>
      <x:c r="C47" s="24" t="str">
        <x:v>EEZ</x:v>
      </x:c>
      <x:c r="D47" s="30" t="n">
        <x:v>2019</x:v>
      </x:c>
      <x:c r="E47" s="24" t="str">
        <x:v>Penaeus latisulcatus</x:v>
      </x:c>
      <x:c r="F47" s="24" t="str">
        <x:v>Western king prawn</x:v>
      </x:c>
      <x:c r="G47" s="24" t="str">
        <x:v>Shrimps</x:v>
      </x:c>
      <x:c r="H47" s="24" t="str">
        <x:v>Crustaceans</x:v>
      </x:c>
      <x:c r="I47" s="31" t="n">
        <x:v>1013.5962020867</x:v>
      </x:c>
      <x:c r="J47" s="31" t="n">
        <x:v>1013.5962020867</x:v>
      </x:c>
      <x:c r="K47" s="31" t="n">
        <x:v>0</x:v>
      </x:c>
      <x:c r="L47" s="31" t="n">
        <x:v>1013.5961023404</x:v>
      </x:c>
      <x:c r="M47" s="31" t="n">
        <x:v>0.0000997463</x:v>
      </x:c>
      <x:c r="N47" s="24" t="str">
        <x:v>penaeus latisulcatus</x:v>
      </x:c>
      <x:c r="O47" s="32" t="n">
        <x:v>2.7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Penaeus latisulcatus</x:v>
      </x:c>
      <x:c r="T47" s="32" t="n">
        <x:f>IF(O47="","",(1/'Metadata'!$B$5)^(O47-1))</x:f>
        <x:v>50.11872336272725</x:v>
      </x:c>
      <x:c r="U47" s="31" t="n">
        <x:f>IF(T47="","",I47*T47)</x:f>
        <x:v>50800.1476538943</x:v>
      </x:c>
    </x:row>
    <x:row r="48" ht="18" customHeight="1">
      <x:c r="A48" s="24" t="str">
        <x:v>EEZ_036</x:v>
      </x:c>
      <x:c r="B48" s="24" t="str">
        <x:v>Australia</x:v>
      </x:c>
      <x:c r="C48" s="24" t="str">
        <x:v>EEZ</x:v>
      </x:c>
      <x:c r="D48" s="30" t="n">
        <x:v>2019</x:v>
      </x:c>
      <x:c r="E48" s="24" t="str">
        <x:v>Scomberomorus semifasciatus</x:v>
      </x:c>
      <x:c r="F48" s="24" t="str">
        <x:v>Broad-barred king mackerel</x:v>
      </x:c>
      <x:c r="G48" s="24" t="str">
        <x:v>Large pelagics (&gt;=90 cm)</x:v>
      </x:c>
      <x:c r="H48" s="24" t="str">
        <x:v>Perch-likes</x:v>
      </x:c>
      <x:c r="I48" s="31" t="n">
        <x:v>998.9503226561001</x:v>
      </x:c>
      <x:c r="J48" s="31" t="n">
        <x:v>998.9503226561001</x:v>
      </x:c>
      <x:c r="K48" s="31" t="n">
        <x:v>0</x:v>
      </x:c>
      <x:c r="L48" s="31" t="n">
        <x:v>972.950813639</x:v>
      </x:c>
      <x:c r="M48" s="31" t="n">
        <x:v>25.9995090171</x:v>
      </x:c>
      <x:c r="N48" s="24" t="str">
        <x:v>scomberomorus semifasciatus</x:v>
      </x:c>
      <x:c r="O48" s="32" t="n">
        <x:v>4.5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Scomberomorus semifasciatus</x:v>
      </x:c>
      <x:c r="T48" s="32" t="n">
        <x:f>IF(O48="","",(1/'Metadata'!$B$5)^(O48-1))</x:f>
        <x:v>3162.2776601683795</x:v>
      </x:c>
      <x:c r="U48" s="31" t="n">
        <x:f>IF(T48="","",I48*T48)</x:f>
        <x:v>3158958.2889533797</x:v>
      </x:c>
    </x:row>
    <x:row r="49" ht="18" customHeight="1">
      <x:c r="A49" s="24" t="str">
        <x:v>EEZ_036</x:v>
      </x:c>
      <x:c r="B49" s="24" t="str">
        <x:v>Australia</x:v>
      </x:c>
      <x:c r="C49" s="24" t="str">
        <x:v>EEZ</x:v>
      </x:c>
      <x:c r="D49" s="30" t="n">
        <x:v>2019</x:v>
      </x:c>
      <x:c r="E49" s="24" t="str">
        <x:v>Labridae</x:v>
      </x:c>
      <x:c r="F49" s="24" t="str">
        <x:v>Wrasses, gropers, tuskfishes</x:v>
      </x:c>
      <x:c r="G49" s="24" t="str">
        <x:v>Medium reef assoc. fish (30 - 89 cm)</x:v>
      </x:c>
      <x:c r="H49" s="24" t="str">
        <x:v>Perch-likes</x:v>
      </x:c>
      <x:c r="I49" s="31" t="n">
        <x:v>991.3180810813</x:v>
      </x:c>
      <x:c r="J49" s="31" t="n">
        <x:v>981.1800169892</x:v>
      </x:c>
      <x:c r="K49" s="31" t="n">
        <x:v>10.1380640921</x:v>
      </x:c>
      <x:c r="L49" s="31" t="n">
        <x:v>229.2700917835</x:v>
      </x:c>
      <x:c r="M49" s="31" t="n">
        <x:v>762.0479892978</x:v>
      </x:c>
      <x:c r="N49" s="24" t="str">
        <x:v>labridae</x:v>
      </x:c>
      <x:c r="O49" s="32" t="n">
        <x:v>3.46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Labridae</x:v>
      </x:c>
      <x:c r="T49" s="32" t="n">
        <x:f>IF(O49="","",(1/'Metadata'!$B$5)^(O49-1))</x:f>
        <x:v>288.40315031266056</x:v>
      </x:c>
      <x:c r="U49" s="31" t="n">
        <x:f>IF(T49="","",I49*T49)</x:f>
        <x:v>285899.2575457484</x:v>
      </x:c>
    </x:row>
    <x:row r="50" ht="18" customHeight="1">
      <x:c r="A50" s="24" t="str">
        <x:v>EEZ_036</x:v>
      </x:c>
      <x:c r="B50" s="24" t="str">
        <x:v>Australia</x:v>
      </x:c>
      <x:c r="C50" s="24" t="str">
        <x:v>EEZ</x:v>
      </x:c>
      <x:c r="D50" s="30" t="n">
        <x:v>2019</x:v>
      </x:c>
      <x:c r="E50" s="24" t="str">
        <x:v>Polynemidae</x:v>
      </x:c>
      <x:c r="F50" s="24" t="str">
        <x:v>Threadfins</x:v>
      </x:c>
      <x:c r="G50" s="24" t="str">
        <x:v>Small demersals (&lt;30 cm)</x:v>
      </x:c>
      <x:c r="H50" s="24" t="str">
        <x:v>Perch-likes</x:v>
      </x:c>
      <x:c r="I50" s="31" t="n">
        <x:v>988.9201865014</x:v>
      </x:c>
      <x:c r="J50" s="31" t="n">
        <x:v>778.8181282698</x:v>
      </x:c>
      <x:c r="K50" s="31" t="n">
        <x:v>210.1020582316</x:v>
      </x:c>
      <x:c r="L50" s="31" t="n">
        <x:v>505.64370906130006</x:v>
      </x:c>
      <x:c r="M50" s="31" t="n">
        <x:v>483.27647744010005</x:v>
      </x:c>
      <x:c r="N50" s="24" t="str">
        <x:v>polynemidae</x:v>
      </x:c>
      <x:c r="O50" s="32" t="n">
        <x:v>3.62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Polynemidae</x:v>
      </x:c>
      <x:c r="T50" s="32" t="n">
        <x:f>IF(O50="","",(1/'Metadata'!$B$5)^(O50-1))</x:f>
        <x:v>416.8693834703355</x:v>
      </x:c>
      <x:c r="U50" s="31" t="n">
        <x:f>IF(T50="","",I50*T50)</x:f>
        <x:v>412250.54844820785</x:v>
      </x:c>
    </x:row>
    <x:row r="51" ht="18" customHeight="1">
      <x:c r="A51" s="24" t="str">
        <x:v>EEZ_036</x:v>
      </x:c>
      <x:c r="B51" s="24" t="str">
        <x:v>Australia</x:v>
      </x:c>
      <x:c r="C51" s="24" t="str">
        <x:v>EEZ</x:v>
      </x:c>
      <x:c r="D51" s="30" t="n">
        <x:v>2019</x:v>
      </x:c>
      <x:c r="E51" s="24" t="str">
        <x:v>Sepia</x:v>
      </x:c>
      <x:c r="F51" s="24" t="str">
        <x:v>Sepia cuttlefishes</x:v>
      </x:c>
      <x:c r="G51" s="24" t="str">
        <x:v>Cephalopods</x:v>
      </x:c>
      <x:c r="H51" s="24" t="str">
        <x:v>Other fishes &amp; inverts</x:v>
      </x:c>
      <x:c r="I51" s="31" t="n">
        <x:v>971.9686969400999</x:v>
      </x:c>
      <x:c r="J51" s="31" t="n">
        <x:v>325.7624062329</x:v>
      </x:c>
      <x:c r="K51" s="31" t="n">
        <x:v>646.2062907072</x:v>
      </x:c>
      <x:c r="L51" s="31" t="n">
        <x:v>292.3120429077</x:v>
      </x:c>
      <x:c r="M51" s="31" t="n">
        <x:v>679.6566540324</x:v>
      </x:c>
      <x:c r="N51" s="24" t="str">
        <x:v>sepia</x:v>
      </x:c>
      <x:c r="O51" s="32" t="n">
        <x:v>3.69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Sepia</x:v>
      </x:c>
      <x:c r="T51" s="32" t="n">
        <x:f>IF(O51="","",(1/'Metadata'!$B$5)^(O51-1))</x:f>
        <x:v>489.77881936844614</x:v>
      </x:c>
      <x:c r="U51" s="31" t="n">
        <x:f>IF(T51="","",I51*T51)</x:f>
        <x:v>476049.68085040915</x:v>
      </x:c>
    </x:row>
    <x:row r="52" ht="18" customHeight="1">
      <x:c r="A52" s="24" t="str">
        <x:v>EEZ_036</x:v>
      </x:c>
      <x:c r="B52" s="24" t="str">
        <x:v>Australia</x:v>
      </x:c>
      <x:c r="C52" s="24" t="str">
        <x:v>EEZ</x:v>
      </x:c>
      <x:c r="D52" s="30" t="n">
        <x:v>2019</x:v>
      </x:c>
      <x:c r="E52" s="24" t="str">
        <x:v>Scyllaridae</x:v>
      </x:c>
      <x:c r="F52" s="24" t="str">
        <x:v>Slipper lobsters</x:v>
      </x:c>
      <x:c r="G52" s="24" t="str">
        <x:v>Lobsters, crabs</x:v>
      </x:c>
      <x:c r="H52" s="24" t="str">
        <x:v>Crustaceans</x:v>
      </x:c>
      <x:c r="I52" s="31" t="n">
        <x:v>961.382840855</x:v>
      </x:c>
      <x:c r="J52" s="31" t="n">
        <x:v>695.0856000531</x:v>
      </x:c>
      <x:c r="K52" s="31" t="n">
        <x:v>266.2972408019</x:v>
      </x:c>
      <x:c r="L52" s="31" t="n">
        <x:v>695.0832951076</x:v>
      </x:c>
      <x:c r="M52" s="31" t="n">
        <x:v>266.2995457474</x:v>
      </x:c>
      <x:c r="N52" s="24" t="str">
        <x:v>scyllaridae</x:v>
      </x:c>
      <x:c r="O52" s="32" t="n">
        <x:v>2.87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Scyllaridae</x:v>
      </x:c>
      <x:c r="T52" s="32" t="n">
        <x:f>IF(O52="","",(1/'Metadata'!$B$5)^(O52-1))</x:f>
        <x:v>74.13102413009177</x:v>
      </x:c>
      <x:c r="U52" s="31" t="n">
        <x:f>IF(T52="","",I52*T52)</x:f>
        <x:v>71268.29457367818</x:v>
      </x:c>
    </x:row>
    <x:row r="53" ht="18" customHeight="1">
      <x:c r="A53" s="24" t="str">
        <x:v>EEZ_036</x:v>
      </x:c>
      <x:c r="B53" s="24" t="str">
        <x:v>Australia</x:v>
      </x:c>
      <x:c r="C53" s="24" t="str">
        <x:v>EEZ</x:v>
      </x:c>
      <x:c r="D53" s="30" t="n">
        <x:v>2019</x:v>
      </x:c>
      <x:c r="E53" s="24" t="str">
        <x:v>Pristipomoides multidens</x:v>
      </x:c>
      <x:c r="F53" s="24" t="str">
        <x:v>Goldbanded jobfish</x:v>
      </x:c>
      <x:c r="G53" s="24" t="str">
        <x:v>Medium demersals (30 - 89 cm)</x:v>
      </x:c>
      <x:c r="H53" s="24" t="str">
        <x:v>Perch-likes</x:v>
      </x:c>
      <x:c r="I53" s="31" t="n">
        <x:v>916.3208936814</x:v>
      </x:c>
      <x:c r="J53" s="31" t="n">
        <x:v>916.3208936814</x:v>
      </x:c>
      <x:c r="K53" s="31" t="n">
        <x:v>0</x:v>
      </x:c>
      <x:c r="L53" s="31" t="n">
        <x:v>858.4688336874999</x:v>
      </x:c>
      <x:c r="M53" s="31" t="n">
        <x:v>57.8520599939</x:v>
      </x:c>
      <x:c r="N53" s="24" t="str">
        <x:v>pristipomoides multidens</x:v>
      </x:c>
      <x:c r="O53" s="32" t="n">
        <x:v>3.84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Pristipomoides multidens</x:v>
      </x:c>
      <x:c r="T53" s="32" t="n">
        <x:f>IF(O53="","",(1/'Metadata'!$B$5)^(O53-1))</x:f>
        <x:v>691.8309709189363</x:v>
      </x:c>
      <x:c r="U53" s="31" t="n">
        <x:f>IF(T53="","",I53*T53)</x:f>
        <x:v>633939.1735489103</x:v>
      </x:c>
    </x:row>
    <x:row r="54" ht="18" customHeight="1">
      <x:c r="A54" s="24" t="str">
        <x:v>EEZ_036</x:v>
      </x:c>
      <x:c r="B54" s="24" t="str">
        <x:v>Australia</x:v>
      </x:c>
      <x:c r="C54" s="24" t="str">
        <x:v>EEZ</x:v>
      </x:c>
      <x:c r="D54" s="30" t="n">
        <x:v>2019</x:v>
      </x:c>
      <x:c r="E54" s="24" t="str">
        <x:v>Sciaenidae</x:v>
      </x:c>
      <x:c r="F54" s="24" t="str">
        <x:v>Drums, croakers</x:v>
      </x:c>
      <x:c r="G54" s="24" t="str">
        <x:v>Medium demersals (30 - 89 cm)</x:v>
      </x:c>
      <x:c r="H54" s="24" t="str">
        <x:v>Perch-likes</x:v>
      </x:c>
      <x:c r="I54" s="31" t="n">
        <x:v>892.7868403988</x:v>
      </x:c>
      <x:c r="J54" s="31" t="n">
        <x:v>645.990901537</x:v>
      </x:c>
      <x:c r="K54" s="31" t="n">
        <x:v>246.7959388618</x:v>
      </x:c>
      <x:c r="L54" s="31" t="n">
        <x:v>70.0964825993</x:v>
      </x:c>
      <x:c r="M54" s="31" t="n">
        <x:v>822.6903577994999</x:v>
      </x:c>
      <x:c r="N54" s="24" t="str">
        <x:v>sciaenidae</x:v>
      </x:c>
      <x:c r="O54" s="32" t="n">
        <x:v>3.76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Sciaenidae</x:v>
      </x:c>
      <x:c r="T54" s="32" t="n">
        <x:f>IF(O54="","",(1/'Metadata'!$B$5)^(O54-1))</x:f>
        <x:v>575.4399373371566</x:v>
      </x:c>
      <x:c r="U54" s="31" t="n">
        <x:f>IF(T54="","",I54*T54)</x:f>
        <x:v>513745.2034945235</x:v>
      </x:c>
    </x:row>
    <x:row r="55" ht="18" customHeight="1">
      <x:c r="A55" s="24" t="str">
        <x:v>EEZ_036</x:v>
      </x:c>
      <x:c r="B55" s="24" t="str">
        <x:v>Australia</x:v>
      </x:c>
      <x:c r="C55" s="24" t="str">
        <x:v>EEZ</x:v>
      </x:c>
      <x:c r="D55" s="30" t="n">
        <x:v>2019</x:v>
      </x:c>
      <x:c r="E55" s="24" t="str">
        <x:v>Donax</x:v>
      </x:c>
      <x:c r="F55" s="24" t="str">
        <x:v>Bean clams</x:v>
      </x:c>
      <x:c r="G55" s="24" t="str">
        <x:v>Other demersal invertebrates</x:v>
      </x:c>
      <x:c r="H55" s="24" t="str">
        <x:v>Molluscs</x:v>
      </x:c>
      <x:c r="I55" s="31" t="n">
        <x:v>884.6284108571</x:v>
      </x:c>
      <x:c r="J55" s="31" t="n">
        <x:v>884.6284108571</x:v>
      </x:c>
      <x:c r="K55" s="31" t="n">
        <x:v>0</x:v>
      </x:c>
      <x:c r="L55" s="31" t="n">
        <x:v>847.0579667256001</x:v>
      </x:c>
      <x:c r="M55" s="31" t="n">
        <x:v>37.570444131500004</x:v>
      </x:c>
      <x:c r="N55" s="24" t="str">
        <x:v>donax</x:v>
      </x:c>
      <x:c r="O55" s="32" t="n">
        <x:v>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Donax</x:v>
      </x:c>
      <x:c r="T55" s="32" t="n">
        <x:f>IF(O55="","",(1/'Metadata'!$B$5)^(O55-1))</x:f>
        <x:v>10</x:v>
      </x:c>
      <x:c r="U55" s="31" t="n">
        <x:f>IF(T55="","",I55*T55)</x:f>
        <x:v>8846.284108571</x:v>
      </x:c>
    </x:row>
    <x:row r="56" ht="18" customHeight="1">
      <x:c r="A56" s="24" t="str">
        <x:v>EEZ_036</x:v>
      </x:c>
      <x:c r="B56" s="24" t="str">
        <x:v>Australia</x:v>
      </x:c>
      <x:c r="C56" s="24" t="str">
        <x:v>EEZ</x:v>
      </x:c>
      <x:c r="D56" s="30" t="n">
        <x:v>2019</x:v>
      </x:c>
      <x:c r="E56" s="24" t="str">
        <x:v>Cephalopoda</x:v>
      </x:c>
      <x:c r="F56" s="24" t="str">
        <x:v>Squids, cuttlefishes, octopuses</x:v>
      </x:c>
      <x:c r="G56" s="24" t="str">
        <x:v>Cephalopods</x:v>
      </x:c>
      <x:c r="H56" s="24" t="str">
        <x:v>Other fishes &amp; inverts</x:v>
      </x:c>
      <x:c r="I56" s="31" t="n">
        <x:v>884.0031493471</x:v>
      </x:c>
      <x:c r="J56" s="31" t="n">
        <x:v>884.0031493471</x:v>
      </x:c>
      <x:c r="K56" s="31" t="n">
        <x:v>0</x:v>
      </x:c>
      <x:c r="L56" s="31" t="n">
        <x:v>469.5555237039</x:v>
      </x:c>
      <x:c r="M56" s="31" t="n">
        <x:v>414.4476256432</x:v>
      </x:c>
      <x:c r="N56" s="24" t="str">
        <x:v>cephalopoda</x:v>
      </x:c>
      <x:c r="O56" s="32" t="n">
        <x:v>3.81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Cephalopoda</x:v>
      </x:c>
      <x:c r="T56" s="32" t="n">
        <x:f>IF(O56="","",(1/'Metadata'!$B$5)^(O56-1))</x:f>
        <x:v>645.6542290346556</x:v>
      </x:c>
      <x:c r="U56" s="31" t="n">
        <x:f>IF(T56="","",I56*T56)</x:f>
        <x:v>570760.3718559094</x:v>
      </x:c>
    </x:row>
    <x:row r="57" ht="18" customHeight="1">
      <x:c r="A57" s="24" t="str">
        <x:v>EEZ_036</x:v>
      </x:c>
      <x:c r="B57" s="24" t="str">
        <x:v>Australia</x:v>
      </x:c>
      <x:c r="C57" s="24" t="str">
        <x:v>EEZ</x:v>
      </x:c>
      <x:c r="D57" s="30" t="n">
        <x:v>2019</x:v>
      </x:c>
      <x:c r="E57" s="24" t="str">
        <x:v>Genypterus blacodes</x:v>
      </x:c>
      <x:c r="F57" s="24" t="str">
        <x:v>Pink cusk-eel</x:v>
      </x:c>
      <x:c r="G57" s="24" t="str">
        <x:v>Large bathydemersals (&gt;=90 cm)</x:v>
      </x:c>
      <x:c r="H57" s="24" t="str">
        <x:v>Other fishes &amp; inverts</x:v>
      </x:c>
      <x:c r="I57" s="31" t="n">
        <x:v>847.7927676643</x:v>
      </x:c>
      <x:c r="J57" s="31" t="n">
        <x:v>847.00088068</x:v>
      </x:c>
      <x:c r="K57" s="31" t="n">
        <x:v>0.7918869843</x:v>
      </x:c>
      <x:c r="L57" s="31" t="n">
        <x:v>846.8427861905</x:v>
      </x:c>
      <x:c r="M57" s="31" t="n">
        <x:v>0.9499814738000001</x:v>
      </x:c>
      <x:c r="N57" s="24" t="str">
        <x:v>genypterus blacodes</x:v>
      </x:c>
      <x:c r="O57" s="32" t="n">
        <x:v>4.22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Genypterus blacodes</x:v>
      </x:c>
      <x:c r="T57" s="32" t="n">
        <x:f>IF(O57="","",(1/'Metadata'!$B$5)^(O57-1))</x:f>
        <x:v>1659.5869074375596</x:v>
      </x:c>
      <x:c r="U57" s="31" t="n">
        <x:f>IF(T57="","",I57*T57)</x:f>
        <x:v>1406985.777435925</x:v>
      </x:c>
    </x:row>
    <x:row r="58" ht="18" customHeight="1">
      <x:c r="A58" s="24" t="str">
        <x:v>EEZ_036</x:v>
      </x:c>
      <x:c r="B58" s="24" t="str">
        <x:v>Australia</x:v>
      </x:c>
      <x:c r="C58" s="24" t="str">
        <x:v>EEZ</x:v>
      </x:c>
      <x:c r="D58" s="30" t="n">
        <x:v>2019</x:v>
      </x:c>
      <x:c r="E58" s="24" t="str">
        <x:v>Haliotis rubra</x:v>
      </x:c>
      <x:c r="F58" s="24" t="str">
        <x:v>Blacklip abalone</x:v>
      </x:c>
      <x:c r="G58" s="24" t="str">
        <x:v>Other demersal invertebrates</x:v>
      </x:c>
      <x:c r="H58" s="24" t="str">
        <x:v>Molluscs</x:v>
      </x:c>
      <x:c r="I58" s="31" t="n">
        <x:v>819.7463028637001</x:v>
      </x:c>
      <x:c r="J58" s="31" t="n">
        <x:v>819.7463028637001</x:v>
      </x:c>
      <x:c r="K58" s="31" t="n">
        <x:v>0</x:v>
      </x:c>
      <x:c r="L58" s="31" t="n">
        <x:v>819.7463028637001</x:v>
      </x:c>
      <x:c r="M58" s="31" t="n">
        <x:v>0</x:v>
      </x:c>
      <x:c r="N58" s="24" t="str">
        <x:v>haliotis rubra</x:v>
      </x:c>
      <x:c r="O58" s="32" t="n">
        <x:v>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Haliotis rubra</x:v>
      </x:c>
      <x:c r="T58" s="32" t="n">
        <x:f>IF(O58="","",(1/'Metadata'!$B$5)^(O58-1))</x:f>
        <x:v>10</x:v>
      </x:c>
      <x:c r="U58" s="31" t="n">
        <x:f>IF(T58="","",I58*T58)</x:f>
        <x:v>8197.463028637001</x:v>
      </x:c>
    </x:row>
    <x:row r="59" ht="18" customHeight="1">
      <x:c r="A59" s="24" t="str">
        <x:v>EEZ_036</x:v>
      </x:c>
      <x:c r="B59" s="24" t="str">
        <x:v>Australia</x:v>
      </x:c>
      <x:c r="C59" s="24" t="str">
        <x:v>EEZ</x:v>
      </x:c>
      <x:c r="D59" s="30" t="n">
        <x:v>2019</x:v>
      </x:c>
      <x:c r="E59" s="24" t="str">
        <x:v>Arripis georgiana</x:v>
      </x:c>
      <x:c r="F59" s="24" t="str">
        <x:v>Ruff</x:v>
      </x:c>
      <x:c r="G59" s="24" t="str">
        <x:v>Medium pelagics (30 - 89 cm)</x:v>
      </x:c>
      <x:c r="H59" s="24" t="str">
        <x:v>Perch-likes</x:v>
      </x:c>
      <x:c r="I59" s="31" t="n">
        <x:v>800.4542277119</x:v>
      </x:c>
      <x:c r="J59" s="31" t="n">
        <x:v>800.4542277119</x:v>
      </x:c>
      <x:c r="K59" s="31" t="n">
        <x:v>0</x:v>
      </x:c>
      <x:c r="L59" s="31" t="n">
        <x:v>457.926585906</x:v>
      </x:c>
      <x:c r="M59" s="31" t="n">
        <x:v>342.5276418059</x:v>
      </x:c>
      <x:c r="N59" s="24" t="str">
        <x:v>arripis georgiana</x:v>
      </x:c>
      <x:c r="O59" s="32" t="n">
        <x:v>4.31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Arripis georgiana</x:v>
      </x:c>
      <x:c r="T59" s="32" t="n">
        <x:f>IF(O59="","",(1/'Metadata'!$B$5)^(O59-1))</x:f>
        <x:v>2041.7379446695275</x:v>
      </x:c>
      <x:c r="U59" s="31" t="n">
        <x:f>IF(T59="","",I59*T59)</x:f>
        <x:v>1634317.7696905285</x:v>
      </x:c>
    </x:row>
    <x:row r="60" ht="18" customHeight="1">
      <x:c r="A60" s="24" t="str">
        <x:v>EEZ_036</x:v>
      </x:c>
      <x:c r="B60" s="24" t="str">
        <x:v>Australia</x:v>
      </x:c>
      <x:c r="C60" s="24" t="str">
        <x:v>EEZ</x:v>
      </x:c>
      <x:c r="D60" s="30" t="n">
        <x:v>2019</x:v>
      </x:c>
      <x:c r="E60" s="24" t="str">
        <x:v>Trachurus</x:v>
      </x:c>
      <x:c r="F60" s="24" t="str">
        <x:v>Jacks, horse mackerels</x:v>
      </x:c>
      <x:c r="G60" s="24" t="str">
        <x:v>Medium pelagics (30 - 89 cm)</x:v>
      </x:c>
      <x:c r="H60" s="24" t="str">
        <x:v>Perch-likes</x:v>
      </x:c>
      <x:c r="I60" s="31" t="n">
        <x:v>788.8681798695</x:v>
      </x:c>
      <x:c r="J60" s="31" t="n">
        <x:v>739.8181945338</x:v>
      </x:c>
      <x:c r="K60" s="31" t="n">
        <x:v>49.0499853357</x:v>
      </x:c>
      <x:c r="L60" s="31" t="n">
        <x:v>644.5814445423</x:v>
      </x:c>
      <x:c r="M60" s="31" t="n">
        <x:v>144.2867353272</x:v>
      </x:c>
      <x:c r="N60" s="24" t="str">
        <x:v>trachurus</x:v>
      </x:c>
      <x:c r="O60" s="32" t="n">
        <x:v>3.69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Trachurus</x:v>
      </x:c>
      <x:c r="T60" s="32" t="n">
        <x:f>IF(O60="","",(1/'Metadata'!$B$5)^(O60-1))</x:f>
        <x:v>489.77881936844614</x:v>
      </x:c>
      <x:c r="U60" s="31" t="n">
        <x:f>IF(T60="","",I60*T60)</x:f>
        <x:v>386370.9257738187</x:v>
      </x:c>
    </x:row>
    <x:row r="61" ht="18" customHeight="1">
      <x:c r="A61" s="24" t="str">
        <x:v>EEZ_036</x:v>
      </x:c>
      <x:c r="B61" s="24" t="str">
        <x:v>Australia</x:v>
      </x:c>
      <x:c r="C61" s="24" t="str">
        <x:v>EEZ</x:v>
      </x:c>
      <x:c r="D61" s="30" t="n">
        <x:v>2019</x:v>
      </x:c>
      <x:c r="E61" s="24" t="str">
        <x:v>Berycidae</x:v>
      </x:c>
      <x:c r="F61" s="24" t="str">
        <x:v>Alfonsinos, redfishes</x:v>
      </x:c>
      <x:c r="G61" s="24" t="str">
        <x:v>Medium benthopelagics (30 - 89 cm)</x:v>
      </x:c>
      <x:c r="H61" s="24" t="str">
        <x:v>Other fishes &amp; inverts</x:v>
      </x:c>
      <x:c r="I61" s="31" t="n">
        <x:v>769.712042356</x:v>
      </x:c>
      <x:c r="J61" s="31" t="n">
        <x:v>769.712042356</x:v>
      </x:c>
      <x:c r="K61" s="31" t="n">
        <x:v>0</x:v>
      </x:c>
      <x:c r="L61" s="31" t="n">
        <x:v>650.0321338715</x:v>
      </x:c>
      <x:c r="M61" s="31" t="n">
        <x:v>119.6799084845</x:v>
      </x:c>
      <x:c r="N61" s="24" t="str">
        <x:v>berycidae</x:v>
      </x:c>
      <x:c r="O61" s="32" t="n">
        <x:v>3.99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Berycidae</x:v>
      </x:c>
      <x:c r="T61" s="32" t="n">
        <x:f>IF(O61="","",(1/'Metadata'!$B$5)^(O61-1))</x:f>
        <x:v>977.2372209558112</x:v>
      </x:c>
      <x:c r="U61" s="31" t="n">
        <x:f>IF(T61="","",I61*T61)</x:f>
        <x:v>752191.257208199</x:v>
      </x:c>
    </x:row>
    <x:row r="62" ht="18" customHeight="1">
      <x:c r="A62" s="24" t="str">
        <x:v>EEZ_036</x:v>
      </x:c>
      <x:c r="B62" s="24" t="str">
        <x:v>Australia</x:v>
      </x:c>
      <x:c r="C62" s="24" t="str">
        <x:v>EEZ</x:v>
      </x:c>
      <x:c r="D62" s="30" t="n">
        <x:v>2019</x:v>
      </x:c>
      <x:c r="E62" s="24" t="str">
        <x:v>Portunus armatus</x:v>
      </x:c>
      <x:c r="F62" s="24" t="str">
        <x:v>Blue swimmer crab</x:v>
      </x:c>
      <x:c r="G62" s="24" t="str">
        <x:v>Lobsters, crabs</x:v>
      </x:c>
      <x:c r="H62" s="24" t="str">
        <x:v>Crustaceans</x:v>
      </x:c>
      <x:c r="I62" s="31" t="n">
        <x:v>765.31120887</x:v>
      </x:c>
      <x:c r="J62" s="31" t="n">
        <x:v>765.31120887</x:v>
      </x:c>
      <x:c r="K62" s="31" t="n">
        <x:v>0</x:v>
      </x:c>
      <x:c r="L62" s="31" t="n">
        <x:v>289.7024796116</x:v>
      </x:c>
      <x:c r="M62" s="31" t="n">
        <x:v>475.6087292584</x:v>
      </x:c>
      <x:c r="N62" s="24" t="str">
        <x:v>portunus armatus</x:v>
      </x:c>
      <x:c r="O62" s="32" t="n">
        <x:v>3.26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Portunus armatus</x:v>
      </x:c>
      <x:c r="T62" s="32" t="n">
        <x:f>IF(O62="","",(1/'Metadata'!$B$5)^(O62-1))</x:f>
        <x:v>181.97008586099827</x:v>
      </x:c>
      <x:c r="U62" s="31" t="n">
        <x:f>IF(T62="","",I62*T62)</x:f>
        <x:v>139263.74638845827</x:v>
      </x:c>
    </x:row>
    <x:row r="63" ht="18" customHeight="1">
      <x:c r="A63" s="24" t="str">
        <x:v>EEZ_036</x:v>
      </x:c>
      <x:c r="B63" s="24" t="str">
        <x:v>Australia</x:v>
      </x:c>
      <x:c r="C63" s="24" t="str">
        <x:v>EEZ</x:v>
      </x:c>
      <x:c r="D63" s="30" t="n">
        <x:v>2019</x:v>
      </x:c>
      <x:c r="E63" s="24" t="str">
        <x:v>Sardinella lemuru</x:v>
      </x:c>
      <x:c r="F63" s="24" t="str">
        <x:v>Bali sardinella</x:v>
      </x:c>
      <x:c r="G63" s="24" t="str">
        <x:v>Small pelagics (&lt;30 cm)</x:v>
      </x:c>
      <x:c r="H63" s="24" t="str">
        <x:v>Herring-likes</x:v>
      </x:c>
      <x:c r="I63" s="31" t="n">
        <x:v>748.5748497832</x:v>
      </x:c>
      <x:c r="J63" s="31" t="n">
        <x:v>748.5748497832</x:v>
      </x:c>
      <x:c r="K63" s="31" t="n">
        <x:v>0</x:v>
      </x:c>
      <x:c r="L63" s="31" t="n">
        <x:v>748.5748387369</x:v>
      </x:c>
      <x:c r="M63" s="31" t="n">
        <x:v>0.0000110463</x:v>
      </x:c>
      <x:c r="N63" s="24" t="str">
        <x:v>sardinella lemuru</x:v>
      </x:c>
      <x:c r="O63" s="32" t="n">
        <x:v>2.48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Sardinella lemuru</x:v>
      </x:c>
      <x:c r="T63" s="32" t="n">
        <x:f>IF(O63="","",(1/'Metadata'!$B$5)^(O63-1))</x:f>
        <x:v>30.19951720402016</x:v>
      </x:c>
      <x:c r="U63" s="31" t="n">
        <x:f>IF(T63="","",I63*T63)</x:f>
        <x:v>22606.599054524555</x:v>
      </x:c>
    </x:row>
    <x:row r="64" ht="18" customHeight="1">
      <x:c r="A64" s="24" t="str">
        <x:v>EEZ_036</x:v>
      </x:c>
      <x:c r="B64" s="24" t="str">
        <x:v>Australia</x:v>
      </x:c>
      <x:c r="C64" s="24" t="str">
        <x:v>EEZ</x:v>
      </x:c>
      <x:c r="D64" s="30" t="n">
        <x:v>2019</x:v>
      </x:c>
      <x:c r="E64" s="24" t="str">
        <x:v>Seriolella punctata</x:v>
      </x:c>
      <x:c r="F64" s="24" t="str">
        <x:v>Silver warehou</x:v>
      </x:c>
      <x:c r="G64" s="24" t="str">
        <x:v>Medium benthopelagics (30 - 89 cm)</x:v>
      </x:c>
      <x:c r="H64" s="24" t="str">
        <x:v>Perch-likes</x:v>
      </x:c>
      <x:c r="I64" s="31" t="n">
        <x:v>745.7726200497</x:v>
      </x:c>
      <x:c r="J64" s="31" t="n">
        <x:v>563.6963893594</x:v>
      </x:c>
      <x:c r="K64" s="31" t="n">
        <x:v>182.0762306903</x:v>
      </x:c>
      <x:c r="L64" s="31" t="n">
        <x:v>563.6963893594</x:v>
      </x:c>
      <x:c r="M64" s="31" t="n">
        <x:v>182.0762306903</x:v>
      </x:c>
      <x:c r="N64" s="24" t="str">
        <x:v>seriolella punctata</x:v>
      </x:c>
      <x:c r="O64" s="32" t="n">
        <x:v>3.4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Seriolella punctata</x:v>
      </x:c>
      <x:c r="T64" s="32" t="n">
        <x:f>IF(O64="","",(1/'Metadata'!$B$5)^(O64-1))</x:f>
        <x:v>251.18864315095797</x:v>
      </x:c>
      <x:c r="U64" s="31" t="n">
        <x:f>IF(T64="","",I64*T64)</x:f>
        <x:v>187329.61252941904</x:v>
      </x:c>
    </x:row>
    <x:row r="65" ht="18" customHeight="1">
      <x:c r="A65" s="24" t="str">
        <x:v>EEZ_036</x:v>
      </x:c>
      <x:c r="B65" s="24" t="str">
        <x:v>Australia</x:v>
      </x:c>
      <x:c r="C65" s="24" t="str">
        <x:v>EEZ</x:v>
      </x:c>
      <x:c r="D65" s="30" t="n">
        <x:v>2019</x:v>
      </x:c>
      <x:c r="E65" s="24" t="str">
        <x:v>Portunus pelagicus</x:v>
      </x:c>
      <x:c r="F65" s="24" t="str">
        <x:v>Blue swimming crab</x:v>
      </x:c>
      <x:c r="G65" s="24" t="str">
        <x:v>Lobsters, crabs</x:v>
      </x:c>
      <x:c r="H65" s="24" t="str">
        <x:v>Crustaceans</x:v>
      </x:c>
      <x:c r="I65" s="31" t="n">
        <x:v>738.0004978759</x:v>
      </x:c>
      <x:c r="J65" s="31" t="n">
        <x:v>728.0136733807999</x:v>
      </x:c>
      <x:c r="K65" s="31" t="n">
        <x:v>9.9868244951</x:v>
      </x:c>
      <x:c r="L65" s="31" t="n">
        <x:v>414.6536693305</x:v>
      </x:c>
      <x:c r="M65" s="31" t="n">
        <x:v>323.3468285454</x:v>
      </x:c>
      <x:c r="N65" s="24" t="str">
        <x:v>portunus pelagicus</x:v>
      </x:c>
      <x:c r="O65" s="32" t="n">
        <x:v>2.48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Portunus pelagicus</x:v>
      </x:c>
      <x:c r="T65" s="32" t="n">
        <x:f>IF(O65="","",(1/'Metadata'!$B$5)^(O65-1))</x:f>
        <x:v>30.19951720402016</x:v>
      </x:c>
      <x:c r="U65" s="31" t="n">
        <x:f>IF(T65="","",I65*T65)</x:f>
        <x:v>22287.258732178685</x:v>
      </x:c>
    </x:row>
    <x:row r="66" ht="18" customHeight="1">
      <x:c r="A66" s="24" t="str">
        <x:v>EEZ_036</x:v>
      </x:c>
      <x:c r="B66" s="24" t="str">
        <x:v>Australia</x:v>
      </x:c>
      <x:c r="C66" s="24" t="str">
        <x:v>EEZ</x:v>
      </x:c>
      <x:c r="D66" s="30" t="n">
        <x:v>2019</x:v>
      </x:c>
      <x:c r="E66" s="24" t="str">
        <x:v>Lutjanus erythropterus</x:v>
      </x:c>
      <x:c r="F66" s="24" t="str">
        <x:v>Crimson snapper</x:v>
      </x:c>
      <x:c r="G66" s="24" t="str">
        <x:v>Medium reef assoc. fish (30 - 89 cm)</x:v>
      </x:c>
      <x:c r="H66" s="24" t="str">
        <x:v>Perch-likes</x:v>
      </x:c>
      <x:c r="I66" s="31" t="n">
        <x:v>706.1331749692001</x:v>
      </x:c>
      <x:c r="J66" s="31" t="n">
        <x:v>706.1331749692001</x:v>
      </x:c>
      <x:c r="K66" s="31" t="n">
        <x:v>0</x:v>
      </x:c>
      <x:c r="L66" s="31" t="n">
        <x:v>684.4445157073001</x:v>
      </x:c>
      <x:c r="M66" s="31" t="n">
        <x:v>21.6886592619</x:v>
      </x:c>
      <x:c r="N66" s="24" t="str">
        <x:v>lutjanus erythropterus</x:v>
      </x:c>
      <x:c r="O66" s="32" t="n">
        <x:v>4.5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Lutjanus erythropterus</x:v>
      </x:c>
      <x:c r="T66" s="32" t="n">
        <x:f>IF(O66="","",(1/'Metadata'!$B$5)^(O66-1))</x:f>
        <x:v>3162.2776601683795</x:v>
      </x:c>
      <x:c r="U66" s="31" t="n">
        <x:f>IF(T66="","",I66*T66)</x:f>
        <x:v>2232989.164308871</x:v>
      </x:c>
    </x:row>
    <x:row r="67" ht="18" customHeight="1">
      <x:c r="A67" s="24" t="str">
        <x:v>EEZ_036</x:v>
      </x:c>
      <x:c r="B67" s="24" t="str">
        <x:v>Australia</x:v>
      </x:c>
      <x:c r="C67" s="24" t="str">
        <x:v>EEZ</x:v>
      </x:c>
      <x:c r="D67" s="30" t="n">
        <x:v>2019</x:v>
      </x:c>
      <x:c r="E67" s="24" t="str">
        <x:v>Xiphias gladius</x:v>
      </x:c>
      <x:c r="F67" s="24" t="str">
        <x:v>Swordfish</x:v>
      </x:c>
      <x:c r="G67" s="24" t="str">
        <x:v>Large pelagics (&gt;=90 cm)</x:v>
      </x:c>
      <x:c r="H67" s="24" t="str">
        <x:v>Tuna &amp; billfishes</x:v>
      </x:c>
      <x:c r="I67" s="31" t="n">
        <x:v>676.8270846591</x:v>
      </x:c>
      <x:c r="J67" s="31" t="n">
        <x:v>543.0477536211</x:v>
      </x:c>
      <x:c r="K67" s="31" t="n">
        <x:v>133.779331038</x:v>
      </x:c>
      <x:c r="L67" s="31" t="n">
        <x:v>527.2171192395</x:v>
      </x:c>
      <x:c r="M67" s="31" t="n">
        <x:v>149.6099654196</x:v>
      </x:c>
      <x:c r="N67" s="24" t="str">
        <x:v>xiphias gladius</x:v>
      </x:c>
      <x:c r="O67" s="32" t="n">
        <x:v>4.53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Xiphias gladius</x:v>
      </x:c>
      <x:c r="T67" s="32" t="n">
        <x:f>IF(O67="","",(1/'Metadata'!$B$5)^(O67-1))</x:f>
        <x:v>3388.4415613920273</x:v>
      </x:c>
      <x:c r="U67" s="31" t="n">
        <x:f>IF(T67="","",I67*T67)</x:f>
        <x:v>2293389.0235346947</x:v>
      </x:c>
    </x:row>
    <x:row r="68" ht="18" customHeight="1">
      <x:c r="A68" s="24" t="str">
        <x:v>EEZ_036</x:v>
      </x:c>
      <x:c r="B68" s="24" t="str">
        <x:v>Australia</x:v>
      </x:c>
      <x:c r="C68" s="24" t="str">
        <x:v>EEZ</x:v>
      </x:c>
      <x:c r="D68" s="30" t="n">
        <x:v>2019</x:v>
      </x:c>
      <x:c r="E68" s="24" t="str">
        <x:v>Plectropomus leopardus</x:v>
      </x:c>
      <x:c r="F68" s="24" t="str">
        <x:v>Leopard coralgrouper</x:v>
      </x:c>
      <x:c r="G68" s="24" t="str">
        <x:v>Large reef assoc. fish (&gt;=90 cm)</x:v>
      </x:c>
      <x:c r="H68" s="24" t="str">
        <x:v>Perch-likes</x:v>
      </x:c>
      <x:c r="I68" s="31" t="n">
        <x:v>675.7383540561</x:v>
      </x:c>
      <x:c r="J68" s="31" t="n">
        <x:v>675.7383540561</x:v>
      </x:c>
      <x:c r="K68" s="31" t="n">
        <x:v>0</x:v>
      </x:c>
      <x:c r="L68" s="31" t="n">
        <x:v>675.4601570183</x:v>
      </x:c>
      <x:c r="M68" s="31" t="n">
        <x:v>0.2781970378</x:v>
      </x:c>
      <x:c r="N68" s="24" t="str">
        <x:v>plectropomus leopardus</x:v>
      </x:c>
      <x:c r="O68" s="32" t="n">
        <x:v>4.42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Plectropomus leopardus</x:v>
      </x:c>
      <x:c r="T68" s="32" t="n">
        <x:f>IF(O68="","",(1/'Metadata'!$B$5)^(O68-1))</x:f>
        <x:v>2630.2679918953813</x:v>
      </x:c>
      <x:c r="U68" s="31" t="n">
        <x:f>IF(T68="","",I68*T68)</x:f>
        <x:v>1777372.9635698283</x:v>
      </x:c>
    </x:row>
    <x:row r="69" ht="18" customHeight="1">
      <x:c r="A69" s="24" t="str">
        <x:v>EEZ_036</x:v>
      </x:c>
      <x:c r="B69" s="24" t="str">
        <x:v>Australia</x:v>
      </x:c>
      <x:c r="C69" s="24" t="str">
        <x:v>EEZ</x:v>
      </x:c>
      <x:c r="D69" s="30" t="n">
        <x:v>2019</x:v>
      </x:c>
      <x:c r="E69" s="24" t="str">
        <x:v>Hemiramphidae</x:v>
      </x:c>
      <x:c r="F69" s="24" t="str">
        <x:v>Halfbeaks, garfishes</x:v>
      </x:c>
      <x:c r="G69" s="24" t="str">
        <x:v>Medium pelagics (30 - 89 cm)</x:v>
      </x:c>
      <x:c r="H69" s="24" t="str">
        <x:v>Other fishes &amp; inverts</x:v>
      </x:c>
      <x:c r="I69" s="31" t="n">
        <x:v>672.8772674521</x:v>
      </x:c>
      <x:c r="J69" s="31" t="n">
        <x:v>672.8772674521</x:v>
      </x:c>
      <x:c r="K69" s="31" t="n">
        <x:v>0</x:v>
      </x:c>
      <x:c r="L69" s="31" t="n">
        <x:v>533.3937349861</x:v>
      </x:c>
      <x:c r="M69" s="31" t="n">
        <x:v>139.483532466</x:v>
      </x:c>
      <x:c r="N69" s="24" t="str">
        <x:v>hemiramphidae</x:v>
      </x:c>
      <x:c r="O69" s="32" t="n">
        <x:v>2.82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Hemiramphidae</x:v>
      </x:c>
      <x:c r="T69" s="32" t="n">
        <x:f>IF(O69="","",(1/'Metadata'!$B$5)^(O69-1))</x:f>
        <x:v>66.06934480075958</x:v>
      </x:c>
      <x:c r="U69" s="31" t="n">
        <x:f>IF(T69="","",I69*T69)</x:f>
        <x:v>44456.560191885714</x:v>
      </x:c>
    </x:row>
    <x:row r="70" ht="18" customHeight="1">
      <x:c r="A70" s="24" t="str">
        <x:v>EEZ_036</x:v>
      </x:c>
      <x:c r="B70" s="24" t="str">
        <x:v>Australia</x:v>
      </x:c>
      <x:c r="C70" s="24" t="str">
        <x:v>EEZ</x:v>
      </x:c>
      <x:c r="D70" s="30" t="n">
        <x:v>2019</x:v>
      </x:c>
      <x:c r="E70" s="24" t="str">
        <x:v>Octopus</x:v>
      </x:c>
      <x:c r="F70" s="24" t="str">
        <x:v>Octopuses, pikas</x:v>
      </x:c>
      <x:c r="G70" s="24" t="str">
        <x:v>Cephalopods</x:v>
      </x:c>
      <x:c r="H70" s="24" t="str">
        <x:v>Other fishes &amp; inverts</x:v>
      </x:c>
      <x:c r="I70" s="31" t="n">
        <x:v>660.3821530771</x:v>
      </x:c>
      <x:c r="J70" s="31" t="n">
        <x:v>654.2793007954</x:v>
      </x:c>
      <x:c r="K70" s="31" t="n">
        <x:v>6.102852281700001</x:v>
      </x:c>
      <x:c r="L70" s="31" t="n">
        <x:v>649.9177035922</x:v>
      </x:c>
      <x:c r="M70" s="31" t="n">
        <x:v>10.464449484900001</x:v>
      </x:c>
      <x:c r="N70" s="24" t="str">
        <x:v>octopus</x:v>
      </x:c>
      <x:c r="O70" s="32" t="n">
        <x:v>3.8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Octopus</x:v>
      </x:c>
      <x:c r="T70" s="32" t="n">
        <x:f>IF(O70="","",(1/'Metadata'!$B$5)^(O70-1))</x:f>
        <x:v>630.957344480193</x:v>
      </x:c>
      <x:c r="U70" s="31" t="n">
        <x:f>IF(T70="","",I70*T70)</x:f>
        <x:v>416672.9696476394</x:v>
      </x:c>
    </x:row>
    <x:row r="71" ht="18" customHeight="1">
      <x:c r="A71" s="24" t="str">
        <x:v>EEZ_036</x:v>
      </x:c>
      <x:c r="B71" s="24" t="str">
        <x:v>Australia</x:v>
      </x:c>
      <x:c r="C71" s="24" t="str">
        <x:v>EEZ</x:v>
      </x:c>
      <x:c r="D71" s="30" t="n">
        <x:v>2019</x:v>
      </x:c>
      <x:c r="E71" s="24" t="str">
        <x:v>Trochus niloticus</x:v>
      </x:c>
      <x:c r="F71" s="24" t="str">
        <x:v>Commercial top</x:v>
      </x:c>
      <x:c r="G71" s="24" t="str">
        <x:v>Other demersal invertebrates</x:v>
      </x:c>
      <x:c r="H71" s="24" t="str">
        <x:v>Molluscs</x:v>
      </x:c>
      <x:c r="I71" s="31" t="n">
        <x:v>645.1663065671</x:v>
      </x:c>
      <x:c r="J71" s="31" t="n">
        <x:v>645.1663065671</x:v>
      </x:c>
      <x:c r="K71" s="31" t="n">
        <x:v>0</x:v>
      </x:c>
      <x:c r="L71" s="31" t="n">
        <x:v>645.1663065671</x:v>
      </x:c>
      <x:c r="M71" s="31" t="n">
        <x:v>0</x:v>
      </x:c>
      <x:c r="N71" s="24" t="str">
        <x:v>trochus niloticus</x:v>
      </x:c>
      <x:c r="O71" s="32" t="n">
        <x:v>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Trochus niloticus</x:v>
      </x:c>
      <x:c r="T71" s="32" t="n">
        <x:f>IF(O71="","",(1/'Metadata'!$B$5)^(O71-1))</x:f>
        <x:v>10</x:v>
      </x:c>
      <x:c r="U71" s="31" t="n">
        <x:f>IF(T71="","",I71*T71)</x:f>
        <x:v>6451.663065671</x:v>
      </x:c>
    </x:row>
    <x:row r="72" ht="18" customHeight="1">
      <x:c r="A72" s="24" t="str">
        <x:v>EEZ_036</x:v>
      </x:c>
      <x:c r="B72" s="24" t="str">
        <x:v>Australia</x:v>
      </x:c>
      <x:c r="C72" s="24" t="str">
        <x:v>EEZ</x:v>
      </x:c>
      <x:c r="D72" s="30" t="n">
        <x:v>2019</x:v>
      </x:c>
      <x:c r="E72" s="24" t="str">
        <x:v>Loliginidae</x:v>
      </x:c>
      <x:c r="F72" s="24" t="str">
        <x:v>Common pencil squids</x:v>
      </x:c>
      <x:c r="G72" s="24" t="str">
        <x:v>Cephalopods</x:v>
      </x:c>
      <x:c r="H72" s="24" t="str">
        <x:v>Other fishes &amp; inverts</x:v>
      </x:c>
      <x:c r="I72" s="31" t="n">
        <x:v>636.0389959656</x:v>
      </x:c>
      <x:c r="J72" s="31" t="n">
        <x:v>632.8708416596</x:v>
      </x:c>
      <x:c r="K72" s="31" t="n">
        <x:v>3.168154306</x:v>
      </x:c>
      <x:c r="L72" s="31" t="n">
        <x:v>627.2782355622</x:v>
      </x:c>
      <x:c r="M72" s="31" t="n">
        <x:v>8.760760403399999</x:v>
      </x:c>
      <x:c r="N72" s="24" t="str">
        <x:v>loliginidae</x:v>
      </x:c>
      <x:c r="O72" s="32" t="n">
        <x:v>3.9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Loliginidae</x:v>
      </x:c>
      <x:c r="T72" s="32" t="n">
        <x:f>IF(O72="","",(1/'Metadata'!$B$5)^(O72-1))</x:f>
        <x:v>794.3282347242813</x:v>
      </x:c>
      <x:c r="U72" s="31" t="n">
        <x:f>IF(T72="","",I72*T72)</x:f>
        <x:v>505223.7328811593</x:v>
      </x:c>
    </x:row>
    <x:row r="73" ht="18" customHeight="1">
      <x:c r="A73" s="24" t="str">
        <x:v>EEZ_036</x:v>
      </x:c>
      <x:c r="B73" s="24" t="str">
        <x:v>Australia</x:v>
      </x:c>
      <x:c r="C73" s="24" t="str">
        <x:v>EEZ</x:v>
      </x:c>
      <x:c r="D73" s="30" t="n">
        <x:v>2019</x:v>
      </x:c>
      <x:c r="E73" s="24" t="str">
        <x:v>Genypterus</x:v>
      </x:c>
      <x:c r="F73" s="24" t="str">
        <x:v>Genypterid cuskeels</x:v>
      </x:c>
      <x:c r="G73" s="24" t="str">
        <x:v>Large bathydemersals (&gt;=90 cm)</x:v>
      </x:c>
      <x:c r="H73" s="24" t="str">
        <x:v>Other fishes &amp; inverts</x:v>
      </x:c>
      <x:c r="I73" s="31" t="n">
        <x:v>627.2696035277</x:v>
      </x:c>
      <x:c r="J73" s="31" t="n">
        <x:v>627.2696035277</x:v>
      </x:c>
      <x:c r="K73" s="31" t="n">
        <x:v>0</x:v>
      </x:c>
      <x:c r="L73" s="31" t="n">
        <x:v>627.2348266088001</x:v>
      </x:c>
      <x:c r="M73" s="31" t="n">
        <x:v>0.0347769189</x:v>
      </x:c>
      <x:c r="N73" s="24" t="str">
        <x:v>genypterus</x:v>
      </x:c>
      <x:c r="O73" s="32" t="n">
        <x:v>4.2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Genypterus</x:v>
      </x:c>
      <x:c r="T73" s="32" t="n">
        <x:f>IF(O73="","",(1/'Metadata'!$B$5)^(O73-1))</x:f>
        <x:v>1584.893192461114</x:v>
      </x:c>
      <x:c r="U73" s="31" t="n">
        <x:f>IF(T73="","",I73*T73)</x:f>
        <x:v>994155.3244688337</x:v>
      </x:c>
    </x:row>
    <x:row r="74" ht="18" customHeight="1">
      <x:c r="A74" s="24" t="str">
        <x:v>EEZ_036</x:v>
      </x:c>
      <x:c r="B74" s="24" t="str">
        <x:v>Australia</x:v>
      </x:c>
      <x:c r="C74" s="24" t="str">
        <x:v>EEZ</x:v>
      </x:c>
      <x:c r="D74" s="30" t="n">
        <x:v>2019</x:v>
      </x:c>
      <x:c r="E74" s="24" t="str">
        <x:v>Nototodarus gouldi</x:v>
      </x:c>
      <x:c r="F74" s="24" t="str">
        <x:v>Gould's flying squid</x:v>
      </x:c>
      <x:c r="G74" s="24" t="str">
        <x:v>Cephalopods</x:v>
      </x:c>
      <x:c r="H74" s="24" t="str">
        <x:v>Other fishes &amp; inverts</x:v>
      </x:c>
      <x:c r="I74" s="31" t="n">
        <x:v>586.6592704173</x:v>
      </x:c>
      <x:c r="J74" s="31" t="n">
        <x:v>586.6592704173</x:v>
      </x:c>
      <x:c r="K74" s="31" t="n">
        <x:v>0</x:v>
      </x:c>
      <x:c r="L74" s="31" t="n">
        <x:v>586.6468355584</x:v>
      </x:c>
      <x:c r="M74" s="31" t="n">
        <x:v>0.0124348589</x:v>
      </x:c>
      <x:c r="N74" s="24" t="str">
        <x:v>nototodarus gouldi</x:v>
      </x:c>
      <x:c r="O74" s="32" t="n">
        <x:v>4.07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Nototodarus gouldi</x:v>
      </x:c>
      <x:c r="T74" s="32" t="n">
        <x:f>IF(O74="","",(1/'Metadata'!$B$5)^(O74-1))</x:f>
        <x:v>1174.8975549395302</x:v>
      </x:c>
      <x:c r="U74" s="31" t="n">
        <x:f>IF(T74="","",I74*T74)</x:f>
        <x:v>689264.5423958945</x:v>
      </x:c>
    </x:row>
    <x:row r="75" ht="18" customHeight="1">
      <x:c r="A75" s="24" t="str">
        <x:v>EEZ_036</x:v>
      </x:c>
      <x:c r="B75" s="24" t="str">
        <x:v>Australia</x:v>
      </x:c>
      <x:c r="C75" s="24" t="str">
        <x:v>EEZ</x:v>
      </x:c>
      <x:c r="D75" s="30" t="n">
        <x:v>2019</x:v>
      </x:c>
      <x:c r="E75" s="24" t="str">
        <x:v>Scylla serrata</x:v>
      </x:c>
      <x:c r="F75" s="24" t="str">
        <x:v>Indo-Pacific swamp crab</x:v>
      </x:c>
      <x:c r="G75" s="24" t="str">
        <x:v>Lobsters, crabs</x:v>
      </x:c>
      <x:c r="H75" s="24" t="str">
        <x:v>Crustaceans</x:v>
      </x:c>
      <x:c r="I75" s="31" t="n">
        <x:v>578.9643569236999</x:v>
      </x:c>
      <x:c r="J75" s="31" t="n">
        <x:v>578.9643569236999</x:v>
      </x:c>
      <x:c r="K75" s="31" t="n">
        <x:v>0</x:v>
      </x:c>
      <x:c r="L75" s="31" t="n">
        <x:v>574.0949964542</x:v>
      </x:c>
      <x:c r="M75" s="31" t="n">
        <x:v>4.8693604695</x:v>
      </x:c>
      <x:c r="N75" s="24" t="str">
        <x:v>scylla serrata</x:v>
      </x:c>
      <x:c r="O75" s="32" t="n">
        <x:v>3.17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Scylla serrata</x:v>
      </x:c>
      <x:c r="T75" s="32" t="n">
        <x:f>IF(O75="","",(1/'Metadata'!$B$5)^(O75-1))</x:f>
        <x:v>147.91083881682073</x:v>
      </x:c>
      <x:c r="U75" s="31" t="n">
        <x:f>IF(T75="","",I75*T75)</x:f>
        <x:v>85635.10367762565</x:v>
      </x:c>
    </x:row>
    <x:row r="76" ht="18" customHeight="1">
      <x:c r="A76" s="24" t="str">
        <x:v>EEZ_036</x:v>
      </x:c>
      <x:c r="B76" s="24" t="str">
        <x:v>Australia</x:v>
      </x:c>
      <x:c r="C76" s="24" t="str">
        <x:v>EEZ</x:v>
      </x:c>
      <x:c r="D76" s="30" t="n">
        <x:v>2019</x:v>
      </x:c>
      <x:c r="E76" s="24" t="str">
        <x:v>Scomberomorus</x:v>
      </x:c>
      <x:c r="F76" s="24" t="str">
        <x:v>Spanish mackerels</x:v>
      </x:c>
      <x:c r="G76" s="24" t="str">
        <x:v>Large pelagics (&gt;=90 cm)</x:v>
      </x:c>
      <x:c r="H76" s="24" t="str">
        <x:v>Perch-likes</x:v>
      </x:c>
      <x:c r="I76" s="31" t="n">
        <x:v>523.2852769671</x:v>
      </x:c>
      <x:c r="J76" s="31" t="n">
        <x:v>523.2852769671</x:v>
      </x:c>
      <x:c r="K76" s="31" t="n">
        <x:v>0</x:v>
      </x:c>
      <x:c r="L76" s="31" t="n">
        <x:v>185.6633380557</x:v>
      </x:c>
      <x:c r="M76" s="31" t="n">
        <x:v>337.6219389114</x:v>
      </x:c>
      <x:c r="N76" s="24" t="str">
        <x:v>scomberomorus</x:v>
      </x:c>
      <x:c r="O76" s="32" t="n">
        <x:v>4.35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Scomberomorus</x:v>
      </x:c>
      <x:c r="T76" s="32" t="n">
        <x:f>IF(O76="","",(1/'Metadata'!$B$5)^(O76-1))</x:f>
        <x:v>2238.7211385683377</x:v>
      </x:c>
      <x:c r="U76" s="31" t="n">
        <x:f>IF(T76="","",I76*T76)</x:f>
        <x:v>1171489.811047834</x:v>
      </x:c>
    </x:row>
    <x:row r="77" ht="18" customHeight="1">
      <x:c r="A77" s="24" t="str">
        <x:v>EEZ_036</x:v>
      </x:c>
      <x:c r="B77" s="24" t="str">
        <x:v>Australia</x:v>
      </x:c>
      <x:c r="C77" s="24" t="str">
        <x:v>EEZ</x:v>
      </x:c>
      <x:c r="D77" s="30" t="n">
        <x:v>2019</x:v>
      </x:c>
      <x:c r="E77" s="24" t="str">
        <x:v>Penaeus merguiensis</x:v>
      </x:c>
      <x:c r="F77" s="24" t="str">
        <x:v>Banana prawn</x:v>
      </x:c>
      <x:c r="G77" s="24" t="str">
        <x:v>Shrimps</x:v>
      </x:c>
      <x:c r="H77" s="24" t="str">
        <x:v>Crustaceans</x:v>
      </x:c>
      <x:c r="I77" s="31" t="n">
        <x:v>491.6067939149</x:v>
      </x:c>
      <x:c r="J77" s="31" t="n">
        <x:v>491.6067939149</x:v>
      </x:c>
      <x:c r="K77" s="31" t="n">
        <x:v>0</x:v>
      </x:c>
      <x:c r="L77" s="31" t="n">
        <x:v>491.6067939149</x:v>
      </x:c>
      <x:c r="M77" s="31" t="n">
        <x:v>0</x:v>
      </x:c>
      <x:c r="N77" s="24" t="str">
        <x:v>penaeus merguiensis</x:v>
      </x:c>
      <x:c r="O77" s="32" t="n">
        <x:v>3.77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Penaeus merguiensis</x:v>
      </x:c>
      <x:c r="T77" s="32" t="n">
        <x:f>IF(O77="","",(1/'Metadata'!$B$5)^(O77-1))</x:f>
        <x:v>588.843655355589</x:v>
      </x:c>
      <x:c r="U77" s="31" t="n">
        <x:f>IF(T77="","",I77*T77)</x:f>
        <x:v>289479.54152649146</x:v>
      </x:c>
    </x:row>
    <x:row r="78" ht="18" customHeight="1">
      <x:c r="A78" s="24" t="str">
        <x:v>EEZ_036</x:v>
      </x:c>
      <x:c r="B78" s="24" t="str">
        <x:v>Australia</x:v>
      </x:c>
      <x:c r="C78" s="24" t="str">
        <x:v>EEZ</x:v>
      </x:c>
      <x:c r="D78" s="30" t="n">
        <x:v>2019</x:v>
      </x:c>
      <x:c r="E78" s="24" t="str">
        <x:v>Lepidopus caudatus</x:v>
      </x:c>
      <x:c r="F78" s="24" t="str">
        <x:v>Silver scabbardfish</x:v>
      </x:c>
      <x:c r="G78" s="24" t="str">
        <x:v>Large bathydemersals (&gt;=90 cm)</x:v>
      </x:c>
      <x:c r="H78" s="24" t="str">
        <x:v>Perch-likes</x:v>
      </x:c>
      <x:c r="I78" s="31" t="n">
        <x:v>476.84049990169996</x:v>
      </x:c>
      <x:c r="J78" s="31" t="n">
        <x:v>193.93878685279998</x:v>
      </x:c>
      <x:c r="K78" s="31" t="n">
        <x:v>282.9017130489</x:v>
      </x:c>
      <x:c r="L78" s="31" t="n">
        <x:v>193.93878685279998</x:v>
      </x:c>
      <x:c r="M78" s="31" t="n">
        <x:v>282.9017130489</x:v>
      </x:c>
      <x:c r="N78" s="24" t="str">
        <x:v>lepidopus caudatus</x:v>
      </x:c>
      <x:c r="O78" s="32" t="n">
        <x:v>3.82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Lepidopus caudatus</x:v>
      </x:c>
      <x:c r="T78" s="32" t="n">
        <x:f>IF(O78="","",(1/'Metadata'!$B$5)^(O78-1))</x:f>
        <x:v>660.6934480075957</x:v>
      </x:c>
      <x:c r="U78" s="31" t="n">
        <x:f>IF(T78="","",I78*T78)</x:f>
        <x:v>315045.39402971976</x:v>
      </x:c>
    </x:row>
    <x:row r="79" ht="18" customHeight="1">
      <x:c r="A79" s="24" t="str">
        <x:v>EEZ_036</x:v>
      </x:c>
      <x:c r="B79" s="24" t="str">
        <x:v>Australia</x:v>
      </x:c>
      <x:c r="C79" s="24" t="str">
        <x:v>EEZ</x:v>
      </x:c>
      <x:c r="D79" s="30" t="n">
        <x:v>2019</x:v>
      </x:c>
      <x:c r="E79" s="24" t="str">
        <x:v>Kyphosus</x:v>
      </x:c>
      <x:c r="F79" s="24" t="str">
        <x:v>Sea chubs</x:v>
      </x:c>
      <x:c r="G79" s="24" t="str">
        <x:v>Medium reef assoc. fish (30 - 89 cm)</x:v>
      </x:c>
      <x:c r="H79" s="24" t="str">
        <x:v>Perch-likes</x:v>
      </x:c>
      <x:c r="I79" s="31" t="n">
        <x:v>476.11955267440004</x:v>
      </x:c>
      <x:c r="J79" s="31" t="n">
        <x:v>476.11955267440004</x:v>
      </x:c>
      <x:c r="K79" s="31" t="n">
        <x:v>0</x:v>
      </x:c>
      <x:c r="L79" s="31" t="n">
        <x:v>1.9920111585000002</x:v>
      </x:c>
      <x:c r="M79" s="31" t="n">
        <x:v>474.1275415159</x:v>
      </x:c>
      <x:c r="N79" s="24" t="str">
        <x:v>kyphosus</x:v>
      </x:c>
      <x:c r="O79" s="32" t="n">
        <x:v>2.05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Kyphosus</x:v>
      </x:c>
      <x:c r="T79" s="32" t="n">
        <x:f>IF(O79="","",(1/'Metadata'!$B$5)^(O79-1))</x:f>
        <x:v>11.220184543019629</x:v>
      </x:c>
      <x:c r="U79" s="31" t="n">
        <x:f>IF(T79="","",I79*T79)</x:f>
        <x:v>5342.149245546723</x:v>
      </x:c>
    </x:row>
    <x:row r="80" ht="18" customHeight="1">
      <x:c r="A80" s="24" t="str">
        <x:v>EEZ_036</x:v>
      </x:c>
      <x:c r="B80" s="24" t="str">
        <x:v>Australia</x:v>
      </x:c>
      <x:c r="C80" s="24" t="str">
        <x:v>EEZ</x:v>
      </x:c>
      <x:c r="D80" s="30" t="n">
        <x:v>2019</x:v>
      </x:c>
      <x:c r="E80" s="24" t="str">
        <x:v>Lethrinus</x:v>
      </x:c>
      <x:c r="F80" s="24" t="str">
        <x:v>Emperors</x:v>
      </x:c>
      <x:c r="G80" s="24" t="str">
        <x:v>Medium reef assoc. fish (30 - 89 cm)</x:v>
      </x:c>
      <x:c r="H80" s="24" t="str">
        <x:v>Perch-likes</x:v>
      </x:c>
      <x:c r="I80" s="31" t="n">
        <x:v>465.5090866626</x:v>
      </x:c>
      <x:c r="J80" s="31" t="n">
        <x:v>407.172304104</x:v>
      </x:c>
      <x:c r="K80" s="31" t="n">
        <x:v>58.3367825586</x:v>
      </x:c>
      <x:c r="L80" s="31" t="n">
        <x:v>260.5393315801</x:v>
      </x:c>
      <x:c r="M80" s="31" t="n">
        <x:v>204.9697550825</x:v>
      </x:c>
      <x:c r="N80" s="24" t="str">
        <x:v>lethrinus</x:v>
      </x:c>
      <x:c r="O80" s="32" t="n">
        <x:v>3.75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Lethrinus</x:v>
      </x:c>
      <x:c r="T80" s="32" t="n">
        <x:f>IF(O80="","",(1/'Metadata'!$B$5)^(O80-1))</x:f>
        <x:v>562.341325190349</x:v>
      </x:c>
      <x:c r="U80" s="31" t="n">
        <x:f>IF(T80="","",I80*T80)</x:f>
        <x:v>261774.99668199552</x:v>
      </x:c>
    </x:row>
    <x:row r="81" ht="18" customHeight="1">
      <x:c r="A81" s="24" t="str">
        <x:v>EEZ_036</x:v>
      </x:c>
      <x:c r="B81" s="24" t="str">
        <x:v>Australia</x:v>
      </x:c>
      <x:c r="C81" s="24" t="str">
        <x:v>EEZ</x:v>
      </x:c>
      <x:c r="D81" s="30" t="n">
        <x:v>2019</x:v>
      </x:c>
      <x:c r="E81" s="24" t="str">
        <x:v>Lutjanus argentimaculatus</x:v>
      </x:c>
      <x:c r="F81" s="24" t="str">
        <x:v>Mangrove red snapper</x:v>
      </x:c>
      <x:c r="G81" s="24" t="str">
        <x:v>Large reef assoc. fish (&gt;=90 cm)</x:v>
      </x:c>
      <x:c r="H81" s="24" t="str">
        <x:v>Perch-likes</x:v>
      </x:c>
      <x:c r="I81" s="31" t="n">
        <x:v>459.70888151170004</x:v>
      </x:c>
      <x:c r="J81" s="31" t="n">
        <x:v>459.70888151170004</x:v>
      </x:c>
      <x:c r="K81" s="31" t="n">
        <x:v>0</x:v>
      </x:c>
      <x:c r="L81" s="31" t="n">
        <x:v>90.8287971174</x:v>
      </x:c>
      <x:c r="M81" s="31" t="n">
        <x:v>368.8800843943</x:v>
      </x:c>
      <x:c r="N81" s="24" t="str">
        <x:v>lutjanus argentimaculatus</x:v>
      </x:c>
      <x:c r="O81" s="32" t="n">
        <x:v>3.58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Lutjanus argentimaculatus</x:v>
      </x:c>
      <x:c r="T81" s="32" t="n">
        <x:f>IF(O81="","",(1/'Metadata'!$B$5)^(O81-1))</x:f>
        <x:v>380.1893963205613</x:v>
      </x:c>
      <x:c r="U81" s="31" t="n">
        <x:f>IF(T81="","",I81*T81)</x:f>
        <x:v>174776.44214513368</x:v>
      </x:c>
    </x:row>
    <x:row r="82" ht="18" customHeight="1">
      <x:c r="A82" s="24" t="str">
        <x:v>EEZ_036</x:v>
      </x:c>
      <x:c r="B82" s="24" t="str">
        <x:v>Australia</x:v>
      </x:c>
      <x:c r="C82" s="24" t="str">
        <x:v>EEZ</x:v>
      </x:c>
      <x:c r="D82" s="30" t="n">
        <x:v>2019</x:v>
      </x:c>
      <x:c r="E82" s="24" t="str">
        <x:v>Girella tricuspidata</x:v>
      </x:c>
      <x:c r="F82" s="24" t="str">
        <x:v>Parore</x:v>
      </x:c>
      <x:c r="G82" s="24" t="str">
        <x:v>Medium benthopelagics (30 - 89 cm)</x:v>
      </x:c>
      <x:c r="H82" s="24" t="str">
        <x:v>Perch-likes</x:v>
      </x:c>
      <x:c r="I82" s="31" t="n">
        <x:v>451.1042078964</x:v>
      </x:c>
      <x:c r="J82" s="31" t="n">
        <x:v>451.1042078964</x:v>
      </x:c>
      <x:c r="K82" s="31" t="n">
        <x:v>0</x:v>
      </x:c>
      <x:c r="L82" s="31" t="n">
        <x:v>241.46965046900002</x:v>
      </x:c>
      <x:c r="M82" s="31" t="n">
        <x:v>209.6345574274</x:v>
      </x:c>
      <x:c r="N82" s="24" t="str">
        <x:v>girella tricuspidata</x:v>
      </x:c>
      <x:c r="O82" s="32" t="n">
        <x:v>2.09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Girella tricuspidata</x:v>
      </x:c>
      <x:c r="T82" s="32" t="n">
        <x:f>IF(O82="","",(1/'Metadata'!$B$5)^(O82-1))</x:f>
        <x:v>12.30268770812381</x:v>
      </x:c>
      <x:c r="U82" s="31" t="n">
        <x:f>IF(T82="","",I82*T82)</x:f>
        <x:v>5549.794193569968</x:v>
      </x:c>
    </x:row>
    <x:row r="83" ht="18" customHeight="1">
      <x:c r="A83" s="24" t="str">
        <x:v>EEZ_036</x:v>
      </x:c>
      <x:c r="B83" s="24" t="str">
        <x:v>Australia</x:v>
      </x:c>
      <x:c r="C83" s="24" t="str">
        <x:v>EEZ</x:v>
      </x:c>
      <x:c r="D83" s="30" t="n">
        <x:v>2019</x:v>
      </x:c>
      <x:c r="E83" s="24" t="str">
        <x:v>Teuthida</x:v>
      </x:c>
      <x:c r="F83" s="24" t="str">
        <x:v>Squids</x:v>
      </x:c>
      <x:c r="G83" s="24" t="str">
        <x:v>Cephalopods</x:v>
      </x:c>
      <x:c r="H83" s="24" t="str">
        <x:v>Other fishes &amp; inverts</x:v>
      </x:c>
      <x:c r="I83" s="31" t="n">
        <x:v>445.46603643410003</x:v>
      </x:c>
      <x:c r="J83" s="31" t="n">
        <x:v>445.237786797</x:v>
      </x:c>
      <x:c r="K83" s="31" t="n">
        <x:v>0.2282496371</x:v>
      </x:c>
      <x:c r="L83" s="31" t="n">
        <x:v>185.58331364080001</x:v>
      </x:c>
      <x:c r="M83" s="31" t="n">
        <x:v>259.88272279330005</x:v>
      </x:c>
      <x:c r="N83" s="24" t="str">
        <x:v>teuthida</x:v>
      </x:c>
      <x:c r="O83" s="32" t="n">
        <x:v>4.13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Teuthida</x:v>
      </x:c>
      <x:c r="T83" s="32" t="n">
        <x:f>IF(O83="","",(1/'Metadata'!$B$5)^(O83-1))</x:f>
        <x:v>1348.9628825916532</x:v>
      </x:c>
      <x:c r="U83" s="31" t="n">
        <x:f>IF(T83="","",I83*T83)</x:f>
        <x:v>600917.148604822</x:v>
      </x:c>
    </x:row>
    <x:row r="84" ht="18" customHeight="1">
      <x:c r="A84" s="24" t="str">
        <x:v>EEZ_036</x:v>
      </x:c>
      <x:c r="B84" s="24" t="str">
        <x:v>Australia</x:v>
      </x:c>
      <x:c r="C84" s="24" t="str">
        <x:v>EEZ</x:v>
      </x:c>
      <x:c r="D84" s="30" t="n">
        <x:v>2019</x:v>
      </x:c>
      <x:c r="E84" s="24" t="str">
        <x:v>Nemipteridae</x:v>
      </x:c>
      <x:c r="F84" s="24" t="str">
        <x:v>Threadfins, whiptail breams</x:v>
      </x:c>
      <x:c r="G84" s="24" t="str">
        <x:v>Small demersals (&lt;30 cm)</x:v>
      </x:c>
      <x:c r="H84" s="24" t="str">
        <x:v>Perch-likes</x:v>
      </x:c>
      <x:c r="I84" s="31" t="n">
        <x:v>445.2135210079</x:v>
      </x:c>
      <x:c r="J84" s="31" t="n">
        <x:v>201.01533815919998</x:v>
      </x:c>
      <x:c r="K84" s="31" t="n">
        <x:v>244.1981828487</x:v>
      </x:c>
      <x:c r="L84" s="31" t="n">
        <x:v>193.5506595372</x:v>
      </x:c>
      <x:c r="M84" s="31" t="n">
        <x:v>251.6628614707</x:v>
      </x:c>
      <x:c r="N84" s="24" t="str">
        <x:v>nemipteridae</x:v>
      </x:c>
      <x:c r="O84" s="32" t="n">
        <x:v>3.51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Nemipteridae</x:v>
      </x:c>
      <x:c r="T84" s="32" t="n">
        <x:f>IF(O84="","",(1/'Metadata'!$B$5)^(O84-1))</x:f>
        <x:v>323.5936569296281</x:v>
      </x:c>
      <x:c r="U84" s="31" t="n">
        <x:f>IF(T84="","",I84*T84)</x:f>
        <x:v>144068.27137746217</x:v>
      </x:c>
    </x:row>
    <x:row r="85" ht="18" customHeight="1">
      <x:c r="A85" s="24" t="str">
        <x:v>EEZ_036</x:v>
      </x:c>
      <x:c r="B85" s="24" t="str">
        <x:v>Australia</x:v>
      </x:c>
      <x:c r="C85" s="24" t="str">
        <x:v>EEZ</x:v>
      </x:c>
      <x:c r="D85" s="30" t="n">
        <x:v>2019</x:v>
      </x:c>
      <x:c r="E85" s="24" t="str">
        <x:v>Scorpaeniformes</x:v>
      </x:c>
      <x:c r="F85" s="24" t="str">
        <x:v>Scorpionfishes, flatheads</x:v>
      </x:c>
      <x:c r="G85" s="24" t="str">
        <x:v>Medium demersals (30 - 89 cm)</x:v>
      </x:c>
      <x:c r="H85" s="24" t="str">
        <x:v>Scorpionfishes</x:v>
      </x:c>
      <x:c r="I85" s="31" t="n">
        <x:v>432.09526382170003</x:v>
      </x:c>
      <x:c r="J85" s="31" t="n">
        <x:v>386.1764275964</x:v>
      </x:c>
      <x:c r="K85" s="31" t="n">
        <x:v>45.918836225300005</x:v>
      </x:c>
      <x:c r="L85" s="31" t="n">
        <x:v>384.6575393557</x:v>
      </x:c>
      <x:c r="M85" s="31" t="n">
        <x:v>47.437724466000006</x:v>
      </x:c>
      <x:c r="N85" s="24" t="str">
        <x:v>scorpaeniformes</x:v>
      </x:c>
      <x:c r="O85" s="32" t="n">
        <x:v>3.78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Scorpaeniformes</x:v>
      </x:c>
      <x:c r="T85" s="32" t="n">
        <x:f>IF(O85="","",(1/'Metadata'!$B$5)^(O85-1))</x:f>
        <x:v>602.5595860743575</x:v>
      </x:c>
      <x:c r="U85" s="31" t="n">
        <x:f>IF(T85="","",I85*T85)</x:f>
        <x:v>260363.1433130939</x:v>
      </x:c>
    </x:row>
    <x:row r="86" ht="18" customHeight="1">
      <x:c r="A86" s="24" t="str">
        <x:v>EEZ_036</x:v>
      </x:c>
      <x:c r="B86" s="24" t="str">
        <x:v>Australia</x:v>
      </x:c>
      <x:c r="C86" s="24" t="str">
        <x:v>EEZ</x:v>
      </x:c>
      <x:c r="D86" s="30" t="n">
        <x:v>2019</x:v>
      </x:c>
      <x:c r="E86" s="24" t="str">
        <x:v>Thunnus obesus</x:v>
      </x:c>
      <x:c r="F86" s="24" t="str">
        <x:v>Bigeye tuna</x:v>
      </x:c>
      <x:c r="G86" s="24" t="str">
        <x:v>Large pelagics (&gt;=90 cm)</x:v>
      </x:c>
      <x:c r="H86" s="24" t="str">
        <x:v>Tuna &amp; billfishes</x:v>
      </x:c>
      <x:c r="I86" s="31" t="n">
        <x:v>423.3284187785</x:v>
      </x:c>
      <x:c r="J86" s="31" t="n">
        <x:v>409.9301560745</x:v>
      </x:c>
      <x:c r="K86" s="31" t="n">
        <x:v>13.398262704</x:v>
      </x:c>
      <x:c r="L86" s="31" t="n">
        <x:v>407.8936208106</x:v>
      </x:c>
      <x:c r="M86" s="31" t="n">
        <x:v>15.4347979679</x:v>
      </x:c>
      <x:c r="N86" s="24" t="str">
        <x:v>thunnus obesus</x:v>
      </x:c>
      <x:c r="O86" s="32" t="n">
        <x:v>4.49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Thunnus obesus</x:v>
      </x:c>
      <x:c r="T86" s="32" t="n">
        <x:f>IF(O86="","",(1/'Metadata'!$B$5)^(O86-1))</x:f>
        <x:v>3090.295432513592</x:v>
      </x:c>
      <x:c r="U86" s="31" t="n">
        <x:f>IF(T86="","",I86*T86)</x:f>
        <x:v>1308209.8790043998</x:v>
      </x:c>
    </x:row>
    <x:row r="87" ht="18" customHeight="1">
      <x:c r="A87" s="24" t="str">
        <x:v>EEZ_036</x:v>
      </x:c>
      <x:c r="B87" s="24" t="str">
        <x:v>Australia</x:v>
      </x:c>
      <x:c r="C87" s="24" t="str">
        <x:v>EEZ</x:v>
      </x:c>
      <x:c r="D87" s="30" t="n">
        <x:v>2019</x:v>
      </x:c>
      <x:c r="E87" s="24" t="str">
        <x:v>Synodontidae</x:v>
      </x:c>
      <x:c r="F87" s="24" t="str">
        <x:v>Lizardfishes, sauries</x:v>
      </x:c>
      <x:c r="G87" s="24" t="str">
        <x:v>Medium demersals (30 - 89 cm)</x:v>
      </x:c>
      <x:c r="H87" s="24" t="str">
        <x:v>Other fishes &amp; inverts</x:v>
      </x:c>
      <x:c r="I87" s="31" t="n">
        <x:v>409.293245894</x:v>
      </x:c>
      <x:c r="J87" s="31" t="n">
        <x:v>6.577825338699999</x:v>
      </x:c>
      <x:c r="K87" s="31" t="n">
        <x:v>402.7154205553</x:v>
      </x:c>
      <x:c r="L87" s="31" t="n">
        <x:v>6.5772281462999995</x:v>
      </x:c>
      <x:c r="M87" s="31" t="n">
        <x:v>402.7160177477</x:v>
      </x:c>
      <x:c r="N87" s="24" t="str">
        <x:v>synodontidae</x:v>
      </x:c>
      <x:c r="O87" s="32" t="n">
        <x:v>4.3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Synodontidae</x:v>
      </x:c>
      <x:c r="T87" s="32" t="n">
        <x:f>IF(O87="","",(1/'Metadata'!$B$5)^(O87-1))</x:f>
        <x:v>1995.2623149688789</x:v>
      </x:c>
      <x:c r="U87" s="31" t="n">
        <x:f>IF(T87="","",I87*T87)</x:f>
        <x:v>816647.389303589</x:v>
      </x:c>
    </x:row>
    <x:row r="88" ht="18" customHeight="1">
      <x:c r="A88" s="24" t="str">
        <x:v>EEZ_036</x:v>
      </x:c>
      <x:c r="B88" s="24" t="str">
        <x:v>Australia</x:v>
      </x:c>
      <x:c r="C88" s="24" t="str">
        <x:v>EEZ</x:v>
      </x:c>
      <x:c r="D88" s="30" t="n">
        <x:v>2019</x:v>
      </x:c>
      <x:c r="E88" s="24" t="str">
        <x:v>Sphyraenidae</x:v>
      </x:c>
      <x:c r="F88" s="24" t="str">
        <x:v>Barracudas</x:v>
      </x:c>
      <x:c r="G88" s="24" t="str">
        <x:v>Medium reef assoc. fish (30 - 89 cm)</x:v>
      </x:c>
      <x:c r="H88" s="24" t="str">
        <x:v>Perch-likes</x:v>
      </x:c>
      <x:c r="I88" s="31" t="n">
        <x:v>405.9057090388</x:v>
      </x:c>
      <x:c r="J88" s="31" t="n">
        <x:v>399.30538756839996</x:v>
      </x:c>
      <x:c r="K88" s="31" t="n">
        <x:v>6.6003214704</x:v>
      </x:c>
      <x:c r="L88" s="31" t="n">
        <x:v>16.6980606871</x:v>
      </x:c>
      <x:c r="M88" s="31" t="n">
        <x:v>389.2076483517</x:v>
      </x:c>
      <x:c r="N88" s="24" t="str">
        <x:v>sphyraenidae</x:v>
      </x:c>
      <x:c r="O88" s="32" t="n">
        <x:v>4.4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Sphyraenidae</x:v>
      </x:c>
      <x:c r="T88" s="32" t="n">
        <x:f>IF(O88="","",(1/'Metadata'!$B$5)^(O88-1))</x:f>
        <x:v>2511.886431509582</x:v>
      </x:c>
      <x:c r="U88" s="31" t="n">
        <x:f>IF(T88="","",I88*T88)</x:f>
        <x:v>1019589.0430068381</x:v>
      </x:c>
    </x:row>
    <x:row r="89" ht="18" customHeight="1">
      <x:c r="A89" s="24" t="str">
        <x:v>EEZ_036</x:v>
      </x:c>
      <x:c r="B89" s="24" t="str">
        <x:v>Australia</x:v>
      </x:c>
      <x:c r="C89" s="24" t="str">
        <x:v>EEZ</x:v>
      </x:c>
      <x:c r="D89" s="30" t="n">
        <x:v>2019</x:v>
      </x:c>
      <x:c r="E89" s="24" t="str">
        <x:v>Octopodidae</x:v>
      </x:c>
      <x:c r="F89" s="24" t="str">
        <x:v>Octopuses</x:v>
      </x:c>
      <x:c r="G89" s="24" t="str">
        <x:v>Cephalopods</x:v>
      </x:c>
      <x:c r="H89" s="24" t="str">
        <x:v>Other fishes &amp; inverts</x:v>
      </x:c>
      <x:c r="I89" s="31" t="n">
        <x:v>384.73107317849997</x:v>
      </x:c>
      <x:c r="J89" s="31" t="n">
        <x:v>384.73107317849997</x:v>
      </x:c>
      <x:c r="K89" s="31" t="n">
        <x:v>0</x:v>
      </x:c>
      <x:c r="L89" s="31" t="n">
        <x:v>380.3122290427</x:v>
      </x:c>
      <x:c r="M89" s="31" t="n">
        <x:v>4.4188441358</x:v>
      </x:c>
      <x:c r="N89" s="24" t="str">
        <x:v>octopodidae</x:v>
      </x:c>
      <x:c r="O89" s="32" t="n">
        <x:v>3.59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Octopodidae</x:v>
      </x:c>
      <x:c r="T89" s="32" t="n">
        <x:f>IF(O89="","",(1/'Metadata'!$B$5)^(O89-1))</x:f>
        <x:v>389.04514499428046</x:v>
      </x:c>
      <x:c r="U89" s="31" t="n">
        <x:f>IF(T89="","",I89*T89)</x:f>
        <x:v>149677.75614853465</x:v>
      </x:c>
    </x:row>
    <x:row r="90" ht="18" customHeight="1">
      <x:c r="A90" s="24" t="str">
        <x:v>EEZ_036</x:v>
      </x:c>
      <x:c r="B90" s="24" t="str">
        <x:v>Australia</x:v>
      </x:c>
      <x:c r="C90" s="24" t="str">
        <x:v>EEZ</x:v>
      </x:c>
      <x:c r="D90" s="30" t="n">
        <x:v>2019</x:v>
      </x:c>
      <x:c r="E90" s="24" t="str">
        <x:v>Marine finfishes not identified</x:v>
      </x:c>
      <x:c r="F90" s="24" t="str">
        <x:v>Finfishes</x:v>
      </x:c>
      <x:c r="G90" s="24" t="str">
        <x:v>Medium demersals (30 - 89 cm)</x:v>
      </x:c>
      <x:c r="H90" s="24" t="str">
        <x:v>Other fishes &amp; inverts</x:v>
      </x:c>
      <x:c r="I90" s="31" t="n">
        <x:v>376.620158952</x:v>
      </x:c>
      <x:c r="J90" s="31" t="n">
        <x:v>258.7137394704</x:v>
      </x:c>
      <x:c r="K90" s="31" t="n">
        <x:v>117.9064194816</x:v>
      </x:c>
      <x:c r="L90" s="31" t="n">
        <x:v>258.6467680706</x:v>
      </x:c>
      <x:c r="M90" s="31" t="n">
        <x:v>117.9733908814</x:v>
      </x:c>
      <x:c r="N90" s="24" t="str">
        <x:v>marine finfishes not identified</x:v>
      </x:c>
      <x:c r="O90" s="32" t="n">
        <x:v>3.23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Marine finfishes not identified</x:v>
      </x:c>
      <x:c r="T90" s="32" t="n">
        <x:f>IF(O90="","",(1/'Metadata'!$B$5)^(O90-1))</x:f>
        <x:v>169.82436524617444</x:v>
      </x:c>
      <x:c r="U90" s="31" t="n">
        <x:f>IF(T90="","",I90*T90)</x:f>
        <x:v>63959.279432936724</x:v>
      </x:c>
    </x:row>
    <x:row r="91" ht="18" customHeight="1">
      <x:c r="A91" s="24" t="str">
        <x:v>EEZ_036</x:v>
      </x:c>
      <x:c r="B91" s="24" t="str">
        <x:v>Australia</x:v>
      </x:c>
      <x:c r="C91" s="24" t="str">
        <x:v>EEZ</x:v>
      </x:c>
      <x:c r="D91" s="30" t="n">
        <x:v>2019</x:v>
      </x:c>
      <x:c r="E91" s="24" t="str">
        <x:v>Gerres</x:v>
      </x:c>
      <x:c r="F91" s="24" t="str">
        <x:v>Silver biddies</x:v>
      </x:c>
      <x:c r="G91" s="24" t="str">
        <x:v>Small benthopelagics (&lt;30 cm)</x:v>
      </x:c>
      <x:c r="H91" s="24" t="str">
        <x:v>Perch-likes</x:v>
      </x:c>
      <x:c r="I91" s="31" t="n">
        <x:v>373.11456719399996</x:v>
      </x:c>
      <x:c r="J91" s="31" t="n">
        <x:v>373.11456719399996</x:v>
      </x:c>
      <x:c r="K91" s="31" t="n">
        <x:v>0</x:v>
      </x:c>
      <x:c r="L91" s="31" t="n">
        <x:v>373.11456719399996</x:v>
      </x:c>
      <x:c r="M91" s="31" t="n">
        <x:v>0</x:v>
      </x:c>
      <x:c r="N91" s="24" t="str">
        <x:v>gerres</x:v>
      </x:c>
      <x:c r="O91" s="32" t="n">
        <x:v>3.27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Gerres</x:v>
      </x:c>
      <x:c r="T91" s="32" t="n">
        <x:f>IF(O91="","",(1/'Metadata'!$B$5)^(O91-1))</x:f>
        <x:v>186.20871366628674</x:v>
      </x:c>
      <x:c r="U91" s="31" t="n">
        <x:f>IF(T91="","",I91*T91)</x:f>
        <x:v>69477.18360734804</x:v>
      </x:c>
    </x:row>
    <x:row r="92" ht="18" customHeight="1">
      <x:c r="A92" s="24" t="str">
        <x:v>EEZ_036</x:v>
      </x:c>
      <x:c r="B92" s="24" t="str">
        <x:v>Australia</x:v>
      </x:c>
      <x:c r="C92" s="24" t="str">
        <x:v>EEZ</x:v>
      </x:c>
      <x:c r="D92" s="30" t="n">
        <x:v>2019</x:v>
      </x:c>
      <x:c r="E92" s="24" t="str">
        <x:v>Scolopsis</x:v>
      </x:c>
      <x:c r="F92" s="24" t="str">
        <x:v>Monocle breams</x:v>
      </x:c>
      <x:c r="G92" s="24" t="str">
        <x:v>Small reef assoc. fish (&lt;30 cm)</x:v>
      </x:c>
      <x:c r="H92" s="24" t="str">
        <x:v>Perch-likes</x:v>
      </x:c>
      <x:c r="I92" s="31" t="n">
        <x:v>359.9937380147</x:v>
      </x:c>
      <x:c r="J92" s="31" t="n">
        <x:v>8.6600940318</x:v>
      </x:c>
      <x:c r="K92" s="31" t="n">
        <x:v>351.3336439829</x:v>
      </x:c>
      <x:c r="L92" s="31" t="n">
        <x:v>8.653115057700001</x:v>
      </x:c>
      <x:c r="M92" s="31" t="n">
        <x:v>351.340622957</x:v>
      </x:c>
      <x:c r="N92" s="24" t="str">
        <x:v>scolopsis</x:v>
      </x:c>
      <x:c r="O92" s="32" t="n">
        <x:v>3.3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Scolopsis</x:v>
      </x:c>
      <x:c r="T92" s="32" t="n">
        <x:f>IF(O92="","",(1/'Metadata'!$B$5)^(O92-1))</x:f>
        <x:v>199.52623149688787</x:v>
      </x:c>
      <x:c r="U92" s="31" t="n">
        <x:f>IF(T92="","",I92*T92)</x:f>
        <x:v>71828.19390855104</x:v>
      </x:c>
    </x:row>
    <x:row r="93" ht="18" customHeight="1">
      <x:c r="A93" s="24" t="str">
        <x:v>EEZ_036</x:v>
      </x:c>
      <x:c r="B93" s="24" t="str">
        <x:v>Australia</x:v>
      </x:c>
      <x:c r="C93" s="24" t="str">
        <x:v>EEZ</x:v>
      </x:c>
      <x:c r="D93" s="30" t="n">
        <x:v>2019</x:v>
      </x:c>
      <x:c r="E93" s="24" t="str">
        <x:v>Portunidae</x:v>
      </x:c>
      <x:c r="F93" s="24" t="str">
        <x:v>Swimming crabs</x:v>
      </x:c>
      <x:c r="G93" s="24" t="str">
        <x:v>Lobsters, crabs</x:v>
      </x:c>
      <x:c r="H93" s="24" t="str">
        <x:v>Crustaceans</x:v>
      </x:c>
      <x:c r="I93" s="31" t="n">
        <x:v>359.7472076</x:v>
      </x:c>
      <x:c r="J93" s="31" t="n">
        <x:v>154.3798436436</x:v>
      </x:c>
      <x:c r="K93" s="31" t="n">
        <x:v>205.3673639564</x:v>
      </x:c>
      <x:c r="L93" s="31" t="n">
        <x:v>101.08010188969999</x:v>
      </x:c>
      <x:c r="M93" s="31" t="n">
        <x:v>258.6671057103</x:v>
      </x:c>
      <x:c r="N93" s="24" t="str">
        <x:v>portunidae</x:v>
      </x:c>
      <x:c r="O93" s="32" t="n">
        <x:v>3.56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Portunidae</x:v>
      </x:c>
      <x:c r="T93" s="32" t="n">
        <x:f>IF(O93="","",(1/'Metadata'!$B$5)^(O93-1))</x:f>
        <x:v>363.0780547701014</x:v>
      </x:c>
      <x:c r="U93" s="31" t="n">
        <x:f>IF(T93="","",I93*T93)</x:f>
        <x:v>130616.31634438384</x:v>
      </x:c>
    </x:row>
    <x:row r="94" ht="18" customHeight="1">
      <x:c r="A94" s="24" t="str">
        <x:v>EEZ_036</x:v>
      </x:c>
      <x:c r="B94" s="24" t="str">
        <x:v>Australia</x:v>
      </x:c>
      <x:c r="C94" s="24" t="str">
        <x:v>EEZ</x:v>
      </x:c>
      <x:c r="D94" s="30" t="n">
        <x:v>2019</x:v>
      </x:c>
      <x:c r="E94" s="24" t="str">
        <x:v>Lethrinus nebulosus</x:v>
      </x:c>
      <x:c r="F94" s="24" t="str">
        <x:v>Spangled emperor</x:v>
      </x:c>
      <x:c r="G94" s="24" t="str">
        <x:v>Medium demersals (30 - 89 cm)</x:v>
      </x:c>
      <x:c r="H94" s="24" t="str">
        <x:v>Perch-likes</x:v>
      </x:c>
      <x:c r="I94" s="31" t="n">
        <x:v>358.227957058</x:v>
      </x:c>
      <x:c r="J94" s="31" t="n">
        <x:v>358.227957058</x:v>
      </x:c>
      <x:c r="K94" s="31" t="n">
        <x:v>0</x:v>
      </x:c>
      <x:c r="L94" s="31" t="n">
        <x:v>120.85911749659999</x:v>
      </x:c>
      <x:c r="M94" s="31" t="n">
        <x:v>237.3688395614</x:v>
      </x:c>
      <x:c r="N94" s="24" t="str">
        <x:v>lethrinus nebulosus</x:v>
      </x:c>
      <x:c r="O94" s="32" t="n">
        <x:v>3.76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Lethrinus nebulosus</x:v>
      </x:c>
      <x:c r="T94" s="32" t="n">
        <x:f>IF(O94="","",(1/'Metadata'!$B$5)^(O94-1))</x:f>
        <x:v>575.4399373371566</x:v>
      </x:c>
      <x:c r="U94" s="31" t="n">
        <x:f>IF(T94="","",I94*T94)</x:f>
        <x:v>206138.67316187316</x:v>
      </x:c>
    </x:row>
    <x:row r="95" ht="18" customHeight="1">
      <x:c r="A95" s="24" t="str">
        <x:v>EEZ_036</x:v>
      </x:c>
      <x:c r="B95" s="24" t="str">
        <x:v>Australia</x:v>
      </x:c>
      <x:c r="C95" s="24" t="str">
        <x:v>EEZ</x:v>
      </x:c>
      <x:c r="D95" s="30" t="n">
        <x:v>2019</x:v>
      </x:c>
      <x:c r="E95" s="24" t="str">
        <x:v>Nemadactylus</x:v>
      </x:c>
      <x:c r="F95" s="24" t="str">
        <x:v>Porae</x:v>
      </x:c>
      <x:c r="G95" s="24" t="str">
        <x:v>Medium demersals (30 - 89 cm)</x:v>
      </x:c>
      <x:c r="H95" s="24" t="str">
        <x:v>Perch-likes</x:v>
      </x:c>
      <x:c r="I95" s="31" t="n">
        <x:v>352.6925623979</x:v>
      </x:c>
      <x:c r="J95" s="31" t="n">
        <x:v>352.6925623979</x:v>
      </x:c>
      <x:c r="K95" s="31" t="n">
        <x:v>0</x:v>
      </x:c>
      <x:c r="L95" s="31" t="n">
        <x:v>94.2511389604</x:v>
      </x:c>
      <x:c r="M95" s="31" t="n">
        <x:v>258.4414234375</x:v>
      </x:c>
      <x:c r="N95" s="24" t="str">
        <x:v>nemadactylus</x:v>
      </x:c>
      <x:c r="O95" s="32" t="n">
        <x:v>3.32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Nemadactylus</x:v>
      </x:c>
      <x:c r="T95" s="32" t="n">
        <x:f>IF(O95="","",(1/'Metadata'!$B$5)^(O95-1))</x:f>
        <x:v>208.92961308540387</x:v>
      </x:c>
      <x:c r="U95" s="31" t="n">
        <x:f>IF(T95="","",I95*T95)</x:f>
        <x:v>73687.92059989291</x:v>
      </x:c>
    </x:row>
    <x:row r="96" ht="18" customHeight="1">
      <x:c r="A96" s="24" t="str">
        <x:v>EEZ_036</x:v>
      </x:c>
      <x:c r="B96" s="24" t="str">
        <x:v>Australia</x:v>
      </x:c>
      <x:c r="C96" s="24" t="str">
        <x:v>EEZ</x:v>
      </x:c>
      <x:c r="D96" s="30" t="n">
        <x:v>2019</x:v>
      </x:c>
      <x:c r="E96" s="24" t="str">
        <x:v>Hoplostethus atlanticus</x:v>
      </x:c>
      <x:c r="F96" s="24" t="str">
        <x:v>Orange roughy</x:v>
      </x:c>
      <x:c r="G96" s="24" t="str">
        <x:v>Medium bathypelagics (30 - 89 cm)</x:v>
      </x:c>
      <x:c r="H96" s="24" t="str">
        <x:v>Other fishes &amp; inverts</x:v>
      </x:c>
      <x:c r="I96" s="31" t="n">
        <x:v>350.5115343702</x:v>
      </x:c>
      <x:c r="J96" s="31" t="n">
        <x:v>345.1112967358</x:v>
      </x:c>
      <x:c r="K96" s="31" t="n">
        <x:v>5.4002376344</x:v>
      </x:c>
      <x:c r="L96" s="31" t="n">
        <x:v>345.1112967358</x:v>
      </x:c>
      <x:c r="M96" s="31" t="n">
        <x:v>5.4002376344</x:v>
      </x:c>
      <x:c r="N96" s="24" t="str">
        <x:v>hoplostethus atlanticus</x:v>
      </x:c>
      <x:c r="O96" s="32" t="n">
        <x:v>4.25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Hoplostethus atlanticus</x:v>
      </x:c>
      <x:c r="T96" s="32" t="n">
        <x:f>IF(O96="","",(1/'Metadata'!$B$5)^(O96-1))</x:f>
        <x:v>1778.2794100389228</x:v>
      </x:c>
      <x:c r="U96" s="31" t="n">
        <x:f>IF(T96="","",I96*T96)</x:f>
        <x:v>623307.444551677</x:v>
      </x:c>
    </x:row>
    <x:row r="97" ht="18" customHeight="1">
      <x:c r="A97" s="24" t="str">
        <x:v>EEZ_036</x:v>
      </x:c>
      <x:c r="B97" s="24" t="str">
        <x:v>Australia</x:v>
      </x:c>
      <x:c r="C97" s="24" t="str">
        <x:v>EEZ</x:v>
      </x:c>
      <x:c r="D97" s="30" t="n">
        <x:v>2019</x:v>
      </x:c>
      <x:c r="E97" s="24" t="str">
        <x:v>Lethrinus miniatus</x:v>
      </x:c>
      <x:c r="F97" s="24" t="str">
        <x:v>Trumpet emperor</x:v>
      </x:c>
      <x:c r="G97" s="24" t="str">
        <x:v>Medium reef assoc. fish (30 - 89 cm)</x:v>
      </x:c>
      <x:c r="H97" s="24" t="str">
        <x:v>Perch-likes</x:v>
      </x:c>
      <x:c r="I97" s="31" t="n">
        <x:v>349.1354691</x:v>
      </x:c>
      <x:c r="J97" s="31" t="n">
        <x:v>349.1354691</x:v>
      </x:c>
      <x:c r="K97" s="31" t="n">
        <x:v>0</x:v>
      </x:c>
      <x:c r="L97" s="31" t="n">
        <x:v>246.5496519385</x:v>
      </x:c>
      <x:c r="M97" s="31" t="n">
        <x:v>102.5858171615</x:v>
      </x:c>
      <x:c r="N97" s="24" t="str">
        <x:v>lethrinus miniatus</x:v>
      </x:c>
      <x:c r="O97" s="32" t="n">
        <x:v>4.19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Lethrinus miniatus</x:v>
      </x:c>
      <x:c r="T97" s="32" t="n">
        <x:f>IF(O97="","",(1/'Metadata'!$B$5)^(O97-1))</x:f>
        <x:v>1548.8166189124827</x:v>
      </x:c>
      <x:c r="U97" s="31" t="n">
        <x:f>IF(T97="","",I97*T97)</x:f>
        <x:v>540746.8167938857</x:v>
      </x:c>
    </x:row>
    <x:row r="98" ht="18" customHeight="1">
      <x:c r="A98" s="24" t="str">
        <x:v>EEZ_036</x:v>
      </x:c>
      <x:c r="B98" s="24" t="str">
        <x:v>Australia</x:v>
      </x:c>
      <x:c r="C98" s="24" t="str">
        <x:v>EEZ</x:v>
      </x:c>
      <x:c r="D98" s="30" t="n">
        <x:v>2019</x:v>
      </x:c>
      <x:c r="E98" s="24" t="str">
        <x:v>Engraulidae</x:v>
      </x:c>
      <x:c r="F98" s="24" t="str">
        <x:v>Anchovies, round herrings</x:v>
      </x:c>
      <x:c r="G98" s="24" t="str">
        <x:v>Small pelagics (&lt;30 cm)</x:v>
      </x:c>
      <x:c r="H98" s="24" t="str">
        <x:v>Anchovies</x:v>
      </x:c>
      <x:c r="I98" s="31" t="n">
        <x:v>342.824147956</x:v>
      </x:c>
      <x:c r="J98" s="31" t="n">
        <x:v>136.8649471427</x:v>
      </x:c>
      <x:c r="K98" s="31" t="n">
        <x:v>205.9592008133</x:v>
      </x:c>
      <x:c r="L98" s="31" t="n">
        <x:v>136.8646083982</x:v>
      </x:c>
      <x:c r="M98" s="31" t="n">
        <x:v>205.95953955779999</x:v>
      </x:c>
      <x:c r="N98" s="24" t="str">
        <x:v>engraulidae</x:v>
      </x:c>
      <x:c r="O98" s="32" t="n">
        <x:v>3.2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Engraulidae</x:v>
      </x:c>
      <x:c r="T98" s="32" t="n">
        <x:f>IF(O98="","",(1/'Metadata'!$B$5)^(O98-1))</x:f>
        <x:v>158.48931924611142</x:v>
      </x:c>
      <x:c r="U98" s="31" t="n">
        <x:f>IF(T98="","",I98*T98)</x:f>
        <x:v>54333.96583067462</x:v>
      </x:c>
    </x:row>
    <x:row r="99" ht="18" customHeight="1">
      <x:c r="A99" s="24" t="str">
        <x:v>EEZ_036</x:v>
      </x:c>
      <x:c r="B99" s="24" t="str">
        <x:v>Australia</x:v>
      </x:c>
      <x:c r="C99" s="24" t="str">
        <x:v>EEZ</x:v>
      </x:c>
      <x:c r="D99" s="30" t="n">
        <x:v>2019</x:v>
      </x:c>
      <x:c r="E99" s="24" t="str">
        <x:v>Palinuridae</x:v>
      </x:c>
      <x:c r="F99" s="24" t="str">
        <x:v>Spiny lobsters</x:v>
      </x:c>
      <x:c r="G99" s="24" t="str">
        <x:v>Lobsters, crabs</x:v>
      </x:c>
      <x:c r="H99" s="24" t="str">
        <x:v>Crustaceans</x:v>
      </x:c>
      <x:c r="I99" s="31" t="n">
        <x:v>337.8568256393</x:v>
      </x:c>
      <x:c r="J99" s="31" t="n">
        <x:v>337.8568256393</x:v>
      </x:c>
      <x:c r="K99" s="31" t="n">
        <x:v>0</x:v>
      </x:c>
      <x:c r="L99" s="31" t="n">
        <x:v>22.8265425829</x:v>
      </x:c>
      <x:c r="M99" s="31" t="n">
        <x:v>315.0302830564</x:v>
      </x:c>
      <x:c r="N99" s="24" t="str">
        <x:v>palinuridae</x:v>
      </x:c>
      <x:c r="O99" s="32" t="n">
        <x:v>3.14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Palinuridae</x:v>
      </x:c>
      <x:c r="T99" s="32" t="n">
        <x:f>IF(O99="","",(1/'Metadata'!$B$5)^(O99-1))</x:f>
        <x:v>138.03842646028852</x:v>
      </x:c>
      <x:c r="U99" s="31" t="n">
        <x:f>IF(T99="","",I99*T99)</x:f>
        <x:v>46637.22458011703</x:v>
      </x:c>
    </x:row>
    <x:row r="100" ht="18" customHeight="1">
      <x:c r="A100" s="24" t="str">
        <x:v>EEZ_036</x:v>
      </x:c>
      <x:c r="B100" s="24" t="str">
        <x:v>Australia</x:v>
      </x:c>
      <x:c r="C100" s="24" t="str">
        <x:v>EEZ</x:v>
      </x:c>
      <x:c r="D100" s="30" t="n">
        <x:v>2019</x:v>
      </x:c>
      <x:c r="E100" s="24" t="str">
        <x:v>Pinna bicolor</x:v>
      </x:c>
      <x:c r="F100" s="24" t="str">
        <x:v>Bicolor pen shell</x:v>
      </x:c>
      <x:c r="G100" s="24" t="str">
        <x:v>Other demersal invertebrates</x:v>
      </x:c>
      <x:c r="H100" s="24" t="str">
        <x:v>Molluscs</x:v>
      </x:c>
      <x:c r="I100" s="31" t="n">
        <x:v>323.6492924967</x:v>
      </x:c>
      <x:c r="J100" s="31" t="n">
        <x:v>323.6492924967</x:v>
      </x:c>
      <x:c r="K100" s="31" t="n">
        <x:v>0</x:v>
      </x:c>
      <x:c r="L100" s="31" t="n">
        <x:v>0</x:v>
      </x:c>
      <x:c r="M100" s="31" t="n">
        <x:v>323.6492924967</x:v>
      </x:c>
      <x:c r="N100" s="24" t="str">
        <x:v>pinna bicolor</x:v>
      </x:c>
      <x:c r="O100" s="32" t="n">
        <x:v>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Pinna bicolor</x:v>
      </x:c>
      <x:c r="T100" s="32" t="n">
        <x:f>IF(O100="","",(1/'Metadata'!$B$5)^(O100-1))</x:f>
        <x:v>10</x:v>
      </x:c>
      <x:c r="U100" s="31" t="n">
        <x:f>IF(T100="","",I100*T100)</x:f>
        <x:v>3236.4929249670004</x:v>
      </x:c>
    </x:row>
    <x:row r="101" ht="18" customHeight="1">
      <x:c r="A101" s="24" t="str">
        <x:v>EEZ_036</x:v>
      </x:c>
      <x:c r="B101" s="24" t="str">
        <x:v>Australia</x:v>
      </x:c>
      <x:c r="C101" s="24" t="str">
        <x:v>EEZ</x:v>
      </x:c>
      <x:c r="D101" s="30" t="n">
        <x:v>2019</x:v>
      </x:c>
      <x:c r="E101" s="24" t="str">
        <x:v>Hyperoglyphe antarctica</x:v>
      </x:c>
      <x:c r="F101" s="24" t="str">
        <x:v>Bluenose warehou</x:v>
      </x:c>
      <x:c r="G101" s="24" t="str">
        <x:v>Large benthopelagics (&gt;=90 cm)</x:v>
      </x:c>
      <x:c r="H101" s="24" t="str">
        <x:v>Perch-likes</x:v>
      </x:c>
      <x:c r="I101" s="31" t="n">
        <x:v>322.00061235090004</x:v>
      </x:c>
      <x:c r="J101" s="31" t="n">
        <x:v>321.61044626430004</x:v>
      </x:c>
      <x:c r="K101" s="31" t="n">
        <x:v>0.3901660866</x:v>
      </x:c>
      <x:c r="L101" s="31" t="n">
        <x:v>320.3554960727</x:v>
      </x:c>
      <x:c r="M101" s="31" t="n">
        <x:v>1.6451162782000002</x:v>
      </x:c>
      <x:c r="N101" s="24" t="str">
        <x:v>hyperoglyphe antarctica</x:v>
      </x:c>
      <x:c r="O101" s="32" t="n">
        <x:v>3.95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Hyperoglyphe antarctica</x:v>
      </x:c>
      <x:c r="T101" s="32" t="n">
        <x:f>IF(O101="","",(1/'Metadata'!$B$5)^(O101-1))</x:f>
        <x:v>891.2509381337459</x:v>
      </x:c>
      <x:c r="U101" s="31" t="n">
        <x:f>IF(T101="","",I101*T101)</x:f>
        <x:v>286983.3478373803</x:v>
      </x:c>
    </x:row>
    <x:row r="102" ht="18" customHeight="1">
      <x:c r="A102" s="24" t="str">
        <x:v>EEZ_036</x:v>
      </x:c>
      <x:c r="B102" s="24" t="str">
        <x:v>Australia</x:v>
      </x:c>
      <x:c r="C102" s="24" t="str">
        <x:v>EEZ</x:v>
      </x:c>
      <x:c r="D102" s="30" t="n">
        <x:v>2019</x:v>
      </x:c>
      <x:c r="E102" s="24" t="str">
        <x:v>Mullidae</x:v>
      </x:c>
      <x:c r="F102" s="24" t="str">
        <x:v>Goatfishes</x:v>
      </x:c>
      <x:c r="G102" s="24" t="str">
        <x:v>Medium reef assoc. fish (30 - 89 cm)</x:v>
      </x:c>
      <x:c r="H102" s="24" t="str">
        <x:v>Perch-likes</x:v>
      </x:c>
      <x:c r="I102" s="31" t="n">
        <x:v>311.12000096639997</x:v>
      </x:c>
      <x:c r="J102" s="31" t="n">
        <x:v>110.5332949579</x:v>
      </x:c>
      <x:c r="K102" s="31" t="n">
        <x:v>200.5867060085</x:v>
      </x:c>
      <x:c r="L102" s="31" t="n">
        <x:v>81.8245522238</x:v>
      </x:c>
      <x:c r="M102" s="31" t="n">
        <x:v>229.2954487426</x:v>
      </x:c>
      <x:c r="N102" s="24" t="str">
        <x:v>mullidae</x:v>
      </x:c>
      <x:c r="O102" s="32" t="n">
        <x:v>3.46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Mullidae</x:v>
      </x:c>
      <x:c r="T102" s="32" t="n">
        <x:f>IF(O102="","",(1/'Metadata'!$B$5)^(O102-1))</x:f>
        <x:v>288.40315031266056</x:v>
      </x:c>
      <x:c r="U102" s="31" t="n">
        <x:f>IF(T102="","",I102*T102)</x:f>
        <x:v>89727.98840398775</x:v>
      </x:c>
    </x:row>
    <x:row r="103" ht="18" customHeight="1">
      <x:c r="A103" s="24" t="str">
        <x:v>EEZ_036</x:v>
      </x:c>
      <x:c r="B103" s="24" t="str">
        <x:v>Australia</x:v>
      </x:c>
      <x:c r="C103" s="24" t="str">
        <x:v>EEZ</x:v>
      </x:c>
      <x:c r="D103" s="30" t="n">
        <x:v>2019</x:v>
      </x:c>
      <x:c r="E103" s="24" t="str">
        <x:v>Lepidorhynchus denticulatus</x:v>
      </x:c>
      <x:c r="F103" s="24" t="str">
        <x:v>Thorntooth grenadier</x:v>
      </x:c>
      <x:c r="G103" s="24" t="str">
        <x:v>Medium bathypelagics (30 - 89 cm)</x:v>
      </x:c>
      <x:c r="H103" s="24" t="str">
        <x:v>Cod-likes</x:v>
      </x:c>
      <x:c r="I103" s="31" t="n">
        <x:v>300.21101140260004</x:v>
      </x:c>
      <x:c r="J103" s="31" t="n">
        <x:v>5.4449626987</x:v>
      </x:c>
      <x:c r="K103" s="31" t="n">
        <x:v>294.7660487039</x:v>
      </x:c>
      <x:c r="L103" s="31" t="n">
        <x:v>5.4449626987</x:v>
      </x:c>
      <x:c r="M103" s="31" t="n">
        <x:v>294.7660487039</x:v>
      </x:c>
      <x:c r="N103" s="24" t="str">
        <x:v>lepidorhynchus denticulatus</x:v>
      </x:c>
      <x:c r="O103" s="32" t="n">
        <x:v>3.88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Lepidorhynchus denticulatus</x:v>
      </x:c>
      <x:c r="T103" s="32" t="n">
        <x:f>IF(O103="","",(1/'Metadata'!$B$5)^(O103-1))</x:f>
        <x:v>758.5775750291835</x:v>
      </x:c>
      <x:c r="U103" s="31" t="n">
        <x:f>IF(T103="","",I103*T103)</x:f>
        <x:v>227733.3410268429</x:v>
      </x:c>
    </x:row>
    <x:row r="104" ht="18" customHeight="1">
      <x:c r="A104" s="24" t="str">
        <x:v>EEZ_036</x:v>
      </x:c>
      <x:c r="B104" s="24" t="str">
        <x:v>Australia</x:v>
      </x:c>
      <x:c r="C104" s="24" t="str">
        <x:v>EEZ</x:v>
      </x:c>
      <x:c r="D104" s="30" t="n">
        <x:v>2019</x:v>
      </x:c>
      <x:c r="E104" s="24" t="str">
        <x:v>Ephippidae</x:v>
      </x:c>
      <x:c r="F104" s="24" t="str">
        <x:v>Spade-, batfishes, scats</x:v>
      </x:c>
      <x:c r="G104" s="24" t="str">
        <x:v>Medium reef assoc. fish (30 - 89 cm)</x:v>
      </x:c>
      <x:c r="H104" s="24" t="str">
        <x:v>Perch-likes</x:v>
      </x:c>
      <x:c r="I104" s="31" t="n">
        <x:v>295.86105264910003</x:v>
      </x:c>
      <x:c r="J104" s="31" t="n">
        <x:v>0.5344974719000001</x:v>
      </x:c>
      <x:c r="K104" s="31" t="n">
        <x:v>295.3265551772</x:v>
      </x:c>
      <x:c r="L104" s="31" t="n">
        <x:v>0.5270575085</x:v>
      </x:c>
      <x:c r="M104" s="31" t="n">
        <x:v>295.3339951406</x:v>
      </x:c>
      <x:c r="N104" s="24" t="str">
        <x:v>ephippidae</x:v>
      </x:c>
      <x:c r="O104" s="32" t="n">
        <x:v>3.57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Ephippidae</x:v>
      </x:c>
      <x:c r="T104" s="32" t="n">
        <x:f>IF(O104="","",(1/'Metadata'!$B$5)^(O104-1))</x:f>
        <x:v>371.5352290971724</x:v>
      </x:c>
      <x:c r="U104" s="31" t="n">
        <x:f>IF(T104="","",I104*T104)</x:f>
        <x:v>109922.80397691397</x:v>
      </x:c>
    </x:row>
    <x:row r="105" ht="18" customHeight="1">
      <x:c r="A105" s="24" t="str">
        <x:v>EEZ_036</x:v>
      </x:c>
      <x:c r="B105" s="24" t="str">
        <x:v>Australia</x:v>
      </x:c>
      <x:c r="C105" s="24" t="str">
        <x:v>EEZ</x:v>
      </x:c>
      <x:c r="D105" s="30" t="n">
        <x:v>2019</x:v>
      </x:c>
      <x:c r="E105" s="24" t="str">
        <x:v>Carcharhinus brachyurus</x:v>
      </x:c>
      <x:c r="F105" s="24" t="str">
        <x:v>Copper shark</x:v>
      </x:c>
      <x:c r="G105" s="24" t="str">
        <x:v>Large sharks (&gt;=90 cm)</x:v>
      </x:c>
      <x:c r="H105" s="24" t="str">
        <x:v>Sharks &amp; rays</x:v>
      </x:c>
      <x:c r="I105" s="31" t="n">
        <x:v>289.53826458450004</x:v>
      </x:c>
      <x:c r="J105" s="31" t="n">
        <x:v>289.53826458450004</x:v>
      </x:c>
      <x:c r="K105" s="31" t="n">
        <x:v>0</x:v>
      </x:c>
      <x:c r="L105" s="31" t="n">
        <x:v>264.80938454610003</x:v>
      </x:c>
      <x:c r="M105" s="31" t="n">
        <x:v>24.7288800384</x:v>
      </x:c>
      <x:c r="N105" s="24" t="str">
        <x:v>carcharhinus brachyurus</x:v>
      </x:c>
      <x:c r="O105" s="32" t="n">
        <x:v>4.5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Carcharhinus brachyurus</x:v>
      </x:c>
      <x:c r="T105" s="32" t="n">
        <x:f>IF(O105="","",(1/'Metadata'!$B$5)^(O105-1))</x:f>
        <x:v>3162.2776601683795</x:v>
      </x:c>
      <x:c r="U105" s="31" t="n">
        <x:f>IF(T105="","",I105*T105)</x:f>
        <x:v>915600.385859486</x:v>
      </x:c>
    </x:row>
    <x:row r="106" ht="18" customHeight="1">
      <x:c r="A106" s="24" t="str">
        <x:v>EEZ_036</x:v>
      </x:c>
      <x:c r="B106" s="24" t="str">
        <x:v>Australia</x:v>
      </x:c>
      <x:c r="C106" s="24" t="str">
        <x:v>EEZ</x:v>
      </x:c>
      <x:c r="D106" s="30" t="n">
        <x:v>2019</x:v>
      </x:c>
      <x:c r="E106" s="24" t="str">
        <x:v>Caranx ignobilis</x:v>
      </x:c>
      <x:c r="F106" s="24" t="str">
        <x:v>Giant trevally</x:v>
      </x:c>
      <x:c r="G106" s="24" t="str">
        <x:v>Large reef assoc. fish (&gt;=90 cm)</x:v>
      </x:c>
      <x:c r="H106" s="24" t="str">
        <x:v>Perch-likes</x:v>
      </x:c>
      <x:c r="I106" s="31" t="n">
        <x:v>288.4408404858</x:v>
      </x:c>
      <x:c r="J106" s="31" t="n">
        <x:v>288.4408404858</x:v>
      </x:c>
      <x:c r="K106" s="31" t="n">
        <x:v>0</x:v>
      </x:c>
      <x:c r="L106" s="31" t="n">
        <x:v>14.5046597079</x:v>
      </x:c>
      <x:c r="M106" s="31" t="n">
        <x:v>273.9361807779</x:v>
      </x:c>
      <x:c r="N106" s="24" t="str">
        <x:v>caranx ignobilis</x:v>
      </x:c>
      <x:c r="O106" s="32" t="n">
        <x:v>4.22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Caranx ignobilis</x:v>
      </x:c>
      <x:c r="T106" s="32" t="n">
        <x:f>IF(O106="","",(1/'Metadata'!$B$5)^(O106-1))</x:f>
        <x:v>1659.5869074375596</x:v>
      </x:c>
      <x:c r="U106" s="31" t="n">
        <x:f>IF(T106="","",I106*T106)</x:f>
        <x:v>478692.64244051924</x:v>
      </x:c>
    </x:row>
    <x:row r="107" ht="18" customHeight="1">
      <x:c r="A107" s="24" t="str">
        <x:v>EEZ_036</x:v>
      </x:c>
      <x:c r="B107" s="24" t="str">
        <x:v>Australia</x:v>
      </x:c>
      <x:c r="C107" s="24" t="str">
        <x:v>EEZ</x:v>
      </x:c>
      <x:c r="D107" s="30" t="n">
        <x:v>2019</x:v>
      </x:c>
      <x:c r="E107" s="24" t="str">
        <x:v>Seriola lalandi</x:v>
      </x:c>
      <x:c r="F107" s="24" t="str">
        <x:v>Yellowtail amberjack</x:v>
      </x:c>
      <x:c r="G107" s="24" t="str">
        <x:v>Large benthopelagics (&gt;=90 cm)</x:v>
      </x:c>
      <x:c r="H107" s="24" t="str">
        <x:v>Perch-likes</x:v>
      </x:c>
      <x:c r="I107" s="31" t="n">
        <x:v>283.6716622321</x:v>
      </x:c>
      <x:c r="J107" s="31" t="n">
        <x:v>283.6716622321</x:v>
      </x:c>
      <x:c r="K107" s="31" t="n">
        <x:v>0</x:v>
      </x:c>
      <x:c r="L107" s="31" t="n">
        <x:v>256.3573679635</x:v>
      </x:c>
      <x:c r="M107" s="31" t="n">
        <x:v>27.3142942686</x:v>
      </x:c>
      <x:c r="N107" s="24" t="str">
        <x:v>seriola lalandi</x:v>
      </x:c>
      <x:c r="O107" s="32" t="n">
        <x:v>4.16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Seriola lalandi</x:v>
      </x:c>
      <x:c r="T107" s="32" t="n">
        <x:f>IF(O107="","",(1/'Metadata'!$B$5)^(O107-1))</x:f>
        <x:v>1445.439770745928</x:v>
      </x:c>
      <x:c r="U107" s="31" t="n">
        <x:f>IF(T107="","",I107*T107)</x:f>
        <x:v>410030.30242388294</x:v>
      </x:c>
    </x:row>
    <x:row r="108" ht="18" customHeight="1">
      <x:c r="A108" s="24" t="str">
        <x:v>EEZ_036</x:v>
      </x:c>
      <x:c r="B108" s="24" t="str">
        <x:v>Australia</x:v>
      </x:c>
      <x:c r="C108" s="24" t="str">
        <x:v>EEZ</x:v>
      </x:c>
      <x:c r="D108" s="30" t="n">
        <x:v>2019</x:v>
      </x:c>
      <x:c r="E108" s="24" t="str">
        <x:v>Galeorhinus galeus</x:v>
      </x:c>
      <x:c r="F108" s="24" t="str">
        <x:v>Tope shark</x:v>
      </x:c>
      <x:c r="G108" s="24" t="str">
        <x:v>Large sharks (&gt;=90 cm)</x:v>
      </x:c>
      <x:c r="H108" s="24" t="str">
        <x:v>Sharks &amp; rays</x:v>
      </x:c>
      <x:c r="I108" s="31" t="n">
        <x:v>282.21002095759997</x:v>
      </x:c>
      <x:c r="J108" s="31" t="n">
        <x:v>282.21002095759997</x:v>
      </x:c>
      <x:c r="K108" s="31" t="n">
        <x:v>0</x:v>
      </x:c>
      <x:c r="L108" s="31" t="n">
        <x:v>281.83624638849994</x:v>
      </x:c>
      <x:c r="M108" s="31" t="n">
        <x:v>0.3737745691</x:v>
      </x:c>
      <x:c r="N108" s="24" t="str">
        <x:v>galeorhinus galeus</x:v>
      </x:c>
      <x:c r="O108" s="32" t="n">
        <x:v>4.34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Galeorhinus galeus</x:v>
      </x:c>
      <x:c r="T108" s="32" t="n">
        <x:f>IF(O108="","",(1/'Metadata'!$B$5)^(O108-1))</x:f>
        <x:v>2187.761623949552</x:v>
      </x:c>
      <x:c r="U108" s="31" t="n">
        <x:f>IF(T108="","",I108*T108)</x:f>
        <x:v>617408.253745036</x:v>
      </x:c>
    </x:row>
    <x:row r="109" ht="18" customHeight="1">
      <x:c r="A109" s="24" t="str">
        <x:v>EEZ_036</x:v>
      </x:c>
      <x:c r="B109" s="24" t="str">
        <x:v>Australia</x:v>
      </x:c>
      <x:c r="C109" s="24" t="str">
        <x:v>EEZ</x:v>
      </x:c>
      <x:c r="D109" s="30" t="n">
        <x:v>2019</x:v>
      </x:c>
      <x:c r="E109" s="24" t="str">
        <x:v>Rajidae</x:v>
      </x:c>
      <x:c r="F109" s="24" t="str">
        <x:v>Stingrays</x:v>
      </x:c>
      <x:c r="G109" s="24" t="str">
        <x:v>Large rays (&gt;=90 cm)</x:v>
      </x:c>
      <x:c r="H109" s="24" t="str">
        <x:v>Sharks &amp; rays</x:v>
      </x:c>
      <x:c r="I109" s="31" t="n">
        <x:v>278.6113158465</x:v>
      </x:c>
      <x:c r="J109" s="31" t="n">
        <x:v>46.2833742295</x:v>
      </x:c>
      <x:c r="K109" s="31" t="n">
        <x:v>232.327941617</x:v>
      </x:c>
      <x:c r="L109" s="31" t="n">
        <x:v>46.2833742295</x:v>
      </x:c>
      <x:c r="M109" s="31" t="n">
        <x:v>232.327941617</x:v>
      </x:c>
      <x:c r="N109" s="24" t="str">
        <x:v>rajidae</x:v>
      </x:c>
      <x:c r="O109" s="32" t="n">
        <x:v>3.82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Rajidae</x:v>
      </x:c>
      <x:c r="T109" s="32" t="n">
        <x:f>IF(O109="","",(1/'Metadata'!$B$5)^(O109-1))</x:f>
        <x:v>660.6934480075957</x:v>
      </x:c>
      <x:c r="U109" s="31" t="n">
        <x:f>IF(T109="","",I109*T109)</x:f>
        <x:v>184076.6709205574</x:v>
      </x:c>
    </x:row>
    <x:row r="110" ht="18" customHeight="1">
      <x:c r="A110" s="24" t="str">
        <x:v>EEZ_036</x:v>
      </x:c>
      <x:c r="B110" s="24" t="str">
        <x:v>Australia</x:v>
      </x:c>
      <x:c r="C110" s="24" t="str">
        <x:v>EEZ</x:v>
      </x:c>
      <x:c r="D110" s="30" t="n">
        <x:v>2019</x:v>
      </x:c>
      <x:c r="E110" s="24" t="str">
        <x:v>Clupeidae</x:v>
      </x:c>
      <x:c r="F110" s="24" t="str">
        <x:v>Herrings, sardines, menhadens</x:v>
      </x:c>
      <x:c r="G110" s="24" t="str">
        <x:v>Small pelagics (&lt;30 cm)</x:v>
      </x:c>
      <x:c r="H110" s="24" t="str">
        <x:v>Herring-likes</x:v>
      </x:c>
      <x:c r="I110" s="31" t="n">
        <x:v>275.2882519386</x:v>
      </x:c>
      <x:c r="J110" s="31" t="n">
        <x:v>176.4515090384</x:v>
      </x:c>
      <x:c r="K110" s="31" t="n">
        <x:v>98.8367429002</x:v>
      </x:c>
      <x:c r="L110" s="31" t="n">
        <x:v>129.443132904</x:v>
      </x:c>
      <x:c r="M110" s="31" t="n">
        <x:v>145.8451190346</x:v>
      </x:c>
      <x:c r="N110" s="24" t="str">
        <x:v>clupeidae</x:v>
      </x:c>
      <x:c r="O110" s="32" t="n">
        <x:v>3.16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Clupeidae</x:v>
      </x:c>
      <x:c r="T110" s="32" t="n">
        <x:f>IF(O110="","",(1/'Metadata'!$B$5)^(O110-1))</x:f>
        <x:v>144.5439770745928</x:v>
      </x:c>
      <x:c r="U110" s="31" t="n">
        <x:f>IF(T110="","",I110*T110)</x:f>
        <x:v>39791.25877711772</x:v>
      </x:c>
    </x:row>
    <x:row r="111" ht="18" customHeight="1">
      <x:c r="A111" s="24" t="str">
        <x:v>EEZ_036</x:v>
      </x:c>
      <x:c r="B111" s="24" t="str">
        <x:v>Australia</x:v>
      </x:c>
      <x:c r="C111" s="24" t="str">
        <x:v>EEZ</x:v>
      </x:c>
      <x:c r="D111" s="30" t="n">
        <x:v>2019</x:v>
      </x:c>
      <x:c r="E111" s="24" t="str">
        <x:v>Cyprinus carpio</x:v>
      </x:c>
      <x:c r="F111" s="24" t="str">
        <x:v>Common carp</x:v>
      </x:c>
      <x:c r="G111" s="24" t="str">
        <x:v>Large benthopelagics (&gt;=90 cm)</x:v>
      </x:c>
      <x:c r="H111" s="24" t="str">
        <x:v>Other fishes &amp; inverts</x:v>
      </x:c>
      <x:c r="I111" s="31" t="n">
        <x:v>273.7480482793</x:v>
      </x:c>
      <x:c r="J111" s="31" t="n">
        <x:v>273.7480482793</x:v>
      </x:c>
      <x:c r="K111" s="31" t="n">
        <x:v>0</x:v>
      </x:c>
      <x:c r="L111" s="31" t="n">
        <x:v>240.89342800859998</x:v>
      </x:c>
      <x:c r="M111" s="31" t="n">
        <x:v>32.8546202707</x:v>
      </x:c>
      <x:c r="N111" s="24" t="str">
        <x:v>cyprinus carpio</x:v>
      </x:c>
      <x:c r="O111" s="32" t="n">
        <x:v>3.06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Cyprinus carpio</x:v>
      </x:c>
      <x:c r="T111" s="32" t="n">
        <x:f>IF(O111="","",(1/'Metadata'!$B$5)^(O111-1))</x:f>
        <x:v>114.81536214968828</x:v>
      </x:c>
      <x:c r="U111" s="31" t="n">
        <x:f>IF(T111="","",I111*T111)</x:f>
        <x:v>31430.48130095818</x:v>
      </x:c>
    </x:row>
    <x:row r="112" ht="18" customHeight="1">
      <x:c r="A112" s="24" t="str">
        <x:v>EEZ_036</x:v>
      </x:c>
      <x:c r="B112" s="24" t="str">
        <x:v>Australia</x:v>
      </x:c>
      <x:c r="C112" s="24" t="str">
        <x:v>EEZ</x:v>
      </x:c>
      <x:c r="D112" s="30" t="n">
        <x:v>2019</x:v>
      </x:c>
      <x:c r="E112" s="24" t="str">
        <x:v>Pomadasys kaakan</x:v>
      </x:c>
      <x:c r="F112" s="24" t="str">
        <x:v>Javelin grunter</x:v>
      </x:c>
      <x:c r="G112" s="24" t="str">
        <x:v>Medium reef assoc. fish (30 - 89 cm)</x:v>
      </x:c>
      <x:c r="H112" s="24" t="str">
        <x:v>Perch-likes</x:v>
      </x:c>
      <x:c r="I112" s="31" t="n">
        <x:v>262.4848525076</x:v>
      </x:c>
      <x:c r="J112" s="31" t="n">
        <x:v>262.4848525076</x:v>
      </x:c>
      <x:c r="K112" s="31" t="n">
        <x:v>0</x:v>
      </x:c>
      <x:c r="L112" s="31" t="n">
        <x:v>8.403904359</x:v>
      </x:c>
      <x:c r="M112" s="31" t="n">
        <x:v>254.0809481486</x:v>
      </x:c>
      <x:c r="N112" s="24" t="str">
        <x:v>pomadasys kaakan</x:v>
      </x:c>
      <x:c r="O112" s="32" t="n">
        <x:v>3.46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Pomadasys kaakan</x:v>
      </x:c>
      <x:c r="T112" s="32" t="n">
        <x:f>IF(O112="","",(1/'Metadata'!$B$5)^(O112-1))</x:f>
        <x:v>288.40315031266056</x:v>
      </x:c>
      <x:c r="U112" s="31" t="n">
        <x:f>IF(T112="","",I112*T112)</x:f>
        <x:v>75701.45837254591</x:v>
      </x:c>
    </x:row>
    <x:row r="113" ht="18" customHeight="1">
      <x:c r="A113" s="24" t="str">
        <x:v>EEZ_036</x:v>
      </x:c>
      <x:c r="B113" s="24" t="str">
        <x:v>Australia</x:v>
      </x:c>
      <x:c r="C113" s="24" t="str">
        <x:v>EEZ</x:v>
      </x:c>
      <x:c r="D113" s="30" t="n">
        <x:v>2019</x:v>
      </x:c>
      <x:c r="E113" s="24" t="str">
        <x:v>Trichiuridae</x:v>
      </x:c>
      <x:c r="F113" s="24" t="str">
        <x:v>Cutlassfishes</x:v>
      </x:c>
      <x:c r="G113" s="24" t="str">
        <x:v>Large benthopelagics (&gt;=90 cm)</x:v>
      </x:c>
      <x:c r="H113" s="24" t="str">
        <x:v>Perch-likes</x:v>
      </x:c>
      <x:c r="I113" s="31" t="n">
        <x:v>261.2959401131</x:v>
      </x:c>
      <x:c r="J113" s="31" t="n">
        <x:v>0</x:v>
      </x:c>
      <x:c r="K113" s="31" t="n">
        <x:v>261.2959401131</x:v>
      </x:c>
      <x:c r="L113" s="31" t="n">
        <x:v>0</x:v>
      </x:c>
      <x:c r="M113" s="31" t="n">
        <x:v>261.2959401131</x:v>
      </x:c>
      <x:c r="N113" s="24" t="str">
        <x:v>trichiuridae</x:v>
      </x:c>
      <x:c r="O113" s="32" t="n">
        <x:v>4.15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Trichiuridae</x:v>
      </x:c>
      <x:c r="T113" s="32" t="n">
        <x:f>IF(O113="","",(1/'Metadata'!$B$5)^(O113-1))</x:f>
        <x:v>1412.5375446227554</x:v>
      </x:c>
      <x:c r="U113" s="31" t="n">
        <x:f>IF(T113="","",I113*T113)</x:f>
        <x:v>369090.3256672528</x:v>
      </x:c>
    </x:row>
    <x:row r="114" ht="18" customHeight="1">
      <x:c r="A114" s="24" t="str">
        <x:v>EEZ_036</x:v>
      </x:c>
      <x:c r="B114" s="24" t="str">
        <x:v>Australia</x:v>
      </x:c>
      <x:c r="C114" s="24" t="str">
        <x:v>EEZ</x:v>
      </x:c>
      <x:c r="D114" s="30" t="n">
        <x:v>2019</x:v>
      </x:c>
      <x:c r="E114" s="24" t="str">
        <x:v>Epinephelus multinotatus</x:v>
      </x:c>
      <x:c r="F114" s="24" t="str">
        <x:v>White-blotched grouper</x:v>
      </x:c>
      <x:c r="G114" s="24" t="str">
        <x:v>Medium reef assoc. fish (30 - 89 cm)</x:v>
      </x:c>
      <x:c r="H114" s="24" t="str">
        <x:v>Perch-likes</x:v>
      </x:c>
      <x:c r="I114" s="31" t="n">
        <x:v>259.7096304863</x:v>
      </x:c>
      <x:c r="J114" s="31" t="n">
        <x:v>259.7096304863</x:v>
      </x:c>
      <x:c r="K114" s="31" t="n">
        <x:v>0</x:v>
      </x:c>
      <x:c r="L114" s="31" t="n">
        <x:v>92.7444234532</x:v>
      </x:c>
      <x:c r="M114" s="31" t="n">
        <x:v>166.9652070331</x:v>
      </x:c>
      <x:c r="N114" s="24" t="str">
        <x:v>epinephelus multinotatus</x:v>
      </x:c>
      <x:c r="O114" s="32" t="n">
        <x:v>3.86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Epinephelus multinotatus</x:v>
      </x:c>
      <x:c r="T114" s="32" t="n">
        <x:f>IF(O114="","",(1/'Metadata'!$B$5)^(O114-1))</x:f>
        <x:v>724.4359600749899</x:v>
      </x:c>
      <x:c r="U114" s="31" t="n">
        <x:f>IF(T114="","",I114*T114)</x:f>
        <x:v>188142.9955020636</x:v>
      </x:c>
    </x:row>
    <x:row r="115" ht="18" customHeight="1">
      <x:c r="A115" s="24" t="str">
        <x:v>EEZ_036</x:v>
      </x:c>
      <x:c r="B115" s="24" t="str">
        <x:v>Australia</x:v>
      </x:c>
      <x:c r="C115" s="24" t="str">
        <x:v>EEZ</x:v>
      </x:c>
      <x:c r="D115" s="30" t="n">
        <x:v>2019</x:v>
      </x:c>
      <x:c r="E115" s="24" t="str">
        <x:v>Seriolella brama</x:v>
      </x:c>
      <x:c r="F115" s="24" t="str">
        <x:v>Common warehou</x:v>
      </x:c>
      <x:c r="G115" s="24" t="str">
        <x:v>Medium benthopelagics (30 - 89 cm)</x:v>
      </x:c>
      <x:c r="H115" s="24" t="str">
        <x:v>Perch-likes</x:v>
      </x:c>
      <x:c r="I115" s="31" t="n">
        <x:v>240.60414894129997</x:v>
      </x:c>
      <x:c r="J115" s="31" t="n">
        <x:v>104.8067041504</x:v>
      </x:c>
      <x:c r="K115" s="31" t="n">
        <x:v>135.7974447909</x:v>
      </x:c>
      <x:c r="L115" s="31" t="n">
        <x:v>104.8067041504</x:v>
      </x:c>
      <x:c r="M115" s="31" t="n">
        <x:v>135.7974447909</x:v>
      </x:c>
      <x:c r="N115" s="24" t="str">
        <x:v>seriolella brama</x:v>
      </x:c>
      <x:c r="O115" s="32" t="n">
        <x:v>3.28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Seriolella brama</x:v>
      </x:c>
      <x:c r="T115" s="32" t="n">
        <x:f>IF(O115="","",(1/'Metadata'!$B$5)^(O115-1))</x:f>
        <x:v>190.54607179632464</x:v>
      </x:c>
      <x:c r="U115" s="31" t="n">
        <x:f>IF(T115="","",I115*T115)</x:f>
        <x:v>45846.17543866253</x:v>
      </x:c>
    </x:row>
    <x:row r="116" ht="18" customHeight="1">
      <x:c r="A116" s="24" t="str">
        <x:v>EEZ_036</x:v>
      </x:c>
      <x:c r="B116" s="24" t="str">
        <x:v>Australia</x:v>
      </x:c>
      <x:c r="C116" s="24" t="str">
        <x:v>EEZ</x:v>
      </x:c>
      <x:c r="D116" s="30" t="n">
        <x:v>2019</x:v>
      </x:c>
      <x:c r="E116" s="24" t="str">
        <x:v>Pterygotrigla polyommata</x:v>
      </x:c>
      <x:c r="F116" s="24" t="str">
        <x:v>Latchet</x:v>
      </x:c>
      <x:c r="G116" s="24" t="str">
        <x:v>Medium demersals (30 - 89 cm)</x:v>
      </x:c>
      <x:c r="H116" s="24" t="str">
        <x:v>Scorpionfishes</x:v>
      </x:c>
      <x:c r="I116" s="31" t="n">
        <x:v>240.2036060143</x:v>
      </x:c>
      <x:c r="J116" s="31" t="n">
        <x:v>240.2036060143</x:v>
      </x:c>
      <x:c r="K116" s="31" t="n">
        <x:v>0</x:v>
      </x:c>
      <x:c r="L116" s="31" t="n">
        <x:v>240.1923571243</x:v>
      </x:c>
      <x:c r="M116" s="31" t="n">
        <x:v>0.01124889</x:v>
      </x:c>
      <x:c r="N116" s="24" t="str">
        <x:v>pterygotrigla polyommata</x:v>
      </x:c>
      <x:c r="O116" s="32" t="n">
        <x:v>3.29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Pterygotrigla polyommata</x:v>
      </x:c>
      <x:c r="T116" s="32" t="n">
        <x:f>IF(O116="","",(1/'Metadata'!$B$5)^(O116-1))</x:f>
        <x:v>194.98445997580455</x:v>
      </x:c>
      <x:c r="U116" s="31" t="n">
        <x:f>IF(T116="","",I116*T116)</x:f>
        <x:v>46835.9704029392</x:v>
      </x:c>
    </x:row>
    <x:row r="117" ht="18" customHeight="1">
      <x:c r="A117" s="24" t="str">
        <x:v>EEZ_036</x:v>
      </x:c>
      <x:c r="B117" s="24" t="str">
        <x:v>Australia</x:v>
      </x:c>
      <x:c r="C117" s="24" t="str">
        <x:v>EEZ</x:v>
      </x:c>
      <x:c r="D117" s="30" t="n">
        <x:v>2019</x:v>
      </x:c>
      <x:c r="E117" s="24" t="str">
        <x:v>Squaliformes</x:v>
      </x:c>
      <x:c r="F117" s="24" t="str">
        <x:v>Bramble, sleeper, dogfish sharks</x:v>
      </x:c>
      <x:c r="G117" s="24" t="str">
        <x:v>Large sharks (&gt;=90 cm)</x:v>
      </x:c>
      <x:c r="H117" s="24" t="str">
        <x:v>Sharks &amp; rays</x:v>
      </x:c>
      <x:c r="I117" s="31" t="n">
        <x:v>236.94927031150002</x:v>
      </x:c>
      <x:c r="J117" s="31" t="n">
        <x:v>95.8569667879</x:v>
      </x:c>
      <x:c r="K117" s="31" t="n">
        <x:v>141.0923035236</x:v>
      </x:c>
      <x:c r="L117" s="31" t="n">
        <x:v>95.8567009348</x:v>
      </x:c>
      <x:c r="M117" s="31" t="n">
        <x:v>141.0925693767</x:v>
      </x:c>
      <x:c r="N117" s="24" t="str">
        <x:v>squaliformes</x:v>
      </x:c>
      <x:c r="O117" s="32" t="n">
        <x:v>4.19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Squaliformes</x:v>
      </x:c>
      <x:c r="T117" s="32" t="n">
        <x:f>IF(O117="","",(1/'Metadata'!$B$5)^(O117-1))</x:f>
        <x:v>1548.8166189124827</x:v>
      </x:c>
      <x:c r="U117" s="31" t="n">
        <x:f>IF(T117="","",I117*T117)</x:f>
        <x:v>366990.9676976374</x:v>
      </x:c>
    </x:row>
    <x:row r="118" ht="18" customHeight="1">
      <x:c r="A118" s="24" t="str">
        <x:v>EEZ_036</x:v>
      </x:c>
      <x:c r="B118" s="24" t="str">
        <x:v>Australia</x:v>
      </x:c>
      <x:c r="C118" s="24" t="str">
        <x:v>EEZ</x:v>
      </x:c>
      <x:c r="D118" s="30" t="n">
        <x:v>2019</x:v>
      </x:c>
      <x:c r="E118" s="24" t="str">
        <x:v>Istiompax indica</x:v>
      </x:c>
      <x:c r="F118" s="24" t="str">
        <x:v>Black marlin</x:v>
      </x:c>
      <x:c r="G118" s="24" t="str">
        <x:v>Large pelagics (&gt;=90 cm)</x:v>
      </x:c>
      <x:c r="H118" s="24" t="str">
        <x:v>Tuna &amp; billfishes</x:v>
      </x:c>
      <x:c r="I118" s="31" t="n">
        <x:v>235.78945489330002</x:v>
      </x:c>
      <x:c r="J118" s="31" t="n">
        <x:v>235.78945489330002</x:v>
      </x:c>
      <x:c r="K118" s="31" t="n">
        <x:v>0</x:v>
      </x:c>
      <x:c r="L118" s="31" t="n">
        <x:v>60.591352027599996</x:v>
      </x:c>
      <x:c r="M118" s="31" t="n">
        <x:v>175.1981028657</x:v>
      </x:c>
      <x:c r="N118" s="24" t="str">
        <x:v>istiompax indica</x:v>
      </x:c>
      <x:c r="O118" s="32" t="n">
        <x:v>4.5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Istiompax indica</x:v>
      </x:c>
      <x:c r="T118" s="32" t="n">
        <x:f>IF(O118="","",(1/'Metadata'!$B$5)^(O118-1))</x:f>
        <x:v>3162.2776601683795</x:v>
      </x:c>
      <x:c r="U118" s="31" t="n">
        <x:f>IF(T118="","",I118*T118)</x:f>
        <x:v>745631.7257123624</x:v>
      </x:c>
    </x:row>
    <x:row r="119" ht="18" customHeight="1">
      <x:c r="A119" s="24" t="str">
        <x:v>EEZ_036</x:v>
      </x:c>
      <x:c r="B119" s="24" t="str">
        <x:v>Australia</x:v>
      </x:c>
      <x:c r="C119" s="24" t="str">
        <x:v>EEZ</x:v>
      </x:c>
      <x:c r="D119" s="30" t="n">
        <x:v>2019</x:v>
      </x:c>
      <x:c r="E119" s="24" t="str">
        <x:v>Squalidae</x:v>
      </x:c>
      <x:c r="F119" s="24" t="str">
        <x:v>Dogfish sharks</x:v>
      </x:c>
      <x:c r="G119" s="24" t="str">
        <x:v>Large sharks (&gt;=90 cm)</x:v>
      </x:c>
      <x:c r="H119" s="24" t="str">
        <x:v>Sharks &amp; rays</x:v>
      </x:c>
      <x:c r="I119" s="31" t="n">
        <x:v>234.67242372520002</x:v>
      </x:c>
      <x:c r="J119" s="31" t="n">
        <x:v>5.6953773236</x:v>
      </x:c>
      <x:c r="K119" s="31" t="n">
        <x:v>228.9770464016</x:v>
      </x:c>
      <x:c r="L119" s="31" t="n">
        <x:v>5.6915566688</x:v>
      </x:c>
      <x:c r="M119" s="31" t="n">
        <x:v>228.9808670564</x:v>
      </x:c>
      <x:c r="N119" s="24" t="str">
        <x:v>squalidae</x:v>
      </x:c>
      <x:c r="O119" s="32" t="n">
        <x:v>4.23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Squalidae</x:v>
      </x:c>
      <x:c r="T119" s="32" t="n">
        <x:f>IF(O119="","",(1/'Metadata'!$B$5)^(O119-1))</x:f>
        <x:v>1698.243652461746</x:v>
      </x:c>
      <x:c r="U119" s="31" t="n">
        <x:f>IF(T119="","",I119*T119)</x:f>
        <x:v>398530.9539991342</x:v>
      </x:c>
    </x:row>
    <x:row r="120" ht="18" customHeight="1">
      <x:c r="A120" s="24" t="str">
        <x:v>EEZ_036</x:v>
      </x:c>
      <x:c r="B120" s="24" t="str">
        <x:v>Australia</x:v>
      </x:c>
      <x:c r="C120" s="24" t="str">
        <x:v>EEZ</x:v>
      </x:c>
      <x:c r="D120" s="30" t="n">
        <x:v>2019</x:v>
      </x:c>
      <x:c r="E120" s="24" t="str">
        <x:v>Zeidae</x:v>
      </x:c>
      <x:c r="F120" s="24" t="str">
        <x:v>Dories</x:v>
      </x:c>
      <x:c r="G120" s="24" t="str">
        <x:v>Medium bathydemersals (30 - 89 cm)</x:v>
      </x:c>
      <x:c r="H120" s="24" t="str">
        <x:v>Other fishes &amp; inverts</x:v>
      </x:c>
      <x:c r="I120" s="31" t="n">
        <x:v>230.552631182</x:v>
      </x:c>
      <x:c r="J120" s="31" t="n">
        <x:v>230.552631182</x:v>
      </x:c>
      <x:c r="K120" s="31" t="n">
        <x:v>0</x:v>
      </x:c>
      <x:c r="L120" s="31" t="n">
        <x:v>230.1706252342</x:v>
      </x:c>
      <x:c r="M120" s="31" t="n">
        <x:v>0.3820059478</x:v>
      </x:c>
      <x:c r="N120" s="24" t="str">
        <x:v>zeidae</x:v>
      </x:c>
      <x:c r="O120" s="32" t="n">
        <x:v>4.49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Zeidae</x:v>
      </x:c>
      <x:c r="T120" s="32" t="n">
        <x:f>IF(O120="","",(1/'Metadata'!$B$5)^(O120-1))</x:f>
        <x:v>3090.295432513592</x:v>
      </x:c>
      <x:c r="U120" s="31" t="n">
        <x:f>IF(T120="","",I120*T120)</x:f>
        <x:v>712475.7430957253</x:v>
      </x:c>
    </x:row>
    <x:row r="121" ht="18" customHeight="1">
      <x:c r="A121" s="24" t="str">
        <x:v>EEZ_036</x:v>
      </x:c>
      <x:c r="B121" s="24" t="str">
        <x:v>Australia</x:v>
      </x:c>
      <x:c r="C121" s="24" t="str">
        <x:v>EEZ</x:v>
      </x:c>
      <x:c r="D121" s="30" t="n">
        <x:v>2019</x:v>
      </x:c>
      <x:c r="E121" s="24" t="str">
        <x:v>Nemadactylus macropterus</x:v>
      </x:c>
      <x:c r="F121" s="24" t="str">
        <x:v>Tarakihi</x:v>
      </x:c>
      <x:c r="G121" s="24" t="str">
        <x:v>Medium demersals (30 - 89 cm)</x:v>
      </x:c>
      <x:c r="H121" s="24" t="str">
        <x:v>Perch-likes</x:v>
      </x:c>
      <x:c r="I121" s="31" t="n">
        <x:v>228.1300072741</x:v>
      </x:c>
      <x:c r="J121" s="31" t="n">
        <x:v>210.7604824424</x:v>
      </x:c>
      <x:c r="K121" s="31" t="n">
        <x:v>17.3695248317</x:v>
      </x:c>
      <x:c r="L121" s="31" t="n">
        <x:v>210.76024420169998</x:v>
      </x:c>
      <x:c r="M121" s="31" t="n">
        <x:v>17.3697630724</x:v>
      </x:c>
      <x:c r="N121" s="24" t="str">
        <x:v>nemadactylus macropterus</x:v>
      </x:c>
      <x:c r="O121" s="32" t="n">
        <x:v>3.41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Nemadactylus macropterus</x:v>
      </x:c>
      <x:c r="T121" s="32" t="n">
        <x:f>IF(O121="","",(1/'Metadata'!$B$5)^(O121-1))</x:f>
        <x:v>257.03957827688646</x:v>
      </x:c>
      <x:c r="U121" s="31" t="n">
        <x:f>IF(T121="","",I121*T121)</x:f>
        <x:v>58638.4408620377</x:v>
      </x:c>
    </x:row>
    <x:row r="122" ht="18" customHeight="1">
      <x:c r="A122" s="24" t="str">
        <x:v>EEZ_036</x:v>
      </x:c>
      <x:c r="B122" s="24" t="str">
        <x:v>Australia</x:v>
      </x:c>
      <x:c r="C122" s="24" t="str">
        <x:v>EEZ</x:v>
      </x:c>
      <x:c r="D122" s="30" t="n">
        <x:v>2019</x:v>
      </x:c>
      <x:c r="E122" s="24" t="str">
        <x:v>Macrouridae</x:v>
      </x:c>
      <x:c r="F122" s="24" t="str">
        <x:v>Grenadiers, rattails</x:v>
      </x:c>
      <x:c r="G122" s="24" t="str">
        <x:v>Medium benthopelagics (30 - 89 cm)</x:v>
      </x:c>
      <x:c r="H122" s="24" t="str">
        <x:v>Cod-likes</x:v>
      </x:c>
      <x:c r="I122" s="31" t="n">
        <x:v>227.6826129849</x:v>
      </x:c>
      <x:c r="J122" s="31" t="n">
        <x:v>0.045924669499999994</x:v>
      </x:c>
      <x:c r="K122" s="31" t="n">
        <x:v>227.6366883154</x:v>
      </x:c>
      <x:c r="L122" s="31" t="n">
        <x:v>0.045924669499999994</x:v>
      </x:c>
      <x:c r="M122" s="31" t="n">
        <x:v>227.6366883154</x:v>
      </x:c>
      <x:c r="N122" s="24" t="str">
        <x:v>macrouridae</x:v>
      </x:c>
      <x:c r="O122" s="32" t="n">
        <x:v>3.88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Macrouridae</x:v>
      </x:c>
      <x:c r="T122" s="32" t="n">
        <x:f>IF(O122="","",(1/'Metadata'!$B$5)^(O122-1))</x:f>
        <x:v>758.5775750291835</x:v>
      </x:c>
      <x:c r="U122" s="31" t="n">
        <x:f>IF(T122="","",I122*T122)</x:f>
        <x:v>172714.92443439356</x:v>
      </x:c>
    </x:row>
    <x:row r="123" ht="18" customHeight="1">
      <x:c r="A123" s="24" t="str">
        <x:v>EEZ_036</x:v>
      </x:c>
      <x:c r="B123" s="24" t="str">
        <x:v>Australia</x:v>
      </x:c>
      <x:c r="C123" s="24" t="str">
        <x:v>EEZ</x:v>
      </x:c>
      <x:c r="D123" s="30" t="n">
        <x:v>2019</x:v>
      </x:c>
      <x:c r="E123" s="24" t="str">
        <x:v>Haemulidae</x:v>
      </x:c>
      <x:c r="F123" s="24" t="str">
        <x:v>Grunts, sweetlips, bonnetmouths</x:v>
      </x:c>
      <x:c r="G123" s="24" t="str">
        <x:v>Medium demersals (30 - 89 cm)</x:v>
      </x:c>
      <x:c r="H123" s="24" t="str">
        <x:v>Perch-likes</x:v>
      </x:c>
      <x:c r="I123" s="31" t="n">
        <x:v>225.6323401971</x:v>
      </x:c>
      <x:c r="J123" s="31" t="n">
        <x:v>95.7241661534</x:v>
      </x:c>
      <x:c r="K123" s="31" t="n">
        <x:v>129.9081740437</x:v>
      </x:c>
      <x:c r="L123" s="31" t="n">
        <x:v>74.0190856802</x:v>
      </x:c>
      <x:c r="M123" s="31" t="n">
        <x:v>151.61325451689999</x:v>
      </x:c>
      <x:c r="N123" s="24" t="str">
        <x:v>haemulidae</x:v>
      </x:c>
      <x:c r="O123" s="32" t="n">
        <x:v>3.36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Haemulidae</x:v>
      </x:c>
      <x:c r="T123" s="32" t="n">
        <x:f>IF(O123="","",(1/'Metadata'!$B$5)^(O123-1))</x:f>
        <x:v>229.08676527677724</x:v>
      </x:c>
      <x:c r="U123" s="31" t="n">
        <x:f>IF(T123="","",I123*T123)</x:f>
        <x:v>51689.382957583</x:v>
      </x:c>
    </x:row>
    <x:row r="124" ht="18" customHeight="1">
      <x:c r="A124" s="24" t="str">
        <x:v>EEZ_036</x:v>
      </x:c>
      <x:c r="B124" s="24" t="str">
        <x:v>Australia</x:v>
      </x:c>
      <x:c r="C124" s="24" t="str">
        <x:v>EEZ</x:v>
      </x:c>
      <x:c r="D124" s="30" t="n">
        <x:v>2019</x:v>
      </x:c>
      <x:c r="E124" s="24" t="str">
        <x:v>Protonibea diacanthus</x:v>
      </x:c>
      <x:c r="F124" s="24" t="str">
        <x:v>Blackspotted croaker</x:v>
      </x:c>
      <x:c r="G124" s="24" t="str">
        <x:v>Small pelagics (&lt;30 cm)</x:v>
      </x:c>
      <x:c r="H124" s="24" t="str">
        <x:v>Perch-likes</x:v>
      </x:c>
      <x:c r="I124" s="31" t="n">
        <x:v>221.11871520350002</x:v>
      </x:c>
      <x:c r="J124" s="31" t="n">
        <x:v>221.11871520350002</x:v>
      </x:c>
      <x:c r="K124" s="31" t="n">
        <x:v>0</x:v>
      </x:c>
      <x:c r="L124" s="31" t="n">
        <x:v>185.7173906612</x:v>
      </x:c>
      <x:c r="M124" s="31" t="n">
        <x:v>35.4013245423</x:v>
      </x:c>
      <x:c r="N124" s="24" t="str">
        <x:v>protonibea diacanthus</x:v>
      </x:c>
      <x:c r="O124" s="32" t="n">
        <x:v>3.5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Protonibea diacanthus</x:v>
      </x:c>
      <x:c r="T124" s="32" t="n">
        <x:f>IF(O124="","",(1/'Metadata'!$B$5)^(O124-1))</x:f>
        <x:v>316.22776601683796</x:v>
      </x:c>
      <x:c r="U124" s="31" t="n">
        <x:f>IF(T124="","",I124*T124)</x:f>
        <x:v>69923.87733331624</x:v>
      </x:c>
    </x:row>
    <x:row r="125" ht="18" customHeight="1">
      <x:c r="A125" s="24" t="str">
        <x:v>EEZ_036</x:v>
      </x:c>
      <x:c r="B125" s="24" t="str">
        <x:v>Australia</x:v>
      </x:c>
      <x:c r="C125" s="24" t="str">
        <x:v>EEZ</x:v>
      </x:c>
      <x:c r="D125" s="30" t="n">
        <x:v>2019</x:v>
      </x:c>
      <x:c r="E125" s="24" t="str">
        <x:v>Kajikia audax</x:v>
      </x:c>
      <x:c r="F125" s="24" t="str">
        <x:v>Striped marlin</x:v>
      </x:c>
      <x:c r="G125" s="24" t="str">
        <x:v>Large pelagics (&gt;=90 cm)</x:v>
      </x:c>
      <x:c r="H125" s="24" t="str">
        <x:v>Tuna &amp; billfishes</x:v>
      </x:c>
      <x:c r="I125" s="31" t="n">
        <x:v>219.9926434655</x:v>
      </x:c>
      <x:c r="J125" s="31" t="n">
        <x:v>219.9926434655</x:v>
      </x:c>
      <x:c r="K125" s="31" t="n">
        <x:v>0</x:v>
      </x:c>
      <x:c r="L125" s="31" t="n">
        <x:v>219.9819696003</x:v>
      </x:c>
      <x:c r="M125" s="31" t="n">
        <x:v>0.0106738652</x:v>
      </x:c>
      <x:c r="N125" s="24" t="str">
        <x:v>kajikia audax</x:v>
      </x:c>
      <x:c r="O125" s="32" t="n">
        <x:v>4.58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Kajikia audax</x:v>
      </x:c>
      <x:c r="T125" s="32" t="n">
        <x:f>IF(O125="","",(1/'Metadata'!$B$5)^(O125-1))</x:f>
        <x:v>3801.8939632056126</x:v>
      </x:c>
      <x:c r="U125" s="31" t="n">
        <x:f>IF(T125="","",I125*T125)</x:f>
        <x:v>836388.7031411291</x:v>
      </x:c>
    </x:row>
    <x:row r="126" ht="18" customHeight="1">
      <x:c r="A126" s="24" t="str">
        <x:v>EEZ_036</x:v>
      </x:c>
      <x:c r="B126" s="24" t="str">
        <x:v>Australia</x:v>
      </x:c>
      <x:c r="C126" s="24" t="str">
        <x:v>EEZ</x:v>
      </x:c>
      <x:c r="D126" s="30" t="n">
        <x:v>2019</x:v>
      </x:c>
      <x:c r="E126" s="24" t="str">
        <x:v>Saurida</x:v>
      </x:c>
      <x:c r="F126" s="24" t="str">
        <x:v>Lizardfishes</x:v>
      </x:c>
      <x:c r="G126" s="24" t="str">
        <x:v>Medium demersals (30 - 89 cm)</x:v>
      </x:c>
      <x:c r="H126" s="24" t="str">
        <x:v>Other fishes &amp; inverts</x:v>
      </x:c>
      <x:c r="I126" s="31" t="n">
        <x:v>211.3727367979</x:v>
      </x:c>
      <x:c r="J126" s="31" t="n">
        <x:v>0</x:v>
      </x:c>
      <x:c r="K126" s="31" t="n">
        <x:v>211.3727367979</x:v>
      </x:c>
      <x:c r="L126" s="31" t="n">
        <x:v>0</x:v>
      </x:c>
      <x:c r="M126" s="31" t="n">
        <x:v>211.3727367979</x:v>
      </x:c>
      <x:c r="N126" s="24" t="str">
        <x:v>saurida</x:v>
      </x:c>
      <x:c r="O126" s="32" t="n">
        <x:v>4.35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Saurida</x:v>
      </x:c>
      <x:c r="T126" s="32" t="n">
        <x:f>IF(O126="","",(1/'Metadata'!$B$5)^(O126-1))</x:f>
        <x:v>2238.7211385683377</x:v>
      </x:c>
      <x:c r="U126" s="31" t="n">
        <x:f>IF(T126="","",I126*T126)</x:f>
        <x:v>473204.61398650025</x:v>
      </x:c>
    </x:row>
    <x:row r="127" ht="18" customHeight="1">
      <x:c r="A127" s="24" t="str">
        <x:v>EEZ_036</x:v>
      </x:c>
      <x:c r="B127" s="24" t="str">
        <x:v>Australia</x:v>
      </x:c>
      <x:c r="C127" s="24" t="str">
        <x:v>EEZ</x:v>
      </x:c>
      <x:c r="D127" s="30" t="n">
        <x:v>2019</x:v>
      </x:c>
      <x:c r="E127" s="24" t="str">
        <x:v>Lutjanidae</x:v>
      </x:c>
      <x:c r="F127" s="24" t="str">
        <x:v>Snappers</x:v>
      </x:c>
      <x:c r="G127" s="24" t="str">
        <x:v>Medium reef assoc. fish (30 - 89 cm)</x:v>
      </x:c>
      <x:c r="H127" s="24" t="str">
        <x:v>Perch-likes</x:v>
      </x:c>
      <x:c r="I127" s="31" t="n">
        <x:v>207.8892875254</x:v>
      </x:c>
      <x:c r="J127" s="31" t="n">
        <x:v>207.8892875254</x:v>
      </x:c>
      <x:c r="K127" s="31" t="n">
        <x:v>0</x:v>
      </x:c>
      <x:c r="L127" s="31" t="n">
        <x:v>11.1414074856</x:v>
      </x:c>
      <x:c r="M127" s="31" t="n">
        <x:v>196.7478800398</x:v>
      </x:c>
      <x:c r="N127" s="24" t="str">
        <x:v>lutjanidae</x:v>
      </x:c>
      <x:c r="O127" s="32" t="n">
        <x:v>4.02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Lutjanidae</x:v>
      </x:c>
      <x:c r="T127" s="32" t="n">
        <x:f>IF(O127="","",(1/'Metadata'!$B$5)^(O127-1))</x:f>
        <x:v>1047.1285480508984</x:v>
      </x:c>
      <x:c r="U127" s="31" t="n">
        <x:f>IF(T127="","",I127*T127)</x:f>
        <x:v>217686.80780180785</x:v>
      </x:c>
    </x:row>
    <x:row r="128" ht="18" customHeight="1">
      <x:c r="A128" s="24" t="str">
        <x:v>EEZ_036</x:v>
      </x:c>
      <x:c r="B128" s="24" t="str">
        <x:v>Australia</x:v>
      </x:c>
      <x:c r="C128" s="24" t="str">
        <x:v>EEZ</x:v>
      </x:c>
      <x:c r="D128" s="30" t="n">
        <x:v>2019</x:v>
      </x:c>
      <x:c r="E128" s="24" t="str">
        <x:v>Ariidae</x:v>
      </x:c>
      <x:c r="F128" s="24" t="str">
        <x:v>Sea catfishes, coblers</x:v>
      </x:c>
      <x:c r="G128" s="24" t="str">
        <x:v>Medium demersals (30 - 89 cm)</x:v>
      </x:c>
      <x:c r="H128" s="24" t="str">
        <x:v>Other fishes &amp; inverts</x:v>
      </x:c>
      <x:c r="I128" s="31" t="n">
        <x:v>206.1545307714</x:v>
      </x:c>
      <x:c r="J128" s="31" t="n">
        <x:v>195.594016416</x:v>
      </x:c>
      <x:c r="K128" s="31" t="n">
        <x:v>10.5605143554</x:v>
      </x:c>
      <x:c r="L128" s="31" t="n">
        <x:v>80.86189410429999</x:v>
      </x:c>
      <x:c r="M128" s="31" t="n">
        <x:v>125.2926366671</x:v>
      </x:c>
      <x:c r="N128" s="24" t="str">
        <x:v>ariidae</x:v>
      </x:c>
      <x:c r="O128" s="32" t="n">
        <x:v>3.48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Ariidae</x:v>
      </x:c>
      <x:c r="T128" s="32" t="n">
        <x:f>IF(O128="","",(1/'Metadata'!$B$5)^(O128-1))</x:f>
        <x:v>301.9951720402016</x:v>
      </x:c>
      <x:c r="U128" s="31" t="n">
        <x:f>IF(T128="","",I128*T128)</x:f>
        <x:v>62257.67298717598</x:v>
      </x:c>
    </x:row>
    <x:row r="129" ht="18" customHeight="1">
      <x:c r="A129" s="24" t="str">
        <x:v>EEZ_036</x:v>
      </x:c>
      <x:c r="B129" s="24" t="str">
        <x:v>Australia</x:v>
      </x:c>
      <x:c r="C129" s="24" t="str">
        <x:v>EEZ</x:v>
      </x:c>
      <x:c r="D129" s="30" t="n">
        <x:v>2019</x:v>
      </x:c>
      <x:c r="E129" s="24" t="str">
        <x:v>Rachycentron canadum</x:v>
      </x:c>
      <x:c r="F129" s="24" t="str">
        <x:v>Cobia</x:v>
      </x:c>
      <x:c r="G129" s="24" t="str">
        <x:v>Large pelagics (&gt;=90 cm)</x:v>
      </x:c>
      <x:c r="H129" s="24" t="str">
        <x:v>Perch-likes</x:v>
      </x:c>
      <x:c r="I129" s="31" t="n">
        <x:v>199.51609514519998</x:v>
      </x:c>
      <x:c r="J129" s="31" t="n">
        <x:v>199.51609514519998</x:v>
      </x:c>
      <x:c r="K129" s="31" t="n">
        <x:v>0</x:v>
      </x:c>
      <x:c r="L129" s="31" t="n">
        <x:v>66.3799336284</x:v>
      </x:c>
      <x:c r="M129" s="31" t="n">
        <x:v>133.1361615168</x:v>
      </x:c>
      <x:c r="N129" s="24" t="str">
        <x:v>rachycentron canadum</x:v>
      </x:c>
      <x:c r="O129" s="32" t="n">
        <x:v>3.96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Rachycentron canadum</x:v>
      </x:c>
      <x:c r="T129" s="32" t="n">
        <x:f>IF(O129="","",(1/'Metadata'!$B$5)^(O129-1))</x:f>
        <x:v>912.0108393559096</x:v>
      </x:c>
      <x:c r="U129" s="31" t="n">
        <x:f>IF(T129="","",I129*T129)</x:f>
        <x:v>181960.84139838736</x:v>
      </x:c>
    </x:row>
    <x:row r="130" ht="18" customHeight="1">
      <x:c r="A130" s="24" t="str">
        <x:v>EEZ_036</x:v>
      </x:c>
      <x:c r="B130" s="24" t="str">
        <x:v>Australia</x:v>
      </x:c>
      <x:c r="C130" s="24" t="str">
        <x:v>EEZ</x:v>
      </x:c>
      <x:c r="D130" s="30" t="n">
        <x:v>2019</x:v>
      </x:c>
      <x:c r="E130" s="24" t="str">
        <x:v>Rexea solandri</x:v>
      </x:c>
      <x:c r="F130" s="24" t="str">
        <x:v>Silver gemfish</x:v>
      </x:c>
      <x:c r="G130" s="24" t="str">
        <x:v>Large benthopelagics (&gt;=90 cm)</x:v>
      </x:c>
      <x:c r="H130" s="24" t="str">
        <x:v>Perch-likes</x:v>
      </x:c>
      <x:c r="I130" s="31" t="n">
        <x:v>197.54836598949998</x:v>
      </x:c>
      <x:c r="J130" s="31" t="n">
        <x:v>197.54836598949998</x:v>
      </x:c>
      <x:c r="K130" s="31" t="n">
        <x:v>0</x:v>
      </x:c>
      <x:c r="L130" s="31" t="n">
        <x:v>197.5482058834</x:v>
      </x:c>
      <x:c r="M130" s="31" t="n">
        <x:v>0.0001601061</x:v>
      </x:c>
      <x:c r="N130" s="24" t="str">
        <x:v>rexea solandri</x:v>
      </x:c>
      <x:c r="O130" s="32" t="n">
        <x:v>4.31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Rexea solandri</x:v>
      </x:c>
      <x:c r="T130" s="32" t="n">
        <x:f>IF(O130="","",(1/'Metadata'!$B$5)^(O130-1))</x:f>
        <x:v>2041.7379446695275</x:v>
      </x:c>
      <x:c r="U130" s="31" t="n">
        <x:f>IF(T130="","",I130*T130)</x:f>
        <x:v>403341.99474822526</x:v>
      </x:c>
    </x:row>
    <x:row r="131" ht="18" customHeight="1">
      <x:c r="A131" s="24" t="str">
        <x:v>EEZ_036</x:v>
      </x:c>
      <x:c r="B131" s="24" t="str">
        <x:v>Australia</x:v>
      </x:c>
      <x:c r="C131" s="24" t="str">
        <x:v>EEZ</x:v>
      </x:c>
      <x:c r="D131" s="30" t="n">
        <x:v>2019</x:v>
      </x:c>
      <x:c r="E131" s="24" t="str">
        <x:v>Triakidae</x:v>
      </x:c>
      <x:c r="F131" s="24" t="str">
        <x:v>Houndsharks</x:v>
      </x:c>
      <x:c r="G131" s="24" t="str">
        <x:v>Large sharks (&gt;=90 cm)</x:v>
      </x:c>
      <x:c r="H131" s="24" t="str">
        <x:v>Sharks &amp; rays</x:v>
      </x:c>
      <x:c r="I131" s="31" t="n">
        <x:v>183.0013733639</x:v>
      </x:c>
      <x:c r="J131" s="31" t="n">
        <x:v>183.0013733639</x:v>
      </x:c>
      <x:c r="K131" s="31" t="n">
        <x:v>0</x:v>
      </x:c>
      <x:c r="L131" s="31" t="n">
        <x:v>177.5113633824</x:v>
      </x:c>
      <x:c r="M131" s="31" t="n">
        <x:v>5.4900099815</x:v>
      </x:c>
      <x:c r="N131" s="24" t="str">
        <x:v>triakidae</x:v>
      </x:c>
      <x:c r="O131" s="32" t="n">
        <x:v>3.82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Triakidae</x:v>
      </x:c>
      <x:c r="T131" s="32" t="n">
        <x:f>IF(O131="","",(1/'Metadata'!$B$5)^(O131-1))</x:f>
        <x:v>660.6934480075957</x:v>
      </x:c>
      <x:c r="U131" s="31" t="n">
        <x:f>IF(T131="","",I131*T131)</x:f>
        <x:v>120907.80835792048</x:v>
      </x:c>
    </x:row>
    <x:row r="132" ht="18" customHeight="1">
      <x:c r="A132" s="24" t="str">
        <x:v>EEZ_036</x:v>
      </x:c>
      <x:c r="B132" s="24" t="str">
        <x:v>Australia</x:v>
      </x:c>
      <x:c r="C132" s="24" t="str">
        <x:v>EEZ</x:v>
      </x:c>
      <x:c r="D132" s="30" t="n">
        <x:v>2019</x:v>
      </x:c>
      <x:c r="E132" s="24" t="str">
        <x:v>Eleutheronema tetradactylum</x:v>
      </x:c>
      <x:c r="F132" s="24" t="str">
        <x:v>Fourfinger threadfin</x:v>
      </x:c>
      <x:c r="G132" s="24" t="str">
        <x:v>Large demersals (&gt;=90 cm)</x:v>
      </x:c>
      <x:c r="H132" s="24" t="str">
        <x:v>Perch-likes</x:v>
      </x:c>
      <x:c r="I132" s="31" t="n">
        <x:v>182.1320004192</x:v>
      </x:c>
      <x:c r="J132" s="31" t="n">
        <x:v>182.1320004192</x:v>
      </x:c>
      <x:c r="K132" s="31" t="n">
        <x:v>0</x:v>
      </x:c>
      <x:c r="L132" s="31" t="n">
        <x:v>132.8146107874</x:v>
      </x:c>
      <x:c r="M132" s="31" t="n">
        <x:v>49.3173896318</x:v>
      </x:c>
      <x:c r="N132" s="24" t="str">
        <x:v>eleutheronema tetradactylum</x:v>
      </x:c>
      <x:c r="O132" s="32" t="n">
        <x:v>4.06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Eleutheronema tetradactylum</x:v>
      </x:c>
      <x:c r="T132" s="32" t="n">
        <x:f>IF(O132="","",(1/'Metadata'!$B$5)^(O132-1))</x:f>
        <x:v>1148.1536214968817</x:v>
      </x:c>
      <x:c r="U132" s="31" t="n">
        <x:f>IF(T132="","",I132*T132)</x:f>
        <x:v>209115.51587177606</x:v>
      </x:c>
    </x:row>
    <x:row r="133" ht="18" customHeight="1">
      <x:c r="A133" s="24" t="str">
        <x:v>EEZ_036</x:v>
      </x:c>
      <x:c r="B133" s="24" t="str">
        <x:v>Australia</x:v>
      </x:c>
      <x:c r="C133" s="24" t="str">
        <x:v>EEZ</x:v>
      </x:c>
      <x:c r="D133" s="30" t="n">
        <x:v>2019</x:v>
      </x:c>
      <x:c r="E133" s="24" t="str">
        <x:v>Epinephelus</x:v>
      </x:c>
      <x:c r="F133" s="24" t="str">
        <x:v>Seabasses, hinds</x:v>
      </x:c>
      <x:c r="G133" s="24" t="str">
        <x:v>Medium reef assoc. fish (30 - 89 cm)</x:v>
      </x:c>
      <x:c r="H133" s="24" t="str">
        <x:v>Perch-likes</x:v>
      </x:c>
      <x:c r="I133" s="31" t="n">
        <x:v>180.4170286218</x:v>
      </x:c>
      <x:c r="J133" s="31" t="n">
        <x:v>159.4566830266</x:v>
      </x:c>
      <x:c r="K133" s="31" t="n">
        <x:v>20.9603455952</x:v>
      </x:c>
      <x:c r="L133" s="31" t="n">
        <x:v>125.5382248076</x:v>
      </x:c>
      <x:c r="M133" s="31" t="n">
        <x:v>54.8788038142</x:v>
      </x:c>
      <x:c r="N133" s="24" t="str">
        <x:v>epinephelus</x:v>
      </x:c>
      <x:c r="O133" s="32" t="n">
        <x:v>3.84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Epinephelus</x:v>
      </x:c>
      <x:c r="T133" s="32" t="n">
        <x:f>IF(O133="","",(1/'Metadata'!$B$5)^(O133-1))</x:f>
        <x:v>691.8309709189363</x:v>
      </x:c>
      <x:c r="U133" s="31" t="n">
        <x:f>IF(T133="","",I133*T133)</x:f>
        <x:v>124818.08808172941</x:v>
      </x:c>
    </x:row>
    <x:row r="134" ht="18" customHeight="1">
      <x:c r="A134" s="24" t="str">
        <x:v>EEZ_036</x:v>
      </x:c>
      <x:c r="B134" s="24" t="str">
        <x:v>Australia</x:v>
      </x:c>
      <x:c r="C134" s="24" t="str">
        <x:v>EEZ</x:v>
      </x:c>
      <x:c r="D134" s="30" t="n">
        <x:v>2019</x:v>
      </x:c>
      <x:c r="E134" s="24" t="str">
        <x:v>Haliporoides sibogae</x:v>
      </x:c>
      <x:c r="F134" s="24" t="str">
        <x:v>Jackknife shrimp</x:v>
      </x:c>
      <x:c r="G134" s="24" t="str">
        <x:v>Shrimps</x:v>
      </x:c>
      <x:c r="H134" s="24" t="str">
        <x:v>Crustaceans</x:v>
      </x:c>
      <x:c r="I134" s="31" t="n">
        <x:v>180.3321551813</x:v>
      </x:c>
      <x:c r="J134" s="31" t="n">
        <x:v>163.2188449397</x:v>
      </x:c>
      <x:c r="K134" s="31" t="n">
        <x:v>17.1133102416</x:v>
      </x:c>
      <x:c r="L134" s="31" t="n">
        <x:v>163.2188449397</x:v>
      </x:c>
      <x:c r="M134" s="31" t="n">
        <x:v>17.1133102416</x:v>
      </x:c>
      <x:c r="N134" s="24" t="str">
        <x:v>haliporoides sibogae</x:v>
      </x:c>
      <x:c r="O134" s="32" t="n">
        <x:v>3.65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Haliporoides sibogae</x:v>
      </x:c>
      <x:c r="T134" s="32" t="n">
        <x:f>IF(O134="","",(1/'Metadata'!$B$5)^(O134-1))</x:f>
        <x:v>446.683592150963</x:v>
      </x:c>
      <x:c r="U134" s="31" t="n">
        <x:f>IF(T134="","",I134*T134)</x:f>
        <x:v>80551.41485670798</x:v>
      </x:c>
    </x:row>
    <x:row r="135" ht="18" customHeight="1">
      <x:c r="A135" s="24" t="str">
        <x:v>EEZ_036</x:v>
      </x:c>
      <x:c r="B135" s="24" t="str">
        <x:v>Australia</x:v>
      </x:c>
      <x:c r="C135" s="24" t="str">
        <x:v>EEZ</x:v>
      </x:c>
      <x:c r="D135" s="30" t="n">
        <x:v>2019</x:v>
      </x:c>
      <x:c r="E135" s="24" t="str">
        <x:v>Chelidonichthys kumu</x:v>
      </x:c>
      <x:c r="F135" s="24" t="str">
        <x:v>Bluefin gurnard</x:v>
      </x:c>
      <x:c r="G135" s="24" t="str">
        <x:v>Medium demersals (30 - 89 cm)</x:v>
      </x:c>
      <x:c r="H135" s="24" t="str">
        <x:v>Scorpionfishes</x:v>
      </x:c>
      <x:c r="I135" s="31" t="n">
        <x:v>178.7685461121</x:v>
      </x:c>
      <x:c r="J135" s="31" t="n">
        <x:v>173.48140373220002</x:v>
      </x:c>
      <x:c r="K135" s="31" t="n">
        <x:v>5.2871423799</x:v>
      </x:c>
      <x:c r="L135" s="31" t="n">
        <x:v>173.4735302507</x:v>
      </x:c>
      <x:c r="M135" s="31" t="n">
        <x:v>5.2950158614</x:v>
      </x:c>
      <x:c r="N135" s="24" t="str">
        <x:v>chelidonichthys kumu</x:v>
      </x:c>
      <x:c r="O135" s="32" t="n">
        <x:v>3.68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Chelidonichthys kumu</x:v>
      </x:c>
      <x:c r="T135" s="32" t="n">
        <x:f>IF(O135="","",(1/'Metadata'!$B$5)^(O135-1))</x:f>
        <x:v>478.6300923226385</x:v>
      </x:c>
      <x:c r="U135" s="31" t="n">
        <x:f>IF(T135="","",I135*T135)</x:f>
        <x:v>85564.0057300183</x:v>
      </x:c>
    </x:row>
    <x:row r="136" ht="18" customHeight="1">
      <x:c r="A136" s="24" t="str">
        <x:v>EEZ_036</x:v>
      </x:c>
      <x:c r="B136" s="24" t="str">
        <x:v>Australia</x:v>
      </x:c>
      <x:c r="C136" s="24" t="str">
        <x:v>EEZ</x:v>
      </x:c>
      <x:c r="D136" s="30" t="n">
        <x:v>2019</x:v>
      </x:c>
      <x:c r="E136" s="24" t="str">
        <x:v>Katsuwonus pelamis</x:v>
      </x:c>
      <x:c r="F136" s="24" t="str">
        <x:v>Skipjack tuna</x:v>
      </x:c>
      <x:c r="G136" s="24" t="str">
        <x:v>Large pelagics (&gt;=90 cm)</x:v>
      </x:c>
      <x:c r="H136" s="24" t="str">
        <x:v>Tuna &amp; billfishes</x:v>
      </x:c>
      <x:c r="I136" s="31" t="n">
        <x:v>176.9109177422</x:v>
      </x:c>
      <x:c r="J136" s="31" t="n">
        <x:v>175.2496755109</x:v>
      </x:c>
      <x:c r="K136" s="31" t="n">
        <x:v>1.6612422313000001</x:v>
      </x:c>
      <x:c r="L136" s="31" t="n">
        <x:v>163.9249599668</x:v>
      </x:c>
      <x:c r="M136" s="31" t="n">
        <x:v>12.9859577754</x:v>
      </x:c>
      <x:c r="N136" s="24" t="str">
        <x:v>katsuwonus pelamis</x:v>
      </x:c>
      <x:c r="O136" s="32" t="n">
        <x:v>4.43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Katsuwonus pelamis</x:v>
      </x:c>
      <x:c r="T136" s="32" t="n">
        <x:f>IF(O136="","",(1/'Metadata'!$B$5)^(O136-1))</x:f>
        <x:v>2691.534803926914</x:v>
      </x:c>
      <x:c r="U136" s="31" t="n">
        <x:f>IF(T136="","",I136*T136)</x:f>
        <x:v>476161.8922977827</x:v>
      </x:c>
    </x:row>
    <x:row r="137" ht="18" customHeight="1">
      <x:c r="A137" s="24" t="str">
        <x:v>EEZ_036</x:v>
      </x:c>
      <x:c r="B137" s="24" t="str">
        <x:v>Australia</x:v>
      </x:c>
      <x:c r="C137" s="24" t="str">
        <x:v>EEZ</x:v>
      </x:c>
      <x:c r="D137" s="30" t="n">
        <x:v>2019</x:v>
      </x:c>
      <x:c r="E137" s="24" t="str">
        <x:v>Sagmariasus verreauxi</x:v>
      </x:c>
      <x:c r="F137" s="24" t="str">
        <x:v>Green rock lobster</x:v>
      </x:c>
      <x:c r="G137" s="24" t="str">
        <x:v>Lobsters, crabs</x:v>
      </x:c>
      <x:c r="H137" s="24" t="str">
        <x:v>Crustaceans</x:v>
      </x:c>
      <x:c r="I137" s="31" t="n">
        <x:v>173.6501196489</x:v>
      </x:c>
      <x:c r="J137" s="31" t="n">
        <x:v>173.6501196489</x:v>
      </x:c>
      <x:c r="K137" s="31" t="n">
        <x:v>0</x:v>
      </x:c>
      <x:c r="L137" s="31" t="n">
        <x:v>173.6501196489</x:v>
      </x:c>
      <x:c r="M137" s="31" t="n">
        <x:v>0</x:v>
      </x:c>
      <x:c r="N137" s="24" t="str">
        <x:v>sagmariasus verreauxi</x:v>
      </x:c>
      <x:c r="O137" s="32" t="n">
        <x:v>2.6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Sagmariasus verreauxi</x:v>
      </x:c>
      <x:c r="T137" s="32" t="n">
        <x:f>IF(O137="","",(1/'Metadata'!$B$5)^(O137-1))</x:f>
        <x:v>39.810717055349734</x:v>
      </x:c>
      <x:c r="U137" s="31" t="n">
        <x:f>IF(T137="","",I137*T137)</x:f>
        <x:v>6913.1357799699845</x:v>
      </x:c>
    </x:row>
    <x:row r="138" ht="18" customHeight="1">
      <x:c r="A138" s="24" t="str">
        <x:v>EEZ_036</x:v>
      </x:c>
      <x:c r="B138" s="24" t="str">
        <x:v>Australia</x:v>
      </x:c>
      <x:c r="C138" s="24" t="str">
        <x:v>EEZ</x:v>
      </x:c>
      <x:c r="D138" s="30" t="n">
        <x:v>2019</x:v>
      </x:c>
      <x:c r="E138" s="24" t="str">
        <x:v>Seriola</x:v>
      </x:c>
      <x:c r="F138" s="24" t="str">
        <x:v>Amberjacks</x:v>
      </x:c>
      <x:c r="G138" s="24" t="str">
        <x:v>Large benthopelagics (&gt;=90 cm)</x:v>
      </x:c>
      <x:c r="H138" s="24" t="str">
        <x:v>Perch-likes</x:v>
      </x:c>
      <x:c r="I138" s="31" t="n">
        <x:v>172.9122748323</x:v>
      </x:c>
      <x:c r="J138" s="31" t="n">
        <x:v>172.9122748323</x:v>
      </x:c>
      <x:c r="K138" s="31" t="n">
        <x:v>0</x:v>
      </x:c>
      <x:c r="L138" s="31" t="n">
        <x:v>43.0318902396</x:v>
      </x:c>
      <x:c r="M138" s="31" t="n">
        <x:v>129.8803845927</x:v>
      </x:c>
      <x:c r="N138" s="24" t="str">
        <x:v>seriola</x:v>
      </x:c>
      <x:c r="O138" s="32" t="n">
        <x:v>4.39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Seriola</x:v>
      </x:c>
      <x:c r="T138" s="32" t="n">
        <x:f>IF(O138="","",(1/'Metadata'!$B$5)^(O138-1))</x:f>
        <x:v>2454.7089156850284</x:v>
      </x:c>
      <x:c r="U138" s="31" t="n">
        <x:f>IF(T138="","",I138*T138)</x:f>
        <x:v>424449.3026622268</x:v>
      </x:c>
    </x:row>
    <x:row r="139" ht="18" customHeight="1">
      <x:c r="A139" s="24" t="str">
        <x:v>EEZ_036</x:v>
      </x:c>
      <x:c r="B139" s="24" t="str">
        <x:v>Australia</x:v>
      </x:c>
      <x:c r="C139" s="24" t="str">
        <x:v>EEZ</x:v>
      </x:c>
      <x:c r="D139" s="30" t="n">
        <x:v>2019</x:v>
      </x:c>
      <x:c r="E139" s="24" t="str">
        <x:v>Carcharhinus obscurus</x:v>
      </x:c>
      <x:c r="F139" s="24" t="str">
        <x:v>Dusky shark</x:v>
      </x:c>
      <x:c r="G139" s="24" t="str">
        <x:v>Large sharks (&gt;=90 cm)</x:v>
      </x:c>
      <x:c r="H139" s="24" t="str">
        <x:v>Sharks &amp; rays</x:v>
      </x:c>
      <x:c r="I139" s="31" t="n">
        <x:v>171.7734143159</x:v>
      </x:c>
      <x:c r="J139" s="31" t="n">
        <x:v>171.7734143159</x:v>
      </x:c>
      <x:c r="K139" s="31" t="n">
        <x:v>0</x:v>
      </x:c>
      <x:c r="L139" s="31" t="n">
        <x:v>169.71795552010002</x:v>
      </x:c>
      <x:c r="M139" s="31" t="n">
        <x:v>2.0554587958</x:v>
      </x:c>
      <x:c r="N139" s="24" t="str">
        <x:v>carcharhinus obscurus</x:v>
      </x:c>
      <x:c r="O139" s="32" t="n">
        <x:v>4.28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Carcharhinus obscurus</x:v>
      </x:c>
      <x:c r="T139" s="32" t="n">
        <x:f>IF(O139="","",(1/'Metadata'!$B$5)^(O139-1))</x:f>
        <x:v>1905.4607179632483</x:v>
      </x:c>
      <x:c r="U139" s="31" t="n">
        <x:f>IF(T139="","",I139*T139)</x:f>
        <x:v>327307.4933693733</x:v>
      </x:c>
    </x:row>
    <x:row r="140" ht="18" customHeight="1">
      <x:c r="A140" s="24" t="str">
        <x:v>EEZ_036</x:v>
      </x:c>
      <x:c r="B140" s="24" t="str">
        <x:v>Australia</x:v>
      </x:c>
      <x:c r="C140" s="24" t="str">
        <x:v>EEZ</x:v>
      </x:c>
      <x:c r="D140" s="30" t="n">
        <x:v>2019</x:v>
      </x:c>
      <x:c r="E140" s="24" t="str">
        <x:v>Hydrolagus</x:v>
      </x:c>
      <x:c r="F140" s="24" t="str">
        <x:v>Ghostsharks</x:v>
      </x:c>
      <x:c r="G140" s="24" t="str">
        <x:v>Small to medium rays (&lt;90 cm)</x:v>
      </x:c>
      <x:c r="H140" s="24" t="str">
        <x:v>Sharks &amp; rays</x:v>
      </x:c>
      <x:c r="I140" s="31" t="n">
        <x:v>169.0215620993</x:v>
      </x:c>
      <x:c r="J140" s="31" t="n">
        <x:v>169.0215620993</x:v>
      </x:c>
      <x:c r="K140" s="31" t="n">
        <x:v>0</x:v>
      </x:c>
      <x:c r="L140" s="31" t="n">
        <x:v>169.0215620993</x:v>
      </x:c>
      <x:c r="M140" s="31" t="n">
        <x:v>0</x:v>
      </x:c>
      <x:c r="N140" s="24" t="str">
        <x:v>hydrolagus</x:v>
      </x:c>
      <x:c r="O140" s="32" t="n">
        <x:v>3.51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Hydrolagus</x:v>
      </x:c>
      <x:c r="T140" s="32" t="n">
        <x:f>IF(O140="","",(1/'Metadata'!$B$5)^(O140-1))</x:f>
        <x:v>323.5936569296281</x:v>
      </x:c>
      <x:c r="U140" s="31" t="n">
        <x:f>IF(T140="","",I140*T140)</x:f>
        <x:v>54694.30537967072</x:v>
      </x:c>
    </x:row>
    <x:row r="141" ht="18" customHeight="1">
      <x:c r="A141" s="24" t="str">
        <x:v>EEZ_036</x:v>
      </x:c>
      <x:c r="B141" s="24" t="str">
        <x:v>Australia</x:v>
      </x:c>
      <x:c r="C141" s="24" t="str">
        <x:v>EEZ</x:v>
      </x:c>
      <x:c r="D141" s="30" t="n">
        <x:v>2019</x:v>
      </x:c>
      <x:c r="E141" s="24" t="str">
        <x:v>Isurus</x:v>
      </x:c>
      <x:c r="F141" s="24" t="str">
        <x:v>Mako sharks</x:v>
      </x:c>
      <x:c r="G141" s="24" t="str">
        <x:v>Large sharks (&gt;=90 cm)</x:v>
      </x:c>
      <x:c r="H141" s="24" t="str">
        <x:v>Sharks &amp; rays</x:v>
      </x:c>
      <x:c r="I141" s="31" t="n">
        <x:v>168.3418344781</x:v>
      </x:c>
      <x:c r="J141" s="31" t="n">
        <x:v>49.140893531</x:v>
      </x:c>
      <x:c r="K141" s="31" t="n">
        <x:v>119.2009409471</x:v>
      </x:c>
      <x:c r="L141" s="31" t="n">
        <x:v>49.140893531</x:v>
      </x:c>
      <x:c r="M141" s="31" t="n">
        <x:v>119.2009409471</x:v>
      </x:c>
      <x:c r="N141" s="24" t="str">
        <x:v>isurus</x:v>
      </x:c>
      <x:c r="O141" s="32" t="n">
        <x:v>4.5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Isurus</x:v>
      </x:c>
      <x:c r="T141" s="32" t="n">
        <x:f>IF(O141="","",(1/'Metadata'!$B$5)^(O141-1))</x:f>
        <x:v>3162.2776601683795</x:v>
      </x:c>
      <x:c r="U141" s="31" t="n">
        <x:f>IF(T141="","",I141*T141)</x:f>
        <x:v>532343.6224418588</x:v>
      </x:c>
    </x:row>
    <x:row r="142" ht="18" customHeight="1">
      <x:c r="A142" s="24" t="str">
        <x:v>EEZ_036</x:v>
      </x:c>
      <x:c r="B142" s="24" t="str">
        <x:v>Australia</x:v>
      </x:c>
      <x:c r="C142" s="24" t="str">
        <x:v>EEZ</x:v>
      </x:c>
      <x:c r="D142" s="30" t="n">
        <x:v>2019</x:v>
      </x:c>
      <x:c r="E142" s="24" t="str">
        <x:v>Terapontidae</x:v>
      </x:c>
      <x:c r="F142" s="24" t="str">
        <x:v>Grunters, tigerperches</x:v>
      </x:c>
      <x:c r="G142" s="24" t="str">
        <x:v>Medium demersals (30 - 89 cm)</x:v>
      </x:c>
      <x:c r="H142" s="24" t="str">
        <x:v>Perch-likes</x:v>
      </x:c>
      <x:c r="I142" s="31" t="n">
        <x:v>160.9735852677</x:v>
      </x:c>
      <x:c r="J142" s="31" t="n">
        <x:v>51.1878618624</x:v>
      </x:c>
      <x:c r="K142" s="31" t="n">
        <x:v>109.7857234053</x:v>
      </x:c>
      <x:c r="L142" s="31" t="n">
        <x:v>50.213953292700005</x:v>
      </x:c>
      <x:c r="M142" s="31" t="n">
        <x:v>110.759631975</x:v>
      </x:c>
      <x:c r="N142" s="24" t="str">
        <x:v>terapontidae</x:v>
      </x:c>
      <x:c r="O142" s="32" t="n">
        <x:v>3.64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Terapontidae</x:v>
      </x:c>
      <x:c r="T142" s="32" t="n">
        <x:f>IF(O142="","",(1/'Metadata'!$B$5)^(O142-1))</x:f>
        <x:v>436.5158322401661</x:v>
      </x:c>
      <x:c r="U142" s="31" t="n">
        <x:f>IF(T142="","",I142*T142)</x:f>
        <x:v>70267.5185418134</x:v>
      </x:c>
    </x:row>
    <x:row r="143" ht="18" customHeight="1">
      <x:c r="A143" s="24" t="str">
        <x:v>EEZ_036</x:v>
      </x:c>
      <x:c r="B143" s="24" t="str">
        <x:v>Australia</x:v>
      </x:c>
      <x:c r="C143" s="24" t="str">
        <x:v>EEZ</x:v>
      </x:c>
      <x:c r="D143" s="30" t="n">
        <x:v>2019</x:v>
      </x:c>
      <x:c r="E143" s="24" t="str">
        <x:v>Carcharhinus plumbeus</x:v>
      </x:c>
      <x:c r="F143" s="24" t="str">
        <x:v>Sandbar shark</x:v>
      </x:c>
      <x:c r="G143" s="24" t="str">
        <x:v>Large sharks (&gt;=90 cm)</x:v>
      </x:c>
      <x:c r="H143" s="24" t="str">
        <x:v>Sharks &amp; rays</x:v>
      </x:c>
      <x:c r="I143" s="31" t="n">
        <x:v>160.2132534843</x:v>
      </x:c>
      <x:c r="J143" s="31" t="n">
        <x:v>160.2132534843</x:v>
      </x:c>
      <x:c r="K143" s="31" t="n">
        <x:v>0</x:v>
      </x:c>
      <x:c r="L143" s="31" t="n">
        <x:v>135.7497346729</x:v>
      </x:c>
      <x:c r="M143" s="31" t="n">
        <x:v>24.4635188114</x:v>
      </x:c>
      <x:c r="N143" s="24" t="str">
        <x:v>carcharhinus plumbeus</x:v>
      </x:c>
      <x:c r="O143" s="32" t="n">
        <x:v>4.49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Carcharhinus plumbeus</x:v>
      </x:c>
      <x:c r="T143" s="32" t="n">
        <x:f>IF(O143="","",(1/'Metadata'!$B$5)^(O143-1))</x:f>
        <x:v>3090.295432513592</x:v>
      </x:c>
      <x:c r="U143" s="31" t="n">
        <x:f>IF(T143="","",I143*T143)</x:f>
        <x:v>495106.28547067463</x:v>
      </x:c>
    </x:row>
    <x:row r="144" ht="18" customHeight="1">
      <x:c r="A144" s="24" t="str">
        <x:v>EEZ_036</x:v>
      </x:c>
      <x:c r="B144" s="24" t="str">
        <x:v>Australia</x:v>
      </x:c>
      <x:c r="C144" s="24" t="str">
        <x:v>EEZ</x:v>
      </x:c>
      <x:c r="D144" s="30" t="n">
        <x:v>2019</x:v>
      </x:c>
      <x:c r="E144" s="24" t="str">
        <x:v>Metapenaeus endeavouri</x:v>
      </x:c>
      <x:c r="F144" s="24" t="str">
        <x:v>Endeavour shrimp</x:v>
      </x:c>
      <x:c r="G144" s="24" t="str">
        <x:v>Shrimps</x:v>
      </x:c>
      <x:c r="H144" s="24" t="str">
        <x:v>Crustaceans</x:v>
      </x:c>
      <x:c r="I144" s="31" t="n">
        <x:v>159.0416132123</x:v>
      </x:c>
      <x:c r="J144" s="31" t="n">
        <x:v>159.0416132123</x:v>
      </x:c>
      <x:c r="K144" s="31" t="n">
        <x:v>0</x:v>
      </x:c>
      <x:c r="L144" s="31" t="n">
        <x:v>159.0416132123</x:v>
      </x:c>
      <x:c r="M144" s="31" t="n">
        <x:v>0</x:v>
      </x:c>
      <x:c r="N144" s="24" t="str">
        <x:v>metapenaeus endeavouri</x:v>
      </x:c>
      <x:c r="O144" s="32" t="n">
        <x:v>2.7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Metapenaeus endeavouri</x:v>
      </x:c>
      <x:c r="T144" s="32" t="n">
        <x:f>IF(O144="","",(1/'Metadata'!$B$5)^(O144-1))</x:f>
        <x:v>50.11872336272725</x:v>
      </x:c>
      <x:c r="U144" s="31" t="n">
        <x:f>IF(T144="","",I144*T144)</x:f>
        <x:v>7970.962615749131</x:v>
      </x:c>
    </x:row>
    <x:row r="145" ht="18" customHeight="1">
      <x:c r="A145" s="24" t="str">
        <x:v>EEZ_036</x:v>
      </x:c>
      <x:c r="B145" s="24" t="str">
        <x:v>Australia</x:v>
      </x:c>
      <x:c r="C145" s="24" t="str">
        <x:v>EEZ</x:v>
      </x:c>
      <x:c r="D145" s="30" t="n">
        <x:v>2019</x:v>
      </x:c>
      <x:c r="E145" s="24" t="str">
        <x:v>Squalus</x:v>
      </x:c>
      <x:c r="F145" s="24" t="str">
        <x:v>Dogfishes</x:v>
      </x:c>
      <x:c r="G145" s="24" t="str">
        <x:v>Large sharks (&gt;=90 cm)</x:v>
      </x:c>
      <x:c r="H145" s="24" t="str">
        <x:v>Sharks &amp; rays</x:v>
      </x:c>
      <x:c r="I145" s="31" t="n">
        <x:v>151.0679158207</x:v>
      </x:c>
      <x:c r="J145" s="31" t="n">
        <x:v>6.2695366145</x:v>
      </x:c>
      <x:c r="K145" s="31" t="n">
        <x:v>144.7983792062</x:v>
      </x:c>
      <x:c r="L145" s="31" t="n">
        <x:v>6.2692411782</x:v>
      </x:c>
      <x:c r="M145" s="31" t="n">
        <x:v>144.7986746425</x:v>
      </x:c>
      <x:c r="N145" s="24" t="str">
        <x:v>squalus</x:v>
      </x:c>
      <x:c r="O145" s="32" t="n">
        <x:v>4.23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Squalus</x:v>
      </x:c>
      <x:c r="T145" s="32" t="n">
        <x:f>IF(O145="","",(1/'Metadata'!$B$5)^(O145-1))</x:f>
        <x:v>1698.243652461746</x:v>
      </x:c>
      <x:c r="U145" s="31" t="n">
        <x:f>IF(T145="","",I145*T145)</x:f>
        <x:v>256550.12913312914</x:v>
      </x:c>
    </x:row>
    <x:row r="146" ht="18" customHeight="1">
      <x:c r="A146" s="24" t="str">
        <x:v>EEZ_036</x:v>
      </x:c>
      <x:c r="B146" s="24" t="str">
        <x:v>Australia</x:v>
      </x:c>
      <x:c r="C146" s="24" t="str">
        <x:v>EEZ</x:v>
      </x:c>
      <x:c r="D146" s="30" t="n">
        <x:v>2019</x:v>
      </x:c>
      <x:c r="E146" s="24" t="str">
        <x:v>Bothidae</x:v>
      </x:c>
      <x:c r="F146" s="24" t="str">
        <x:v>Lefteye flounders</x:v>
      </x:c>
      <x:c r="G146" s="24" t="str">
        <x:v>Small to medium flatfishes (&lt;90 cm)</x:v>
      </x:c>
      <x:c r="H146" s="24" t="str">
        <x:v>Flatfishes</x:v>
      </x:c>
      <x:c r="I146" s="31" t="n">
        <x:v>149.61277049560002</x:v>
      </x:c>
      <x:c r="J146" s="31" t="n">
        <x:v>26.2658710327</x:v>
      </x:c>
      <x:c r="K146" s="31" t="n">
        <x:v>123.34689946290001</x:v>
      </x:c>
      <x:c r="L146" s="31" t="n">
        <x:v>0</x:v>
      </x:c>
      <x:c r="M146" s="31" t="n">
        <x:v>149.61277049560002</x:v>
      </x:c>
      <x:c r="N146" s="24" t="str">
        <x:v>bothidae</x:v>
      </x:c>
      <x:c r="O146" s="32" t="n">
        <x:v>3.77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Bothidae</x:v>
      </x:c>
      <x:c r="T146" s="32" t="n">
        <x:f>IF(O146="","",(1/'Metadata'!$B$5)^(O146-1))</x:f>
        <x:v>588.843655355589</x:v>
      </x:c>
      <x:c r="U146" s="31" t="n">
        <x:f>IF(T146="","",I146*T146)</x:f>
        <x:v>88098.53066650593</x:v>
      </x:c>
    </x:row>
    <x:row r="147" ht="18" customHeight="1">
      <x:c r="A147" s="24" t="str">
        <x:v>EEZ_036</x:v>
      </x:c>
      <x:c r="B147" s="24" t="str">
        <x:v>Australia</x:v>
      </x:c>
      <x:c r="C147" s="24" t="str">
        <x:v>EEZ</x:v>
      </x:c>
      <x:c r="D147" s="30" t="n">
        <x:v>2019</x:v>
      </x:c>
      <x:c r="E147" s="24" t="str">
        <x:v>Zenopsis nebulosa</x:v>
      </x:c>
      <x:c r="F147" s="24" t="str">
        <x:v>Mirror dory</x:v>
      </x:c>
      <x:c r="G147" s="24" t="str">
        <x:v>Medium bathydemersals (30 - 89 cm)</x:v>
      </x:c>
      <x:c r="H147" s="24" t="str">
        <x:v>Other fishes &amp; inverts</x:v>
      </x:c>
      <x:c r="I147" s="31" t="n">
        <x:v>144.56846782160002</x:v>
      </x:c>
      <x:c r="J147" s="31" t="n">
        <x:v>118.1866151624</x:v>
      </x:c>
      <x:c r="K147" s="31" t="n">
        <x:v>26.3818526592</x:v>
      </x:c>
      <x:c r="L147" s="31" t="n">
        <x:v>118.16475623480001</x:v>
      </x:c>
      <x:c r="M147" s="31" t="n">
        <x:v>26.4037115868</x:v>
      </x:c>
      <x:c r="N147" s="24" t="str">
        <x:v>zenopsis nebulosa</x:v>
      </x:c>
      <x:c r="O147" s="32" t="n">
        <x:v>3.98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Zenopsis nebulosa</x:v>
      </x:c>
      <x:c r="T147" s="32" t="n">
        <x:f>IF(O147="","",(1/'Metadata'!$B$5)^(O147-1))</x:f>
        <x:v>954.992586021436</x:v>
      </x:c>
      <x:c r="U147" s="31" t="n">
        <x:f>IF(T147="","",I147*T147)</x:f>
        <x:v>138061.81494210655</x:v>
      </x:c>
    </x:row>
    <x:row r="148" ht="18" customHeight="1">
      <x:c r="A148" s="24" t="str">
        <x:v>EEZ_036</x:v>
      </x:c>
      <x:c r="B148" s="24" t="str">
        <x:v>Australia</x:v>
      </x:c>
      <x:c r="C148" s="24" t="str">
        <x:v>EEZ</x:v>
      </x:c>
      <x:c r="D148" s="30" t="n">
        <x:v>2019</x:v>
      </x:c>
      <x:c r="E148" s="24" t="str">
        <x:v>Chimaeriformes</x:v>
      </x:c>
      <x:c r="F148" s="24" t="str">
        <x:v>Chimaeras</x:v>
      </x:c>
      <x:c r="G148" s="24" t="str">
        <x:v>Large rays (&gt;=90 cm)</x:v>
      </x:c>
      <x:c r="H148" s="24" t="str">
        <x:v>Sharks &amp; rays</x:v>
      </x:c>
      <x:c r="I148" s="31" t="n">
        <x:v>143.65270336199998</x:v>
      </x:c>
      <x:c r="J148" s="31" t="n">
        <x:v>5.4622606694</x:v>
      </x:c>
      <x:c r="K148" s="31" t="n">
        <x:v>138.1904426926</x:v>
      </x:c>
      <x:c r="L148" s="31" t="n">
        <x:v>5.4622606694</x:v>
      </x:c>
      <x:c r="M148" s="31" t="n">
        <x:v>138.1904426926</x:v>
      </x:c>
      <x:c r="N148" s="24" t="str">
        <x:v>chimaeriformes</x:v>
      </x:c>
      <x:c r="O148" s="32" t="n">
        <x:v>3.37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Chimaeriformes</x:v>
      </x:c>
      <x:c r="T148" s="32" t="n">
        <x:f>IF(O148="","",(1/'Metadata'!$B$5)^(O148-1))</x:f>
        <x:v>234.42288153199226</x:v>
      </x:c>
      <x:c r="U148" s="31" t="n">
        <x:f>IF(T148="","",I148*T148)</x:f>
        <x:v>33675.480661980546</x:v>
      </x:c>
    </x:row>
    <x:row r="149" ht="18" customHeight="1">
      <x:c r="A149" s="24" t="str">
        <x:v>EEZ_036</x:v>
      </x:c>
      <x:c r="B149" s="24" t="str">
        <x:v>Australia</x:v>
      </x:c>
      <x:c r="C149" s="24" t="str">
        <x:v>EEZ</x:v>
      </x:c>
      <x:c r="D149" s="30" t="n">
        <x:v>2019</x:v>
      </x:c>
      <x:c r="E149" s="24" t="str">
        <x:v>Diagramma pictum</x:v>
      </x:c>
      <x:c r="F149" s="24" t="str">
        <x:v>Painted sweetlips</x:v>
      </x:c>
      <x:c r="G149" s="24" t="str">
        <x:v>Large reef assoc. fish (&gt;=90 cm)</x:v>
      </x:c>
      <x:c r="H149" s="24" t="str">
        <x:v>Perch-likes</x:v>
      </x:c>
      <x:c r="I149" s="31" t="n">
        <x:v>141.66239035319998</x:v>
      </x:c>
      <x:c r="J149" s="31" t="n">
        <x:v>141.66239035319998</x:v>
      </x:c>
      <x:c r="K149" s="31" t="n">
        <x:v>0</x:v>
      </x:c>
      <x:c r="L149" s="31" t="n">
        <x:v>141.66239035319998</x:v>
      </x:c>
      <x:c r="M149" s="31" t="n">
        <x:v>0</x:v>
      </x:c>
      <x:c r="N149" s="24" t="str">
        <x:v>diagramma pictum</x:v>
      </x:c>
      <x:c r="O149" s="32" t="n">
        <x:v>3.7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Diagramma pictum</x:v>
      </x:c>
      <x:c r="T149" s="32" t="n">
        <x:f>IF(O149="","",(1/'Metadata'!$B$5)^(O149-1))</x:f>
        <x:v>501.18723362727246</x:v>
      </x:c>
      <x:c r="U149" s="31" t="n">
        <x:f>IF(T149="","",I149*T149)</x:f>
        <x:v>70999.3815301471</x:v>
      </x:c>
    </x:row>
    <x:row r="150" ht="18" customHeight="1">
      <x:c r="A150" s="24" t="str">
        <x:v>EEZ_036</x:v>
      </x:c>
      <x:c r="B150" s="24" t="str">
        <x:v>Australia</x:v>
      </x:c>
      <x:c r="C150" s="24" t="str">
        <x:v>EEZ</x:v>
      </x:c>
      <x:c r="D150" s="30" t="n">
        <x:v>2019</x:v>
      </x:c>
      <x:c r="E150" s="24" t="str">
        <x:v>Gnathanodon speciosus</x:v>
      </x:c>
      <x:c r="F150" s="24" t="str">
        <x:v>Golden trevally</x:v>
      </x:c>
      <x:c r="G150" s="24" t="str">
        <x:v>Large reef assoc. fish (&gt;=90 cm)</x:v>
      </x:c>
      <x:c r="H150" s="24" t="str">
        <x:v>Perch-likes</x:v>
      </x:c>
      <x:c r="I150" s="31" t="n">
        <x:v>137.9882478462</x:v>
      </x:c>
      <x:c r="J150" s="31" t="n">
        <x:v>137.9882478462</x:v>
      </x:c>
      <x:c r="K150" s="31" t="n">
        <x:v>0</x:v>
      </x:c>
      <x:c r="L150" s="31" t="n">
        <x:v>18.2537257101</x:v>
      </x:c>
      <x:c r="M150" s="31" t="n">
        <x:v>119.7345221361</x:v>
      </x:c>
      <x:c r="N150" s="24" t="str">
        <x:v>gnathanodon speciosus</x:v>
      </x:c>
      <x:c r="O150" s="32" t="n">
        <x:v>3.84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Gnathanodon speciosus</x:v>
      </x:c>
      <x:c r="T150" s="32" t="n">
        <x:f>IF(O150="","",(1/'Metadata'!$B$5)^(O150-1))</x:f>
        <x:v>691.8309709189363</x:v>
      </x:c>
      <x:c r="U150" s="31" t="n">
        <x:f>IF(T150="","",I150*T150)</x:f>
        <x:v>95464.54348283936</x:v>
      </x:c>
    </x:row>
    <x:row r="151" ht="18" customHeight="1">
      <x:c r="A151" s="24" t="str">
        <x:v>EEZ_036</x:v>
      </x:c>
      <x:c r="B151" s="24" t="str">
        <x:v>Australia</x:v>
      </x:c>
      <x:c r="C151" s="24" t="str">
        <x:v>EEZ</x:v>
      </x:c>
      <x:c r="D151" s="30" t="n">
        <x:v>2019</x:v>
      </x:c>
      <x:c r="E151" s="24" t="str">
        <x:v>Siganidae</x:v>
      </x:c>
      <x:c r="F151" s="24" t="str">
        <x:v>Rabbitfishes</x:v>
      </x:c>
      <x:c r="G151" s="24" t="str">
        <x:v>Medium reef assoc. fish (30 - 89 cm)</x:v>
      </x:c>
      <x:c r="H151" s="24" t="str">
        <x:v>Perch-likes</x:v>
      </x:c>
      <x:c r="I151" s="31" t="n">
        <x:v>137.81499525729998</x:v>
      </x:c>
      <x:c r="J151" s="31" t="n">
        <x:v>137.81499525729998</x:v>
      </x:c>
      <x:c r="K151" s="31" t="n">
        <x:v>0</x:v>
      </x:c>
      <x:c r="L151" s="31" t="n">
        <x:v>0</x:v>
      </x:c>
      <x:c r="M151" s="31" t="n">
        <x:v>137.81499525729998</x:v>
      </x:c>
      <x:c r="N151" s="24" t="str">
        <x:v>siganidae</x:v>
      </x:c>
      <x:c r="O151" s="32" t="n">
        <x:v>2.11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Siganidae</x:v>
      </x:c>
      <x:c r="T151" s="32" t="n">
        <x:f>IF(O151="","",(1/'Metadata'!$B$5)^(O151-1))</x:f>
        <x:v>12.882495516931336</x:v>
      </x:c>
      <x:c r="U151" s="31" t="n">
        <x:f>IF(T151="","",I151*T151)</x:f>
        <x:v>1775.4010585680803</x:v>
      </x:c>
    </x:row>
    <x:row r="152" ht="18" customHeight="1">
      <x:c r="A152" s="24" t="str">
        <x:v>EEZ_036</x:v>
      </x:c>
      <x:c r="B152" s="24" t="str">
        <x:v>Australia</x:v>
      </x:c>
      <x:c r="C152" s="24" t="str">
        <x:v>EEZ</x:v>
      </x:c>
      <x:c r="D152" s="30" t="n">
        <x:v>2019</x:v>
      </x:c>
      <x:c r="E152" s="24" t="str">
        <x:v>Cyttus traversi</x:v>
      </x:c>
      <x:c r="F152" s="24" t="str">
        <x:v>King dory</x:v>
      </x:c>
      <x:c r="G152" s="24" t="str">
        <x:v>Medium bathydemersals (30 - 89 cm)</x:v>
      </x:c>
      <x:c r="H152" s="24" t="str">
        <x:v>Other fishes &amp; inverts</x:v>
      </x:c>
      <x:c r="I152" s="31" t="n">
        <x:v>136.9587679297</x:v>
      </x:c>
      <x:c r="J152" s="31" t="n">
        <x:v>136.9587679297</x:v>
      </x:c>
      <x:c r="K152" s="31" t="n">
        <x:v>0</x:v>
      </x:c>
      <x:c r="L152" s="31" t="n">
        <x:v>136.9587679297</x:v>
      </x:c>
      <x:c r="M152" s="31" t="n">
        <x:v>0</x:v>
      </x:c>
      <x:c r="N152" s="24" t="str">
        <x:v>cyttus traversi</x:v>
      </x:c>
      <x:c r="O152" s="32" t="n">
        <x:v>4.25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Cyttus traversi</x:v>
      </x:c>
      <x:c r="T152" s="32" t="n">
        <x:f>IF(O152="","",(1/'Metadata'!$B$5)^(O152-1))</x:f>
        <x:v>1778.2794100389228</x:v>
      </x:c>
      <x:c r="U152" s="31" t="n">
        <x:f>IF(T152="","",I152*T152)</x:f>
        <x:v>243550.95703368465</x:v>
      </x:c>
    </x:row>
    <x:row r="153" ht="18" customHeight="1">
      <x:c r="A153" s="24" t="str">
        <x:v>EEZ_036</x:v>
      </x:c>
      <x:c r="B153" s="24" t="str">
        <x:v>Australia</x:v>
      </x:c>
      <x:c r="C153" s="24" t="str">
        <x:v>EEZ</x:v>
      </x:c>
      <x:c r="D153" s="30" t="n">
        <x:v>2019</x:v>
      </x:c>
      <x:c r="E153" s="24" t="str">
        <x:v>Apogonidae</x:v>
      </x:c>
      <x:c r="F153" s="24" t="str">
        <x:v>Cardinalfishes</x:v>
      </x:c>
      <x:c r="G153" s="24" t="str">
        <x:v>Small reef assoc. fish (&lt;30 cm)</x:v>
      </x:c>
      <x:c r="H153" s="24" t="str">
        <x:v>Perch-likes</x:v>
      </x:c>
      <x:c r="I153" s="31" t="n">
        <x:v>136.3334189208</x:v>
      </x:c>
      <x:c r="J153" s="31" t="n">
        <x:v>9.2585330414</x:v>
      </x:c>
      <x:c r="K153" s="31" t="n">
        <x:v>127.0748858794</x:v>
      </x:c>
      <x:c r="L153" s="31" t="n">
        <x:v>9.258402125</x:v>
      </x:c>
      <x:c r="M153" s="31" t="n">
        <x:v>127.0750167958</x:v>
      </x:c>
      <x:c r="N153" s="24" t="str">
        <x:v>apogonidae</x:v>
      </x:c>
      <x:c r="O153" s="32" t="n">
        <x:v>3.54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Apogonidae</x:v>
      </x:c>
      <x:c r="T153" s="32" t="n">
        <x:f>IF(O153="","",(1/'Metadata'!$B$5)^(O153-1))</x:f>
        <x:v>346.73685045253166</x:v>
      </x:c>
      <x:c r="U153" s="31" t="n">
        <x:f>IF(T153="","",I153*T153)</x:f>
        <x:v>47271.82028802378</x:v>
      </x:c>
    </x:row>
    <x:row r="154" ht="18" customHeight="1">
      <x:c r="A154" s="24" t="str">
        <x:v>EEZ_036</x:v>
      </x:c>
      <x:c r="B154" s="24" t="str">
        <x:v>Australia</x:v>
      </x:c>
      <x:c r="C154" s="24" t="str">
        <x:v>EEZ</x:v>
      </x:c>
      <x:c r="D154" s="30" t="n">
        <x:v>2019</x:v>
      </x:c>
      <x:c r="E154" s="24" t="str">
        <x:v>Tetraodontidae</x:v>
      </x:c>
      <x:c r="F154" s="24" t="str">
        <x:v>Puffers, tobies</x:v>
      </x:c>
      <x:c r="G154" s="24" t="str">
        <x:v>Large reef assoc. fish (&gt;=90 cm)</x:v>
      </x:c>
      <x:c r="H154" s="24" t="str">
        <x:v>Other fishes &amp; inverts</x:v>
      </x:c>
      <x:c r="I154" s="31" t="n">
        <x:v>135.0825001976</x:v>
      </x:c>
      <x:c r="J154" s="31" t="n">
        <x:v>0.8095414323000001</x:v>
      </x:c>
      <x:c r="K154" s="31" t="n">
        <x:v>134.27295876530002</x:v>
      </x:c>
      <x:c r="L154" s="31" t="n">
        <x:v>0.0792824772</x:v>
      </x:c>
      <x:c r="M154" s="31" t="n">
        <x:v>135.00321772040002</x:v>
      </x:c>
      <x:c r="N154" s="24" t="str">
        <x:v>tetraodontidae</x:v>
      </x:c>
      <x:c r="O154" s="32" t="n">
        <x:v>3.5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Tetraodontidae</x:v>
      </x:c>
      <x:c r="T154" s="32" t="n">
        <x:f>IF(O154="","",(1/'Metadata'!$B$5)^(O154-1))</x:f>
        <x:v>316.22776601683796</x:v>
      </x:c>
      <x:c r="U154" s="31" t="n">
        <x:f>IF(T154="","",I154*T154)</x:f>
        <x:v>42716.837265456124</x:v>
      </x:c>
    </x:row>
    <x:row r="155" ht="18" customHeight="1">
      <x:c r="A155" s="24" t="str">
        <x:v>EEZ_036</x:v>
      </x:c>
      <x:c r="B155" s="24" t="str">
        <x:v>Australia</x:v>
      </x:c>
      <x:c r="C155" s="24" t="str">
        <x:v>EEZ</x:v>
      </x:c>
      <x:c r="D155" s="30" t="n">
        <x:v>2019</x:v>
      </x:c>
      <x:c r="E155" s="24" t="str">
        <x:v>Scomberoides</x:v>
      </x:c>
      <x:c r="F155" s="24" t="str">
        <x:v>Queenfishes</x:v>
      </x:c>
      <x:c r="G155" s="24" t="str">
        <x:v>Medium pelagics (30 - 89 cm)</x:v>
      </x:c>
      <x:c r="H155" s="24" t="str">
        <x:v>Perch-likes</x:v>
      </x:c>
      <x:c r="I155" s="31" t="n">
        <x:v>134.8338420729</x:v>
      </x:c>
      <x:c r="J155" s="31" t="n">
        <x:v>134.8338420729</x:v>
      </x:c>
      <x:c r="K155" s="31" t="n">
        <x:v>0</x:v>
      </x:c>
      <x:c r="L155" s="31" t="n">
        <x:v>104.617380146</x:v>
      </x:c>
      <x:c r="M155" s="31" t="n">
        <x:v>30.2164619269</x:v>
      </x:c>
      <x:c r="N155" s="24" t="str">
        <x:v>scomberoides</x:v>
      </x:c>
      <x:c r="O155" s="32" t="n">
        <x:v>4.47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Scomberoides</x:v>
      </x:c>
      <x:c r="T155" s="32" t="n">
        <x:f>IF(O155="","",(1/'Metadata'!$B$5)^(O155-1))</x:f>
        <x:v>2951.209226666384</x:v>
      </x:c>
      <x:c r="U155" s="31" t="n">
        <x:f>IF(T155="","",I155*T155)</x:f>
        <x:v>397922.8787924206</x:v>
      </x:c>
    </x:row>
    <x:row r="156" ht="18" customHeight="1">
      <x:c r="A156" s="24" t="str">
        <x:v>EEZ_036</x:v>
      </x:c>
      <x:c r="B156" s="24" t="str">
        <x:v>Australia</x:v>
      </x:c>
      <x:c r="C156" s="24" t="str">
        <x:v>EEZ</x:v>
      </x:c>
      <x:c r="D156" s="30" t="n">
        <x:v>2019</x:v>
      </x:c>
      <x:c r="E156" s="24" t="str">
        <x:v>Carcharhinus falciformis</x:v>
      </x:c>
      <x:c r="F156" s="24" t="str">
        <x:v>Silky shark</x:v>
      </x:c>
      <x:c r="G156" s="24" t="str">
        <x:v>Large sharks (&gt;=90 cm)</x:v>
      </x:c>
      <x:c r="H156" s="24" t="str">
        <x:v>Sharks &amp; rays</x:v>
      </x:c>
      <x:c r="I156" s="31" t="n">
        <x:v>133.9166867482</x:v>
      </x:c>
      <x:c r="J156" s="31" t="n">
        <x:v>14.5215208298</x:v>
      </x:c>
      <x:c r="K156" s="31" t="n">
        <x:v>119.3951659184</x:v>
      </x:c>
      <x:c r="L156" s="31" t="n">
        <x:v>11.8128713964</x:v>
      </x:c>
      <x:c r="M156" s="31" t="n">
        <x:v>122.1038153518</x:v>
      </x:c>
      <x:c r="N156" s="24" t="str">
        <x:v>carcharhinus falciformis</x:v>
      </x:c>
      <x:c r="O156" s="32" t="n">
        <x:v>4.51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Carcharhinus falciformis</x:v>
      </x:c>
      <x:c r="T156" s="32" t="n">
        <x:f>IF(O156="","",(1/'Metadata'!$B$5)^(O156-1))</x:f>
        <x:v>3235.936569296281</x:v>
      </x:c>
      <x:c r="U156" s="31" t="n">
        <x:f>IF(T156="","",I156*T156)</x:f>
        <x:v>433345.90388749505</x:v>
      </x:c>
    </x:row>
    <x:row r="157" ht="18" customHeight="1">
      <x:c r="A157" s="24" t="str">
        <x:v>EEZ_036</x:v>
      </x:c>
      <x:c r="B157" s="24" t="str">
        <x:v>Australia</x:v>
      </x:c>
      <x:c r="C157" s="24" t="str">
        <x:v>EEZ</x:v>
      </x:c>
      <x:c r="D157" s="30" t="n">
        <x:v>2019</x:v>
      </x:c>
      <x:c r="E157" s="24" t="str">
        <x:v>Charybdis</x:v>
      </x:c>
      <x:c r="F157" s="24" t="str">
        <x:v>Whirlpool swimming crabs</x:v>
      </x:c>
      <x:c r="G157" s="24" t="str">
        <x:v>Lobsters, crabs</x:v>
      </x:c>
      <x:c r="H157" s="24" t="str">
        <x:v>Crustaceans</x:v>
      </x:c>
      <x:c r="I157" s="31" t="n">
        <x:v>133.2891793235</x:v>
      </x:c>
      <x:c r="J157" s="31" t="n">
        <x:v>5.2474131967</x:v>
      </x:c>
      <x:c r="K157" s="31" t="n">
        <x:v>128.0417661268</x:v>
      </x:c>
      <x:c r="L157" s="31" t="n">
        <x:v>5.2474131967</x:v>
      </x:c>
      <x:c r="M157" s="31" t="n">
        <x:v>128.0417661268</x:v>
      </x:c>
      <x:c r="N157" s="24" t="str">
        <x:v>charybdis</x:v>
      </x:c>
      <x:c r="O157" s="32" t="n">
        <x:v>2.7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Charybdis</x:v>
      </x:c>
      <x:c r="T157" s="32" t="n">
        <x:f>IF(O157="","",(1/'Metadata'!$B$5)^(O157-1))</x:f>
        <x:v>50.11872336272725</x:v>
      </x:c>
      <x:c r="U157" s="31" t="n">
        <x:f>IF(T157="","",I157*T157)</x:f>
        <x:v>6680.283505759442</x:v>
      </x:c>
    </x:row>
    <x:row r="158" ht="18" customHeight="1">
      <x:c r="A158" s="24" t="str">
        <x:v>EEZ_036</x:v>
      </x:c>
      <x:c r="B158" s="24" t="str">
        <x:v>Australia</x:v>
      </x:c>
      <x:c r="C158" s="24" t="str">
        <x:v>EEZ</x:v>
      </x:c>
      <x:c r="D158" s="30" t="n">
        <x:v>2019</x:v>
      </x:c>
      <x:c r="E158" s="24" t="str">
        <x:v>Veneridae</x:v>
      </x:c>
      <x:c r="F158" s="24" t="str">
        <x:v>Venus clams</x:v>
      </x:c>
      <x:c r="G158" s="24" t="str">
        <x:v>Other demersal invertebrates</x:v>
      </x:c>
      <x:c r="H158" s="24" t="str">
        <x:v>Molluscs</x:v>
      </x:c>
      <x:c r="I158" s="31" t="n">
        <x:v>133.2261468448</x:v>
      </x:c>
      <x:c r="J158" s="31" t="n">
        <x:v>133.2261468448</x:v>
      </x:c>
      <x:c r="K158" s="31" t="n">
        <x:v>0</x:v>
      </x:c>
      <x:c r="L158" s="31" t="n">
        <x:v>133.2261468448</x:v>
      </x:c>
      <x:c r="M158" s="31" t="n">
        <x:v>0</x:v>
      </x:c>
      <x:c r="N158" s="24" t="str">
        <x:v>veneridae</x:v>
      </x:c>
      <x:c r="O158" s="32" t="n">
        <x:v>2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Veneridae</x:v>
      </x:c>
      <x:c r="T158" s="32" t="n">
        <x:f>IF(O158="","",(1/'Metadata'!$B$5)^(O158-1))</x:f>
        <x:v>10</x:v>
      </x:c>
      <x:c r="U158" s="31" t="n">
        <x:f>IF(T158="","",I158*T158)</x:f>
        <x:v>1332.2614684480002</x:v>
      </x:c>
    </x:row>
    <x:row r="159" ht="18" customHeight="1">
      <x:c r="A159" s="24" t="str">
        <x:v>EEZ_036</x:v>
      </x:c>
      <x:c r="B159" s="24" t="str">
        <x:v>Australia</x:v>
      </x:c>
      <x:c r="C159" s="24" t="str">
        <x:v>EEZ</x:v>
      </x:c>
      <x:c r="D159" s="30" t="n">
        <x:v>2019</x:v>
      </x:c>
      <x:c r="E159" s="24" t="str">
        <x:v>Panulirus</x:v>
      </x:c>
      <x:c r="F159" s="24" t="str">
        <x:v>Spiny lobsters</x:v>
      </x:c>
      <x:c r="G159" s="24" t="str">
        <x:v>Lobsters, crabs</x:v>
      </x:c>
      <x:c r="H159" s="24" t="str">
        <x:v>Crustaceans</x:v>
      </x:c>
      <x:c r="I159" s="31" t="n">
        <x:v>128.79909405610002</x:v>
      </x:c>
      <x:c r="J159" s="31" t="n">
        <x:v>128.79909405610002</x:v>
      </x:c>
      <x:c r="K159" s="31" t="n">
        <x:v>0</x:v>
      </x:c>
      <x:c r="L159" s="31" t="n">
        <x:v>128.79810170940002</x:v>
      </x:c>
      <x:c r="M159" s="31" t="n">
        <x:v>0.0009923467</x:v>
      </x:c>
      <x:c r="N159" s="24" t="str">
        <x:v>panulirus</x:v>
      </x:c>
      <x:c r="O159" s="32" t="n">
        <x:v>2.6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Panulirus</x:v>
      </x:c>
      <x:c r="T159" s="32" t="n">
        <x:f>IF(O159="","",(1/'Metadata'!$B$5)^(O159-1))</x:f>
        <x:v>39.810717055349734</x:v>
      </x:c>
      <x:c r="U159" s="31" t="n">
        <x:f>IF(T159="","",I159*T159)</x:f>
        <x:v>5127.584290452775</x:v>
      </x:c>
    </x:row>
    <x:row r="160" ht="18" customHeight="1">
      <x:c r="A160" s="24" t="str">
        <x:v>EEZ_036</x:v>
      </x:c>
      <x:c r="B160" s="24" t="str">
        <x:v>Australia</x:v>
      </x:c>
      <x:c r="C160" s="24" t="str">
        <x:v>EEZ</x:v>
      </x:c>
      <x:c r="D160" s="30" t="n">
        <x:v>2019</x:v>
      </x:c>
      <x:c r="E160" s="24" t="str">
        <x:v>Upeneus</x:v>
      </x:c>
      <x:c r="F160" s="24" t="str">
        <x:v>Upeneid goatfishes</x:v>
      </x:c>
      <x:c r="G160" s="24" t="str">
        <x:v>Small reef assoc. fish (&lt;30 cm)</x:v>
      </x:c>
      <x:c r="H160" s="24" t="str">
        <x:v>Perch-likes</x:v>
      </x:c>
      <x:c r="I160" s="31" t="n">
        <x:v>128.314761632</x:v>
      </x:c>
      <x:c r="J160" s="31" t="n">
        <x:v>0</x:v>
      </x:c>
      <x:c r="K160" s="31" t="n">
        <x:v>128.314761632</x:v>
      </x:c>
      <x:c r="L160" s="31" t="n">
        <x:v>0</x:v>
      </x:c>
      <x:c r="M160" s="31" t="n">
        <x:v>128.314761632</x:v>
      </x:c>
      <x:c r="N160" s="24" t="str">
        <x:v>upeneus</x:v>
      </x:c>
      <x:c r="O160" s="32" t="n">
        <x:v>3.54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Upeneus</x:v>
      </x:c>
      <x:c r="T160" s="32" t="n">
        <x:f>IF(O160="","",(1/'Metadata'!$B$5)^(O160-1))</x:f>
        <x:v>346.73685045253166</x:v>
      </x:c>
      <x:c r="U160" s="31" t="n">
        <x:f>IF(T160="","",I160*T160)</x:f>
        <x:v>44491.45631484703</x:v>
      </x:c>
    </x:row>
    <x:row r="161" ht="18" customHeight="1">
      <x:c r="A161" s="24" t="str">
        <x:v>EEZ_036</x:v>
      </x:c>
      <x:c r="B161" s="24" t="str">
        <x:v>Australia</x:v>
      </x:c>
      <x:c r="C161" s="24" t="str">
        <x:v>EEZ</x:v>
      </x:c>
      <x:c r="D161" s="30" t="n">
        <x:v>2019</x:v>
      </x:c>
      <x:c r="E161" s="24" t="str">
        <x:v>Pinctada maxima</x:v>
      </x:c>
      <x:c r="F161" s="24" t="str">
        <x:v>Silverlip pearl oyster</x:v>
      </x:c>
      <x:c r="G161" s="24" t="str">
        <x:v>Other demersal invertebrates</x:v>
      </x:c>
      <x:c r="H161" s="24" t="str">
        <x:v>Molluscs</x:v>
      </x:c>
      <x:c r="I161" s="31" t="n">
        <x:v>127.0881329912</x:v>
      </x:c>
      <x:c r="J161" s="31" t="n">
        <x:v>127.0881329912</x:v>
      </x:c>
      <x:c r="K161" s="31" t="n">
        <x:v>0</x:v>
      </x:c>
      <x:c r="L161" s="31" t="n">
        <x:v>127.0881329912</x:v>
      </x:c>
      <x:c r="M161" s="31" t="n">
        <x:v>0</x:v>
      </x:c>
      <x:c r="N161" s="24" t="str">
        <x:v>pinctada maxima</x:v>
      </x:c>
      <x:c r="O161" s="32" t="n">
        <x:v>2.05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Pinctada maxima</x:v>
      </x:c>
      <x:c r="T161" s="32" t="n">
        <x:f>IF(O161="","",(1/'Metadata'!$B$5)^(O161-1))</x:f>
        <x:v>11.220184543019629</x:v>
      </x:c>
      <x:c r="U161" s="31" t="n">
        <x:f>IF(T161="","",I161*T161)</x:f>
        <x:v>1425.9523053890853</x:v>
      </x:c>
    </x:row>
    <x:row r="162" ht="18" customHeight="1">
      <x:c r="A162" s="24" t="str">
        <x:v>EEZ_036</x:v>
      </x:c>
      <x:c r="B162" s="24" t="str">
        <x:v>Australia</x:v>
      </x:c>
      <x:c r="C162" s="24" t="str">
        <x:v>EEZ</x:v>
      </x:c>
      <x:c r="D162" s="30" t="n">
        <x:v>2019</x:v>
      </x:c>
      <x:c r="E162" s="24" t="str">
        <x:v>Polyprion oxygeneios</x:v>
      </x:c>
      <x:c r="F162" s="24" t="str">
        <x:v>Hapuku wreckfish</x:v>
      </x:c>
      <x:c r="G162" s="24" t="str">
        <x:v>Large demersals (&gt;=90 cm)</x:v>
      </x:c>
      <x:c r="H162" s="24" t="str">
        <x:v>Perch-likes</x:v>
      </x:c>
      <x:c r="I162" s="31" t="n">
        <x:v>124.86330002150001</x:v>
      </x:c>
      <x:c r="J162" s="31" t="n">
        <x:v>124.86330002150001</x:v>
      </x:c>
      <x:c r="K162" s="31" t="n">
        <x:v>0</x:v>
      </x:c>
      <x:c r="L162" s="31" t="n">
        <x:v>91.41071483750001</x:v>
      </x:c>
      <x:c r="M162" s="31" t="n">
        <x:v>33.452585184</x:v>
      </x:c>
      <x:c r="N162" s="24" t="str">
        <x:v>polyprion oxygeneios</x:v>
      </x:c>
      <x:c r="O162" s="32" t="n">
        <x:v>4.45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Polyprion oxygeneios</x:v>
      </x:c>
      <x:c r="T162" s="32" t="n">
        <x:f>IF(O162="","",(1/'Metadata'!$B$5)^(O162-1))</x:f>
        <x:v>2818.382931264455</x:v>
      </x:c>
      <x:c r="U162" s="31" t="n">
        <x:f>IF(T162="","",I162*T162)</x:f>
        <x:v>351912.59352194826</x:v>
      </x:c>
    </x:row>
    <x:row r="163" ht="18" customHeight="1">
      <x:c r="A163" s="24" t="str">
        <x:v>EEZ_036</x:v>
      </x:c>
      <x:c r="B163" s="24" t="str">
        <x:v>Australia</x:v>
      </x:c>
      <x:c r="C163" s="24" t="str">
        <x:v>EEZ</x:v>
      </x:c>
      <x:c r="D163" s="30" t="n">
        <x:v>2019</x:v>
      </x:c>
      <x:c r="E163" s="24" t="str">
        <x:v>Carcharhinus tilstoni</x:v>
      </x:c>
      <x:c r="F163" s="24" t="str">
        <x:v>Australian blacktip shark</x:v>
      </x:c>
      <x:c r="G163" s="24" t="str">
        <x:v>Large sharks (&gt;=90 cm)</x:v>
      </x:c>
      <x:c r="H163" s="24" t="str">
        <x:v>Sharks &amp; rays</x:v>
      </x:c>
      <x:c r="I163" s="31" t="n">
        <x:v>123.25479146980001</x:v>
      </x:c>
      <x:c r="J163" s="31" t="n">
        <x:v>123.25479146980001</x:v>
      </x:c>
      <x:c r="K163" s="31" t="n">
        <x:v>0</x:v>
      </x:c>
      <x:c r="L163" s="31" t="n">
        <x:v>123.24728604110001</x:v>
      </x:c>
      <x:c r="M163" s="31" t="n">
        <x:v>0.0075054287</x:v>
      </x:c>
      <x:c r="N163" s="24" t="str">
        <x:v>carcharhinus tilstoni</x:v>
      </x:c>
      <x:c r="O163" s="32" t="n">
        <x:v>4.23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Carcharhinus tilstoni</x:v>
      </x:c>
      <x:c r="T163" s="32" t="n">
        <x:f>IF(O163="","",(1/'Metadata'!$B$5)^(O163-1))</x:f>
        <x:v>1698.243652461746</x:v>
      </x:c>
      <x:c r="U163" s="31" t="n">
        <x:f>IF(T163="","",I163*T163)</x:f>
        <x:v>209316.66724908404</x:v>
      </x:c>
    </x:row>
    <x:row r="164" ht="18" customHeight="1">
      <x:c r="A164" s="24" t="str">
        <x:v>EEZ_036</x:v>
      </x:c>
      <x:c r="B164" s="24" t="str">
        <x:v>Australia</x:v>
      </x:c>
      <x:c r="C164" s="24" t="str">
        <x:v>EEZ</x:v>
      </x:c>
      <x:c r="D164" s="30" t="n">
        <x:v>2019</x:v>
      </x:c>
      <x:c r="E164" s="24" t="str">
        <x:v>Lethrinidae</x:v>
      </x:c>
      <x:c r="F164" s="24" t="str">
        <x:v>Emperors, scavengers</x:v>
      </x:c>
      <x:c r="G164" s="24" t="str">
        <x:v>Medium reef assoc. fish (30 - 89 cm)</x:v>
      </x:c>
      <x:c r="H164" s="24" t="str">
        <x:v>Perch-likes</x:v>
      </x:c>
      <x:c r="I164" s="31" t="n">
        <x:v>120.6622239481</x:v>
      </x:c>
      <x:c r="J164" s="31" t="n">
        <x:v>120.6622239481</x:v>
      </x:c>
      <x:c r="K164" s="31" t="n">
        <x:v>0</x:v>
      </x:c>
      <x:c r="L164" s="31" t="n">
        <x:v>34.241284801</x:v>
      </x:c>
      <x:c r="M164" s="31" t="n">
        <x:v>86.4209391471</x:v>
      </x:c>
      <x:c r="N164" s="24" t="str">
        <x:v>lethrinidae</x:v>
      </x:c>
      <x:c r="O164" s="32" t="n">
        <x:v>3.59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Lethrinidae</x:v>
      </x:c>
      <x:c r="T164" s="32" t="n">
        <x:f>IF(O164="","",(1/'Metadata'!$B$5)^(O164-1))</x:f>
        <x:v>389.04514499428046</x:v>
      </x:c>
      <x:c r="U164" s="31" t="n">
        <x:f>IF(T164="","",I164*T164)</x:f>
        <x:v>46943.05241122091</x:v>
      </x:c>
    </x:row>
    <x:row r="165" ht="18" customHeight="1">
      <x:c r="A165" s="24" t="str">
        <x:v>EEZ_036</x:v>
      </x:c>
      <x:c r="B165" s="24" t="str">
        <x:v>Australia</x:v>
      </x:c>
      <x:c r="C165" s="24" t="str">
        <x:v>EEZ</x:v>
      </x:c>
      <x:c r="D165" s="30" t="n">
        <x:v>2019</x:v>
      </x:c>
      <x:c r="E165" s="24" t="str">
        <x:v>Urolophidae</x:v>
      </x:c>
      <x:c r="F165" s="24" t="str">
        <x:v>Round rays</x:v>
      </x:c>
      <x:c r="G165" s="24" t="str">
        <x:v>Small to medium rays (&lt;90 cm)</x:v>
      </x:c>
      <x:c r="H165" s="24" t="str">
        <x:v>Sharks &amp; rays</x:v>
      </x:c>
      <x:c r="I165" s="31" t="n">
        <x:v>117.9064194816</x:v>
      </x:c>
      <x:c r="J165" s="31" t="n">
        <x:v>0</x:v>
      </x:c>
      <x:c r="K165" s="31" t="n">
        <x:v>117.9064194816</x:v>
      </x:c>
      <x:c r="L165" s="31" t="n">
        <x:v>0</x:v>
      </x:c>
      <x:c r="M165" s="31" t="n">
        <x:v>117.9064194816</x:v>
      </x:c>
      <x:c r="N165" s="24" t="str">
        <x:v>urolophidae</x:v>
      </x:c>
      <x:c r="O165" s="32" t="n">
        <x:v>3.7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Urolophidae</x:v>
      </x:c>
      <x:c r="T165" s="32" t="n">
        <x:f>IF(O165="","",(1/'Metadata'!$B$5)^(O165-1))</x:f>
        <x:v>501.18723362727246</x:v>
      </x:c>
      <x:c r="U165" s="31" t="n">
        <x:f>IF(T165="","",I165*T165)</x:f>
        <x:v>59093.192206879845</x:v>
      </x:c>
    </x:row>
    <x:row r="166" ht="18" customHeight="1">
      <x:c r="A166" s="24" t="str">
        <x:v>EEZ_036</x:v>
      </x:c>
      <x:c r="B166" s="24" t="str">
        <x:v>Australia</x:v>
      </x:c>
      <x:c r="C166" s="24" t="str">
        <x:v>EEZ</x:v>
      </x:c>
      <x:c r="D166" s="30" t="n">
        <x:v>2019</x:v>
      </x:c>
      <x:c r="E166" s="24" t="str">
        <x:v>Sphyraena novaehollandiae</x:v>
      </x:c>
      <x:c r="F166" s="24" t="str">
        <x:v>Australian barracuda</x:v>
      </x:c>
      <x:c r="G166" s="24" t="str">
        <x:v>Medium pelagics (30 - 89 cm)</x:v>
      </x:c>
      <x:c r="H166" s="24" t="str">
        <x:v>Perch-likes</x:v>
      </x:c>
      <x:c r="I166" s="31" t="n">
        <x:v>116.78124706109999</x:v>
      </x:c>
      <x:c r="J166" s="31" t="n">
        <x:v>116.78124706109999</x:v>
      </x:c>
      <x:c r="K166" s="31" t="n">
        <x:v>0</x:v>
      </x:c>
      <x:c r="L166" s="31" t="n">
        <x:v>111.6381656399</x:v>
      </x:c>
      <x:c r="M166" s="31" t="n">
        <x:v>5.1430814212</x:v>
      </x:c>
      <x:c r="N166" s="24" t="str">
        <x:v>sphyraena novaehollandiae</x:v>
      </x:c>
      <x:c r="O166" s="32" t="n">
        <x:v>4.5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Sphyraena novaehollandiae</x:v>
      </x:c>
      <x:c r="T166" s="32" t="n">
        <x:f>IF(O166="","",(1/'Metadata'!$B$5)^(O166-1))</x:f>
        <x:v>3162.2776601683795</x:v>
      </x:c>
      <x:c r="U166" s="31" t="n">
        <x:f>IF(T166="","",I166*T166)</x:f>
        <x:v>369294.7287079207</x:v>
      </x:c>
    </x:row>
    <x:row r="167" ht="18" customHeight="1">
      <x:c r="A167" s="24" t="str">
        <x:v>EEZ_036</x:v>
      </x:c>
      <x:c r="B167" s="24" t="str">
        <x:v>Australia</x:v>
      </x:c>
      <x:c r="C167" s="24" t="str">
        <x:v>EEZ</x:v>
      </x:c>
      <x:c r="D167" s="30" t="n">
        <x:v>2019</x:v>
      </x:c>
      <x:c r="E167" s="24" t="str">
        <x:v>Plotosidae</x:v>
      </x:c>
      <x:c r="F167" s="24" t="str">
        <x:v>Eeltail catfishes</x:v>
      </x:c>
      <x:c r="G167" s="24" t="str">
        <x:v>Medium reef assoc. fish (30 - 89 cm)</x:v>
      </x:c>
      <x:c r="H167" s="24" t="str">
        <x:v>Other fishes &amp; inverts</x:v>
      </x:c>
      <x:c r="I167" s="31" t="n">
        <x:v>113.1364726717</x:v>
      </x:c>
      <x:c r="J167" s="31" t="n">
        <x:v>78.763480815</x:v>
      </x:c>
      <x:c r="K167" s="31" t="n">
        <x:v>34.372991856700004</x:v>
      </x:c>
      <x:c r="L167" s="31" t="n">
        <x:v>59.6591215454</x:v>
      </x:c>
      <x:c r="M167" s="31" t="n">
        <x:v>53.4773511263</x:v>
      </x:c>
      <x:c r="N167" s="24" t="str">
        <x:v>plotosidae</x:v>
      </x:c>
      <x:c r="O167" s="32" t="n">
        <x:v>3.49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Plotosidae</x:v>
      </x:c>
      <x:c r="T167" s="32" t="n">
        <x:f>IF(O167="","",(1/'Metadata'!$B$5)^(O167-1))</x:f>
        <x:v>309.0295432513592</x:v>
      </x:c>
      <x:c r="U167" s="31" t="n">
        <x:f>IF(T167="","",I167*T167)</x:f>
        <x:v>34962.512474805335</x:v>
      </x:c>
    </x:row>
    <x:row r="168" ht="18" customHeight="1">
      <x:c r="A168" s="24" t="str">
        <x:v>EEZ_036</x:v>
      </x:c>
      <x:c r="B168" s="24" t="str">
        <x:v>Australia</x:v>
      </x:c>
      <x:c r="C168" s="24" t="str">
        <x:v>EEZ</x:v>
      </x:c>
      <x:c r="D168" s="30" t="n">
        <x:v>2019</x:v>
      </x:c>
      <x:c r="E168" s="24" t="str">
        <x:v>Diodontidae</x:v>
      </x:c>
      <x:c r="F168" s="24" t="str">
        <x:v>Porcupine-, burrfishes</x:v>
      </x:c>
      <x:c r="G168" s="24" t="str">
        <x:v>Medium reef assoc. fish (30 - 89 cm)</x:v>
      </x:c>
      <x:c r="H168" s="24" t="str">
        <x:v>Other fishes &amp; inverts</x:v>
      </x:c>
      <x:c r="I168" s="31" t="n">
        <x:v>109.8929763338</x:v>
      </x:c>
      <x:c r="J168" s="31" t="n">
        <x:v>0</x:v>
      </x:c>
      <x:c r="K168" s="31" t="n">
        <x:v>109.8929763338</x:v>
      </x:c>
      <x:c r="L168" s="31" t="n">
        <x:v>0</x:v>
      </x:c>
      <x:c r="M168" s="31" t="n">
        <x:v>109.8929763338</x:v>
      </x:c>
      <x:c r="N168" s="24" t="str">
        <x:v>diodontidae</x:v>
      </x:c>
      <x:c r="O168" s="32" t="n">
        <x:v>3.36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Diodontidae</x:v>
      </x:c>
      <x:c r="T168" s="32" t="n">
        <x:f>IF(O168="","",(1/'Metadata'!$B$5)^(O168-1))</x:f>
        <x:v>229.08676527677724</x:v>
      </x:c>
      <x:c r="U168" s="31" t="n">
        <x:f>IF(T168="","",I168*T168)</x:f>
        <x:v>25175.026474947677</x:v>
      </x:c>
    </x:row>
    <x:row r="169" ht="18" customHeight="1">
      <x:c r="A169" s="24" t="str">
        <x:v>EEZ_036</x:v>
      </x:c>
      <x:c r="B169" s="24" t="str">
        <x:v>Australia</x:v>
      </x:c>
      <x:c r="C169" s="24" t="str">
        <x:v>EEZ</x:v>
      </x:c>
      <x:c r="D169" s="30" t="n">
        <x:v>2019</x:v>
      </x:c>
      <x:c r="E169" s="24" t="str">
        <x:v>Sphyraena</x:v>
      </x:c>
      <x:c r="F169" s="24" t="str">
        <x:v>Barracudas, sennets</x:v>
      </x:c>
      <x:c r="G169" s="24" t="str">
        <x:v>Large pelagics (&gt;=90 cm)</x:v>
      </x:c>
      <x:c r="H169" s="24" t="str">
        <x:v>Perch-likes</x:v>
      </x:c>
      <x:c r="I169" s="31" t="n">
        <x:v>107.44996686719999</x:v>
      </x:c>
      <x:c r="J169" s="31" t="n">
        <x:v>107.44996686719999</x:v>
      </x:c>
      <x:c r="K169" s="31" t="n">
        <x:v>0</x:v>
      </x:c>
      <x:c r="L169" s="31" t="n">
        <x:v>3.9270220972</x:v>
      </x:c>
      <x:c r="M169" s="31" t="n">
        <x:v>103.52294477</x:v>
      </x:c>
      <x:c r="N169" s="24" t="str">
        <x:v>sphyraena</x:v>
      </x:c>
      <x:c r="O169" s="32" t="n">
        <x:v>4.4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Sphyraena</x:v>
      </x:c>
      <x:c r="T169" s="32" t="n">
        <x:f>IF(O169="","",(1/'Metadata'!$B$5)^(O169-1))</x:f>
        <x:v>2511.886431509582</x:v>
      </x:c>
      <x:c r="U169" s="31" t="n">
        <x:f>IF(T169="","",I169*T169)</x:f>
        <x:v>269902.1138398738</x:v>
      </x:c>
    </x:row>
    <x:row r="170" ht="18" customHeight="1">
      <x:c r="A170" s="24" t="str">
        <x:v>EEZ_036</x:v>
      </x:c>
      <x:c r="B170" s="24" t="str">
        <x:v>Australia</x:v>
      </x:c>
      <x:c r="C170" s="24" t="str">
        <x:v>EEZ</x:v>
      </x:c>
      <x:c r="D170" s="30" t="n">
        <x:v>2019</x:v>
      </x:c>
      <x:c r="E170" s="24" t="str">
        <x:v>Pristiophorus</x:v>
      </x:c>
      <x:c r="F170" s="24" t="str">
        <x:v>Sawsharks</x:v>
      </x:c>
      <x:c r="G170" s="24" t="str">
        <x:v>Large sharks (&gt;=90 cm)</x:v>
      </x:c>
      <x:c r="H170" s="24" t="str">
        <x:v>Sharks &amp; rays</x:v>
      </x:c>
      <x:c r="I170" s="31" t="n">
        <x:v>106.071803555</x:v>
      </x:c>
      <x:c r="J170" s="31" t="n">
        <x:v>106.071803555</x:v>
      </x:c>
      <x:c r="K170" s="31" t="n">
        <x:v>0</x:v>
      </x:c>
      <x:c r="L170" s="31" t="n">
        <x:v>106.071803555</x:v>
      </x:c>
      <x:c r="M170" s="31" t="n">
        <x:v>0</x:v>
      </x:c>
      <x:c r="N170" s="24" t="str">
        <x:v>pristiophorus</x:v>
      </x:c>
      <x:c r="O170" s="32" t="n">
        <x:v>4.01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Pristiophorus</x:v>
      </x:c>
      <x:c r="T170" s="32" t="n">
        <x:f>IF(O170="","",(1/'Metadata'!$B$5)^(O170-1))</x:f>
        <x:v>1023.2929922807537</x:v>
      </x:c>
      <x:c r="U170" s="31" t="n">
        <x:f>IF(T170="","",I170*T170)</x:f>
        <x:v>108542.53325641224</x:v>
      </x:c>
    </x:row>
    <x:row r="171" ht="18" customHeight="1">
      <x:c r="A171" s="24" t="str">
        <x:v>EEZ_036</x:v>
      </x:c>
      <x:c r="B171" s="24" t="str">
        <x:v>Australia</x:v>
      </x:c>
      <x:c r="C171" s="24" t="str">
        <x:v>EEZ</x:v>
      </x:c>
      <x:c r="D171" s="30" t="n">
        <x:v>2019</x:v>
      </x:c>
      <x:c r="E171" s="24" t="str">
        <x:v>Bivalvia</x:v>
      </x:c>
      <x:c r="F171" s="24" t="str">
        <x:v>Clams</x:v>
      </x:c>
      <x:c r="G171" s="24" t="str">
        <x:v>Other demersal invertebrates</x:v>
      </x:c>
      <x:c r="H171" s="24" t="str">
        <x:v>Molluscs</x:v>
      </x:c>
      <x:c r="I171" s="31" t="n">
        <x:v>104.4023895294</x:v>
      </x:c>
      <x:c r="J171" s="31" t="n">
        <x:v>104.4023895294</x:v>
      </x:c>
      <x:c r="K171" s="31" t="n">
        <x:v>0</x:v>
      </x:c>
      <x:c r="L171" s="31" t="n">
        <x:v>98.13813820200001</x:v>
      </x:c>
      <x:c r="M171" s="31" t="n">
        <x:v>6.2642513274</x:v>
      </x:c>
      <x:c r="N171" s="24" t="str">
        <x:v>bivalvia</x:v>
      </x:c>
      <x:c r="O171" s="32" t="n">
        <x:v>2.23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Bivalvia</x:v>
      </x:c>
      <x:c r="T171" s="32" t="n">
        <x:f>IF(O171="","",(1/'Metadata'!$B$5)^(O171-1))</x:f>
        <x:v>16.982436524617444</x:v>
      </x:c>
      <x:c r="U171" s="31" t="n">
        <x:f>IF(T171="","",I171*T171)</x:f>
        <x:v>1773.0069532014204</x:v>
      </x:c>
    </x:row>
    <x:row r="172" ht="18" customHeight="1">
      <x:c r="A172" s="24" t="str">
        <x:v>EEZ_036</x:v>
      </x:c>
      <x:c r="B172" s="24" t="str">
        <x:v>Australia</x:v>
      </x:c>
      <x:c r="C172" s="24" t="str">
        <x:v>EEZ</x:v>
      </x:c>
      <x:c r="D172" s="30" t="n">
        <x:v>2019</x:v>
      </x:c>
      <x:c r="E172" s="24" t="str">
        <x:v>Helicolenus percoides</x:v>
      </x:c>
      <x:c r="F172" s="24" t="str">
        <x:v>Red gurnard perch</x:v>
      </x:c>
      <x:c r="G172" s="24" t="str">
        <x:v>Medium demersals (30 - 89 cm)</x:v>
      </x:c>
      <x:c r="H172" s="24" t="str">
        <x:v>Scorpionfishes</x:v>
      </x:c>
      <x:c r="I172" s="31" t="n">
        <x:v>103.7281882909</x:v>
      </x:c>
      <x:c r="J172" s="31" t="n">
        <x:v>103.7281882909</x:v>
      </x:c>
      <x:c r="K172" s="31" t="n">
        <x:v>0</x:v>
      </x:c>
      <x:c r="L172" s="31" t="n">
        <x:v>103.7281882909</x:v>
      </x:c>
      <x:c r="M172" s="31" t="n">
        <x:v>0</x:v>
      </x:c>
      <x:c r="N172" s="24" t="str">
        <x:v>helicolenus percoides</x:v>
      </x:c>
      <x:c r="O172" s="32" t="n">
        <x:v>4.01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Helicolenus percoides</x:v>
      </x:c>
      <x:c r="T172" s="32" t="n">
        <x:f>IF(O172="","",(1/'Metadata'!$B$5)^(O172-1))</x:f>
        <x:v>1023.2929922807537</x:v>
      </x:c>
      <x:c r="U172" s="31" t="n">
        <x:f>IF(T172="","",I172*T172)</x:f>
        <x:v>106144.32818005649</x:v>
      </x:c>
    </x:row>
    <x:row r="173" ht="18" customHeight="1">
      <x:c r="A173" s="24" t="str">
        <x:v>EEZ_036</x:v>
      </x:c>
      <x:c r="B173" s="24" t="str">
        <x:v>Australia</x:v>
      </x:c>
      <x:c r="C173" s="24" t="str">
        <x:v>EEZ</x:v>
      </x:c>
      <x:c r="D173" s="30" t="n">
        <x:v>2019</x:v>
      </x:c>
      <x:c r="E173" s="24" t="str">
        <x:v>Zeus faber</x:v>
      </x:c>
      <x:c r="F173" s="24" t="str">
        <x:v>John dory</x:v>
      </x:c>
      <x:c r="G173" s="24" t="str">
        <x:v>Medium benthopelagics (30 - 89 cm)</x:v>
      </x:c>
      <x:c r="H173" s="24" t="str">
        <x:v>Other fishes &amp; inverts</x:v>
      </x:c>
      <x:c r="I173" s="31" t="n">
        <x:v>103.59976165430001</x:v>
      </x:c>
      <x:c r="J173" s="31" t="n">
        <x:v>92.08639774800001</x:v>
      </x:c>
      <x:c r="K173" s="31" t="n">
        <x:v>11.5133639063</x:v>
      </x:c>
      <x:c r="L173" s="31" t="n">
        <x:v>92.0858204772</x:v>
      </x:c>
      <x:c r="M173" s="31" t="n">
        <x:v>11.5139411771</x:v>
      </x:c>
      <x:c r="N173" s="24" t="str">
        <x:v>zeus faber</x:v>
      </x:c>
      <x:c r="O173" s="32" t="n">
        <x:v>4.5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Zeus faber</x:v>
      </x:c>
      <x:c r="T173" s="32" t="n">
        <x:f>IF(O173="","",(1/'Metadata'!$B$5)^(O173-1))</x:f>
        <x:v>3162.2776601683795</x:v>
      </x:c>
      <x:c r="U173" s="31" t="n">
        <x:f>IF(T173="","",I173*T173)</x:f>
        <x:v>327611.21187816164</x:v>
      </x:c>
    </x:row>
    <x:row r="174" ht="18" customHeight="1">
      <x:c r="A174" s="24" t="str">
        <x:v>EEZ_036</x:v>
      </x:c>
      <x:c r="B174" s="24" t="str">
        <x:v>Australia</x:v>
      </x:c>
      <x:c r="C174" s="24" t="str">
        <x:v>EEZ</x:v>
      </x:c>
      <x:c r="D174" s="30" t="n">
        <x:v>2019</x:v>
      </x:c>
      <x:c r="E174" s="24" t="str">
        <x:v>Priacanthus</x:v>
      </x:c>
      <x:c r="F174" s="24" t="str">
        <x:v>Bigeyes</x:v>
      </x:c>
      <x:c r="G174" s="24" t="str">
        <x:v>Medium reef assoc. fish (30 - 89 cm)</x:v>
      </x:c>
      <x:c r="H174" s="24" t="str">
        <x:v>Perch-likes</x:v>
      </x:c>
      <x:c r="I174" s="31" t="n">
        <x:v>101.8286009937</x:v>
      </x:c>
      <x:c r="J174" s="31" t="n">
        <x:v>10.4087454501</x:v>
      </x:c>
      <x:c r="K174" s="31" t="n">
        <x:v>91.4198555436</x:v>
      </x:c>
      <x:c r="L174" s="31" t="n">
        <x:v>10.3868894654</x:v>
      </x:c>
      <x:c r="M174" s="31" t="n">
        <x:v>91.44171152829999</x:v>
      </x:c>
      <x:c r="N174" s="24" t="str">
        <x:v>priacanthus</x:v>
      </x:c>
      <x:c r="O174" s="32" t="n">
        <x:v>3.81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Priacanthus</x:v>
      </x:c>
      <x:c r="T174" s="32" t="n">
        <x:f>IF(O174="","",(1/'Metadata'!$B$5)^(O174-1))</x:f>
        <x:v>645.6542290346556</x:v>
      </x:c>
      <x:c r="U174" s="31" t="n">
        <x:f>IF(T174="","",I174*T174)</x:f>
        <x:v>65746.06686826494</x:v>
      </x:c>
    </x:row>
    <x:row r="175" ht="18" customHeight="1">
      <x:c r="A175" s="24" t="str">
        <x:v>EEZ_036</x:v>
      </x:c>
      <x:c r="B175" s="24" t="str">
        <x:v>Australia</x:v>
      </x:c>
      <x:c r="C175" s="24" t="str">
        <x:v>EEZ</x:v>
      </x:c>
      <x:c r="D175" s="30" t="n">
        <x:v>2019</x:v>
      </x:c>
      <x:c r="E175" s="24" t="str">
        <x:v>Gymnocranius grandoculis</x:v>
      </x:c>
      <x:c r="F175" s="24" t="str">
        <x:v>Blue-lined large-eye bream</x:v>
      </x:c>
      <x:c r="G175" s="24" t="str">
        <x:v>Medium reef assoc. fish (30 - 89 cm)</x:v>
      </x:c>
      <x:c r="H175" s="24" t="str">
        <x:v>Perch-likes</x:v>
      </x:c>
      <x:c r="I175" s="31" t="n">
        <x:v>101.70456388310001</x:v>
      </x:c>
      <x:c r="J175" s="31" t="n">
        <x:v>101.70456388310001</x:v>
      </x:c>
      <x:c r="K175" s="31" t="n">
        <x:v>0</x:v>
      </x:c>
      <x:c r="L175" s="31" t="n">
        <x:v>38.7602270649</x:v>
      </x:c>
      <x:c r="M175" s="31" t="n">
        <x:v>62.9443368182</x:v>
      </x:c>
      <x:c r="N175" s="24" t="str">
        <x:v>gymnocranius grandoculis</x:v>
      </x:c>
      <x:c r="O175" s="32" t="n">
        <x:v>3.76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Gymnocranius grandoculis</x:v>
      </x:c>
      <x:c r="T175" s="32" t="n">
        <x:f>IF(O175="","",(1/'Metadata'!$B$5)^(O175-1))</x:f>
        <x:v>575.4399373371566</x:v>
      </x:c>
      <x:c r="U175" s="31" t="n">
        <x:f>IF(T175="","",I175*T175)</x:f>
        <x:v>58524.86786779391</x:v>
      </x:c>
    </x:row>
    <x:row r="176" ht="18" customHeight="1">
      <x:c r="A176" s="24" t="str">
        <x:v>EEZ_036</x:v>
      </x:c>
      <x:c r="B176" s="24" t="str">
        <x:v>Australia</x:v>
      </x:c>
      <x:c r="C176" s="24" t="str">
        <x:v>EEZ</x:v>
      </x:c>
      <x:c r="D176" s="30" t="n">
        <x:v>2019</x:v>
      </x:c>
      <x:c r="E176" s="24" t="str">
        <x:v>Seriola hippos</x:v>
      </x:c>
      <x:c r="F176" s="24" t="str">
        <x:v>Samson fish</x:v>
      </x:c>
      <x:c r="G176" s="24" t="str">
        <x:v>Small pelagics (&lt;30 cm)</x:v>
      </x:c>
      <x:c r="H176" s="24" t="str">
        <x:v>Perch-likes</x:v>
      </x:c>
      <x:c r="I176" s="31" t="n">
        <x:v>99.54949504689999</x:v>
      </x:c>
      <x:c r="J176" s="31" t="n">
        <x:v>99.54949504689999</x:v>
      </x:c>
      <x:c r="K176" s="31" t="n">
        <x:v>0</x:v>
      </x:c>
      <x:c r="L176" s="31" t="n">
        <x:v>13.726815941000002</x:v>
      </x:c>
      <x:c r="M176" s="31" t="n">
        <x:v>85.8226791059</x:v>
      </x:c>
      <x:c r="N176" s="24" t="str">
        <x:v>seriola hippos</x:v>
      </x:c>
      <x:c r="O176" s="32" t="n">
        <x:v>4.5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Seriola hippos</x:v>
      </x:c>
      <x:c r="T176" s="32" t="n">
        <x:f>IF(O176="","",(1/'Metadata'!$B$5)^(O176-1))</x:f>
        <x:v>3162.2776601683795</x:v>
      </x:c>
      <x:c r="U176" s="31" t="n">
        <x:f>IF(T176="","",I176*T176)</x:f>
        <x:v>314803.1442678546</x:v>
      </x:c>
    </x:row>
    <x:row r="177" ht="18" customHeight="1">
      <x:c r="A177" s="24" t="str">
        <x:v>EEZ_036</x:v>
      </x:c>
      <x:c r="B177" s="24" t="str">
        <x:v>Australia</x:v>
      </x:c>
      <x:c r="C177" s="24" t="str">
        <x:v>EEZ</x:v>
      </x:c>
      <x:c r="D177" s="30" t="n">
        <x:v>2019</x:v>
      </x:c>
      <x:c r="E177" s="24" t="str">
        <x:v>Lethrinus lentjan</x:v>
      </x:c>
      <x:c r="F177" s="24" t="str">
        <x:v>Pink ear emperor</x:v>
      </x:c>
      <x:c r="G177" s="24" t="str">
        <x:v>Medium demersals (30 - 89 cm)</x:v>
      </x:c>
      <x:c r="H177" s="24" t="str">
        <x:v>Perch-likes</x:v>
      </x:c>
      <x:c r="I177" s="31" t="n">
        <x:v>98.72041885830001</x:v>
      </x:c>
      <x:c r="J177" s="31" t="n">
        <x:v>98.72041885830001</x:v>
      </x:c>
      <x:c r="K177" s="31" t="n">
        <x:v>0</x:v>
      </x:c>
      <x:c r="L177" s="31" t="n">
        <x:v>98.6687621125</x:v>
      </x:c>
      <x:c r="M177" s="31" t="n">
        <x:v>0.0516567458</x:v>
      </x:c>
      <x:c r="N177" s="24" t="str">
        <x:v>lethrinus lentjan</x:v>
      </x:c>
      <x:c r="O177" s="32" t="n">
        <x:v>3.94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Lethrinus lentjan</x:v>
      </x:c>
      <x:c r="T177" s="32" t="n">
        <x:f>IF(O177="","",(1/'Metadata'!$B$5)^(O177-1))</x:f>
        <x:v>870.9635899560806</x:v>
      </x:c>
      <x:c r="U177" s="31" t="n">
        <x:f>IF(T177="","",I177*T177)</x:f>
        <x:v>85981.89041079293</x:v>
      </x:c>
    </x:row>
    <x:row r="178" ht="18" customHeight="1">
      <x:c r="A178" s="24" t="str">
        <x:v>EEZ_036</x:v>
      </x:c>
      <x:c r="B178" s="24" t="str">
        <x:v>Australia</x:v>
      </x:c>
      <x:c r="C178" s="24" t="str">
        <x:v>EEZ</x:v>
      </x:c>
      <x:c r="D178" s="30" t="n">
        <x:v>2019</x:v>
      </x:c>
      <x:c r="E178" s="24" t="str">
        <x:v>Atractoscion aequidens</x:v>
      </x:c>
      <x:c r="F178" s="24" t="str">
        <x:v>Geelbek croaker</x:v>
      </x:c>
      <x:c r="G178" s="24" t="str">
        <x:v>Large benthopelagics (&gt;=90 cm)</x:v>
      </x:c>
      <x:c r="H178" s="24" t="str">
        <x:v>Perch-likes</x:v>
      </x:c>
      <x:c r="I178" s="31" t="n">
        <x:v>98.62560908020001</x:v>
      </x:c>
      <x:c r="J178" s="31" t="n">
        <x:v>98.62560908020001</x:v>
      </x:c>
      <x:c r="K178" s="31" t="n">
        <x:v>0</x:v>
      </x:c>
      <x:c r="L178" s="31" t="n">
        <x:v>14.1339958013</x:v>
      </x:c>
      <x:c r="M178" s="31" t="n">
        <x:v>84.4916132789</x:v>
      </x:c>
      <x:c r="N178" s="24" t="str">
        <x:v>atractoscion aequidens</x:v>
      </x:c>
      <x:c r="O178" s="32" t="n">
        <x:v>3.77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Atractoscion aequidens</x:v>
      </x:c>
      <x:c r="T178" s="32" t="n">
        <x:f>IF(O178="","",(1/'Metadata'!$B$5)^(O178-1))</x:f>
        <x:v>588.843655355589</x:v>
      </x:c>
      <x:c r="U178" s="31" t="n">
        <x:f>IF(T178="","",I178*T178)</x:f>
        <x:v>58075.06416245634</x:v>
      </x:c>
    </x:row>
    <x:row r="179" ht="18" customHeight="1">
      <x:c r="A179" s="24" t="str">
        <x:v>EEZ_036</x:v>
      </x:c>
      <x:c r="B179" s="24" t="str">
        <x:v>Australia</x:v>
      </x:c>
      <x:c r="C179" s="24" t="str">
        <x:v>EEZ</x:v>
      </x:c>
      <x:c r="D179" s="30" t="n">
        <x:v>2019</x:v>
      </x:c>
      <x:c r="E179" s="24" t="str">
        <x:v>Sphyrnidae</x:v>
      </x:c>
      <x:c r="F179" s="24" t="str">
        <x:v>Hammer, bonnet, scoophead sharks</x:v>
      </x:c>
      <x:c r="G179" s="24" t="str">
        <x:v>Large sharks (&gt;=90 cm)</x:v>
      </x:c>
      <x:c r="H179" s="24" t="str">
        <x:v>Sharks &amp; rays</x:v>
      </x:c>
      <x:c r="I179" s="31" t="n">
        <x:v>97.7973564035</x:v>
      </x:c>
      <x:c r="J179" s="31" t="n">
        <x:v>97.7973564035</x:v>
      </x:c>
      <x:c r="K179" s="31" t="n">
        <x:v>0</x:v>
      </x:c>
      <x:c r="L179" s="31" t="n">
        <x:v>88.3357393212</x:v>
      </x:c>
      <x:c r="M179" s="31" t="n">
        <x:v>9.4616170823</x:v>
      </x:c>
      <x:c r="N179" s="24" t="str">
        <x:v>sphyrnidae</x:v>
      </x:c>
      <x:c r="O179" s="32" t="n">
        <x:v>4.19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Sphyrnidae</x:v>
      </x:c>
      <x:c r="T179" s="32" t="n">
        <x:f>IF(O179="","",(1/'Metadata'!$B$5)^(O179-1))</x:f>
        <x:v>1548.8166189124827</x:v>
      </x:c>
      <x:c r="U179" s="31" t="n">
        <x:f>IF(T179="","",I179*T179)</x:f>
        <x:v>151470.17088344792</x:v>
      </x:c>
    </x:row>
    <x:row r="180" ht="18" customHeight="1">
      <x:c r="A180" s="24" t="str">
        <x:v>EEZ_036</x:v>
      </x:c>
      <x:c r="B180" s="24" t="str">
        <x:v>Australia</x:v>
      </x:c>
      <x:c r="C180" s="24" t="str">
        <x:v>EEZ</x:v>
      </x:c>
      <x:c r="D180" s="30" t="n">
        <x:v>2019</x:v>
      </x:c>
      <x:c r="E180" s="24" t="str">
        <x:v>Congridae</x:v>
      </x:c>
      <x:c r="F180" s="24" t="str">
        <x:v>Conger, garden eels</x:v>
      </x:c>
      <x:c r="G180" s="24" t="str">
        <x:v>Large demersals (&gt;=90 cm)</x:v>
      </x:c>
      <x:c r="H180" s="24" t="str">
        <x:v>Other fishes &amp; inverts</x:v>
      </x:c>
      <x:c r="I180" s="31" t="n">
        <x:v>95.05719889</x:v>
      </x:c>
      <x:c r="J180" s="31" t="n">
        <x:v>4.102775311799999</x:v>
      </x:c>
      <x:c r="K180" s="31" t="n">
        <x:v>90.9544235782</x:v>
      </x:c>
      <x:c r="L180" s="31" t="n">
        <x:v>4.102775311799999</x:v>
      </x:c>
      <x:c r="M180" s="31" t="n">
        <x:v>90.9544235782</x:v>
      </x:c>
      <x:c r="N180" s="24" t="str">
        <x:v>congridae</x:v>
      </x:c>
      <x:c r="O180" s="32" t="n">
        <x:v>4.18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Congridae</x:v>
      </x:c>
      <x:c r="T180" s="32" t="n">
        <x:f>IF(O180="","",(1/'Metadata'!$B$5)^(O180-1))</x:f>
        <x:v>1513.5612484362073</x:v>
      </x:c>
      <x:c r="U180" s="31" t="n">
        <x:f>IF(T180="","",I180*T180)</x:f>
        <x:v>143874.89262479724</x:v>
      </x:c>
    </x:row>
    <x:row r="181" ht="18" customHeight="1">
      <x:c r="A181" s="24" t="str">
        <x:v>EEZ_036</x:v>
      </x:c>
      <x:c r="B181" s="24" t="str">
        <x:v>Australia</x:v>
      </x:c>
      <x:c r="C181" s="24" t="str">
        <x:v>EEZ</x:v>
      </x:c>
      <x:c r="D181" s="30" t="n">
        <x:v>2019</x:v>
      </x:c>
      <x:c r="E181" s="24" t="str">
        <x:v>Ommastrephidae</x:v>
      </x:c>
      <x:c r="F181" s="24" t="str">
        <x:v>Arrow squids</x:v>
      </x:c>
      <x:c r="G181" s="24" t="str">
        <x:v>Cephalopods</x:v>
      </x:c>
      <x:c r="H181" s="24" t="str">
        <x:v>Other fishes &amp; inverts</x:v>
      </x:c>
      <x:c r="I181" s="31" t="n">
        <x:v>90.7126302588</x:v>
      </x:c>
      <x:c r="J181" s="31" t="n">
        <x:v>78.3759647072</x:v>
      </x:c>
      <x:c r="K181" s="31" t="n">
        <x:v>12.3366655516</x:v>
      </x:c>
      <x:c r="L181" s="31" t="n">
        <x:v>78.3759647072</x:v>
      </x:c>
      <x:c r="M181" s="31" t="n">
        <x:v>12.3366655516</x:v>
      </x:c>
      <x:c r="N181" s="24" t="str">
        <x:v>ommastrephidae</x:v>
      </x:c>
      <x:c r="O181" s="32" t="n">
        <x:v>4.09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Ommastrephidae</x:v>
      </x:c>
      <x:c r="T181" s="32" t="n">
        <x:f>IF(O181="","",(1/'Metadata'!$B$5)^(O181-1))</x:f>
        <x:v>1230.268770812381</x:v>
      </x:c>
      <x:c r="U181" s="31" t="n">
        <x:f>IF(T181="","",I181*T181)</x:f>
        <x:v>111600.91612565189</x:v>
      </x:c>
    </x:row>
    <x:row r="182" ht="18" customHeight="1">
      <x:c r="A182" s="24" t="str">
        <x:v>EEZ_036</x:v>
      </x:c>
      <x:c r="B182" s="24" t="str">
        <x:v>Australia</x:v>
      </x:c>
      <x:c r="C182" s="24" t="str">
        <x:v>EEZ</x:v>
      </x:c>
      <x:c r="D182" s="30" t="n">
        <x:v>2019</x:v>
      </x:c>
      <x:c r="E182" s="24" t="str">
        <x:v>Marine pelagic fishes not identified</x:v>
      </x:c>
      <x:c r="F182" s="24" t="str">
        <x:v>Pelagic fishes</x:v>
      </x:c>
      <x:c r="G182" s="24" t="str">
        <x:v>Medium pelagics (30 - 89 cm)</x:v>
      </x:c>
      <x:c r="H182" s="24" t="str">
        <x:v>Other fishes &amp; inverts</x:v>
      </x:c>
      <x:c r="I182" s="31" t="n">
        <x:v>90.5447131179</x:v>
      </x:c>
      <x:c r="J182" s="31" t="n">
        <x:v>81.67827011440001</x:v>
      </x:c>
      <x:c r="K182" s="31" t="n">
        <x:v>8.8664430035</x:v>
      </x:c>
      <x:c r="L182" s="31" t="n">
        <x:v>81.67827011440001</x:v>
      </x:c>
      <x:c r="M182" s="31" t="n">
        <x:v>8.8664430035</x:v>
      </x:c>
      <x:c r="N182" s="24" t="str">
        <x:v>marine pelagic fishes not identified</x:v>
      </x:c>
      <x:c r="O182" s="32" t="n">
        <x:v>3.35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Marine pelagic fishes not identified</x:v>
      </x:c>
      <x:c r="T182" s="32" t="n">
        <x:f>IF(O182="","",(1/'Metadata'!$B$5)^(O182-1))</x:f>
        <x:v>223.872113856834</x:v>
      </x:c>
      <x:c r="U182" s="31" t="n">
        <x:f>IF(T182="","",I182*T182)</x:f>
        <x:v>20270.43632426488</x:v>
      </x:c>
    </x:row>
    <x:row r="183" ht="18" customHeight="1">
      <x:c r="A183" s="24" t="str">
        <x:v>EEZ_036</x:v>
      </x:c>
      <x:c r="B183" s="24" t="str">
        <x:v>Australia</x:v>
      </x:c>
      <x:c r="C183" s="24" t="str">
        <x:v>EEZ</x:v>
      </x:c>
      <x:c r="D183" s="30" t="n">
        <x:v>2019</x:v>
      </x:c>
      <x:c r="E183" s="24" t="str">
        <x:v>Carcharhinus</x:v>
      </x:c>
      <x:c r="F183" s="24" t="str">
        <x:v>Sharp-nosed sharks</x:v>
      </x:c>
      <x:c r="G183" s="24" t="str">
        <x:v>Large sharks (&gt;=90 cm)</x:v>
      </x:c>
      <x:c r="H183" s="24" t="str">
        <x:v>Sharks &amp; rays</x:v>
      </x:c>
      <x:c r="I183" s="31" t="n">
        <x:v>89.2712569001</x:v>
      </x:c>
      <x:c r="J183" s="31" t="n">
        <x:v>89.2712569001</x:v>
      </x:c>
      <x:c r="K183" s="31" t="n">
        <x:v>0</x:v>
      </x:c>
      <x:c r="L183" s="31" t="n">
        <x:v>82.87635854380001</x:v>
      </x:c>
      <x:c r="M183" s="31" t="n">
        <x:v>6.3948983563</x:v>
      </x:c>
      <x:c r="N183" s="24" t="str">
        <x:v>carcharhinus</x:v>
      </x:c>
      <x:c r="O183" s="32" t="n">
        <x:v>4.26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Carcharhinus</x:v>
      </x:c>
      <x:c r="T183" s="32" t="n">
        <x:f>IF(O183="","",(1/'Metadata'!$B$5)^(O183-1))</x:f>
        <x:v>1819.7008586099826</x:v>
      </x:c>
      <x:c r="U183" s="31" t="n">
        <x:f>IF(T183="","",I183*T183)</x:f>
        <x:v>162446.9828303043</x:v>
      </x:c>
    </x:row>
    <x:row r="184" ht="18" customHeight="1">
      <x:c r="A184" s="24" t="str">
        <x:v>EEZ_036</x:v>
      </x:c>
      <x:c r="B184" s="24" t="str">
        <x:v>Australia</x:v>
      </x:c>
      <x:c r="C184" s="24" t="str">
        <x:v>EEZ</x:v>
      </x:c>
      <x:c r="D184" s="30" t="n">
        <x:v>2019</x:v>
      </x:c>
      <x:c r="E184" s="24" t="str">
        <x:v>Lutjanus johnii</x:v>
      </x:c>
      <x:c r="F184" s="24" t="str">
        <x:v>John's snapper</x:v>
      </x:c>
      <x:c r="G184" s="24" t="str">
        <x:v>Medium reef assoc. fish (30 - 89 cm)</x:v>
      </x:c>
      <x:c r="H184" s="24" t="str">
        <x:v>Perch-likes</x:v>
      </x:c>
      <x:c r="I184" s="31" t="n">
        <x:v>88.4780430791</x:v>
      </x:c>
      <x:c r="J184" s="31" t="n">
        <x:v>88.4780430791</x:v>
      </x:c>
      <x:c r="K184" s="31" t="n">
        <x:v>0</x:v>
      </x:c>
      <x:c r="L184" s="31" t="n">
        <x:v>62.3175987177</x:v>
      </x:c>
      <x:c r="M184" s="31" t="n">
        <x:v>26.1604443614</x:v>
      </x:c>
      <x:c r="N184" s="24" t="str">
        <x:v>lutjanus johnii</x:v>
      </x:c>
      <x:c r="O184" s="32" t="n">
        <x:v>4.2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Lutjanus johnii</x:v>
      </x:c>
      <x:c r="T184" s="32" t="n">
        <x:f>IF(O184="","",(1/'Metadata'!$B$5)^(O184-1))</x:f>
        <x:v>1584.893192461114</x:v>
      </x:c>
      <x:c r="U184" s="31" t="n">
        <x:f>IF(T184="","",I184*T184)</x:f>
        <x:v>140228.24815834677</x:v>
      </x:c>
    </x:row>
    <x:row r="185" ht="18" customHeight="1">
      <x:c r="A185" s="24" t="str">
        <x:v>EEZ_036</x:v>
      </x:c>
      <x:c r="B185" s="24" t="str">
        <x:v>Australia</x:v>
      </x:c>
      <x:c r="C185" s="24" t="str">
        <x:v>EEZ</x:v>
      </x:c>
      <x:c r="D185" s="30" t="n">
        <x:v>2019</x:v>
      </x:c>
      <x:c r="E185" s="24" t="str">
        <x:v>Terapon</x:v>
      </x:c>
      <x:c r="F185" s="24" t="str">
        <x:v>Terapons</x:v>
      </x:c>
      <x:c r="G185" s="24" t="str">
        <x:v>Medium demersals (30 - 89 cm)</x:v>
      </x:c>
      <x:c r="H185" s="24" t="str">
        <x:v>Perch-likes</x:v>
      </x:c>
      <x:c r="I185" s="31" t="n">
        <x:v>83.3052434356</x:v>
      </x:c>
      <x:c r="J185" s="31" t="n">
        <x:v>83.3052434356</x:v>
      </x:c>
      <x:c r="K185" s="31" t="n">
        <x:v>0</x:v>
      </x:c>
      <x:c r="L185" s="31" t="n">
        <x:v>0</x:v>
      </x:c>
      <x:c r="M185" s="31" t="n">
        <x:v>83.3052434356</x:v>
      </x:c>
      <x:c r="N185" s="24" t="str">
        <x:v>terapon</x:v>
      </x:c>
      <x:c r="O185" s="32" t="n">
        <x:v>3.5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Terapon</x:v>
      </x:c>
      <x:c r="T185" s="32" t="n">
        <x:f>IF(O185="","",(1/'Metadata'!$B$5)^(O185-1))</x:f>
        <x:v>316.22776601683796</x:v>
      </x:c>
      <x:c r="U185" s="31" t="n">
        <x:f>IF(T185="","",I185*T185)</x:f>
        <x:v>26343.431029128646</x:v>
      </x:c>
    </x:row>
    <x:row r="186" ht="18" customHeight="1">
      <x:c r="A186" s="24" t="str">
        <x:v>EEZ_036</x:v>
      </x:c>
      <x:c r="B186" s="24" t="str">
        <x:v>Australia</x:v>
      </x:c>
      <x:c r="C186" s="24" t="str">
        <x:v>EEZ</x:v>
      </x:c>
      <x:c r="D186" s="30" t="n">
        <x:v>2019</x:v>
      </x:c>
      <x:c r="E186" s="24" t="str">
        <x:v>Pristipomoides filamentosus</x:v>
      </x:c>
      <x:c r="F186" s="24" t="str">
        <x:v>Crimson jobfish</x:v>
      </x:c>
      <x:c r="G186" s="24" t="str">
        <x:v>Medium demersals (30 - 89 cm)</x:v>
      </x:c>
      <x:c r="H186" s="24" t="str">
        <x:v>Perch-likes</x:v>
      </x:c>
      <x:c r="I186" s="31" t="n">
        <x:v>80.0486148699</x:v>
      </x:c>
      <x:c r="J186" s="31" t="n">
        <x:v>80.0486148699</x:v>
      </x:c>
      <x:c r="K186" s="31" t="n">
        <x:v>0</x:v>
      </x:c>
      <x:c r="L186" s="31" t="n">
        <x:v>71.9801599277</x:v>
      </x:c>
      <x:c r="M186" s="31" t="n">
        <x:v>8.0684549422</x:v>
      </x:c>
      <x:c r="N186" s="24" t="str">
        <x:v>pristipomoides filamentosus</x:v>
      </x:c>
      <x:c r="O186" s="32" t="n">
        <x:v>4.19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Pristipomoides filamentosus</x:v>
      </x:c>
      <x:c r="T186" s="32" t="n">
        <x:f>IF(O186="","",(1/'Metadata'!$B$5)^(O186-1))</x:f>
        <x:v>1548.8166189124827</x:v>
      </x:c>
      <x:c r="U186" s="31" t="n">
        <x:f>IF(T186="","",I186*T186)</x:f>
        <x:v>123980.62503142601</x:v>
      </x:c>
    </x:row>
    <x:row r="187" ht="18" customHeight="1">
      <x:c r="A187" s="24" t="str">
        <x:v>EEZ_036</x:v>
      </x:c>
      <x:c r="B187" s="24" t="str">
        <x:v>Australia</x:v>
      </x:c>
      <x:c r="C187" s="24" t="str">
        <x:v>EEZ</x:v>
      </x:c>
      <x:c r="D187" s="30" t="n">
        <x:v>2019</x:v>
      </x:c>
      <x:c r="E187" s="24" t="str">
        <x:v>Epinephelus coioides</x:v>
      </x:c>
      <x:c r="F187" s="24" t="str">
        <x:v>Orange-spotted grouper</x:v>
      </x:c>
      <x:c r="G187" s="24" t="str">
        <x:v>Large reef assoc. fish (&gt;=90 cm)</x:v>
      </x:c>
      <x:c r="H187" s="24" t="str">
        <x:v>Perch-likes</x:v>
      </x:c>
      <x:c r="I187" s="31" t="n">
        <x:v>79.9824076706</x:v>
      </x:c>
      <x:c r="J187" s="31" t="n">
        <x:v>79.9824076706</x:v>
      </x:c>
      <x:c r="K187" s="31" t="n">
        <x:v>0</x:v>
      </x:c>
      <x:c r="L187" s="31" t="n">
        <x:v>24.567575856199998</x:v>
      </x:c>
      <x:c r="M187" s="31" t="n">
        <x:v>55.4148318144</x:v>
      </x:c>
      <x:c r="N187" s="24" t="str">
        <x:v>epinephelus coioides</x:v>
      </x:c>
      <x:c r="O187" s="32" t="n">
        <x:v>4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Epinephelus coioides</x:v>
      </x:c>
      <x:c r="T187" s="32" t="n">
        <x:f>IF(O187="","",(1/'Metadata'!$B$5)^(O187-1))</x:f>
        <x:v>1000</x:v>
      </x:c>
      <x:c r="U187" s="31" t="n">
        <x:f>IF(T187="","",I187*T187)</x:f>
        <x:v>79982.40767059999</x:v>
      </x:c>
    </x:row>
    <x:row r="188" ht="18" customHeight="1">
      <x:c r="A188" s="24" t="str">
        <x:v>EEZ_036</x:v>
      </x:c>
      <x:c r="B188" s="24" t="str">
        <x:v>Australia</x:v>
      </x:c>
      <x:c r="C188" s="24" t="str">
        <x:v>EEZ</x:v>
      </x:c>
      <x:c r="D188" s="30" t="n">
        <x:v>2019</x:v>
      </x:c>
      <x:c r="E188" s="24" t="str">
        <x:v>Cyttus novaezealandiae</x:v>
      </x:c>
      <x:c r="F188" s="24" t="str">
        <x:v>New Zealand dory</x:v>
      </x:c>
      <x:c r="G188" s="24" t="str">
        <x:v>Medium demersals (30 - 89 cm)</x:v>
      </x:c>
      <x:c r="H188" s="24" t="str">
        <x:v>Other fishes &amp; inverts</x:v>
      </x:c>
      <x:c r="I188" s="31" t="n">
        <x:v>79.8020003495</x:v>
      </x:c>
      <x:c r="J188" s="31" t="n">
        <x:v>0</x:v>
      </x:c>
      <x:c r="K188" s="31" t="n">
        <x:v>79.8020003495</x:v>
      </x:c>
      <x:c r="L188" s="31" t="n">
        <x:v>0</x:v>
      </x:c>
      <x:c r="M188" s="31" t="n">
        <x:v>79.8020003495</x:v>
      </x:c>
      <x:c r="N188" s="24" t="str">
        <x:v>cyttus novaezealandiae</x:v>
      </x:c>
      <x:c r="O188" s="32" t="n">
        <x:v>3.82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Cyttus novaezealandiae</x:v>
      </x:c>
      <x:c r="T188" s="32" t="n">
        <x:f>IF(O188="","",(1/'Metadata'!$B$5)^(O188-1))</x:f>
        <x:v>660.6934480075957</x:v>
      </x:c>
      <x:c r="U188" s="31" t="n">
        <x:f>IF(T188="","",I188*T188)</x:f>
        <x:v>52724.65876881452</x:v>
      </x:c>
    </x:row>
    <x:row r="189" ht="18" customHeight="1">
      <x:c r="A189" s="24" t="str">
        <x:v>EEZ_036</x:v>
      </x:c>
      <x:c r="B189" s="24" t="str">
        <x:v>Australia</x:v>
      </x:c>
      <x:c r="C189" s="24" t="str">
        <x:v>EEZ</x:v>
      </x:c>
      <x:c r="D189" s="30" t="n">
        <x:v>2019</x:v>
      </x:c>
      <x:c r="E189" s="24" t="str">
        <x:v>Diadematidae</x:v>
      </x:c>
      <x:c r="F189" s="24" t="str">
        <x:v>Diadematid sea urchins</x:v>
      </x:c>
      <x:c r="G189" s="24" t="str">
        <x:v>Other demersal invertebrates</x:v>
      </x:c>
      <x:c r="H189" s="24" t="str">
        <x:v>Other fishes &amp; inverts</x:v>
      </x:c>
      <x:c r="I189" s="31" t="n">
        <x:v>74.3652916629</x:v>
      </x:c>
      <x:c r="J189" s="31" t="n">
        <x:v>74.3652916629</x:v>
      </x:c>
      <x:c r="K189" s="31" t="n">
        <x:v>0</x:v>
      </x:c>
      <x:c r="L189" s="31" t="n">
        <x:v>74.3652916629</x:v>
      </x:c>
      <x:c r="M189" s="31" t="n">
        <x:v>0</x:v>
      </x:c>
      <x:c r="N189" s="24" t="str">
        <x:v>diadematidae</x:v>
      </x:c>
      <x:c r="O189" s="32" t="n">
        <x:v>2.46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Diadematidae</x:v>
      </x:c>
      <x:c r="T189" s="32" t="n">
        <x:f>IF(O189="","",(1/'Metadata'!$B$5)^(O189-1))</x:f>
        <x:v>28.84031503126606</x:v>
      </x:c>
      <x:c r="U189" s="31" t="n">
        <x:f>IF(T189="","",I189*T189)</x:f>
        <x:v>2144.7184389500194</x:v>
      </x:c>
    </x:row>
    <x:row r="190" ht="18" customHeight="1">
      <x:c r="A190" s="24" t="str">
        <x:v>EEZ_036</x:v>
      </x:c>
      <x:c r="B190" s="24" t="str">
        <x:v>Australia</x:v>
      </x:c>
      <x:c r="C190" s="24" t="str">
        <x:v>EEZ</x:v>
      </x:c>
      <x:c r="D190" s="30" t="n">
        <x:v>2019</x:v>
      </x:c>
      <x:c r="E190" s="24" t="str">
        <x:v>Hyporhamphus</x:v>
      </x:c>
      <x:c r="F190" s="24" t="str">
        <x:v>Sea garfishes</x:v>
      </x:c>
      <x:c r="G190" s="24" t="str">
        <x:v>Small reef assoc. fish (&lt;30 cm)</x:v>
      </x:c>
      <x:c r="H190" s="24" t="str">
        <x:v>Other fishes &amp; inverts</x:v>
      </x:c>
      <x:c r="I190" s="31" t="n">
        <x:v>73.5778113954</x:v>
      </x:c>
      <x:c r="J190" s="31" t="n">
        <x:v>73.5778113954</x:v>
      </x:c>
      <x:c r="K190" s="31" t="n">
        <x:v>0</x:v>
      </x:c>
      <x:c r="L190" s="31" t="n">
        <x:v>73.0470019093</x:v>
      </x:c>
      <x:c r="M190" s="31" t="n">
        <x:v>0.5308094861</x:v>
      </x:c>
      <x:c r="N190" s="24" t="str">
        <x:v>hyporhamphus</x:v>
      </x:c>
      <x:c r="O190" s="32" t="n">
        <x:v>3.3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Hyporhamphus</x:v>
      </x:c>
      <x:c r="T190" s="32" t="n">
        <x:f>IF(O190="","",(1/'Metadata'!$B$5)^(O190-1))</x:f>
        <x:v>199.52623149688787</x:v>
      </x:c>
      <x:c r="U190" s="31" t="n">
        <x:f>IF(T190="","",I190*T190)</x:f>
        <x:v>14680.703429512936</x:v>
      </x:c>
    </x:row>
    <x:row r="191" ht="18" customHeight="1">
      <x:c r="A191" s="24" t="str">
        <x:v>EEZ_036</x:v>
      </x:c>
      <x:c r="B191" s="24" t="str">
        <x:v>Australia</x:v>
      </x:c>
      <x:c r="C191" s="24" t="str">
        <x:v>EEZ</x:v>
      </x:c>
      <x:c r="D191" s="30" t="n">
        <x:v>2019</x:v>
      </x:c>
      <x:c r="E191" s="24" t="str">
        <x:v>Carcharhinus amblyrhynchos</x:v>
      </x:c>
      <x:c r="F191" s="24" t="str">
        <x:v>Blacktail reef shark</x:v>
      </x:c>
      <x:c r="G191" s="24" t="str">
        <x:v>Large sharks (&gt;=90 cm)</x:v>
      </x:c>
      <x:c r="H191" s="24" t="str">
        <x:v>Sharks &amp; rays</x:v>
      </x:c>
      <x:c r="I191" s="31" t="n">
        <x:v>72.2934708705</x:v>
      </x:c>
      <x:c r="J191" s="31" t="n">
        <x:v>72.2934708705</x:v>
      </x:c>
      <x:c r="K191" s="31" t="n">
        <x:v>0</x:v>
      </x:c>
      <x:c r="L191" s="31" t="n">
        <x:v>70.55988803780001</x:v>
      </x:c>
      <x:c r="M191" s="31" t="n">
        <x:v>1.7335828327</x:v>
      </x:c>
      <x:c r="N191" s="24" t="str">
        <x:v>carcharhinus amblyrhynchos</x:v>
      </x:c>
      <x:c r="O191" s="32" t="n">
        <x:v>4.11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Carcharhinus amblyrhynchos</x:v>
      </x:c>
      <x:c r="T191" s="32" t="n">
        <x:f>IF(O191="","",(1/'Metadata'!$B$5)^(O191-1))</x:f>
        <x:v>1288.249551693135</x:v>
      </x:c>
      <x:c r="U191" s="31" t="n">
        <x:f>IF(T191="","",I191*T191)</x:f>
        <x:v>93132.03143926234</x:v>
      </x:c>
    </x:row>
    <x:row r="192" ht="18" customHeight="1">
      <x:c r="A192" s="24" t="str">
        <x:v>EEZ_036</x:v>
      </x:c>
      <x:c r="B192" s="24" t="str">
        <x:v>Australia</x:v>
      </x:c>
      <x:c r="C192" s="24" t="str">
        <x:v>EEZ</x:v>
      </x:c>
      <x:c r="D192" s="30" t="n">
        <x:v>2019</x:v>
      </x:c>
      <x:c r="E192" s="24" t="str">
        <x:v>Echinoidea</x:v>
      </x:c>
      <x:c r="F192" s="24" t="str">
        <x:v>Sea urchins, sea hedgehogs</x:v>
      </x:c>
      <x:c r="G192" s="24" t="str">
        <x:v>Other demersal invertebrates</x:v>
      </x:c>
      <x:c r="H192" s="24" t="str">
        <x:v>Other fishes &amp; inverts</x:v>
      </x:c>
      <x:c r="I192" s="31" t="n">
        <x:v>71.36162095520001</x:v>
      </x:c>
      <x:c r="J192" s="31" t="n">
        <x:v>71.36162095520001</x:v>
      </x:c>
      <x:c r="K192" s="31" t="n">
        <x:v>0</x:v>
      </x:c>
      <x:c r="L192" s="31" t="n">
        <x:v>71.36162095520001</x:v>
      </x:c>
      <x:c r="M192" s="31" t="n">
        <x:v>0</x:v>
      </x:c>
      <x:c r="N192" s="24" t="str">
        <x:v>echinoidea</x:v>
      </x:c>
      <x:c r="O192" s="32" t="n">
        <x:v>2.51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Echinoidea</x:v>
      </x:c>
      <x:c r="T192" s="32" t="n">
        <x:f>IF(O192="","",(1/'Metadata'!$B$5)^(O192-1))</x:f>
        <x:v>32.35936569296281</x:v>
      </x:c>
      <x:c r="U192" s="31" t="n">
        <x:f>IF(T192="","",I192*T192)</x:f>
        <x:v>2309.2167889319153</x:v>
      </x:c>
    </x:row>
    <x:row r="193" ht="18" customHeight="1">
      <x:c r="A193" s="24" t="str">
        <x:v>EEZ_036</x:v>
      </x:c>
      <x:c r="B193" s="24" t="str">
        <x:v>Australia</x:v>
      </x:c>
      <x:c r="C193" s="24" t="str">
        <x:v>EEZ</x:v>
      </x:c>
      <x:c r="D193" s="30" t="n">
        <x:v>2019</x:v>
      </x:c>
      <x:c r="E193" s="24" t="str">
        <x:v>Lampris guttatus</x:v>
      </x:c>
      <x:c r="F193" s="24" t="str">
        <x:v>Opah</x:v>
      </x:c>
      <x:c r="G193" s="24" t="str">
        <x:v>Large bathypelagics (&gt;=90 cm)</x:v>
      </x:c>
      <x:c r="H193" s="24" t="str">
        <x:v>Other fishes &amp; inverts</x:v>
      </x:c>
      <x:c r="I193" s="31" t="n">
        <x:v>71.3422803071</x:v>
      </x:c>
      <x:c r="J193" s="31" t="n">
        <x:v>71.3422803071</x:v>
      </x:c>
      <x:c r="K193" s="31" t="n">
        <x:v>0</x:v>
      </x:c>
      <x:c r="L193" s="31" t="n">
        <x:v>71.3422803071</x:v>
      </x:c>
      <x:c r="M193" s="31" t="n">
        <x:v>0</x:v>
      </x:c>
      <x:c r="N193" s="24" t="str">
        <x:v>lampris guttatus</x:v>
      </x:c>
      <x:c r="O193" s="32" t="n">
        <x:v>4.22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Lampris guttatus</x:v>
      </x:c>
      <x:c r="T193" s="32" t="n">
        <x:f>IF(O193="","",(1/'Metadata'!$B$5)^(O193-1))</x:f>
        <x:v>1659.5869074375596</x:v>
      </x:c>
      <x:c r="U193" s="31" t="n">
        <x:f>IF(T193="","",I193*T193)</x:f>
        <x:v>118398.71434440359</x:v>
      </x:c>
    </x:row>
    <x:row r="194" ht="18" customHeight="1">
      <x:c r="A194" s="24" t="str">
        <x:v>EEZ_036</x:v>
      </x:c>
      <x:c r="B194" s="24" t="str">
        <x:v>Australia</x:v>
      </x:c>
      <x:c r="C194" s="24" t="str">
        <x:v>EEZ</x:v>
      </x:c>
      <x:c r="D194" s="30" t="n">
        <x:v>2019</x:v>
      </x:c>
      <x:c r="E194" s="24" t="str">
        <x:v>Mora moro</x:v>
      </x:c>
      <x:c r="F194" s="24" t="str">
        <x:v>Common mora</x:v>
      </x:c>
      <x:c r="G194" s="24" t="str">
        <x:v>Medium bathypelagics (30 - 89 cm)</x:v>
      </x:c>
      <x:c r="H194" s="24" t="str">
        <x:v>Cod-likes</x:v>
      </x:c>
      <x:c r="I194" s="31" t="n">
        <x:v>70.7160155874</x:v>
      </x:c>
      <x:c r="J194" s="31" t="n">
        <x:v>70.7160155874</x:v>
      </x:c>
      <x:c r="K194" s="31" t="n">
        <x:v>0</x:v>
      </x:c>
      <x:c r="L194" s="31" t="n">
        <x:v>70.7160155874</x:v>
      </x:c>
      <x:c r="M194" s="31" t="n">
        <x:v>0</x:v>
      </x:c>
      <x:c r="N194" s="24" t="str">
        <x:v>mora moro</x:v>
      </x:c>
      <x:c r="O194" s="32" t="n">
        <x:v>3.75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Mora moro</x:v>
      </x:c>
      <x:c r="T194" s="32" t="n">
        <x:f>IF(O194="","",(1/'Metadata'!$B$5)^(O194-1))</x:f>
        <x:v>562.341325190349</x:v>
      </x:c>
      <x:c r="U194" s="31" t="n">
        <x:f>IF(T194="","",I194*T194)</x:f>
        <x:v>39766.53791759989</x:v>
      </x:c>
    </x:row>
    <x:row r="195" ht="18" customHeight="1">
      <x:c r="A195" s="24" t="str">
        <x:v>EEZ_036</x:v>
      </x:c>
      <x:c r="B195" s="24" t="str">
        <x:v>Australia</x:v>
      </x:c>
      <x:c r="C195" s="24" t="str">
        <x:v>EEZ</x:v>
      </x:c>
      <x:c r="D195" s="30" t="n">
        <x:v>2019</x:v>
      </x:c>
      <x:c r="E195" s="24" t="str">
        <x:v>Latridae</x:v>
      </x:c>
      <x:c r="F195" s="24" t="str">
        <x:v>Trumpeters</x:v>
      </x:c>
      <x:c r="G195" s="24" t="str">
        <x:v>Medium demersals (30 - 89 cm)</x:v>
      </x:c>
      <x:c r="H195" s="24" t="str">
        <x:v>Perch-likes</x:v>
      </x:c>
      <x:c r="I195" s="31" t="n">
        <x:v>69.49523078920001</x:v>
      </x:c>
      <x:c r="J195" s="31" t="n">
        <x:v>69.49523078920001</x:v>
      </x:c>
      <x:c r="K195" s="31" t="n">
        <x:v>0</x:v>
      </x:c>
      <x:c r="L195" s="31" t="n">
        <x:v>69.49523078920001</x:v>
      </x:c>
      <x:c r="M195" s="31" t="n">
        <x:v>0</x:v>
      </x:c>
      <x:c r="N195" s="24" t="str">
        <x:v>latridae</x:v>
      </x:c>
      <x:c r="O195" s="32" t="n">
        <x:v>3.3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Latridae</x:v>
      </x:c>
      <x:c r="T195" s="32" t="n">
        <x:f>IF(O195="","",(1/'Metadata'!$B$5)^(O195-1))</x:f>
        <x:v>199.52623149688787</x:v>
      </x:c>
      <x:c r="U195" s="31" t="n">
        <x:f>IF(T195="","",I195*T195)</x:f>
        <x:v>13866.12150637557</x:v>
      </x:c>
    </x:row>
    <x:row r="196" ht="18" customHeight="1">
      <x:c r="A196" s="24" t="str">
        <x:v>EEZ_036</x:v>
      </x:c>
      <x:c r="B196" s="24" t="str">
        <x:v>Australia</x:v>
      </x:c>
      <x:c r="C196" s="24" t="str">
        <x:v>EEZ</x:v>
      </x:c>
      <x:c r="D196" s="30" t="n">
        <x:v>2019</x:v>
      </x:c>
      <x:c r="E196" s="24" t="str">
        <x:v>Galeocerdo cuvier</x:v>
      </x:c>
      <x:c r="F196" s="24" t="str">
        <x:v>Tiger shark</x:v>
      </x:c>
      <x:c r="G196" s="24" t="str">
        <x:v>Large sharks (&gt;=90 cm)</x:v>
      </x:c>
      <x:c r="H196" s="24" t="str">
        <x:v>Sharks &amp; rays</x:v>
      </x:c>
      <x:c r="I196" s="31" t="n">
        <x:v>67.1409068351</x:v>
      </x:c>
      <x:c r="J196" s="31" t="n">
        <x:v>67.1409068351</x:v>
      </x:c>
      <x:c r="K196" s="31" t="n">
        <x:v>0</x:v>
      </x:c>
      <x:c r="L196" s="31" t="n">
        <x:v>27.7918944215</x:v>
      </x:c>
      <x:c r="M196" s="31" t="n">
        <x:v>39.3490124136</x:v>
      </x:c>
      <x:c r="N196" s="24" t="str">
        <x:v>galeocerdo cuvier</x:v>
      </x:c>
      <x:c r="O196" s="32" t="n">
        <x:v>4.54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Galeocerdo cuvier</x:v>
      </x:c>
      <x:c r="T196" s="32" t="n">
        <x:f>IF(O196="","",(1/'Metadata'!$B$5)^(O196-1))</x:f>
        <x:v>3467.368504525317</x:v>
      </x:c>
      <x:c r="U196" s="31" t="n">
        <x:f>IF(T196="","",I196*T196)</x:f>
        <x:v>232802.2657252943</x:v>
      </x:c>
    </x:row>
    <x:row r="197" ht="18" customHeight="1">
      <x:c r="A197" s="24" t="str">
        <x:v>EEZ_036</x:v>
      </x:c>
      <x:c r="B197" s="24" t="str">
        <x:v>Australia</x:v>
      </x:c>
      <x:c r="C197" s="24" t="str">
        <x:v>EEZ</x:v>
      </x:c>
      <x:c r="D197" s="30" t="n">
        <x:v>2019</x:v>
      </x:c>
      <x:c r="E197" s="24" t="str">
        <x:v>Lutjanus russellii</x:v>
      </x:c>
      <x:c r="F197" s="24" t="str">
        <x:v>Russell's snapper</x:v>
      </x:c>
      <x:c r="G197" s="24" t="str">
        <x:v>Medium reef assoc. fish (30 - 89 cm)</x:v>
      </x:c>
      <x:c r="H197" s="24" t="str">
        <x:v>Perch-likes</x:v>
      </x:c>
      <x:c r="I197" s="31" t="n">
        <x:v>66.6923027142</x:v>
      </x:c>
      <x:c r="J197" s="31" t="n">
        <x:v>66.6923027142</x:v>
      </x:c>
      <x:c r="K197" s="31" t="n">
        <x:v>0</x:v>
      </x:c>
      <x:c r="L197" s="31" t="n">
        <x:v>62.2362613743</x:v>
      </x:c>
      <x:c r="M197" s="31" t="n">
        <x:v>4.4560413399</x:v>
      </x:c>
      <x:c r="N197" s="24" t="str">
        <x:v>lutjanus russellii</x:v>
      </x:c>
      <x:c r="O197" s="32" t="n">
        <x:v>4.1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Lutjanus russellii</x:v>
      </x:c>
      <x:c r="T197" s="32" t="n">
        <x:f>IF(O197="","",(1/'Metadata'!$B$5)^(O197-1))</x:f>
        <x:v>1258.9254117941662</x:v>
      </x:c>
      <x:c r="U197" s="31" t="n">
        <x:f>IF(T197="","",I197*T197)</x:f>
        <x:v>83960.63465797542</x:v>
      </x:c>
    </x:row>
    <x:row r="198" ht="18" customHeight="1">
      <x:c r="A198" s="24" t="str">
        <x:v>EEZ_036</x:v>
      </x:c>
      <x:c r="B198" s="24" t="str">
        <x:v>Australia</x:v>
      </x:c>
      <x:c r="C198" s="24" t="str">
        <x:v>EEZ</x:v>
      </x:c>
      <x:c r="D198" s="30" t="n">
        <x:v>2019</x:v>
      </x:c>
      <x:c r="E198" s="24" t="str">
        <x:v>Kyphosidae</x:v>
      </x:c>
      <x:c r="F198" s="24" t="str">
        <x:v>Sea chubs, knifefishes, niblers</x:v>
      </x:c>
      <x:c r="G198" s="24" t="str">
        <x:v>Medium reef assoc. fish (30 - 89 cm)</x:v>
      </x:c>
      <x:c r="H198" s="24" t="str">
        <x:v>Perch-likes</x:v>
      </x:c>
      <x:c r="I198" s="31" t="n">
        <x:v>66.2919460574</x:v>
      </x:c>
      <x:c r="J198" s="31" t="n">
        <x:v>66.2919460574</x:v>
      </x:c>
      <x:c r="K198" s="31" t="n">
        <x:v>0</x:v>
      </x:c>
      <x:c r="L198" s="31" t="n">
        <x:v>4.7425342084</x:v>
      </x:c>
      <x:c r="M198" s="31" t="n">
        <x:v>61.549411849</x:v>
      </x:c>
      <x:c r="N198" s="24" t="str">
        <x:v>kyphosidae</x:v>
      </x:c>
      <x:c r="O198" s="32" t="n">
        <x:v>2.19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Kyphosidae</x:v>
      </x:c>
      <x:c r="T198" s="32" t="n">
        <x:f>IF(O198="","",(1/'Metadata'!$B$5)^(O198-1))</x:f>
        <x:v>15.488166189124811</x:v>
      </x:c>
      <x:c r="U198" s="31" t="n">
        <x:f>IF(T198="","",I198*T198)</x:f>
        <x:v>1026.7406775375084</x:v>
      </x:c>
    </x:row>
    <x:row r="199" ht="18" customHeight="1">
      <x:c r="A199" s="24" t="str">
        <x:v>EEZ_036</x:v>
      </x:c>
      <x:c r="B199" s="24" t="str">
        <x:v>Australia</x:v>
      </x:c>
      <x:c r="C199" s="24" t="str">
        <x:v>EEZ</x:v>
      </x:c>
      <x:c r="D199" s="30" t="n">
        <x:v>2019</x:v>
      </x:c>
      <x:c r="E199" s="24" t="str">
        <x:v>Acanthocybium solandri</x:v>
      </x:c>
      <x:c r="F199" s="24" t="str">
        <x:v>Wahoo</x:v>
      </x:c>
      <x:c r="G199" s="24" t="str">
        <x:v>Large pelagics (&gt;=90 cm)</x:v>
      </x:c>
      <x:c r="H199" s="24" t="str">
        <x:v>Perch-likes</x:v>
      </x:c>
      <x:c r="I199" s="31" t="n">
        <x:v>64.5363999382</x:v>
      </x:c>
      <x:c r="J199" s="31" t="n">
        <x:v>30.8039839491</x:v>
      </x:c>
      <x:c r="K199" s="31" t="n">
        <x:v>33.7324159891</x:v>
      </x:c>
      <x:c r="L199" s="31" t="n">
        <x:v>10.0364898817</x:v>
      </x:c>
      <x:c r="M199" s="31" t="n">
        <x:v>54.4999100565</x:v>
      </x:c>
      <x:c r="N199" s="24" t="str">
        <x:v>acanthocybium solandri</x:v>
      </x:c>
      <x:c r="O199" s="32" t="n">
        <x:v>4.26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Acanthocybium solandri</x:v>
      </x:c>
      <x:c r="T199" s="32" t="n">
        <x:f>IF(O199="","",(1/'Metadata'!$B$5)^(O199-1))</x:f>
        <x:v>1819.7008586099826</x:v>
      </x:c>
      <x:c r="U199" s="31" t="n">
        <x:f>IF(T199="","",I199*T199)</x:f>
        <x:v>117436.94237913977</x:v>
      </x:c>
    </x:row>
    <x:row r="200" ht="18" customHeight="1">
      <x:c r="A200" s="24" t="str">
        <x:v>EEZ_036</x:v>
      </x:c>
      <x:c r="B200" s="24" t="str">
        <x:v>Australia</x:v>
      </x:c>
      <x:c r="C200" s="24" t="str">
        <x:v>EEZ</x:v>
      </x:c>
      <x:c r="D200" s="30" t="n">
        <x:v>2019</x:v>
      </x:c>
      <x:c r="E200" s="24" t="str">
        <x:v>Neocyttus rhomboidalis</x:v>
      </x:c>
      <x:c r="F200" s="24" t="str">
        <x:v>Spiky oreo</x:v>
      </x:c>
      <x:c r="G200" s="24" t="str">
        <x:v>Medium bathypelagics (30 - 89 cm)</x:v>
      </x:c>
      <x:c r="H200" s="24" t="str">
        <x:v>Other fishes &amp; inverts</x:v>
      </x:c>
      <x:c r="I200" s="31" t="n">
        <x:v>63.7230386949</x:v>
      </x:c>
      <x:c r="J200" s="31" t="n">
        <x:v>63.7230386949</x:v>
      </x:c>
      <x:c r="K200" s="31" t="n">
        <x:v>0</x:v>
      </x:c>
      <x:c r="L200" s="31" t="n">
        <x:v>63.7230386949</x:v>
      </x:c>
      <x:c r="M200" s="31" t="n">
        <x:v>0</x:v>
      </x:c>
      <x:c r="N200" s="24" t="str">
        <x:v>neocyttus rhomboidalis</x:v>
      </x:c>
      <x:c r="O200" s="32" t="n">
        <x:v>3.58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Neocyttus rhomboidalis</x:v>
      </x:c>
      <x:c r="T200" s="32" t="n">
        <x:f>IF(O200="","",(1/'Metadata'!$B$5)^(O200-1))</x:f>
        <x:v>380.1893963205613</x:v>
      </x:c>
      <x:c r="U200" s="31" t="n">
        <x:f>IF(T200="","",I200*T200)</x:f>
        <x:v>24226.823613125798</x:v>
      </x:c>
    </x:row>
    <x:row r="201" ht="18" customHeight="1">
      <x:c r="A201" s="24" t="str">
        <x:v>EEZ_036</x:v>
      </x:c>
      <x:c r="B201" s="24" t="str">
        <x:v>Australia</x:v>
      </x:c>
      <x:c r="C201" s="24" t="str">
        <x:v>EEZ</x:v>
      </x:c>
      <x:c r="D201" s="30" t="n">
        <x:v>2019</x:v>
      </x:c>
      <x:c r="E201" s="24" t="str">
        <x:v>Coryphaena hippurus</x:v>
      </x:c>
      <x:c r="F201" s="24" t="str">
        <x:v>Common dolphinfish</x:v>
      </x:c>
      <x:c r="G201" s="24" t="str">
        <x:v>Large pelagics (&gt;=90 cm)</x:v>
      </x:c>
      <x:c r="H201" s="24" t="str">
        <x:v>Perch-likes</x:v>
      </x:c>
      <x:c r="I201" s="31" t="n">
        <x:v>62.8389916149</x:v>
      </x:c>
      <x:c r="J201" s="31" t="n">
        <x:v>19.2557352824</x:v>
      </x:c>
      <x:c r="K201" s="31" t="n">
        <x:v>43.5832563325</x:v>
      </x:c>
      <x:c r="L201" s="31" t="n">
        <x:v>19.2557352824</x:v>
      </x:c>
      <x:c r="M201" s="31" t="n">
        <x:v>43.5832563325</x:v>
      </x:c>
      <x:c r="N201" s="24" t="str">
        <x:v>coryphaena hippurus</x:v>
      </x:c>
      <x:c r="O201" s="32" t="n">
        <x:v>4.37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Coryphaena hippurus</x:v>
      </x:c>
      <x:c r="T201" s="32" t="n">
        <x:f>IF(O201="","",(1/'Metadata'!$B$5)^(O201-1))</x:f>
        <x:v>2344.228815319923</x:v>
      </x:c>
      <x:c r="U201" s="31" t="n">
        <x:f>IF(T201="","",I201*T201)</x:f>
        <x:v>147308.9748692956</x:v>
      </x:c>
    </x:row>
    <x:row r="202" ht="18" customHeight="1">
      <x:c r="A202" s="24" t="str">
        <x:v>EEZ_036</x:v>
      </x:c>
      <x:c r="B202" s="24" t="str">
        <x:v>Australia</x:v>
      </x:c>
      <x:c r="C202" s="24" t="str">
        <x:v>EEZ</x:v>
      </x:c>
      <x:c r="D202" s="30" t="n">
        <x:v>2019</x:v>
      </x:c>
      <x:c r="E202" s="24" t="str">
        <x:v>Ostreidae</x:v>
      </x:c>
      <x:c r="F202" s="24" t="str">
        <x:v>True oysters</x:v>
      </x:c>
      <x:c r="G202" s="24" t="str">
        <x:v>Other demersal invertebrates</x:v>
      </x:c>
      <x:c r="H202" s="24" t="str">
        <x:v>Molluscs</x:v>
      </x:c>
      <x:c r="I202" s="31" t="n">
        <x:v>60.792404178400005</x:v>
      </x:c>
      <x:c r="J202" s="31" t="n">
        <x:v>60.792404178400005</x:v>
      </x:c>
      <x:c r="K202" s="31" t="n">
        <x:v>0</x:v>
      </x:c>
      <x:c r="L202" s="31" t="n">
        <x:v>6.5398159862</x:v>
      </x:c>
      <x:c r="M202" s="31" t="n">
        <x:v>54.2525881922</x:v>
      </x:c>
      <x:c r="N202" s="24" t="str">
        <x:v>ostreidae</x:v>
      </x:c>
      <x:c r="O202" s="32" t="n">
        <x:v>2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Ostreidae</x:v>
      </x:c>
      <x:c r="T202" s="32" t="n">
        <x:f>IF(O202="","",(1/'Metadata'!$B$5)^(O202-1))</x:f>
        <x:v>10</x:v>
      </x:c>
      <x:c r="U202" s="31" t="n">
        <x:f>IF(T202="","",I202*T202)</x:f>
        <x:v>607.9240417840001</x:v>
      </x:c>
    </x:row>
    <x:row r="203" ht="18" customHeight="1">
      <x:c r="A203" s="24" t="str">
        <x:v>EEZ_036</x:v>
      </x:c>
      <x:c r="B203" s="24" t="str">
        <x:v>Australia</x:v>
      </x:c>
      <x:c r="C203" s="24" t="str">
        <x:v>EEZ</x:v>
      </x:c>
      <x:c r="D203" s="30" t="n">
        <x:v>2019</x:v>
      </x:c>
      <x:c r="E203" s="24" t="str">
        <x:v>Carcharhinidae</x:v>
      </x:c>
      <x:c r="F203" s="24" t="str">
        <x:v>Requiem sharks</x:v>
      </x:c>
      <x:c r="G203" s="24" t="str">
        <x:v>Large sharks (&gt;=90 cm)</x:v>
      </x:c>
      <x:c r="H203" s="24" t="str">
        <x:v>Sharks &amp; rays</x:v>
      </x:c>
      <x:c r="I203" s="31" t="n">
        <x:v>60.7890666206</x:v>
      </x:c>
      <x:c r="J203" s="31" t="n">
        <x:v>60.7890666206</x:v>
      </x:c>
      <x:c r="K203" s="31" t="n">
        <x:v>0</x:v>
      </x:c>
      <x:c r="L203" s="31" t="n">
        <x:v>59.9314817227</x:v>
      </x:c>
      <x:c r="M203" s="31" t="n">
        <x:v>0.8575848979</x:v>
      </x:c>
      <x:c r="N203" s="24" t="str">
        <x:v>carcharhinidae</x:v>
      </x:c>
      <x:c r="O203" s="32" t="n">
        <x:v>4.24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Carcharhinidae</x:v>
      </x:c>
      <x:c r="T203" s="32" t="n">
        <x:f>IF(O203="","",(1/'Metadata'!$B$5)^(O203-1))</x:f>
        <x:v>1737.8008287493763</x:v>
      </x:c>
      <x:c r="U203" s="31" t="n">
        <x:f>IF(T203="","",I203*T203)</x:f>
        <x:v>105639.29035217973</x:v>
      </x:c>
    </x:row>
    <x:row r="204" ht="18" customHeight="1">
      <x:c r="A204" s="24" t="str">
        <x:v>EEZ_036</x:v>
      </x:c>
      <x:c r="B204" s="24" t="str">
        <x:v>Australia</x:v>
      </x:c>
      <x:c r="C204" s="24" t="str">
        <x:v>EEZ</x:v>
      </x:c>
      <x:c r="D204" s="30" t="n">
        <x:v>2019</x:v>
      </x:c>
      <x:c r="E204" s="24" t="str">
        <x:v>Carcharhinus longimanus</x:v>
      </x:c>
      <x:c r="F204" s="24" t="str">
        <x:v>Oceanic whitetip shark</x:v>
      </x:c>
      <x:c r="G204" s="24" t="str">
        <x:v>Large sharks (&gt;=90 cm)</x:v>
      </x:c>
      <x:c r="H204" s="24" t="str">
        <x:v>Sharks &amp; rays</x:v>
      </x:c>
      <x:c r="I204" s="31" t="n">
        <x:v>58.9992448988</x:v>
      </x:c>
      <x:c r="J204" s="31" t="n">
        <x:v>13.203240363599999</x:v>
      </x:c>
      <x:c r="K204" s="31" t="n">
        <x:v>45.7960045352</x:v>
      </x:c>
      <x:c r="L204" s="31" t="n">
        <x:v>13.172568395899999</x:v>
      </x:c>
      <x:c r="M204" s="31" t="n">
        <x:v>45.8266765029</x:v>
      </x:c>
      <x:c r="N204" s="24" t="str">
        <x:v>carcharhinus longimanus</x:v>
      </x:c>
      <x:c r="O204" s="32" t="n">
        <x:v>4.16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Carcharhinus longimanus</x:v>
      </x:c>
      <x:c r="T204" s="32" t="n">
        <x:f>IF(O204="","",(1/'Metadata'!$B$5)^(O204-1))</x:f>
        <x:v>1445.439770745928</x:v>
      </x:c>
      <x:c r="U204" s="31" t="n">
        <x:f>IF(T204="","",I204*T204)</x:f>
        <x:v>85279.85502070433</x:v>
      </x:c>
    </x:row>
    <x:row r="205" ht="18" customHeight="1">
      <x:c r="A205" s="24" t="str">
        <x:v>EEZ_036</x:v>
      </x:c>
      <x:c r="B205" s="24" t="str">
        <x:v>Australia</x:v>
      </x:c>
      <x:c r="C205" s="24" t="str">
        <x:v>EEZ</x:v>
      </x:c>
      <x:c r="D205" s="30" t="n">
        <x:v>2019</x:v>
      </x:c>
      <x:c r="E205" s="24" t="str">
        <x:v>Notorynchus cepedianus</x:v>
      </x:c>
      <x:c r="F205" s="24" t="str">
        <x:v>Broadnose sevengill shark</x:v>
      </x:c>
      <x:c r="G205" s="24" t="str">
        <x:v>Large sharks (&gt;=90 cm)</x:v>
      </x:c>
      <x:c r="H205" s="24" t="str">
        <x:v>Sharks &amp; rays</x:v>
      </x:c>
      <x:c r="I205" s="31" t="n">
        <x:v>53.678783574600004</x:v>
      </x:c>
      <x:c r="J205" s="31" t="n">
        <x:v>53.678783574600004</x:v>
      </x:c>
      <x:c r="K205" s="31" t="n">
        <x:v>0</x:v>
      </x:c>
      <x:c r="L205" s="31" t="n">
        <x:v>53.678783574600004</x:v>
      </x:c>
      <x:c r="M205" s="31" t="n">
        <x:v>0</x:v>
      </x:c>
      <x:c r="N205" s="24" t="str">
        <x:v>notorynchus cepedianus</x:v>
      </x:c>
      <x:c r="O205" s="32" t="n">
        <x:v>4.68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Notorynchus cepedianus</x:v>
      </x:c>
      <x:c r="T205" s="32" t="n">
        <x:f>IF(O205="","",(1/'Metadata'!$B$5)^(O205-1))</x:f>
        <x:v>4786.30092322638</x:v>
      </x:c>
      <x:c r="U205" s="31" t="n">
        <x:f>IF(T205="","",I205*T205)</x:f>
        <x:v>256922.81138077707</x:v>
      </x:c>
    </x:row>
    <x:row r="206" ht="18" customHeight="1">
      <x:c r="A206" s="24" t="str">
        <x:v>EEZ_036</x:v>
      </x:c>
      <x:c r="B206" s="24" t="str">
        <x:v>Australia</x:v>
      </x:c>
      <x:c r="C206" s="24" t="str">
        <x:v>EEZ</x:v>
      </x:c>
      <x:c r="D206" s="30" t="n">
        <x:v>2019</x:v>
      </x:c>
      <x:c r="E206" s="24" t="str">
        <x:v>Thunnus orientalis</x:v>
      </x:c>
      <x:c r="F206" s="24" t="str">
        <x:v>Pacific bluefin tuna</x:v>
      </x:c>
      <x:c r="G206" s="24" t="str">
        <x:v>Large pelagics (&gt;=90 cm)</x:v>
      </x:c>
      <x:c r="H206" s="24" t="str">
        <x:v>Tuna &amp; billfishes</x:v>
      </x:c>
      <x:c r="I206" s="31" t="n">
        <x:v>51.3415710846</x:v>
      </x:c>
      <x:c r="J206" s="31" t="n">
        <x:v>50.9892564353</x:v>
      </x:c>
      <x:c r="K206" s="31" t="n">
        <x:v>0.3523146493</x:v>
      </x:c>
      <x:c r="L206" s="31" t="n">
        <x:v>45.7921877335</x:v>
      </x:c>
      <x:c r="M206" s="31" t="n">
        <x:v>5.5493833511</x:v>
      </x:c>
      <x:c r="N206" s="24" t="str">
        <x:v>thunnus orientalis</x:v>
      </x:c>
      <x:c r="O206" s="32" t="n">
        <x:v>4.05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Thunnus orientalis</x:v>
      </x:c>
      <x:c r="T206" s="32" t="n">
        <x:f>IF(O206="","",(1/'Metadata'!$B$5)^(O206-1))</x:f>
        <x:v>1122.018454301963</x:v>
      </x:c>
      <x:c r="U206" s="31" t="n">
        <x:f>IF(T206="","",I206*T206)</x:f>
        <x:v>57606.19022977725</x:v>
      </x:c>
    </x:row>
    <x:row r="207" ht="18" customHeight="1">
      <x:c r="A207" s="24" t="str">
        <x:v>EEZ_036</x:v>
      </x:c>
      <x:c r="B207" s="24" t="str">
        <x:v>Australia</x:v>
      </x:c>
      <x:c r="C207" s="24" t="str">
        <x:v>EEZ</x:v>
      </x:c>
      <x:c r="D207" s="30" t="n">
        <x:v>2019</x:v>
      </x:c>
      <x:c r="E207" s="24" t="str">
        <x:v>Halargyreus johnsonii</x:v>
      </x:c>
      <x:c r="F207" s="24" t="str">
        <x:v>Slender codling</x:v>
      </x:c>
      <x:c r="G207" s="24" t="str">
        <x:v>Medium bathypelagics (30 - 89 cm)</x:v>
      </x:c>
      <x:c r="H207" s="24" t="str">
        <x:v>Cod-likes</x:v>
      </x:c>
      <x:c r="I207" s="31" t="n">
        <x:v>51.1726226234</x:v>
      </x:c>
      <x:c r="J207" s="31" t="n">
        <x:v>0.0336716737</x:v>
      </x:c>
      <x:c r="K207" s="31" t="n">
        <x:v>51.1389509497</x:v>
      </x:c>
      <x:c r="L207" s="31" t="n">
        <x:v>0.0336716737</x:v>
      </x:c>
      <x:c r="M207" s="31" t="n">
        <x:v>51.1389509497</x:v>
      </x:c>
      <x:c r="N207" s="24" t="str">
        <x:v>halargyreus johnsonii</x:v>
      </x:c>
      <x:c r="O207" s="32" t="n">
        <x:v>3.38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Halargyreus johnsonii</x:v>
      </x:c>
      <x:c r="T207" s="32" t="n">
        <x:f>IF(O207="","",(1/'Metadata'!$B$5)^(O207-1))</x:f>
        <x:v>239.88329190194898</x:v>
      </x:c>
      <x:c r="U207" s="31" t="n">
        <x:f>IF(T207="","",I207*T207)</x:f>
        <x:v>12275.45717015734</x:v>
      </x:c>
    </x:row>
    <x:row r="208" ht="18" customHeight="1">
      <x:c r="A208" s="24" t="str">
        <x:v>EEZ_036</x:v>
      </x:c>
      <x:c r="B208" s="24" t="str">
        <x:v>Australia</x:v>
      </x:c>
      <x:c r="C208" s="24" t="str">
        <x:v>EEZ</x:v>
      </x:c>
      <x:c r="D208" s="30" t="n">
        <x:v>2019</x:v>
      </x:c>
      <x:c r="E208" s="24" t="str">
        <x:v>Centriscidae</x:v>
      </x:c>
      <x:c r="F208" s="24" t="str">
        <x:v>Snipefishes, shrimpfishes</x:v>
      </x:c>
      <x:c r="G208" s="24" t="str">
        <x:v>Small benthopelagics (&lt;30 cm)</x:v>
      </x:c>
      <x:c r="H208" s="24" t="str">
        <x:v>Other fishes &amp; inverts</x:v>
      </x:c>
      <x:c r="I208" s="31" t="n">
        <x:v>51.1389509497</x:v>
      </x:c>
      <x:c r="J208" s="31" t="n">
        <x:v>0</x:v>
      </x:c>
      <x:c r="K208" s="31" t="n">
        <x:v>51.1389509497</x:v>
      </x:c>
      <x:c r="L208" s="31" t="n">
        <x:v>0</x:v>
      </x:c>
      <x:c r="M208" s="31" t="n">
        <x:v>51.1389509497</x:v>
      </x:c>
      <x:c r="N208" s="24" t="str">
        <x:v>centriscidae</x:v>
      </x:c>
      <x:c r="O208" s="32" t="n">
        <x:v>3.15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Centriscidae</x:v>
      </x:c>
      <x:c r="T208" s="32" t="n">
        <x:f>IF(O208="","",(1/'Metadata'!$B$5)^(O208-1))</x:f>
        <x:v>141.2537544622754</x:v>
      </x:c>
      <x:c r="U208" s="31" t="n">
        <x:f>IF(T208="","",I208*T208)</x:f>
        <x:v>7223.56882090727</x:v>
      </x:c>
    </x:row>
    <x:row r="209" ht="18" customHeight="1">
      <x:c r="A209" s="24" t="str">
        <x:v>EEZ_036</x:v>
      </x:c>
      <x:c r="B209" s="24" t="str">
        <x:v>Australia</x:v>
      </x:c>
      <x:c r="C209" s="24" t="str">
        <x:v>EEZ</x:v>
      </x:c>
      <x:c r="D209" s="30" t="n">
        <x:v>2019</x:v>
      </x:c>
      <x:c r="E209" s="24" t="str">
        <x:v>Argyrops spinifer</x:v>
      </x:c>
      <x:c r="F209" s="24" t="str">
        <x:v>King soldier bream</x:v>
      </x:c>
      <x:c r="G209" s="24" t="str">
        <x:v>Medium demersals (30 - 89 cm)</x:v>
      </x:c>
      <x:c r="H209" s="24" t="str">
        <x:v>Perch-likes</x:v>
      </x:c>
      <x:c r="I209" s="31" t="n">
        <x:v>51.034190874</x:v>
      </x:c>
      <x:c r="J209" s="31" t="n">
        <x:v>51.034190874</x:v>
      </x:c>
      <x:c r="K209" s="31" t="n">
        <x:v>0</x:v>
      </x:c>
      <x:c r="L209" s="31" t="n">
        <x:v>50.502736358</x:v>
      </x:c>
      <x:c r="M209" s="31" t="n">
        <x:v>0.531454516</x:v>
      </x:c>
      <x:c r="N209" s="24" t="str">
        <x:v>argyrops spinifer</x:v>
      </x:c>
      <x:c r="O209" s="32" t="n">
        <x:v>4.49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Argyrops spinifer</x:v>
      </x:c>
      <x:c r="T209" s="32" t="n">
        <x:f>IF(O209="","",(1/'Metadata'!$B$5)^(O209-1))</x:f>
        <x:v>3090.295432513592</x:v>
      </x:c>
      <x:c r="U209" s="31" t="n">
        <x:f>IF(T209="","",I209*T209)</x:f>
        <x:v>157710.72695994904</x:v>
      </x:c>
    </x:row>
    <x:row r="210" ht="18" customHeight="1">
      <x:c r="A210" s="24" t="str">
        <x:v>EEZ_036</x:v>
      </x:c>
      <x:c r="B210" s="24" t="str">
        <x:v>Australia</x:v>
      </x:c>
      <x:c r="C210" s="24" t="str">
        <x:v>EEZ</x:v>
      </x:c>
      <x:c r="D210" s="30" t="n">
        <x:v>2019</x:v>
      </x:c>
      <x:c r="E210" s="24" t="str">
        <x:v>Callorhinchus milii</x:v>
      </x:c>
      <x:c r="F210" s="24" t="str">
        <x:v>Ghost shark</x:v>
      </x:c>
      <x:c r="G210" s="24" t="str">
        <x:v>Large rays (&gt;=90 cm)</x:v>
      </x:c>
      <x:c r="H210" s="24" t="str">
        <x:v>Sharks &amp; rays</x:v>
      </x:c>
      <x:c r="I210" s="31" t="n">
        <x:v>50.8510274499</x:v>
      </x:c>
      <x:c r="J210" s="31" t="n">
        <x:v>50.8510274499</x:v>
      </x:c>
      <x:c r="K210" s="31" t="n">
        <x:v>0</x:v>
      </x:c>
      <x:c r="L210" s="31" t="n">
        <x:v>50.8510274499</x:v>
      </x:c>
      <x:c r="M210" s="31" t="n">
        <x:v>0</x:v>
      </x:c>
      <x:c r="N210" s="24" t="str">
        <x:v>callorhinchus milii</x:v>
      </x:c>
      <x:c r="O210" s="32" t="n">
        <x:v>3.6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Callorhinchus milii</x:v>
      </x:c>
      <x:c r="T210" s="32" t="n">
        <x:f>IF(O210="","",(1/'Metadata'!$B$5)^(O210-1))</x:f>
        <x:v>398.1071705534973</x:v>
      </x:c>
      <x:c r="U210" s="31" t="n">
        <x:f>IF(T210="","",I210*T210)</x:f>
        <x:v>20244.158657817916</x:v>
      </x:c>
    </x:row>
    <x:row r="211" ht="18" customHeight="1">
      <x:c r="A211" s="24" t="str">
        <x:v>EEZ_036</x:v>
      </x:c>
      <x:c r="B211" s="24" t="str">
        <x:v>Australia</x:v>
      </x:c>
      <x:c r="C211" s="24" t="str">
        <x:v>EEZ</x:v>
      </x:c>
      <x:c r="D211" s="30" t="n">
        <x:v>2019</x:v>
      </x:c>
      <x:c r="E211" s="24" t="str">
        <x:v>Holothuriidae</x:v>
      </x:c>
      <x:c r="F211" s="24" t="str">
        <x:v>Fleshy sea cucumbers</x:v>
      </x:c>
      <x:c r="G211" s="24" t="str">
        <x:v>Other demersal invertebrates</x:v>
      </x:c>
      <x:c r="H211" s="24" t="str">
        <x:v>Other fishes &amp; inverts</x:v>
      </x:c>
      <x:c r="I211" s="31" t="n">
        <x:v>50.6386916747</x:v>
      </x:c>
      <x:c r="J211" s="31" t="n">
        <x:v>50.6386916747</x:v>
      </x:c>
      <x:c r="K211" s="31" t="n">
        <x:v>0</x:v>
      </x:c>
      <x:c r="L211" s="31" t="n">
        <x:v>50.6386916747</x:v>
      </x:c>
      <x:c r="M211" s="31" t="n">
        <x:v>0</x:v>
      </x:c>
      <x:c r="N211" s="24" t="str">
        <x:v>holothuriidae</x:v>
      </x:c>
      <x:c r="O211" s="32" t="n">
        <x:v>2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Holothuriidae</x:v>
      </x:c>
      <x:c r="T211" s="32" t="n">
        <x:f>IF(O211="","",(1/'Metadata'!$B$5)^(O211-1))</x:f>
        <x:v>10</x:v>
      </x:c>
      <x:c r="U211" s="31" t="n">
        <x:f>IF(T211="","",I211*T211)</x:f>
        <x:v>506.386916747</x:v>
      </x:c>
    </x:row>
    <x:row r="212" ht="18" customHeight="1">
      <x:c r="A212" s="24" t="str">
        <x:v>EEZ_036</x:v>
      </x:c>
      <x:c r="B212" s="24" t="str">
        <x:v>Australia</x:v>
      </x:c>
      <x:c r="C212" s="24" t="str">
        <x:v>EEZ</x:v>
      </x:c>
      <x:c r="D212" s="30" t="n">
        <x:v>2019</x:v>
      </x:c>
      <x:c r="E212" s="24" t="str">
        <x:v>Oreosomatidae</x:v>
      </x:c>
      <x:c r="F212" s="24" t="str">
        <x:v>Oreos</x:v>
      </x:c>
      <x:c r="G212" s="24" t="str">
        <x:v>Medium bathypelagics (30 - 89 cm)</x:v>
      </x:c>
      <x:c r="H212" s="24" t="str">
        <x:v>Other fishes &amp; inverts</x:v>
      </x:c>
      <x:c r="I212" s="31" t="n">
        <x:v>49.1142896637</x:v>
      </x:c>
      <x:c r="J212" s="31" t="n">
        <x:v>49.1142896637</x:v>
      </x:c>
      <x:c r="K212" s="31" t="n">
        <x:v>0</x:v>
      </x:c>
      <x:c r="L212" s="31" t="n">
        <x:v>49.1142896637</x:v>
      </x:c>
      <x:c r="M212" s="31" t="n">
        <x:v>0</x:v>
      </x:c>
      <x:c r="N212" s="24" t="str">
        <x:v>oreosomatidae</x:v>
      </x:c>
      <x:c r="O212" s="32" t="n">
        <x:v>3.69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Oreosomatidae</x:v>
      </x:c>
      <x:c r="T212" s="32" t="n">
        <x:f>IF(O212="","",(1/'Metadata'!$B$5)^(O212-1))</x:f>
        <x:v>489.77881936844614</x:v>
      </x:c>
      <x:c r="U212" s="31" t="n">
        <x:f>IF(T212="","",I212*T212)</x:f>
        <x:v>24055.138805606864</x:v>
      </x:c>
    </x:row>
    <x:row r="213" ht="18" customHeight="1">
      <x:c r="A213" s="24" t="str">
        <x:v>EEZ_036</x:v>
      </x:c>
      <x:c r="B213" s="24" t="str">
        <x:v>Australia</x:v>
      </x:c>
      <x:c r="C213" s="24" t="str">
        <x:v>EEZ</x:v>
      </x:c>
      <x:c r="D213" s="30" t="n">
        <x:v>2019</x:v>
      </x:c>
      <x:c r="E213" s="24" t="str">
        <x:v>Carcharhinus brevipinna</x:v>
      </x:c>
      <x:c r="F213" s="24" t="str">
        <x:v>Spinner shark</x:v>
      </x:c>
      <x:c r="G213" s="24" t="str">
        <x:v>Large sharks (&gt;=90 cm)</x:v>
      </x:c>
      <x:c r="H213" s="24" t="str">
        <x:v>Sharks &amp; rays</x:v>
      </x:c>
      <x:c r="I213" s="31" t="n">
        <x:v>49.0537170027</x:v>
      </x:c>
      <x:c r="J213" s="31" t="n">
        <x:v>49.0537170027</x:v>
      </x:c>
      <x:c r="K213" s="31" t="n">
        <x:v>0</x:v>
      </x:c>
      <x:c r="L213" s="31" t="n">
        <x:v>49.0463162463</x:v>
      </x:c>
      <x:c r="M213" s="31" t="n">
        <x:v>0.0074007564</x:v>
      </x:c>
      <x:c r="N213" s="24" t="str">
        <x:v>carcharhinus brevipinna</x:v>
      </x:c>
      <x:c r="O213" s="32" t="n">
        <x:v>4.2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Carcharhinus brevipinna</x:v>
      </x:c>
      <x:c r="T213" s="32" t="n">
        <x:f>IF(O213="","",(1/'Metadata'!$B$5)^(O213-1))</x:f>
        <x:v>1584.893192461114</x:v>
      </x:c>
      <x:c r="U213" s="31" t="n">
        <x:f>IF(T213="","",I213*T213)</x:f>
        <x:v>77744.90214249323</x:v>
      </x:c>
    </x:row>
    <x:row r="214" ht="18" customHeight="1">
      <x:c r="A214" s="24" t="str">
        <x:v>EEZ_036</x:v>
      </x:c>
      <x:c r="B214" s="24" t="str">
        <x:v>Australia</x:v>
      </x:c>
      <x:c r="C214" s="24" t="str">
        <x:v>EEZ</x:v>
      </x:c>
      <x:c r="D214" s="30" t="n">
        <x:v>2019</x:v>
      </x:c>
      <x:c r="E214" s="24" t="str">
        <x:v>Pristidae</x:v>
      </x:c>
      <x:c r="F214" s="24" t="str">
        <x:v>Sawfishes</x:v>
      </x:c>
      <x:c r="G214" s="24" t="str">
        <x:v>Large rays (&gt;=90 cm)</x:v>
      </x:c>
      <x:c r="H214" s="24" t="str">
        <x:v>Sharks &amp; rays</x:v>
      </x:c>
      <x:c r="I214" s="31" t="n">
        <x:v>47.948850104</x:v>
      </x:c>
      <x:c r="J214" s="31" t="n">
        <x:v>47.948850104</x:v>
      </x:c>
      <x:c r="K214" s="31" t="n">
        <x:v>0</x:v>
      </x:c>
      <x:c r="L214" s="31" t="n">
        <x:v>0.3574410538</x:v>
      </x:c>
      <x:c r="M214" s="31" t="n">
        <x:v>47.5914090502</x:v>
      </x:c>
      <x:c r="N214" s="24" t="str">
        <x:v>pristidae</x:v>
      </x:c>
      <x:c r="O214" s="32" t="n">
        <x:v>4.24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Pristidae</x:v>
      </x:c>
      <x:c r="T214" s="32" t="n">
        <x:f>IF(O214="","",(1/'Metadata'!$B$5)^(O214-1))</x:f>
        <x:v>1737.8008287493763</x:v>
      </x:c>
      <x:c r="U214" s="31" t="n">
        <x:f>IF(T214="","",I214*T214)</x:f>
        <x:v>83325.55144831081</x:v>
      </x:c>
    </x:row>
    <x:row r="215" ht="18" customHeight="1">
      <x:c r="A215" s="24" t="str">
        <x:v>EEZ_036</x:v>
      </x:c>
      <x:c r="B215" s="24" t="str">
        <x:v>Australia</x:v>
      </x:c>
      <x:c r="C215" s="24" t="str">
        <x:v>EEZ</x:v>
      </x:c>
      <x:c r="D215" s="30" t="n">
        <x:v>2019</x:v>
      </x:c>
      <x:c r="E215" s="24" t="str">
        <x:v>Mobula birostris</x:v>
      </x:c>
      <x:c r="F215" s="24" t="str">
        <x:v>Giant manta</x:v>
      </x:c>
      <x:c r="G215" s="24" t="str">
        <x:v>Large rays (&gt;=90 cm)</x:v>
      </x:c>
      <x:c r="H215" s="24" t="str">
        <x:v>Sharks &amp; rays</x:v>
      </x:c>
      <x:c r="I215" s="31" t="n">
        <x:v>47.8257724903</x:v>
      </x:c>
      <x:c r="J215" s="31" t="n">
        <x:v>47.8257724903</x:v>
      </x:c>
      <x:c r="K215" s="31" t="n">
        <x:v>0</x:v>
      </x:c>
      <x:c r="L215" s="31" t="n">
        <x:v>1.3675851549</x:v>
      </x:c>
      <x:c r="M215" s="31" t="n">
        <x:v>46.4581873354</x:v>
      </x:c>
      <x:c r="N215" s="24" t="str">
        <x:v>mobula birostris</x:v>
      </x:c>
      <x:c r="O215" s="32" t="n">
        <x:v>3.46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Mobula birostris</x:v>
      </x:c>
      <x:c r="T215" s="32" t="n">
        <x:f>IF(O215="","",(1/'Metadata'!$B$5)^(O215-1))</x:f>
        <x:v>288.40315031266056</x:v>
      </x:c>
      <x:c r="U215" s="31" t="n">
        <x:f>IF(T215="","",I215*T215)</x:f>
        <x:v>13793.103452339095</x:v>
      </x:c>
    </x:row>
    <x:row r="216" ht="18" customHeight="1">
      <x:c r="A216" s="24" t="str">
        <x:v>EEZ_036</x:v>
      </x:c>
      <x:c r="B216" s="24" t="str">
        <x:v>Australia</x:v>
      </x:c>
      <x:c r="C216" s="24" t="str">
        <x:v>EEZ</x:v>
      </x:c>
      <x:c r="D216" s="30" t="n">
        <x:v>2019</x:v>
      </x:c>
      <x:c r="E216" s="24" t="str">
        <x:v>Plotosus lineatus</x:v>
      </x:c>
      <x:c r="F216" s="24" t="str">
        <x:v>Striped eel catfish</x:v>
      </x:c>
      <x:c r="G216" s="24" t="str">
        <x:v>Medium reef assoc. fish (30 - 89 cm)</x:v>
      </x:c>
      <x:c r="H216" s="24" t="str">
        <x:v>Other fishes &amp; inverts</x:v>
      </x:c>
      <x:c r="I216" s="31" t="n">
        <x:v>47.0879859229</x:v>
      </x:c>
      <x:c r="J216" s="31" t="n">
        <x:v>0</x:v>
      </x:c>
      <x:c r="K216" s="31" t="n">
        <x:v>47.0879859229</x:v>
      </x:c>
      <x:c r="L216" s="31" t="n">
        <x:v>0</x:v>
      </x:c>
      <x:c r="M216" s="31" t="n">
        <x:v>47.0879859229</x:v>
      </x:c>
      <x:c r="N216" s="24" t="str">
        <x:v>plotosus lineatus</x:v>
      </x:c>
      <x:c r="O216" s="32" t="n">
        <x:v>3.57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Plotosus lineatus</x:v>
      </x:c>
      <x:c r="T216" s="32" t="n">
        <x:f>IF(O216="","",(1/'Metadata'!$B$5)^(O216-1))</x:f>
        <x:v>371.5352290971724</x:v>
      </x:c>
      <x:c r="U216" s="31" t="n">
        <x:f>IF(T216="","",I216*T216)</x:f>
        <x:v>17494.845637589082</x:v>
      </x:c>
    </x:row>
    <x:row r="217" ht="18" customHeight="1">
      <x:c r="A217" s="24" t="str">
        <x:v>EEZ_036</x:v>
      </x:c>
      <x:c r="B217" s="24" t="str">
        <x:v>Australia</x:v>
      </x:c>
      <x:c r="C217" s="24" t="str">
        <x:v>EEZ</x:v>
      </x:c>
      <x:c r="D217" s="30" t="n">
        <x:v>2019</x:v>
      </x:c>
      <x:c r="E217" s="24" t="str">
        <x:v>Etelis carbunculus</x:v>
      </x:c>
      <x:c r="F217" s="24" t="str">
        <x:v>Deep-water red snapper</x:v>
      </x:c>
      <x:c r="G217" s="24" t="str">
        <x:v>Large demersals (&gt;=90 cm)</x:v>
      </x:c>
      <x:c r="H217" s="24" t="str">
        <x:v>Perch-likes</x:v>
      </x:c>
      <x:c r="I217" s="31" t="n">
        <x:v>47.0563220312</x:v>
      </x:c>
      <x:c r="J217" s="31" t="n">
        <x:v>47.0563220312</x:v>
      </x:c>
      <x:c r="K217" s="31" t="n">
        <x:v>0</x:v>
      </x:c>
      <x:c r="L217" s="31" t="n">
        <x:v>28.2978171843</x:v>
      </x:c>
      <x:c r="M217" s="31" t="n">
        <x:v>18.7585048469</x:v>
      </x:c>
      <x:c r="N217" s="24" t="str">
        <x:v>etelis carbunculus</x:v>
      </x:c>
      <x:c r="O217" s="32" t="n">
        <x:v>4.49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Etelis carbunculus</x:v>
      </x:c>
      <x:c r="T217" s="32" t="n">
        <x:f>IF(O217="","",(1/'Metadata'!$B$5)^(O217-1))</x:f>
        <x:v>3090.295432513592</x:v>
      </x:c>
      <x:c r="U217" s="31" t="n">
        <x:f>IF(T217="","",I217*T217)</x:f>
        <x:v>145417.93704390607</x:v>
      </x:c>
    </x:row>
    <x:row r="218" ht="18" customHeight="1">
      <x:c r="A218" s="24" t="str">
        <x:v>EEZ_036</x:v>
      </x:c>
      <x:c r="B218" s="24" t="str">
        <x:v>Australia</x:v>
      </x:c>
      <x:c r="C218" s="24" t="str">
        <x:v>EEZ</x:v>
      </x:c>
      <x:c r="D218" s="30" t="n">
        <x:v>2019</x:v>
      </x:c>
      <x:c r="E218" s="24" t="str">
        <x:v>Myliobatidae</x:v>
      </x:c>
      <x:c r="F218" s="24" t="str">
        <x:v>Eagle/manta rays</x:v>
      </x:c>
      <x:c r="G218" s="24" t="str">
        <x:v>Large rays (&gt;=90 cm)</x:v>
      </x:c>
      <x:c r="H218" s="24" t="str">
        <x:v>Sharks &amp; rays</x:v>
      </x:c>
      <x:c r="I218" s="31" t="n">
        <x:v>45.9398710453</x:v>
      </x:c>
      <x:c r="J218" s="31" t="n">
        <x:v>45.9398710453</x:v>
      </x:c>
      <x:c r="K218" s="31" t="n">
        <x:v>0</x:v>
      </x:c>
      <x:c r="L218" s="31" t="n">
        <x:v>45.9394001739</x:v>
      </x:c>
      <x:c r="M218" s="31" t="n">
        <x:v>0.0004708714</x:v>
      </x:c>
      <x:c r="N218" s="24" t="str">
        <x:v>myliobatidae</x:v>
      </x:c>
      <x:c r="O218" s="32" t="n">
        <x:v>3.36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Myliobatidae</x:v>
      </x:c>
      <x:c r="T218" s="32" t="n">
        <x:f>IF(O218="","",(1/'Metadata'!$B$5)^(O218-1))</x:f>
        <x:v>229.08676527677724</x:v>
      </x:c>
      <x:c r="U218" s="31" t="n">
        <x:f>IF(T218="","",I218*T218)</x:f>
        <x:v>10524.216455000056</x:v>
      </x:c>
    </x:row>
    <x:row r="219" ht="18" customHeight="1">
      <x:c r="A219" s="24" t="str">
        <x:v>EEZ_036</x:v>
      </x:c>
      <x:c r="B219" s="24" t="str">
        <x:v>Australia</x:v>
      </x:c>
      <x:c r="C219" s="24" t="str">
        <x:v>EEZ</x:v>
      </x:c>
      <x:c r="D219" s="30" t="n">
        <x:v>2019</x:v>
      </x:c>
      <x:c r="E219" s="24" t="str">
        <x:v>Trachurus novaezelandiae</x:v>
      </x:c>
      <x:c r="F219" s="24" t="str">
        <x:v>Yellowtail horse mackerel</x:v>
      </x:c>
      <x:c r="G219" s="24" t="str">
        <x:v>Medium pelagics (30 - 89 cm)</x:v>
      </x:c>
      <x:c r="H219" s="24" t="str">
        <x:v>Perch-likes</x:v>
      </x:c>
      <x:c r="I219" s="31" t="n">
        <x:v>45.372361944299996</x:v>
      </x:c>
      <x:c r="J219" s="31" t="n">
        <x:v>45.372361944299996</x:v>
      </x:c>
      <x:c r="K219" s="31" t="n">
        <x:v>0</x:v>
      </x:c>
      <x:c r="L219" s="31" t="n">
        <x:v>44.597886952799996</x:v>
      </x:c>
      <x:c r="M219" s="31" t="n">
        <x:v>0.7744749915</x:v>
      </x:c>
      <x:c r="N219" s="24" t="str">
        <x:v>trachurus novaezelandiae</x:v>
      </x:c>
      <x:c r="O219" s="32" t="n">
        <x:v>3.22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Trachurus novaezelandiae</x:v>
      </x:c>
      <x:c r="T219" s="32" t="n">
        <x:f>IF(O219="","",(1/'Metadata'!$B$5)^(O219-1))</x:f>
        <x:v>165.95869074375614</x:v>
      </x:c>
      <x:c r="U219" s="31" t="n">
        <x:f>IF(T219="","",I219*T219)</x:f>
        <x:v>7529.937784227853</x:v>
      </x:c>
    </x:row>
    <x:row r="220" ht="18" customHeight="1">
      <x:c r="A220" s="24" t="str">
        <x:v>EEZ_036</x:v>
      </x:c>
      <x:c r="B220" s="24" t="str">
        <x:v>Australia</x:v>
      </x:c>
      <x:c r="C220" s="24" t="str">
        <x:v>EEZ</x:v>
      </x:c>
      <x:c r="D220" s="30" t="n">
        <x:v>2019</x:v>
      </x:c>
      <x:c r="E220" s="24" t="str">
        <x:v>Parupeneus</x:v>
      </x:c>
      <x:c r="F220" s="24" t="str">
        <x:v>Parupeneid goatfishes</x:v>
      </x:c>
      <x:c r="G220" s="24" t="str">
        <x:v>Medium reef assoc. fish (30 - 89 cm)</x:v>
      </x:c>
      <x:c r="H220" s="24" t="str">
        <x:v>Perch-likes</x:v>
      </x:c>
      <x:c r="I220" s="31" t="n">
        <x:v>44.7475759965</x:v>
      </x:c>
      <x:c r="J220" s="31" t="n">
        <x:v>44.7475759965</x:v>
      </x:c>
      <x:c r="K220" s="31" t="n">
        <x:v>0</x:v>
      </x:c>
      <x:c r="L220" s="31" t="n">
        <x:v>44.7395093736</x:v>
      </x:c>
      <x:c r="M220" s="31" t="n">
        <x:v>0.0080666229</x:v>
      </x:c>
      <x:c r="N220" s="24" t="str">
        <x:v>parupeneus</x:v>
      </x:c>
      <x:c r="O220" s="32" t="n">
        <x:v>3.51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Parupeneus</x:v>
      </x:c>
      <x:c r="T220" s="32" t="n">
        <x:f>IF(O220="","",(1/'Metadata'!$B$5)^(O220-1))</x:f>
        <x:v>323.5936569296281</x:v>
      </x:c>
      <x:c r="U220" s="31" t="n">
        <x:f>IF(T220="","",I220*T220)</x:f>
        <x:v>14480.03175544388</x:v>
      </x:c>
    </x:row>
    <x:row r="221" ht="18" customHeight="1">
      <x:c r="A221" s="24" t="str">
        <x:v>EEZ_036</x:v>
      </x:c>
      <x:c r="B221" s="24" t="str">
        <x:v>Australia</x:v>
      </x:c>
      <x:c r="C221" s="24" t="str">
        <x:v>EEZ</x:v>
      </x:c>
      <x:c r="D221" s="30" t="n">
        <x:v>2019</x:v>
      </x:c>
      <x:c r="E221" s="24" t="str">
        <x:v>Pteriomorphia</x:v>
      </x:c>
      <x:c r="F221" s="24" t="str">
        <x:v>Clams, cockles, arkshells</x:v>
      </x:c>
      <x:c r="G221" s="24" t="str">
        <x:v>Other demersal invertebrates</x:v>
      </x:c>
      <x:c r="H221" s="24" t="str">
        <x:v>Molluscs</x:v>
      </x:c>
      <x:c r="I221" s="31" t="n">
        <x:v>43.94850967000001</x:v>
      </x:c>
      <x:c r="J221" s="31" t="n">
        <x:v>43.94850967000001</x:v>
      </x:c>
      <x:c r="K221" s="31" t="n">
        <x:v>0</x:v>
      </x:c>
      <x:c r="L221" s="31" t="n">
        <x:v>0</x:v>
      </x:c>
      <x:c r="M221" s="31" t="n">
        <x:v>43.94850967000001</x:v>
      </x:c>
      <x:c r="N221" s="24" t="str">
        <x:v>pteriomorphia</x:v>
      </x:c>
      <x:c r="O221" s="32" t="n">
        <x:v>2.27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Pteriomorphia</x:v>
      </x:c>
      <x:c r="T221" s="32" t="n">
        <x:f>IF(O221="","",(1/'Metadata'!$B$5)^(O221-1))</x:f>
        <x:v>18.620871366628677</x:v>
      </x:c>
      <x:c r="U221" s="31" t="n">
        <x:f>IF(T221="","",I221*T221)</x:f>
        <x:v>818.3595453201067</x:v>
      </x:c>
    </x:row>
    <x:row r="222" ht="18" customHeight="1">
      <x:c r="A222" s="24" t="str">
        <x:v>EEZ_036</x:v>
      </x:c>
      <x:c r="B222" s="24" t="str">
        <x:v>Australia</x:v>
      </x:c>
      <x:c r="C222" s="24" t="str">
        <x:v>EEZ</x:v>
      </x:c>
      <x:c r="D222" s="30" t="n">
        <x:v>2019</x:v>
      </x:c>
      <x:c r="E222" s="24" t="str">
        <x:v>Euthynnus affinis</x:v>
      </x:c>
      <x:c r="F222" s="24" t="str">
        <x:v>Kawakawa</x:v>
      </x:c>
      <x:c r="G222" s="24" t="str">
        <x:v>Large pelagics (&gt;=90 cm)</x:v>
      </x:c>
      <x:c r="H222" s="24" t="str">
        <x:v>Tuna &amp; billfishes</x:v>
      </x:c>
      <x:c r="I222" s="31" t="n">
        <x:v>43.2978421506</x:v>
      </x:c>
      <x:c r="J222" s="31" t="n">
        <x:v>43.2978421506</x:v>
      </x:c>
      <x:c r="K222" s="31" t="n">
        <x:v>0</x:v>
      </x:c>
      <x:c r="L222" s="31" t="n">
        <x:v>30.1929270567</x:v>
      </x:c>
      <x:c r="M222" s="31" t="n">
        <x:v>13.1049150939</x:v>
      </x:c>
      <x:c r="N222" s="24" t="str">
        <x:v>euthynnus affinis</x:v>
      </x:c>
      <x:c r="O222" s="32" t="n">
        <x:v>4.5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Euthynnus affinis</x:v>
      </x:c>
      <x:c r="T222" s="32" t="n">
        <x:f>IF(O222="","",(1/'Metadata'!$B$5)^(O222-1))</x:f>
        <x:v>3162.2776601683795</x:v>
      </x:c>
      <x:c r="U222" s="31" t="n">
        <x:f>IF(T222="","",I222*T222)</x:f>
        <x:v>136919.7989663392</x:v>
      </x:c>
    </x:row>
    <x:row r="223" ht="18" customHeight="1">
      <x:c r="A223" s="24" t="str">
        <x:v>EEZ_036</x:v>
      </x:c>
      <x:c r="B223" s="24" t="str">
        <x:v>Australia</x:v>
      </x:c>
      <x:c r="C223" s="24" t="str">
        <x:v>EEZ</x:v>
      </x:c>
      <x:c r="D223" s="30" t="n">
        <x:v>2019</x:v>
      </x:c>
      <x:c r="E223" s="24" t="str">
        <x:v>Scaridae</x:v>
      </x:c>
      <x:c r="F223" s="24" t="str">
        <x:v>Parrotfishes</x:v>
      </x:c>
      <x:c r="G223" s="24" t="str">
        <x:v>Medium reef assoc. fish (30 - 89 cm)</x:v>
      </x:c>
      <x:c r="H223" s="24" t="str">
        <x:v>Perch-likes</x:v>
      </x:c>
      <x:c r="I223" s="31" t="n">
        <x:v>42.0730748942</x:v>
      </x:c>
      <x:c r="J223" s="31" t="n">
        <x:v>42.0730748942</x:v>
      </x:c>
      <x:c r="K223" s="31" t="n">
        <x:v>0</x:v>
      </x:c>
      <x:c r="L223" s="31" t="n">
        <x:v>35.7672130718</x:v>
      </x:c>
      <x:c r="M223" s="31" t="n">
        <x:v>6.3058618224</x:v>
      </x:c>
      <x:c r="N223" s="24" t="str">
        <x:v>scaridae</x:v>
      </x:c>
      <x:c r="O223" s="32" t="n">
        <x:v>2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Scaridae</x:v>
      </x:c>
      <x:c r="T223" s="32" t="n">
        <x:f>IF(O223="","",(1/'Metadata'!$B$5)^(O223-1))</x:f>
        <x:v>10</x:v>
      </x:c>
      <x:c r="U223" s="31" t="n">
        <x:f>IF(T223="","",I223*T223)</x:f>
        <x:v>420.730748942</x:v>
      </x:c>
    </x:row>
    <x:row r="224" ht="18" customHeight="1">
      <x:c r="A224" s="24" t="str">
        <x:v>EEZ_036</x:v>
      </x:c>
      <x:c r="B224" s="24" t="str">
        <x:v>Australia</x:v>
      </x:c>
      <x:c r="C224" s="24" t="str">
        <x:v>EEZ</x:v>
      </x:c>
      <x:c r="D224" s="30" t="n">
        <x:v>2019</x:v>
      </x:c>
      <x:c r="E224" s="24" t="str">
        <x:v>Siganus</x:v>
      </x:c>
      <x:c r="F224" s="24" t="str">
        <x:v>Spinefoots</x:v>
      </x:c>
      <x:c r="G224" s="24" t="str">
        <x:v>Medium reef assoc. fish (30 - 89 cm)</x:v>
      </x:c>
      <x:c r="H224" s="24" t="str">
        <x:v>Perch-likes</x:v>
      </x:c>
      <x:c r="I224" s="31" t="n">
        <x:v>41.2520329997</x:v>
      </x:c>
      <x:c r="J224" s="31" t="n">
        <x:v>29.480036517500004</x:v>
      </x:c>
      <x:c r="K224" s="31" t="n">
        <x:v>11.7719964822</x:v>
      </x:c>
      <x:c r="L224" s="31" t="n">
        <x:v>29.462105814600005</x:v>
      </x:c>
      <x:c r="M224" s="31" t="n">
        <x:v>11.7899271851</x:v>
      </x:c>
      <x:c r="N224" s="24" t="str">
        <x:v>siganus</x:v>
      </x:c>
      <x:c r="O224" s="32" t="n">
        <x:v>2.11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Siganus</x:v>
      </x:c>
      <x:c r="T224" s="32" t="n">
        <x:f>IF(O224="","",(1/'Metadata'!$B$5)^(O224-1))</x:f>
        <x:v>12.882495516931336</x:v>
      </x:c>
      <x:c r="U224" s="31" t="n">
        <x:f>IF(T224="","",I224*T224)</x:f>
        <x:v>531.4291301829387</x:v>
      </x:c>
    </x:row>
    <x:row r="225" ht="18" customHeight="1">
      <x:c r="A225" s="24" t="str">
        <x:v>EEZ_036</x:v>
      </x:c>
      <x:c r="B225" s="24" t="str">
        <x:v>Australia</x:v>
      </x:c>
      <x:c r="C225" s="24" t="str">
        <x:v>EEZ</x:v>
      </x:c>
      <x:c r="D225" s="30" t="n">
        <x:v>2019</x:v>
      </x:c>
      <x:c r="E225" s="24" t="str">
        <x:v>Etelis coruscans</x:v>
      </x:c>
      <x:c r="F225" s="24" t="str">
        <x:v>Deepwater longtail red snapper</x:v>
      </x:c>
      <x:c r="G225" s="24" t="str">
        <x:v>Large bathydemersals (&gt;=90 cm)</x:v>
      </x:c>
      <x:c r="H225" s="24" t="str">
        <x:v>Perch-likes</x:v>
      </x:c>
      <x:c r="I225" s="31" t="n">
        <x:v>41.1637703567</x:v>
      </x:c>
      <x:c r="J225" s="31" t="n">
        <x:v>41.1637703567</x:v>
      </x:c>
      <x:c r="K225" s="31" t="n">
        <x:v>0</x:v>
      </x:c>
      <x:c r="L225" s="31" t="n">
        <x:v>41.1616810061</x:v>
      </x:c>
      <x:c r="M225" s="31" t="n">
        <x:v>0.0020893506</x:v>
      </x:c>
      <x:c r="N225" s="24" t="str">
        <x:v>etelis coruscans</x:v>
      </x:c>
      <x:c r="O225" s="32" t="n">
        <x:v>4.42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Etelis coruscans</x:v>
      </x:c>
      <x:c r="T225" s="32" t="n">
        <x:f>IF(O225="","",(1/'Metadata'!$B$5)^(O225-1))</x:f>
        <x:v>2630.2679918953813</x:v>
      </x:c>
      <x:c r="U225" s="31" t="n">
        <x:f>IF(T225="","",I225*T225)</x:f>
        <x:v>108271.74759495993</x:v>
      </x:c>
    </x:row>
    <x:row r="226" ht="18" customHeight="1">
      <x:c r="A226" s="24" t="str">
        <x:v>EEZ_036</x:v>
      </x:c>
      <x:c r="B226" s="24" t="str">
        <x:v>Australia</x:v>
      </x:c>
      <x:c r="C226" s="24" t="str">
        <x:v>EEZ</x:v>
      </x:c>
      <x:c r="D226" s="30" t="n">
        <x:v>2019</x:v>
      </x:c>
      <x:c r="E226" s="24" t="str">
        <x:v>Scorpaenidae</x:v>
      </x:c>
      <x:c r="F226" s="24" t="str">
        <x:v>Scorpionfishes, rockfishes</x:v>
      </x:c>
      <x:c r="G226" s="24" t="str">
        <x:v>Large reef assoc. fish (&gt;=90 cm)</x:v>
      </x:c>
      <x:c r="H226" s="24" t="str">
        <x:v>Scorpionfishes</x:v>
      </x:c>
      <x:c r="I226" s="31" t="n">
        <x:v>40.303156438900004</x:v>
      </x:c>
      <x:c r="J226" s="31" t="n">
        <x:v>0.4148505273</x:v>
      </x:c>
      <x:c r="K226" s="31" t="n">
        <x:v>39.8883059116</x:v>
      </x:c>
      <x:c r="L226" s="31" t="n">
        <x:v>0.2256019166</x:v>
      </x:c>
      <x:c r="M226" s="31" t="n">
        <x:v>40.0775545223</x:v>
      </x:c>
      <x:c r="N226" s="24" t="str">
        <x:v>scorpaenidae</x:v>
      </x:c>
      <x:c r="O226" s="32" t="n">
        <x:v>3.92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Scorpaenidae</x:v>
      </x:c>
      <x:c r="T226" s="32" t="n">
        <x:f>IF(O226="","",(1/'Metadata'!$B$5)^(O226-1))</x:f>
        <x:v>831.7637711026708</x:v>
      </x:c>
      <x:c r="U226" s="31" t="n">
        <x:f>IF(T226="","",I226*T226)</x:f>
        <x:v>33522.705386960355</x:v>
      </x:c>
    </x:row>
    <x:row r="227" ht="18" customHeight="1">
      <x:c r="A227" s="24" t="str">
        <x:v>EEZ_036</x:v>
      </x:c>
      <x:c r="B227" s="24" t="str">
        <x:v>Australia</x:v>
      </x:c>
      <x:c r="C227" s="24" t="str">
        <x:v>EEZ</x:v>
      </x:c>
      <x:c r="D227" s="30" t="n">
        <x:v>2019</x:v>
      </x:c>
      <x:c r="E227" s="24" t="str">
        <x:v>Carcharhinus limbatus</x:v>
      </x:c>
      <x:c r="F227" s="24" t="str">
        <x:v>Blacktip shark</x:v>
      </x:c>
      <x:c r="G227" s="24" t="str">
        <x:v>Large sharks (&gt;=90 cm)</x:v>
      </x:c>
      <x:c r="H227" s="24" t="str">
        <x:v>Sharks &amp; rays</x:v>
      </x:c>
      <x:c r="I227" s="31" t="n">
        <x:v>39.1678252766</x:v>
      </x:c>
      <x:c r="J227" s="31" t="n">
        <x:v>39.1678252766</x:v>
      </x:c>
      <x:c r="K227" s="31" t="n">
        <x:v>0</x:v>
      </x:c>
      <x:c r="L227" s="31" t="n">
        <x:v>39.1678252766</x:v>
      </x:c>
      <x:c r="M227" s="31" t="n">
        <x:v>0</x:v>
      </x:c>
      <x:c r="N227" s="24" t="str">
        <x:v>carcharhinus limbatus</x:v>
      </x:c>
      <x:c r="O227" s="32" t="n">
        <x:v>4.37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Carcharhinus limbatus</x:v>
      </x:c>
      <x:c r="T227" s="32" t="n">
        <x:f>IF(O227="","",(1/'Metadata'!$B$5)^(O227-1))</x:f>
        <x:v>2344.228815319923</x:v>
      </x:c>
      <x:c r="U227" s="31" t="n">
        <x:f>IF(T227="","",I227*T227)</x:f>
        <x:v>91818.34464682174</x:v>
      </x:c>
    </x:row>
    <x:row r="228" ht="18" customHeight="1">
      <x:c r="A228" s="24" t="str">
        <x:v>EEZ_036</x:v>
      </x:c>
      <x:c r="B228" s="24" t="str">
        <x:v>Australia</x:v>
      </x:c>
      <x:c r="C228" s="24" t="str">
        <x:v>EEZ</x:v>
      </x:c>
      <x:c r="D228" s="30" t="n">
        <x:v>2019</x:v>
      </x:c>
      <x:c r="E228" s="24" t="str">
        <x:v>Pseudocyttus maculatus</x:v>
      </x:c>
      <x:c r="F228" s="24" t="str">
        <x:v>Smooth oreo dory</x:v>
      </x:c>
      <x:c r="G228" s="24" t="str">
        <x:v>Medium benthopelagics (30 - 89 cm)</x:v>
      </x:c>
      <x:c r="H228" s="24" t="str">
        <x:v>Other fishes &amp; inverts</x:v>
      </x:c>
      <x:c r="I228" s="31" t="n">
        <x:v>37.5546774526</x:v>
      </x:c>
      <x:c r="J228" s="31" t="n">
        <x:v>37.5546774526</x:v>
      </x:c>
      <x:c r="K228" s="31" t="n">
        <x:v>0</x:v>
      </x:c>
      <x:c r="L228" s="31" t="n">
        <x:v>37.5546774526</x:v>
      </x:c>
      <x:c r="M228" s="31" t="n">
        <x:v>0</x:v>
      </x:c>
      <x:c r="N228" s="24" t="str">
        <x:v>pseudocyttus maculatus</x:v>
      </x:c>
      <x:c r="O228" s="32" t="n">
        <x:v>3.61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Pseudocyttus maculatus</x:v>
      </x:c>
      <x:c r="T228" s="32" t="n">
        <x:f>IF(O228="","",(1/'Metadata'!$B$5)^(O228-1))</x:f>
        <x:v>407.3802778041126</x:v>
      </x:c>
      <x:c r="U228" s="31" t="n">
        <x:f>IF(T228="","",I228*T228)</x:f>
        <x:v>15299.03493348403</x:v>
      </x:c>
    </x:row>
    <x:row r="229" ht="18" customHeight="1">
      <x:c r="A229" s="24" t="str">
        <x:v>EEZ_036</x:v>
      </x:c>
      <x:c r="B229" s="24" t="str">
        <x:v>Australia</x:v>
      </x:c>
      <x:c r="C229" s="24" t="str">
        <x:v>EEZ</x:v>
      </x:c>
      <x:c r="D229" s="30" t="n">
        <x:v>2019</x:v>
      </x:c>
      <x:c r="E229" s="24" t="str">
        <x:v>Carcharhinus sorrah</x:v>
      </x:c>
      <x:c r="F229" s="24" t="str">
        <x:v>Spottail shark</x:v>
      </x:c>
      <x:c r="G229" s="24" t="str">
        <x:v>Large sharks (&gt;=90 cm)</x:v>
      </x:c>
      <x:c r="H229" s="24" t="str">
        <x:v>Sharks &amp; rays</x:v>
      </x:c>
      <x:c r="I229" s="31" t="n">
        <x:v>36.0653709217</x:v>
      </x:c>
      <x:c r="J229" s="31" t="n">
        <x:v>36.0653709217</x:v>
      </x:c>
      <x:c r="K229" s="31" t="n">
        <x:v>0</x:v>
      </x:c>
      <x:c r="L229" s="31" t="n">
        <x:v>36.0653709217</x:v>
      </x:c>
      <x:c r="M229" s="31" t="n">
        <x:v>0</x:v>
      </x:c>
      <x:c r="N229" s="24" t="str">
        <x:v>carcharhinus sorrah</x:v>
      </x:c>
      <x:c r="O229" s="32" t="n">
        <x:v>4.15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Carcharhinus sorrah</x:v>
      </x:c>
      <x:c r="T229" s="32" t="n">
        <x:f>IF(O229="","",(1/'Metadata'!$B$5)^(O229-1))</x:f>
        <x:v>1412.5375446227554</x:v>
      </x:c>
      <x:c r="U229" s="31" t="n">
        <x:f>IF(T229="","",I229*T229)</x:f>
        <x:v>50943.69048764704</x:v>
      </x:c>
    </x:row>
    <x:row r="230" ht="18" customHeight="1">
      <x:c r="A230" s="24" t="str">
        <x:v>EEZ_036</x:v>
      </x:c>
      <x:c r="B230" s="24" t="str">
        <x:v>Australia</x:v>
      </x:c>
      <x:c r="C230" s="24" t="str">
        <x:v>EEZ</x:v>
      </x:c>
      <x:c r="D230" s="30" t="n">
        <x:v>2019</x:v>
      </x:c>
      <x:c r="E230" s="24" t="str">
        <x:v>Epinephelus malabaricus</x:v>
      </x:c>
      <x:c r="F230" s="24" t="str">
        <x:v>Malabar grouper</x:v>
      </x:c>
      <x:c r="G230" s="24" t="str">
        <x:v>Large reef assoc. fish (&gt;=90 cm)</x:v>
      </x:c>
      <x:c r="H230" s="24" t="str">
        <x:v>Perch-likes</x:v>
      </x:c>
      <x:c r="I230" s="31" t="n">
        <x:v>35.3074359037</x:v>
      </x:c>
      <x:c r="J230" s="31" t="n">
        <x:v>35.3074359037</x:v>
      </x:c>
      <x:c r="K230" s="31" t="n">
        <x:v>0</x:v>
      </x:c>
      <x:c r="L230" s="31" t="n">
        <x:v>9.395878850799999</x:v>
      </x:c>
      <x:c r="M230" s="31" t="n">
        <x:v>25.9115570529</x:v>
      </x:c>
      <x:c r="N230" s="24" t="str">
        <x:v>epinephelus malabaricus</x:v>
      </x:c>
      <x:c r="O230" s="32" t="n">
        <x:v>4.16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Epinephelus malabaricus</x:v>
      </x:c>
      <x:c r="T230" s="32" t="n">
        <x:f>IF(O230="","",(1/'Metadata'!$B$5)^(O230-1))</x:f>
        <x:v>1445.439770745928</x:v>
      </x:c>
      <x:c r="U230" s="31" t="n">
        <x:f>IF(T230="","",I230*T230)</x:f>
        <x:v>51034.77205827067</x:v>
      </x:c>
    </x:row>
    <x:row r="231" ht="18" customHeight="1">
      <x:c r="A231" s="24" t="str">
        <x:v>EEZ_036</x:v>
      </x:c>
      <x:c r="B231" s="24" t="str">
        <x:v>Australia</x:v>
      </x:c>
      <x:c r="C231" s="24" t="str">
        <x:v>EEZ</x:v>
      </x:c>
      <x:c r="D231" s="30" t="n">
        <x:v>2019</x:v>
      </x:c>
      <x:c r="E231" s="24" t="str">
        <x:v>Istiophoridae</x:v>
      </x:c>
      <x:c r="F231" s="24" t="str">
        <x:v>Billfishes</x:v>
      </x:c>
      <x:c r="G231" s="24" t="str">
        <x:v>Large pelagics (&gt;=90 cm)</x:v>
      </x:c>
      <x:c r="H231" s="24" t="str">
        <x:v>Tuna &amp; billfishes</x:v>
      </x:c>
      <x:c r="I231" s="31" t="n">
        <x:v>34.5901153561</x:v>
      </x:c>
      <x:c r="J231" s="31" t="n">
        <x:v>1.7212666627000002</x:v>
      </x:c>
      <x:c r="K231" s="31" t="n">
        <x:v>32.868848693400004</x:v>
      </x:c>
      <x:c r="L231" s="31" t="n">
        <x:v>0.0680257876</x:v>
      </x:c>
      <x:c r="M231" s="31" t="n">
        <x:v>34.5220895685</x:v>
      </x:c>
      <x:c r="N231" s="24" t="str">
        <x:v>istiophoridae</x:v>
      </x:c>
      <x:c r="O231" s="32" t="n">
        <x:v>4.48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Istiophoridae</x:v>
      </x:c>
      <x:c r="T231" s="32" t="n">
        <x:f>IF(O231="","",(1/'Metadata'!$B$5)^(O231-1))</x:f>
        <x:v>3019.951720402019</x:v>
      </x:c>
      <x:c r="U231" s="31" t="n">
        <x:f>IF(T231="","",I231*T231)</x:f>
        <x:v>104460.47837855849</x:v>
      </x:c>
    </x:row>
    <x:row r="232" ht="18" customHeight="1">
      <x:c r="A232" s="24" t="str">
        <x:v>EEZ_036</x:v>
      </x:c>
      <x:c r="B232" s="24" t="str">
        <x:v>Australia</x:v>
      </x:c>
      <x:c r="C232" s="24" t="str">
        <x:v>EEZ</x:v>
      </x:c>
      <x:c r="D232" s="30" t="n">
        <x:v>2019</x:v>
      </x:c>
      <x:c r="E232" s="24" t="str">
        <x:v>Trichiurus lepturus</x:v>
      </x:c>
      <x:c r="F232" s="24" t="str">
        <x:v>Largehead hairtail</x:v>
      </x:c>
      <x:c r="G232" s="24" t="str">
        <x:v>Large benthopelagics (&gt;=90 cm)</x:v>
      </x:c>
      <x:c r="H232" s="24" t="str">
        <x:v>Perch-likes</x:v>
      </x:c>
      <x:c r="I232" s="31" t="n">
        <x:v>30.859684928199997</x:v>
      </x:c>
      <x:c r="J232" s="31" t="n">
        <x:v>23.2227014918</x:v>
      </x:c>
      <x:c r="K232" s="31" t="n">
        <x:v>7.6369834364</x:v>
      </x:c>
      <x:c r="L232" s="31" t="n">
        <x:v>23.2023507206</x:v>
      </x:c>
      <x:c r="M232" s="31" t="n">
        <x:v>7.657334207600001</x:v>
      </x:c>
      <x:c r="N232" s="24" t="str">
        <x:v>trichiurus lepturus</x:v>
      </x:c>
      <x:c r="O232" s="32" t="n">
        <x:v>4.42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Trichiurus lepturus</x:v>
      </x:c>
      <x:c r="T232" s="32" t="n">
        <x:f>IF(O232="","",(1/'Metadata'!$B$5)^(O232-1))</x:f>
        <x:v>2630.2679918953813</x:v>
      </x:c>
      <x:c r="U232" s="31" t="n">
        <x:f>IF(T232="","",I232*T232)</x:f>
        <x:v>81169.24150662078</x:v>
      </x:c>
    </x:row>
    <x:row r="233" ht="18" customHeight="1">
      <x:c r="A233" s="24" t="str">
        <x:v>EEZ_036</x:v>
      </x:c>
      <x:c r="B233" s="24" t="str">
        <x:v>Australia</x:v>
      </x:c>
      <x:c r="C233" s="24" t="str">
        <x:v>EEZ</x:v>
      </x:c>
      <x:c r="D233" s="30" t="n">
        <x:v>2019</x:v>
      </x:c>
      <x:c r="E233" s="24" t="str">
        <x:v>Priacanthidae</x:v>
      </x:c>
      <x:c r="F233" s="24" t="str">
        <x:v>Bigeyes, catalufas</x:v>
      </x:c>
      <x:c r="G233" s="24" t="str">
        <x:v>Medium reef assoc. fish (30 - 89 cm)</x:v>
      </x:c>
      <x:c r="H233" s="24" t="str">
        <x:v>Perch-likes</x:v>
      </x:c>
      <x:c r="I233" s="31" t="n">
        <x:v>30.4839930192</x:v>
      </x:c>
      <x:c r="J233" s="31" t="n">
        <x:v>23.4490773195</x:v>
      </x:c>
      <x:c r="K233" s="31" t="n">
        <x:v>7.0349156997</x:v>
      </x:c>
      <x:c r="L233" s="31" t="n">
        <x:v>23.4490773195</x:v>
      </x:c>
      <x:c r="M233" s="31" t="n">
        <x:v>7.0349156997</x:v>
      </x:c>
      <x:c r="N233" s="24" t="str">
        <x:v>priacanthidae</x:v>
      </x:c>
      <x:c r="O233" s="32" t="n">
        <x:v>3.79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Priacanthidae</x:v>
      </x:c>
      <x:c r="T233" s="32" t="n">
        <x:f>IF(O233="","",(1/'Metadata'!$B$5)^(O233-1))</x:f>
        <x:v>616.5950018614822</x:v>
      </x:c>
      <x:c r="U233" s="31" t="n">
        <x:f>IF(T233="","",I233*T233)</x:f>
        <x:v>18796.277732419032</x:v>
      </x:c>
    </x:row>
    <x:row r="234" ht="18" customHeight="1">
      <x:c r="A234" s="24" t="str">
        <x:v>EEZ_036</x:v>
      </x:c>
      <x:c r="B234" s="24" t="str">
        <x:v>Australia</x:v>
      </x:c>
      <x:c r="C234" s="24" t="str">
        <x:v>EEZ</x:v>
      </x:c>
      <x:c r="D234" s="30" t="n">
        <x:v>2019</x:v>
      </x:c>
      <x:c r="E234" s="24" t="str">
        <x:v>Pleuronectiformes</x:v>
      </x:c>
      <x:c r="F234" s="24" t="str">
        <x:v>Flatfishes</x:v>
      </x:c>
      <x:c r="G234" s="24" t="str">
        <x:v>Small to medium flatfishes (&lt;90 cm)</x:v>
      </x:c>
      <x:c r="H234" s="24" t="str">
        <x:v>Flatfishes</x:v>
      </x:c>
      <x:c r="I234" s="31" t="n">
        <x:v>29.791539844000003</x:v>
      </x:c>
      <x:c r="J234" s="31" t="n">
        <x:v>29.791539844000003</x:v>
      </x:c>
      <x:c r="K234" s="31" t="n">
        <x:v>0</x:v>
      </x:c>
      <x:c r="L234" s="31" t="n">
        <x:v>27.1803314803</x:v>
      </x:c>
      <x:c r="M234" s="31" t="n">
        <x:v>2.6112083637</x:v>
      </x:c>
      <x:c r="N234" s="24" t="str">
        <x:v>pleuronectiformes</x:v>
      </x:c>
      <x:c r="O234" s="32" t="n">
        <x:v>3.57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Pleuronectiformes</x:v>
      </x:c>
      <x:c r="T234" s="32" t="n">
        <x:f>IF(O234="","",(1/'Metadata'!$B$5)^(O234-1))</x:f>
        <x:v>371.5352290971724</x:v>
      </x:c>
      <x:c r="U234" s="31" t="n">
        <x:f>IF(T234="","",I234*T234)</x:f>
        <x:v>11068.606581098082</x:v>
      </x:c>
    </x:row>
    <x:row r="235" ht="18" customHeight="1">
      <x:c r="A235" s="24" t="str">
        <x:v>EEZ_036</x:v>
      </x:c>
      <x:c r="B235" s="24" t="str">
        <x:v>Australia</x:v>
      </x:c>
      <x:c r="C235" s="24" t="str">
        <x:v>EEZ</x:v>
      </x:c>
      <x:c r="D235" s="30" t="n">
        <x:v>2019</x:v>
      </x:c>
      <x:c r="E235" s="24" t="str">
        <x:v>Rajiformes</x:v>
      </x:c>
      <x:c r="F235" s="24" t="str">
        <x:v>Skates and rays</x:v>
      </x:c>
      <x:c r="G235" s="24" t="str">
        <x:v>Large rays (&gt;=90 cm)</x:v>
      </x:c>
      <x:c r="H235" s="24" t="str">
        <x:v>Sharks &amp; rays</x:v>
      </x:c>
      <x:c r="I235" s="31" t="n">
        <x:v>29.577652444199998</x:v>
      </x:c>
      <x:c r="J235" s="31" t="n">
        <x:v>29.577652444199998</x:v>
      </x:c>
      <x:c r="K235" s="31" t="n">
        <x:v>0</x:v>
      </x:c>
      <x:c r="L235" s="31" t="n">
        <x:v>29.5265365229</x:v>
      </x:c>
      <x:c r="M235" s="31" t="n">
        <x:v>0.0511159213</x:v>
      </x:c>
      <x:c r="N235" s="24" t="str">
        <x:v>rajiformes</x:v>
      </x:c>
      <x:c r="O235" s="32" t="n">
        <x:v>3.61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Rajiformes</x:v>
      </x:c>
      <x:c r="T235" s="32" t="n">
        <x:f>IF(O235="","",(1/'Metadata'!$B$5)^(O235-1))</x:f>
        <x:v>407.3802778041126</x:v>
      </x:c>
      <x:c r="U235" s="31" t="n">
        <x:f>IF(T235="","",I235*T235)</x:f>
        <x:v>12049.352269511686</x:v>
      </x:c>
    </x:row>
    <x:row r="236" ht="18" customHeight="1">
      <x:c r="A236" s="24" t="str">
        <x:v>EEZ_036</x:v>
      </x:c>
      <x:c r="B236" s="24" t="str">
        <x:v>Australia</x:v>
      </x:c>
      <x:c r="C236" s="24" t="str">
        <x:v>EEZ</x:v>
      </x:c>
      <x:c r="D236" s="30" t="n">
        <x:v>2019</x:v>
      </x:c>
      <x:c r="E236" s="24" t="str">
        <x:v>Gastropoda</x:v>
      </x:c>
      <x:c r="F236" s="24" t="str">
        <x:v>Sea snails</x:v>
      </x:c>
      <x:c r="G236" s="24" t="str">
        <x:v>Other demersal invertebrates</x:v>
      </x:c>
      <x:c r="H236" s="24" t="str">
        <x:v>Molluscs</x:v>
      </x:c>
      <x:c r="I236" s="31" t="n">
        <x:v>28.1894370831</x:v>
      </x:c>
      <x:c r="J236" s="31" t="n">
        <x:v>28.1894370831</x:v>
      </x:c>
      <x:c r="K236" s="31" t="n">
        <x:v>0</x:v>
      </x:c>
      <x:c r="L236" s="31" t="n">
        <x:v>28.189405996</x:v>
      </x:c>
      <x:c r="M236" s="31" t="n">
        <x:v>0.0000310871</x:v>
      </x:c>
      <x:c r="N236" s="24" t="str">
        <x:v>gastropoda</x:v>
      </x:c>
      <x:c r="O236" s="32" t="n">
        <x:v>3.06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Gastropoda</x:v>
      </x:c>
      <x:c r="T236" s="32" t="n">
        <x:f>IF(O236="","",(1/'Metadata'!$B$5)^(O236-1))</x:f>
        <x:v>114.81536214968828</x:v>
      </x:c>
      <x:c r="U236" s="31" t="n">
        <x:f>IF(T236="","",I236*T236)</x:f>
        <x:v>3236.580427491979</x:v>
      </x:c>
    </x:row>
    <x:row r="237" ht="18" customHeight="1">
      <x:c r="A237" s="24" t="str">
        <x:v>EEZ_036</x:v>
      </x:c>
      <x:c r="B237" s="24" t="str">
        <x:v>Australia</x:v>
      </x:c>
      <x:c r="C237" s="24" t="str">
        <x:v>EEZ</x:v>
      </x:c>
      <x:c r="D237" s="30" t="n">
        <x:v>2019</x:v>
      </x:c>
      <x:c r="E237" s="24" t="str">
        <x:v>Lethrinus olivaceus</x:v>
      </x:c>
      <x:c r="F237" s="24" t="str">
        <x:v>Longface emperor</x:v>
      </x:c>
      <x:c r="G237" s="24" t="str">
        <x:v>Medium demersals (30 - 89 cm)</x:v>
      </x:c>
      <x:c r="H237" s="24" t="str">
        <x:v>Perch-likes</x:v>
      </x:c>
      <x:c r="I237" s="31" t="n">
        <x:v>26.622483330199998</x:v>
      </x:c>
      <x:c r="J237" s="31" t="n">
        <x:v>26.622483330199998</x:v>
      </x:c>
      <x:c r="K237" s="31" t="n">
        <x:v>0</x:v>
      </x:c>
      <x:c r="L237" s="31" t="n">
        <x:v>15.7020057761</x:v>
      </x:c>
      <x:c r="M237" s="31" t="n">
        <x:v>10.9204775541</x:v>
      </x:c>
      <x:c r="N237" s="24" t="str">
        <x:v>lethrinus olivaceus</x:v>
      </x:c>
      <x:c r="O237" s="32" t="n">
        <x:v>3.95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Lethrinus olivaceus</x:v>
      </x:c>
      <x:c r="T237" s="32" t="n">
        <x:f>IF(O237="","",(1/'Metadata'!$B$5)^(O237-1))</x:f>
        <x:v>891.2509381337459</x:v>
      </x:c>
      <x:c r="U237" s="31" t="n">
        <x:f>IF(T237="","",I237*T237)</x:f>
        <x:v>23727.31324349076</x:v>
      </x:c>
    </x:row>
    <x:row r="238" ht="18" customHeight="1">
      <x:c r="A238" s="24" t="str">
        <x:v>EEZ_036</x:v>
      </x:c>
      <x:c r="B238" s="24" t="str">
        <x:v>Australia</x:v>
      </x:c>
      <x:c r="C238" s="24" t="str">
        <x:v>EEZ</x:v>
      </x:c>
      <x:c r="D238" s="30" t="n">
        <x:v>2019</x:v>
      </x:c>
      <x:c r="E238" s="24" t="str">
        <x:v>Arcidae</x:v>
      </x:c>
      <x:c r="F238" s="24" t="str">
        <x:v>Ark clams</x:v>
      </x:c>
      <x:c r="G238" s="24" t="str">
        <x:v>Other demersal invertebrates</x:v>
      </x:c>
      <x:c r="H238" s="24" t="str">
        <x:v>Molluscs</x:v>
      </x:c>
      <x:c r="I238" s="31" t="n">
        <x:v>25.8632950863</x:v>
      </x:c>
      <x:c r="J238" s="31" t="n">
        <x:v>25.8632950863</x:v>
      </x:c>
      <x:c r="K238" s="31" t="n">
        <x:v>0</x:v>
      </x:c>
      <x:c r="L238" s="31" t="n">
        <x:v>0</x:v>
      </x:c>
      <x:c r="M238" s="31" t="n">
        <x:v>25.8632950863</x:v>
      </x:c>
      <x:c r="N238" s="24" t="str">
        <x:v>arcidae</x:v>
      </x:c>
      <x:c r="O238" s="32" t="n">
        <x:v>2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Arcidae</x:v>
      </x:c>
      <x:c r="T238" s="32" t="n">
        <x:f>IF(O238="","",(1/'Metadata'!$B$5)^(O238-1))</x:f>
        <x:v>10</x:v>
      </x:c>
      <x:c r="U238" s="31" t="n">
        <x:f>IF(T238="","",I238*T238)</x:f>
        <x:v>258.632950863</x:v>
      </x:c>
    </x:row>
    <x:row r="239" ht="18" customHeight="1">
      <x:c r="A239" s="24" t="str">
        <x:v>EEZ_036</x:v>
      </x:c>
      <x:c r="B239" s="24" t="str">
        <x:v>Australia</x:v>
      </x:c>
      <x:c r="C239" s="24" t="str">
        <x:v>EEZ</x:v>
      </x:c>
      <x:c r="D239" s="30" t="n">
        <x:v>2019</x:v>
      </x:c>
      <x:c r="E239" s="24" t="str">
        <x:v>Istiophorus platypterus</x:v>
      </x:c>
      <x:c r="F239" s="24" t="str">
        <x:v>Indo-Pacific sailfish</x:v>
      </x:c>
      <x:c r="G239" s="24" t="str">
        <x:v>Large pelagics (&gt;=90 cm)</x:v>
      </x:c>
      <x:c r="H239" s="24" t="str">
        <x:v>Tuna &amp; billfishes</x:v>
      </x:c>
      <x:c r="I239" s="31" t="n">
        <x:v>25.7521286377</x:v>
      </x:c>
      <x:c r="J239" s="31" t="n">
        <x:v>25.7521286377</x:v>
      </x:c>
      <x:c r="K239" s="31" t="n">
        <x:v>0</x:v>
      </x:c>
      <x:c r="L239" s="31" t="n">
        <x:v>17.7267718914</x:v>
      </x:c>
      <x:c r="M239" s="31" t="n">
        <x:v>8.0253567463</x:v>
      </x:c>
      <x:c r="N239" s="24" t="str">
        <x:v>istiophorus platypterus</x:v>
      </x:c>
      <x:c r="O239" s="32" t="n">
        <x:v>4.5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Istiophorus platypterus</x:v>
      </x:c>
      <x:c r="T239" s="32" t="n">
        <x:f>IF(O239="","",(1/'Metadata'!$B$5)^(O239-1))</x:f>
        <x:v>3162.2776601683795</x:v>
      </x:c>
      <x:c r="U239" s="31" t="n">
        <x:f>IF(T239="","",I239*T239)</x:f>
        <x:v>81435.38109278107</x:v>
      </x:c>
    </x:row>
    <x:row r="240" ht="18" customHeight="1">
      <x:c r="A240" s="24" t="str">
        <x:v>EEZ_036</x:v>
      </x:c>
      <x:c r="B240" s="24" t="str">
        <x:v>Australia</x:v>
      </x:c>
      <x:c r="C240" s="24" t="str">
        <x:v>EEZ</x:v>
      </x:c>
      <x:c r="D240" s="30" t="n">
        <x:v>2019</x:v>
      </x:c>
      <x:c r="E240" s="24" t="str">
        <x:v>Tridacnidae</x:v>
      </x:c>
      <x:c r="F240" s="24" t="str">
        <x:v>Giant clams</x:v>
      </x:c>
      <x:c r="G240" s="24" t="str">
        <x:v>Other demersal invertebrates</x:v>
      </x:c>
      <x:c r="H240" s="24" t="str">
        <x:v>Molluscs</x:v>
      </x:c>
      <x:c r="I240" s="31" t="n">
        <x:v>25.2430721782</x:v>
      </x:c>
      <x:c r="J240" s="31" t="n">
        <x:v>25.2430721782</x:v>
      </x:c>
      <x:c r="K240" s="31" t="n">
        <x:v>0</x:v>
      </x:c>
      <x:c r="L240" s="31" t="n">
        <x:v>0</x:v>
      </x:c>
      <x:c r="M240" s="31" t="n">
        <x:v>25.2430721782</x:v>
      </x:c>
      <x:c r="N240" s="24" t="str">
        <x:v>tridacnidae</x:v>
      </x:c>
      <x:c r="O240" s="32" t="n">
        <x:v>2.15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Tridacnidae</x:v>
      </x:c>
      <x:c r="T240" s="32" t="n">
        <x:f>IF(O240="","",(1/'Metadata'!$B$5)^(O240-1))</x:f>
        <x:v>14.12537544622754</x:v>
      </x:c>
      <x:c r="U240" s="31" t="n">
        <x:f>IF(T240="","",I240*T240)</x:f>
        <x:v>356.5678719332958</x:v>
      </x:c>
    </x:row>
    <x:row r="241" ht="18" customHeight="1">
      <x:c r="A241" s="24" t="str">
        <x:v>EEZ_036</x:v>
      </x:c>
      <x:c r="B241" s="24" t="str">
        <x:v>Australia</x:v>
      </x:c>
      <x:c r="C241" s="24" t="str">
        <x:v>EEZ</x:v>
      </x:c>
      <x:c r="D241" s="30" t="n">
        <x:v>2019</x:v>
      </x:c>
      <x:c r="E241" s="24" t="str">
        <x:v>Alopias</x:v>
      </x:c>
      <x:c r="F241" s="24" t="str">
        <x:v>Thresher sharks</x:v>
      </x:c>
      <x:c r="G241" s="24" t="str">
        <x:v>Large sharks (&gt;=90 cm)</x:v>
      </x:c>
      <x:c r="H241" s="24" t="str">
        <x:v>Sharks &amp; rays</x:v>
      </x:c>
      <x:c r="I241" s="31" t="n">
        <x:v>24.721082152</x:v>
      </x:c>
      <x:c r="J241" s="31" t="n">
        <x:v>14.3308432001</x:v>
      </x:c>
      <x:c r="K241" s="31" t="n">
        <x:v>10.390238951899999</x:v>
      </x:c>
      <x:c r="L241" s="31" t="n">
        <x:v>14.3308432001</x:v>
      </x:c>
      <x:c r="M241" s="31" t="n">
        <x:v>10.390238951899999</x:v>
      </x:c>
      <x:c r="N241" s="24" t="str">
        <x:v>alopias</x:v>
      </x:c>
      <x:c r="O241" s="32" t="n">
        <x:v>4.5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Alopias</x:v>
      </x:c>
      <x:c r="T241" s="32" t="n">
        <x:f>IF(O241="","",(1/'Metadata'!$B$5)^(O241-1))</x:f>
        <x:v>3162.2776601683795</x:v>
      </x:c>
      <x:c r="U241" s="31" t="n">
        <x:f>IF(T241="","",I241*T241)</x:f>
        <x:v>78174.92582445685</x:v>
      </x:c>
    </x:row>
    <x:row r="242" ht="18" customHeight="1">
      <x:c r="A242" s="24" t="str">
        <x:v>EEZ_036</x:v>
      </x:c>
      <x:c r="B242" s="24" t="str">
        <x:v>Australia</x:v>
      </x:c>
      <x:c r="C242" s="24" t="str">
        <x:v>EEZ</x:v>
      </x:c>
      <x:c r="D242" s="30" t="n">
        <x:v>2019</x:v>
      </x:c>
      <x:c r="E242" s="24" t="str">
        <x:v>Glaucosoma scapulare</x:v>
      </x:c>
      <x:c r="F242" s="24" t="str">
        <x:v>Pearl perch</x:v>
      </x:c>
      <x:c r="G242" s="24" t="str">
        <x:v>Medium demersals (30 - 89 cm)</x:v>
      </x:c>
      <x:c r="H242" s="24" t="str">
        <x:v>Perch-likes</x:v>
      </x:c>
      <x:c r="I242" s="31" t="n">
        <x:v>24.523854673600002</x:v>
      </x:c>
      <x:c r="J242" s="31" t="n">
        <x:v>24.523854673600002</x:v>
      </x:c>
      <x:c r="K242" s="31" t="n">
        <x:v>0</x:v>
      </x:c>
      <x:c r="L242" s="31" t="n">
        <x:v>24.523854673600002</x:v>
      </x:c>
      <x:c r="M242" s="31" t="n">
        <x:v>0</x:v>
      </x:c>
      <x:c r="N242" s="24" t="str">
        <x:v>glaucosoma scapulare</x:v>
      </x:c>
      <x:c r="O242" s="32" t="n">
        <x:v>4.3</x:v>
      </x:c>
      <x:c r="P242" s="24" t="str">
        <x:v>exact_sea_around_us</x:v>
      </x:c>
      <x:c r="Q242" s="32" t="str">
        <x:v>Sea Around Us exploited organisms</x:v>
      </x:c>
      <x:c r="R242" s="24" t="str">
        <x:v>high</x:v>
      </x:c>
      <x:c r="S242" s="24" t="str">
        <x:v>Glaucosoma scapulare</x:v>
      </x:c>
      <x:c r="T242" s="32" t="n">
        <x:f>IF(O242="","",(1/'Metadata'!$B$5)^(O242-1))</x:f>
        <x:v>1995.2623149688789</x:v>
      </x:c>
      <x:c r="U242" s="31" t="n">
        <x:f>IF(T242="","",I242*T242)</x:f>
        <x:v>48931.5230480075</x:v>
      </x:c>
    </x:row>
    <x:row r="243" ht="18" customHeight="1">
      <x:c r="A243" s="24" t="str">
        <x:v>EEZ_036</x:v>
      </x:c>
      <x:c r="B243" s="24" t="str">
        <x:v>Australia</x:v>
      </x:c>
      <x:c r="C243" s="24" t="str">
        <x:v>EEZ</x:v>
      </x:c>
      <x:c r="D243" s="30" t="n">
        <x:v>2019</x:v>
      </x:c>
      <x:c r="E243" s="24" t="str">
        <x:v>Scomber</x:v>
      </x:c>
      <x:c r="F243" s="24" t="str">
        <x:v>Chub mackerels</x:v>
      </x:c>
      <x:c r="G243" s="24" t="str">
        <x:v>Medium pelagics (30 - 89 cm)</x:v>
      </x:c>
      <x:c r="H243" s="24" t="str">
        <x:v>Perch-likes</x:v>
      </x:c>
      <x:c r="I243" s="31" t="n">
        <x:v>24.0758050682</x:v>
      </x:c>
      <x:c r="J243" s="31" t="n">
        <x:v>24.0758050682</x:v>
      </x:c>
      <x:c r="K243" s="31" t="n">
        <x:v>0</x:v>
      </x:c>
      <x:c r="L243" s="31" t="n">
        <x:v>0</x:v>
      </x:c>
      <x:c r="M243" s="31" t="n">
        <x:v>24.0758050682</x:v>
      </x:c>
      <x:c r="N243" s="24" t="str">
        <x:v>scomber</x:v>
      </x:c>
      <x:c r="O243" s="32" t="n">
        <x:v>3.65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Scomber</x:v>
      </x:c>
      <x:c r="T243" s="32" t="n">
        <x:f>IF(O243="","",(1/'Metadata'!$B$5)^(O243-1))</x:f>
        <x:v>446.683592150963</x:v>
      </x:c>
      <x:c r="U243" s="31" t="n">
        <x:f>IF(T243="","",I243*T243)</x:f>
        <x:v>10754.267091789938</x:v>
      </x:c>
    </x:row>
    <x:row r="244" ht="18" customHeight="1">
      <x:c r="A244" s="24" t="str">
        <x:v>EEZ_036</x:v>
      </x:c>
      <x:c r="B244" s="24" t="str">
        <x:v>Australia</x:v>
      </x:c>
      <x:c r="C244" s="24" t="str">
        <x:v>EEZ</x:v>
      </x:c>
      <x:c r="D244" s="30" t="n">
        <x:v>2019</x:v>
      </x:c>
      <x:c r="E244" s="24" t="str">
        <x:v>Lethrinus laticaudis</x:v>
      </x:c>
      <x:c r="F244" s="24" t="str">
        <x:v>Grass emperor</x:v>
      </x:c>
      <x:c r="G244" s="24" t="str">
        <x:v>Small pelagics (&lt;30 cm)</x:v>
      </x:c>
      <x:c r="H244" s="24" t="str">
        <x:v>Perch-likes</x:v>
      </x:c>
      <x:c r="I244" s="31" t="n">
        <x:v>24.0693809287</x:v>
      </x:c>
      <x:c r="J244" s="31" t="n">
        <x:v>24.0693809287</x:v>
      </x:c>
      <x:c r="K244" s="31" t="n">
        <x:v>0</x:v>
      </x:c>
      <x:c r="L244" s="31" t="n">
        <x:v>20.4284913376</x:v>
      </x:c>
      <x:c r="M244" s="31" t="n">
        <x:v>3.6408895911</x:v>
      </x:c>
      <x:c r="N244" s="24" t="str">
        <x:v>lethrinus laticaudis</x:v>
      </x:c>
      <x:c r="O244" s="32" t="n">
        <x:v>4.46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Lethrinus laticaudis</x:v>
      </x:c>
      <x:c r="T244" s="32" t="n">
        <x:f>IF(O244="","",(1/'Metadata'!$B$5)^(O244-1))</x:f>
        <x:v>2884.031503126606</x:v>
      </x:c>
      <x:c r="U244" s="31" t="n">
        <x:f>IF(T244="","",I244*T244)</x:f>
        <x:v>69416.85285912552</x:v>
      </x:c>
    </x:row>
    <x:row r="245" ht="18" customHeight="1">
      <x:c r="A245" s="24" t="str">
        <x:v>EEZ_036</x:v>
      </x:c>
      <x:c r="B245" s="24" t="str">
        <x:v>Australia</x:v>
      </x:c>
      <x:c r="C245" s="24" t="str">
        <x:v>EEZ</x:v>
      </x:c>
      <x:c r="D245" s="30" t="n">
        <x:v>2019</x:v>
      </x:c>
      <x:c r="E245" s="24" t="str">
        <x:v>Pristipomoides</x:v>
      </x:c>
      <x:c r="F245" s="24" t="str">
        <x:v>Jobfishes</x:v>
      </x:c>
      <x:c r="G245" s="24" t="str">
        <x:v>Medium demersals (30 - 89 cm)</x:v>
      </x:c>
      <x:c r="H245" s="24" t="str">
        <x:v>Perch-likes</x:v>
      </x:c>
      <x:c r="I245" s="31" t="n">
        <x:v>23.9575097918</x:v>
      </x:c>
      <x:c r="J245" s="31" t="n">
        <x:v>23.9575097918</x:v>
      </x:c>
      <x:c r="K245" s="31" t="n">
        <x:v>0</x:v>
      </x:c>
      <x:c r="L245" s="31" t="n">
        <x:v>22.7049911495</x:v>
      </x:c>
      <x:c r="M245" s="31" t="n">
        <x:v>1.2525186423</x:v>
      </x:c>
      <x:c r="N245" s="24" t="str">
        <x:v>pristipomoides</x:v>
      </x:c>
      <x:c r="O245" s="32" t="n">
        <x:v>3.91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Pristipomoides</x:v>
      </x:c>
      <x:c r="T245" s="32" t="n">
        <x:f>IF(O245="","",(1/'Metadata'!$B$5)^(O245-1))</x:f>
        <x:v>812.8305161640995</x:v>
      </x:c>
      <x:c r="U245" s="31" t="n">
        <x:f>IF(T245="","",I245*T245)</x:f>
        <x:v>19473.39505007526</x:v>
      </x:c>
    </x:row>
    <x:row r="246" ht="18" customHeight="1">
      <x:c r="A246" s="24" t="str">
        <x:v>EEZ_036</x:v>
      </x:c>
      <x:c r="B246" s="24" t="str">
        <x:v>Australia</x:v>
      </x:c>
      <x:c r="C246" s="24" t="str">
        <x:v>EEZ</x:v>
      </x:c>
      <x:c r="D246" s="30" t="n">
        <x:v>2019</x:v>
      </x:c>
      <x:c r="E246" s="24" t="str">
        <x:v>Carcharhinus melanopterus</x:v>
      </x:c>
      <x:c r="F246" s="24" t="str">
        <x:v>Blacktip reef shark</x:v>
      </x:c>
      <x:c r="G246" s="24" t="str">
        <x:v>Large sharks (&gt;=90 cm)</x:v>
      </x:c>
      <x:c r="H246" s="24" t="str">
        <x:v>Sharks &amp; rays</x:v>
      </x:c>
      <x:c r="I246" s="31" t="n">
        <x:v>23.688236989400004</x:v>
      </x:c>
      <x:c r="J246" s="31" t="n">
        <x:v>23.688236989400004</x:v>
      </x:c>
      <x:c r="K246" s="31" t="n">
        <x:v>0</x:v>
      </x:c>
      <x:c r="L246" s="31" t="n">
        <x:v>16.9477674966</x:v>
      </x:c>
      <x:c r="M246" s="31" t="n">
        <x:v>6.7404694928</x:v>
      </x:c>
      <x:c r="N246" s="24" t="str">
        <x:v>carcharhinus melanopterus</x:v>
      </x:c>
      <x:c r="O246" s="32" t="n">
        <x:v>3.94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Carcharhinus melanopterus</x:v>
      </x:c>
      <x:c r="T246" s="32" t="n">
        <x:f>IF(O246="","",(1/'Metadata'!$B$5)^(O246-1))</x:f>
        <x:v>870.9635899560806</x:v>
      </x:c>
      <x:c r="U246" s="31" t="n">
        <x:f>IF(T246="","",I246*T246)</x:f>
        <x:v>20631.591928018246</x:v>
      </x:c>
    </x:row>
    <x:row r="247" ht="18" customHeight="1">
      <x:c r="A247" s="24" t="str">
        <x:v>EEZ_036</x:v>
      </x:c>
      <x:c r="B247" s="24" t="str">
        <x:v>Australia</x:v>
      </x:c>
      <x:c r="C247" s="24" t="str">
        <x:v>EEZ</x:v>
      </x:c>
      <x:c r="D247" s="30" t="n">
        <x:v>2019</x:v>
      </x:c>
      <x:c r="E247" s="24" t="str">
        <x:v>Rhabdosargus sarba</x:v>
      </x:c>
      <x:c r="F247" s="24" t="str">
        <x:v>Goldlined seabream</x:v>
      </x:c>
      <x:c r="G247" s="24" t="str">
        <x:v>Medium demersals (30 - 89 cm)</x:v>
      </x:c>
      <x:c r="H247" s="24" t="str">
        <x:v>Perch-likes</x:v>
      </x:c>
      <x:c r="I247" s="31" t="n">
        <x:v>22.7883353513</x:v>
      </x:c>
      <x:c r="J247" s="31" t="n">
        <x:v>22.7883353513</x:v>
      </x:c>
      <x:c r="K247" s="31" t="n">
        <x:v>0</x:v>
      </x:c>
      <x:c r="L247" s="31" t="n">
        <x:v>8.1966176708</x:v>
      </x:c>
      <x:c r="M247" s="31" t="n">
        <x:v>14.5917176805</x:v>
      </x:c>
      <x:c r="N247" s="24" t="str">
        <x:v>rhabdosargus sarba</x:v>
      </x:c>
      <x:c r="O247" s="32" t="n">
        <x:v>3.37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Rhabdosargus sarba</x:v>
      </x:c>
      <x:c r="T247" s="32" t="n">
        <x:f>IF(O247="","",(1/'Metadata'!$B$5)^(O247-1))</x:f>
        <x:v>234.42288153199226</x:v>
      </x:c>
      <x:c r="U247" s="31" t="n">
        <x:f>IF(T247="","",I247*T247)</x:f>
        <x:v>5342.107238369111</x:v>
      </x:c>
    </x:row>
    <x:row r="248" ht="18" customHeight="1">
      <x:c r="A248" s="24" t="str">
        <x:v>EEZ_036</x:v>
      </x:c>
      <x:c r="B248" s="24" t="str">
        <x:v>Australia</x:v>
      </x:c>
      <x:c r="C248" s="24" t="str">
        <x:v>EEZ</x:v>
      </x:c>
      <x:c r="D248" s="30" t="n">
        <x:v>2019</x:v>
      </x:c>
      <x:c r="E248" s="24" t="str">
        <x:v>Pomadasys</x:v>
      </x:c>
      <x:c r="F248" s="24" t="str">
        <x:v>Grunters</x:v>
      </x:c>
      <x:c r="G248" s="24" t="str">
        <x:v>Medium demersals (30 - 89 cm)</x:v>
      </x:c>
      <x:c r="H248" s="24" t="str">
        <x:v>Perch-likes</x:v>
      </x:c>
      <x:c r="I248" s="31" t="n">
        <x:v>22.5879396039</x:v>
      </x:c>
      <x:c r="J248" s="31" t="n">
        <x:v>22.5879396039</x:v>
      </x:c>
      <x:c r="K248" s="31" t="n">
        <x:v>0</x:v>
      </x:c>
      <x:c r="L248" s="31" t="n">
        <x:v>22.574191091499998</x:v>
      </x:c>
      <x:c r="M248" s="31" t="n">
        <x:v>0.0137485124</x:v>
      </x:c>
      <x:c r="N248" s="24" t="str">
        <x:v>pomadasys</x:v>
      </x:c>
      <x:c r="O248" s="32" t="n">
        <x:v>3.59</x:v>
      </x:c>
      <x:c r="P248" s="24" t="str">
        <x:v>exact_sea_around_us</x:v>
      </x:c>
      <x:c r="Q248" s="32" t="str">
        <x:v>Sea Around Us exploited organisms</x:v>
      </x:c>
      <x:c r="R248" s="24" t="str">
        <x:v>high</x:v>
      </x:c>
      <x:c r="S248" s="24" t="str">
        <x:v>Pomadasys</x:v>
      </x:c>
      <x:c r="T248" s="32" t="n">
        <x:f>IF(O248="","",(1/'Metadata'!$B$5)^(O248-1))</x:f>
        <x:v>389.04514499428046</x:v>
      </x:c>
      <x:c r="U248" s="31" t="n">
        <x:f>IF(T248="","",I248*T248)</x:f>
        <x:v>8787.728238321326</x:v>
      </x:c>
    </x:row>
    <x:row r="249" ht="18" customHeight="1">
      <x:c r="A249" s="24" t="str">
        <x:v>EEZ_036</x:v>
      </x:c>
      <x:c r="B249" s="24" t="str">
        <x:v>Australia</x:v>
      </x:c>
      <x:c r="C249" s="24" t="str">
        <x:v>EEZ</x:v>
      </x:c>
      <x:c r="D249" s="30" t="n">
        <x:v>2019</x:v>
      </x:c>
      <x:c r="E249" s="24" t="str">
        <x:v>Scyliorhinidae</x:v>
      </x:c>
      <x:c r="F249" s="24" t="str">
        <x:v>Cat/swellsharks</x:v>
      </x:c>
      <x:c r="G249" s="24" t="str">
        <x:v>Large sharks (&gt;=90 cm)</x:v>
      </x:c>
      <x:c r="H249" s="24" t="str">
        <x:v>Sharks &amp; rays</x:v>
      </x:c>
      <x:c r="I249" s="31" t="n">
        <x:v>22.417206411</x:v>
      </x:c>
      <x:c r="J249" s="31" t="n">
        <x:v>22.417206411</x:v>
      </x:c>
      <x:c r="K249" s="31" t="n">
        <x:v>0</x:v>
      </x:c>
      <x:c r="L249" s="31" t="n">
        <x:v>22.4108815708</x:v>
      </x:c>
      <x:c r="M249" s="31" t="n">
        <x:v>0.0063248402</x:v>
      </x:c>
      <x:c r="N249" s="24" t="str">
        <x:v>scyliorhinidae</x:v>
      </x:c>
      <x:c r="O249" s="32" t="n">
        <x:v>3.97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Scyliorhinidae</x:v>
      </x:c>
      <x:c r="T249" s="32" t="n">
        <x:f>IF(O249="","",(1/'Metadata'!$B$5)^(O249-1))</x:f>
        <x:v>933.2543007969915</x:v>
      </x:c>
      <x:c r="U249" s="31" t="n">
        <x:f>IF(T249="","",I249*T249)</x:f>
        <x:v>20920.95429491964</x:v>
      </x:c>
    </x:row>
    <x:row r="250" ht="18" customHeight="1">
      <x:c r="A250" s="24" t="str">
        <x:v>EEZ_036</x:v>
      </x:c>
      <x:c r="B250" s="24" t="str">
        <x:v>Australia</x:v>
      </x:c>
      <x:c r="C250" s="24" t="str">
        <x:v>EEZ</x:v>
      </x:c>
      <x:c r="D250" s="30" t="n">
        <x:v>2019</x:v>
      </x:c>
      <x:c r="E250" s="24" t="str">
        <x:v>Carcharhinus leucas</x:v>
      </x:c>
      <x:c r="F250" s="24" t="str">
        <x:v>Bull shark</x:v>
      </x:c>
      <x:c r="G250" s="24" t="str">
        <x:v>Large sharks (&gt;=90 cm)</x:v>
      </x:c>
      <x:c r="H250" s="24" t="str">
        <x:v>Sharks &amp; rays</x:v>
      </x:c>
      <x:c r="I250" s="31" t="n">
        <x:v>20.9085985445</x:v>
      </x:c>
      <x:c r="J250" s="31" t="n">
        <x:v>20.9085985445</x:v>
      </x:c>
      <x:c r="K250" s="31" t="n">
        <x:v>0</x:v>
      </x:c>
      <x:c r="L250" s="31" t="n">
        <x:v>20.905333569499998</x:v>
      </x:c>
      <x:c r="M250" s="31" t="n">
        <x:v>0.003264975</x:v>
      </x:c>
      <x:c r="N250" s="24" t="str">
        <x:v>carcharhinus leucas</x:v>
      </x:c>
      <x:c r="O250" s="32" t="n">
        <x:v>4.31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Carcharhinus leucas</x:v>
      </x:c>
      <x:c r="T250" s="32" t="n">
        <x:f>IF(O250="","",(1/'Metadata'!$B$5)^(O250-1))</x:f>
        <x:v>2041.7379446695275</x:v>
      </x:c>
      <x:c r="U250" s="31" t="n">
        <x:f>IF(T250="","",I250*T250)</x:f>
        <x:v>42689.8790181677</x:v>
      </x:c>
    </x:row>
    <x:row r="251" ht="18" customHeight="1">
      <x:c r="A251" s="24" t="str">
        <x:v>EEZ_036</x:v>
      </x:c>
      <x:c r="B251" s="24" t="str">
        <x:v>Australia</x:v>
      </x:c>
      <x:c r="C251" s="24" t="str">
        <x:v>EEZ</x:v>
      </x:c>
      <x:c r="D251" s="30" t="n">
        <x:v>2019</x:v>
      </x:c>
      <x:c r="E251" s="24" t="str">
        <x:v>Sphyrna zygaena</x:v>
      </x:c>
      <x:c r="F251" s="24" t="str">
        <x:v>Smooth hammerhead</x:v>
      </x:c>
      <x:c r="G251" s="24" t="str">
        <x:v>Large sharks (&gt;=90 cm)</x:v>
      </x:c>
      <x:c r="H251" s="24" t="str">
        <x:v>Sharks &amp; rays</x:v>
      </x:c>
      <x:c r="I251" s="31" t="n">
        <x:v>20.740643175</x:v>
      </x:c>
      <x:c r="J251" s="31" t="n">
        <x:v>20.740643175</x:v>
      </x:c>
      <x:c r="K251" s="31" t="n">
        <x:v>0</x:v>
      </x:c>
      <x:c r="L251" s="31" t="n">
        <x:v>16.8174681519</x:v>
      </x:c>
      <x:c r="M251" s="31" t="n">
        <x:v>3.9231750231</x:v>
      </x:c>
      <x:c r="N251" s="24" t="str">
        <x:v>sphyrna zygaena</x:v>
      </x:c>
      <x:c r="O251" s="32" t="n">
        <x:v>4.94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Sphyrna zygaena</x:v>
      </x:c>
      <x:c r="T251" s="32" t="n">
        <x:f>IF(O251="","",(1/'Metadata'!$B$5)^(O251-1))</x:f>
        <x:v>8709.635899560813</x:v>
      </x:c>
      <x:c r="U251" s="31" t="n">
        <x:f>IF(T251="","",I251*T251)</x:f>
        <x:v>180643.45037696097</x:v>
      </x:c>
    </x:row>
    <x:row r="252" ht="18" customHeight="1">
      <x:c r="A252" s="24" t="str">
        <x:v>EEZ_036</x:v>
      </x:c>
      <x:c r="B252" s="24" t="str">
        <x:v>Australia</x:v>
      </x:c>
      <x:c r="C252" s="24" t="str">
        <x:v>EEZ</x:v>
      </x:c>
      <x:c r="D252" s="30" t="n">
        <x:v>2019</x:v>
      </x:c>
      <x:c r="E252" s="24" t="str">
        <x:v>Panulirus versicolor</x:v>
      </x:c>
      <x:c r="F252" s="24" t="str">
        <x:v>Painted spiny lobster</x:v>
      </x:c>
      <x:c r="G252" s="24" t="str">
        <x:v>Lobsters, crabs</x:v>
      </x:c>
      <x:c r="H252" s="24" t="str">
        <x:v>Crustaceans</x:v>
      </x:c>
      <x:c r="I252" s="31" t="n">
        <x:v>20.4872112688</x:v>
      </x:c>
      <x:c r="J252" s="31" t="n">
        <x:v>20.4872112688</x:v>
      </x:c>
      <x:c r="K252" s="31" t="n">
        <x:v>0</x:v>
      </x:c>
      <x:c r="L252" s="31" t="n">
        <x:v>5.9197123706</x:v>
      </x:c>
      <x:c r="M252" s="31" t="n">
        <x:v>14.5674988982</x:v>
      </x:c>
      <x:c r="N252" s="24" t="str">
        <x:v>panulirus versicolor</x:v>
      </x:c>
      <x:c r="O252" s="32" t="n">
        <x:v>3.57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Panulirus versicolor</x:v>
      </x:c>
      <x:c r="T252" s="32" t="n">
        <x:f>IF(O252="","",(1/'Metadata'!$B$5)^(O252-1))</x:f>
        <x:v>371.5352290971724</x:v>
      </x:c>
      <x:c r="U252" s="31" t="n">
        <x:f>IF(T252="","",I252*T252)</x:f>
        <x:v>7611.72073231578</x:v>
      </x:c>
    </x:row>
    <x:row r="253" ht="18" customHeight="1">
      <x:c r="A253" s="24" t="str">
        <x:v>EEZ_036</x:v>
      </x:c>
      <x:c r="B253" s="24" t="str">
        <x:v>Australia</x:v>
      </x:c>
      <x:c r="C253" s="24" t="str">
        <x:v>EEZ</x:v>
      </x:c>
      <x:c r="D253" s="30" t="n">
        <x:v>2019</x:v>
      </x:c>
      <x:c r="E253" s="24" t="str">
        <x:v>Sphyrna</x:v>
      </x:c>
      <x:c r="F253" s="24" t="str">
        <x:v>Hammerhead sharks</x:v>
      </x:c>
      <x:c r="G253" s="24" t="str">
        <x:v>Large sharks (&gt;=90 cm)</x:v>
      </x:c>
      <x:c r="H253" s="24" t="str">
        <x:v>Sharks &amp; rays</x:v>
      </x:c>
      <x:c r="I253" s="31" t="n">
        <x:v>20.4147350121</x:v>
      </x:c>
      <x:c r="J253" s="31" t="n">
        <x:v>20.4147350121</x:v>
      </x:c>
      <x:c r="K253" s="31" t="n">
        <x:v>0</x:v>
      </x:c>
      <x:c r="L253" s="31" t="n">
        <x:v>20.4147350121</x:v>
      </x:c>
      <x:c r="M253" s="31" t="n">
        <x:v>0</x:v>
      </x:c>
      <x:c r="N253" s="24" t="str">
        <x:v>sphyrna</x:v>
      </x:c>
      <x:c r="O253" s="32" t="n">
        <x:v>4.2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Sphyrna</x:v>
      </x:c>
      <x:c r="T253" s="32" t="n">
        <x:f>IF(O253="","",(1/'Metadata'!$B$5)^(O253-1))</x:f>
        <x:v>1584.893192461114</x:v>
      </x:c>
      <x:c r="U253" s="31" t="n">
        <x:f>IF(T253="","",I253*T253)</x:f>
        <x:v>32355.174546574846</x:v>
      </x:c>
    </x:row>
    <x:row r="254" ht="18" customHeight="1">
      <x:c r="A254" s="24" t="str">
        <x:v>EEZ_036</x:v>
      </x:c>
      <x:c r="B254" s="24" t="str">
        <x:v>Australia</x:v>
      </x:c>
      <x:c r="C254" s="24" t="str">
        <x:v>EEZ</x:v>
      </x:c>
      <x:c r="D254" s="30" t="n">
        <x:v>2019</x:v>
      </x:c>
      <x:c r="E254" s="24" t="str">
        <x:v>Sphyrna lewini</x:v>
      </x:c>
      <x:c r="F254" s="24" t="str">
        <x:v>Scalloped hammerhead</x:v>
      </x:c>
      <x:c r="G254" s="24" t="str">
        <x:v>Large sharks (&gt;=90 cm)</x:v>
      </x:c>
      <x:c r="H254" s="24" t="str">
        <x:v>Sharks &amp; rays</x:v>
      </x:c>
      <x:c r="I254" s="31" t="n">
        <x:v>20.2923159433</x:v>
      </x:c>
      <x:c r="J254" s="31" t="n">
        <x:v>20.2923159433</x:v>
      </x:c>
      <x:c r="K254" s="31" t="n">
        <x:v>0</x:v>
      </x:c>
      <x:c r="L254" s="31" t="n">
        <x:v>15.6572327471</x:v>
      </x:c>
      <x:c r="M254" s="31" t="n">
        <x:v>4.6350831962</x:v>
      </x:c>
      <x:c r="N254" s="24" t="str">
        <x:v>sphyrna lewini</x:v>
      </x:c>
      <x:c r="O254" s="32" t="n">
        <x:v>4.08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Sphyrna lewini</x:v>
      </x:c>
      <x:c r="T254" s="32" t="n">
        <x:f>IF(O254="","",(1/'Metadata'!$B$5)^(O254-1))</x:f>
        <x:v>1202.2644346174131</x:v>
      </x:c>
      <x:c r="U254" s="31" t="n">
        <x:f>IF(T254="","",I254*T254)</x:f>
        <x:v>24396.729754649492</x:v>
      </x:c>
    </x:row>
    <x:row r="255" ht="18" customHeight="1">
      <x:c r="A255" s="24" t="str">
        <x:v>EEZ_036</x:v>
      </x:c>
      <x:c r="B255" s="24" t="str">
        <x:v>Australia</x:v>
      </x:c>
      <x:c r="C255" s="24" t="str">
        <x:v>EEZ</x:v>
      </x:c>
      <x:c r="D255" s="30" t="n">
        <x:v>2019</x:v>
      </x:c>
      <x:c r="E255" s="24" t="str">
        <x:v>Mytilidae</x:v>
      </x:c>
      <x:c r="F255" s="24" t="str">
        <x:v>Sea mussels</x:v>
      </x:c>
      <x:c r="G255" s="24" t="str">
        <x:v>Other demersal invertebrates</x:v>
      </x:c>
      <x:c r="H255" s="24" t="str">
        <x:v>Molluscs</x:v>
      </x:c>
      <x:c r="I255" s="31" t="n">
        <x:v>18.6095579448</x:v>
      </x:c>
      <x:c r="J255" s="31" t="n">
        <x:v>18.6095579448</x:v>
      </x:c>
      <x:c r="K255" s="31" t="n">
        <x:v>0</x:v>
      </x:c>
      <x:c r="L255" s="31" t="n">
        <x:v>0.5083383269999999</x:v>
      </x:c>
      <x:c r="M255" s="31" t="n">
        <x:v>18.101219617799998</x:v>
      </x:c>
      <x:c r="N255" s="24" t="str">
        <x:v>mytilidae</x:v>
      </x:c>
      <x:c r="O255" s="32" t="n">
        <x:v>2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Mytilidae</x:v>
      </x:c>
      <x:c r="T255" s="32" t="n">
        <x:f>IF(O255="","",(1/'Metadata'!$B$5)^(O255-1))</x:f>
        <x:v>10</x:v>
      </x:c>
      <x:c r="U255" s="31" t="n">
        <x:f>IF(T255="","",I255*T255)</x:f>
        <x:v>186.095579448</x:v>
      </x:c>
    </x:row>
    <x:row r="256" ht="18" customHeight="1">
      <x:c r="A256" s="24" t="str">
        <x:v>EEZ_036</x:v>
      </x:c>
      <x:c r="B256" s="24" t="str">
        <x:v>Australia</x:v>
      </x:c>
      <x:c r="C256" s="24" t="str">
        <x:v>EEZ</x:v>
      </x:c>
      <x:c r="D256" s="30" t="n">
        <x:v>2019</x:v>
      </x:c>
      <x:c r="E256" s="24" t="str">
        <x:v>Variola louti</x:v>
      </x:c>
      <x:c r="F256" s="24" t="str">
        <x:v>Yellow-edged lyretail</x:v>
      </x:c>
      <x:c r="G256" s="24" t="str">
        <x:v>Medium reef assoc. fish (30 - 89 cm)</x:v>
      </x:c>
      <x:c r="H256" s="24" t="str">
        <x:v>Perch-likes</x:v>
      </x:c>
      <x:c r="I256" s="31" t="n">
        <x:v>18.4331875528</x:v>
      </x:c>
      <x:c r="J256" s="31" t="n">
        <x:v>18.4331875528</x:v>
      </x:c>
      <x:c r="K256" s="31" t="n">
        <x:v>0</x:v>
      </x:c>
      <x:c r="L256" s="31" t="n">
        <x:v>6.0138521156</x:v>
      </x:c>
      <x:c r="M256" s="31" t="n">
        <x:v>12.4193354372</x:v>
      </x:c>
      <x:c r="N256" s="24" t="str">
        <x:v>variola louti</x:v>
      </x:c>
      <x:c r="O256" s="32" t="n">
        <x:v>4.33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Variola louti</x:v>
      </x:c>
      <x:c r="T256" s="32" t="n">
        <x:f>IF(O256="","",(1/'Metadata'!$B$5)^(O256-1))</x:f>
        <x:v>2137.9620895022326</x:v>
      </x:c>
      <x:c r="U256" s="31" t="n">
        <x:f>IF(T256="","",I256*T256)</x:f>
        <x:v>39409.456176570835</x:v>
      </x:c>
    </x:row>
    <x:row r="257" ht="18" customHeight="1">
      <x:c r="A257" s="24" t="str">
        <x:v>EEZ_036</x:v>
      </x:c>
      <x:c r="B257" s="24" t="str">
        <x:v>Australia</x:v>
      </x:c>
      <x:c r="C257" s="24" t="str">
        <x:v>EEZ</x:v>
      </x:c>
      <x:c r="D257" s="30" t="n">
        <x:v>2019</x:v>
      </x:c>
      <x:c r="E257" s="24" t="str">
        <x:v>Portunus sanguinolentus</x:v>
      </x:c>
      <x:c r="F257" s="24" t="str">
        <x:v>Three-spot swimming crab</x:v>
      </x:c>
      <x:c r="G257" s="24" t="str">
        <x:v>Lobsters, crabs</x:v>
      </x:c>
      <x:c r="H257" s="24" t="str">
        <x:v>Crustaceans</x:v>
      </x:c>
      <x:c r="I257" s="31" t="n">
        <x:v>15.7926535208</x:v>
      </x:c>
      <x:c r="J257" s="31" t="n">
        <x:v>15.7926535208</x:v>
      </x:c>
      <x:c r="K257" s="31" t="n">
        <x:v>0</x:v>
      </x:c>
      <x:c r="L257" s="31" t="n">
        <x:v>15.7926535208</x:v>
      </x:c>
      <x:c r="M257" s="31" t="n">
        <x:v>0</x:v>
      </x:c>
      <x:c r="N257" s="24" t="str">
        <x:v>portunus sanguinolentus</x:v>
      </x:c>
      <x:c r="O257" s="32" t="n">
        <x:v>4.23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Portunus sanguinolentus</x:v>
      </x:c>
      <x:c r="T257" s="32" t="n">
        <x:f>IF(O257="","",(1/'Metadata'!$B$5)^(O257-1))</x:f>
        <x:v>1698.243652461746</x:v>
      </x:c>
      <x:c r="U257" s="31" t="n">
        <x:f>IF(T257="","",I257*T257)</x:f>
        <x:v>26819.773597226245</x:v>
      </x:c>
    </x:row>
    <x:row r="258" ht="18" customHeight="1">
      <x:c r="A258" s="24" t="str">
        <x:v>EEZ_036</x:v>
      </x:c>
      <x:c r="B258" s="24" t="str">
        <x:v>Australia</x:v>
      </x:c>
      <x:c r="C258" s="24" t="str">
        <x:v>EEZ</x:v>
      </x:c>
      <x:c r="D258" s="30" t="n">
        <x:v>2019</x:v>
      </x:c>
      <x:c r="E258" s="24" t="str">
        <x:v>Spratelloides</x:v>
      </x:c>
      <x:c r="F258" s="24" t="str">
        <x:v>Round herrings</x:v>
      </x:c>
      <x:c r="G258" s="24" t="str">
        <x:v>Small reef assoc. fish (&lt;30 cm)</x:v>
      </x:c>
      <x:c r="H258" s="24" t="str">
        <x:v>Herring-likes</x:v>
      </x:c>
      <x:c r="I258" s="31" t="n">
        <x:v>15.7767401496</x:v>
      </x:c>
      <x:c r="J258" s="31" t="n">
        <x:v>15.7767401496</x:v>
      </x:c>
      <x:c r="K258" s="31" t="n">
        <x:v>0</x:v>
      </x:c>
      <x:c r="L258" s="31" t="n">
        <x:v>15.7767401496</x:v>
      </x:c>
      <x:c r="M258" s="31" t="n">
        <x:v>0</x:v>
      </x:c>
      <x:c r="N258" s="24" t="str">
        <x:v>spratelloides</x:v>
      </x:c>
      <x:c r="O258" s="32" t="n">
        <x:v>3.1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Spratelloides</x:v>
      </x:c>
      <x:c r="T258" s="32" t="n">
        <x:f>IF(O258="","",(1/'Metadata'!$B$5)^(O258-1))</x:f>
        <x:v>125.89254117941675</x:v>
      </x:c>
      <x:c r="U258" s="31" t="n">
        <x:f>IF(T258="","",I258*T258)</x:f>
        <x:v>1986.1739089604757</x:v>
      </x:c>
    </x:row>
    <x:row r="259" ht="18" customHeight="1">
      <x:c r="A259" s="24" t="str">
        <x:v>EEZ_036</x:v>
      </x:c>
      <x:c r="B259" s="24" t="str">
        <x:v>Australia</x:v>
      </x:c>
      <x:c r="C259" s="24" t="str">
        <x:v>EEZ</x:v>
      </x:c>
      <x:c r="D259" s="30" t="n">
        <x:v>2019</x:v>
      </x:c>
      <x:c r="E259" s="24" t="str">
        <x:v>Moridae</x:v>
      </x:c>
      <x:c r="F259" s="24" t="str">
        <x:v>Codlings, moras</x:v>
      </x:c>
      <x:c r="G259" s="24" t="str">
        <x:v>Medium benthopelagics (30 - 89 cm)</x:v>
      </x:c>
      <x:c r="H259" s="24" t="str">
        <x:v>Cod-likes</x:v>
      </x:c>
      <x:c r="I259" s="31" t="n">
        <x:v>15.7253704467</x:v>
      </x:c>
      <x:c r="J259" s="31" t="n">
        <x:v>15.7253704467</x:v>
      </x:c>
      <x:c r="K259" s="31" t="n">
        <x:v>0</x:v>
      </x:c>
      <x:c r="L259" s="31" t="n">
        <x:v>15.716573784</x:v>
      </x:c>
      <x:c r="M259" s="31" t="n">
        <x:v>0.0087966627</x:v>
      </x:c>
      <x:c r="N259" s="24" t="str">
        <x:v>moridae</x:v>
      </x:c>
      <x:c r="O259" s="32" t="n">
        <x:v>3.87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Moridae</x:v>
      </x:c>
      <x:c r="T259" s="32" t="n">
        <x:f>IF(O259="","",(1/'Metadata'!$B$5)^(O259-1))</x:f>
        <x:v>741.3102413009177</x:v>
      </x:c>
      <x:c r="U259" s="31" t="n">
        <x:f>IF(T259="","",I259*T259)</x:f>
        <x:v>11657.378160389497</x:v>
      </x:c>
    </x:row>
    <x:row r="260" ht="18" customHeight="1">
      <x:c r="A260" s="24" t="str">
        <x:v>EEZ_036</x:v>
      </x:c>
      <x:c r="B260" s="24" t="str">
        <x:v>Australia</x:v>
      </x:c>
      <x:c r="C260" s="24" t="str">
        <x:v>EEZ</x:v>
      </x:c>
      <x:c r="D260" s="30" t="n">
        <x:v>2019</x:v>
      </x:c>
      <x:c r="E260" s="24" t="str">
        <x:v>Gempylidae</x:v>
      </x:c>
      <x:c r="F260" s="24" t="str">
        <x:v>Snake mackerels</x:v>
      </x:c>
      <x:c r="G260" s="24" t="str">
        <x:v>Large benthopelagics (&gt;=90 cm)</x:v>
      </x:c>
      <x:c r="H260" s="24" t="str">
        <x:v>Perch-likes</x:v>
      </x:c>
      <x:c r="I260" s="31" t="n">
        <x:v>15.341097544</x:v>
      </x:c>
      <x:c r="J260" s="31" t="n">
        <x:v>0</x:v>
      </x:c>
      <x:c r="K260" s="31" t="n">
        <x:v>15.341097544</x:v>
      </x:c>
      <x:c r="L260" s="31" t="n">
        <x:v>0</x:v>
      </x:c>
      <x:c r="M260" s="31" t="n">
        <x:v>15.341097544</x:v>
      </x:c>
      <x:c r="N260" s="24" t="str">
        <x:v>gempylidae</x:v>
      </x:c>
      <x:c r="O260" s="32" t="n">
        <x:v>4.21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Gempylidae</x:v>
      </x:c>
      <x:c r="T260" s="32" t="n">
        <x:f>IF(O260="","",(1/'Metadata'!$B$5)^(O260-1))</x:f>
        <x:v>1621.8100973589299</x:v>
      </x:c>
      <x:c r="U260" s="31" t="n">
        <x:f>IF(T260="","",I260*T260)</x:f>
        <x:v>24880.34690142748</x:v>
      </x:c>
    </x:row>
    <x:row r="261" ht="18" customHeight="1">
      <x:c r="A261" s="24" t="str">
        <x:v>EEZ_036</x:v>
      </x:c>
      <x:c r="B261" s="24" t="str">
        <x:v>Australia</x:v>
      </x:c>
      <x:c r="C261" s="24" t="str">
        <x:v>EEZ</x:v>
      </x:c>
      <x:c r="D261" s="30" t="n">
        <x:v>2019</x:v>
      </x:c>
      <x:c r="E261" s="24" t="str">
        <x:v>Auxis thazard</x:v>
      </x:c>
      <x:c r="F261" s="24" t="str">
        <x:v>Frigate tuna</x:v>
      </x:c>
      <x:c r="G261" s="24" t="str">
        <x:v>Medium pelagics (30 - 89 cm)</x:v>
      </x:c>
      <x:c r="H261" s="24" t="str">
        <x:v>Tuna &amp; billfishes</x:v>
      </x:c>
      <x:c r="I261" s="31" t="n">
        <x:v>14.8467522764</x:v>
      </x:c>
      <x:c r="J261" s="31" t="n">
        <x:v>14.8467522764</x:v>
      </x:c>
      <x:c r="K261" s="31" t="n">
        <x:v>0</x:v>
      </x:c>
      <x:c r="L261" s="31" t="n">
        <x:v>14.8459016721</x:v>
      </x:c>
      <x:c r="M261" s="31" t="n">
        <x:v>0.0008506043</x:v>
      </x:c>
      <x:c r="N261" s="24" t="str">
        <x:v>auxis thazard</x:v>
      </x:c>
      <x:c r="O261" s="32" t="n">
        <x:v>4.37</x:v>
      </x:c>
      <x:c r="P261" s="24" t="str">
        <x:v>exact_2020_supplement</x:v>
      </x:c>
      <x:c r="Q261" s="32" t="str">
        <x:v>2020 supplement MeanTL</x:v>
      </x:c>
      <x:c r="R261" s="24" t="str">
        <x:v>high</x:v>
      </x:c>
      <x:c r="S261" s="24" t="str">
        <x:v>Auxis thazard</x:v>
      </x:c>
      <x:c r="T261" s="32" t="n">
        <x:f>IF(O261="","",(1/'Metadata'!$B$5)^(O261-1))</x:f>
        <x:v>2344.228815319923</x:v>
      </x:c>
      <x:c r="U261" s="31" t="n">
        <x:f>IF(T261="","",I261*T261)</x:f>
        <x:v>34804.18450025354</x:v>
      </x:c>
    </x:row>
    <x:row r="262" ht="18" customHeight="1">
      <x:c r="A262" s="24" t="str">
        <x:v>EEZ_036</x:v>
      </x:c>
      <x:c r="B262" s="24" t="str">
        <x:v>Australia</x:v>
      </x:c>
      <x:c r="C262" s="24" t="str">
        <x:v>EEZ</x:v>
      </x:c>
      <x:c r="D262" s="30" t="n">
        <x:v>2019</x:v>
      </x:c>
      <x:c r="E262" s="24" t="str">
        <x:v>Lutjanus bohar</x:v>
      </x:c>
      <x:c r="F262" s="24" t="str">
        <x:v>Two-spot red snapper</x:v>
      </x:c>
      <x:c r="G262" s="24" t="str">
        <x:v>Medium reef assoc. fish (30 - 89 cm)</x:v>
      </x:c>
      <x:c r="H262" s="24" t="str">
        <x:v>Perch-likes</x:v>
      </x:c>
      <x:c r="I262" s="31" t="n">
        <x:v>14.594034216299999</x:v>
      </x:c>
      <x:c r="J262" s="31" t="n">
        <x:v>14.594034216299999</x:v>
      </x:c>
      <x:c r="K262" s="31" t="n">
        <x:v>0</x:v>
      </x:c>
      <x:c r="L262" s="31" t="n">
        <x:v>14.576125618499999</x:v>
      </x:c>
      <x:c r="M262" s="31" t="n">
        <x:v>0.0179085978</x:v>
      </x:c>
      <x:c r="N262" s="24" t="str">
        <x:v>lutjanus bohar</x:v>
      </x:c>
      <x:c r="O262" s="32" t="n">
        <x:v>4.27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Lutjanus bohar</x:v>
      </x:c>
      <x:c r="T262" s="32" t="n">
        <x:f>IF(O262="","",(1/'Metadata'!$B$5)^(O262-1))</x:f>
        <x:v>1862.0871366628655</x:v>
      </x:c>
      <x:c r="U262" s="31" t="n">
        <x:f>IF(T262="","",I262*T262)</x:f>
        <x:v>27175.36338618995</x:v>
      </x:c>
    </x:row>
    <x:row r="263" ht="18" customHeight="1">
      <x:c r="A263" s="24" t="str">
        <x:v>EEZ_036</x:v>
      </x:c>
      <x:c r="B263" s="24" t="str">
        <x:v>Australia</x:v>
      </x:c>
      <x:c r="C263" s="24" t="str">
        <x:v>EEZ</x:v>
      </x:c>
      <x:c r="D263" s="30" t="n">
        <x:v>2019</x:v>
      </x:c>
      <x:c r="E263" s="24" t="str">
        <x:v>Epinephelus areolatus</x:v>
      </x:c>
      <x:c r="F263" s="24" t="str">
        <x:v>Areolate grouper</x:v>
      </x:c>
      <x:c r="G263" s="24" t="str">
        <x:v>Medium reef assoc. fish (30 - 89 cm)</x:v>
      </x:c>
      <x:c r="H263" s="24" t="str">
        <x:v>Perch-likes</x:v>
      </x:c>
      <x:c r="I263" s="31" t="n">
        <x:v>14.5909230333</x:v>
      </x:c>
      <x:c r="J263" s="31" t="n">
        <x:v>14.5909230333</x:v>
      </x:c>
      <x:c r="K263" s="31" t="n">
        <x:v>0</x:v>
      </x:c>
      <x:c r="L263" s="31" t="n">
        <x:v>12.403868640499999</x:v>
      </x:c>
      <x:c r="M263" s="31" t="n">
        <x:v>2.1870543928</x:v>
      </x:c>
      <x:c r="N263" s="24" t="str">
        <x:v>epinephelus areolatus</x:v>
      </x:c>
      <x:c r="O263" s="32" t="n">
        <x:v>3.74</x:v>
      </x:c>
      <x:c r="P263" s="24" t="str">
        <x:v>exact_2020_supplement</x:v>
      </x:c>
      <x:c r="Q263" s="32" t="str">
        <x:v>2020 supplement MeanTL</x:v>
      </x:c>
      <x:c r="R263" s="24" t="str">
        <x:v>high</x:v>
      </x:c>
      <x:c r="S263" s="24" t="str">
        <x:v>Epinephelus areolatus</x:v>
      </x:c>
      <x:c r="T263" s="32" t="n">
        <x:f>IF(O263="","",(1/'Metadata'!$B$5)^(O263-1))</x:f>
        <x:v>549.5408738576248</x:v>
      </x:c>
      <x:c r="U263" s="31" t="n">
        <x:f>IF(T263="","",I263*T263)</x:f>
        <x:v>8018.308594109027</x:v>
      </x:c>
    </x:row>
    <x:row r="264" ht="18" customHeight="1">
      <x:c r="A264" s="24" t="str">
        <x:v>EEZ_036</x:v>
      </x:c>
      <x:c r="B264" s="24" t="str">
        <x:v>Australia</x:v>
      </x:c>
      <x:c r="C264" s="24" t="str">
        <x:v>EEZ</x:v>
      </x:c>
      <x:c r="D264" s="30" t="n">
        <x:v>2019</x:v>
      </x:c>
      <x:c r="E264" s="24" t="str">
        <x:v>Trachichthyidae</x:v>
      </x:c>
      <x:c r="F264" s="24" t="str">
        <x:v>Slimeheads</x:v>
      </x:c>
      <x:c r="G264" s="24" t="str">
        <x:v>Medium bathypelagics (30 - 89 cm)</x:v>
      </x:c>
      <x:c r="H264" s="24" t="str">
        <x:v>Other fishes &amp; inverts</x:v>
      </x:c>
      <x:c r="I264" s="31" t="n">
        <x:v>14.1479508794</x:v>
      </x:c>
      <x:c r="J264" s="31" t="n">
        <x:v>0.0215551054</x:v>
      </x:c>
      <x:c r="K264" s="31" t="n">
        <x:v>14.126395774</x:v>
      </x:c>
      <x:c r="L264" s="31" t="n">
        <x:v>0.0215551054</x:v>
      </x:c>
      <x:c r="M264" s="31" t="n">
        <x:v>14.126395774</x:v>
      </x:c>
      <x:c r="N264" s="24" t="str">
        <x:v>trachichthyidae</x:v>
      </x:c>
      <x:c r="O264" s="32" t="n">
        <x:v>3.72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Trachichthyidae</x:v>
      </x:c>
      <x:c r="T264" s="32" t="n">
        <x:f>IF(O264="","",(1/'Metadata'!$B$5)^(O264-1))</x:f>
        <x:v>524.8074602497728</x:v>
      </x:c>
      <x:c r="U264" s="31" t="n">
        <x:f>IF(T264="","",I264*T264)</x:f>
        <x:v>7424.950168756453</x:v>
      </x:c>
    </x:row>
    <x:row r="265" ht="18" customHeight="1">
      <x:c r="A265" s="24" t="str">
        <x:v>EEZ_036</x:v>
      </x:c>
      <x:c r="B265" s="24" t="str">
        <x:v>Australia</x:v>
      </x:c>
      <x:c r="C265" s="24" t="str">
        <x:v>EEZ</x:v>
      </x:c>
      <x:c r="D265" s="30" t="n">
        <x:v>2019</x:v>
      </x:c>
      <x:c r="E265" s="24" t="str">
        <x:v>Seriola dumerili</x:v>
      </x:c>
      <x:c r="F265" s="24" t="str">
        <x:v>Greater amberjack</x:v>
      </x:c>
      <x:c r="G265" s="24" t="str">
        <x:v>Large reef assoc. fish (&gt;=90 cm)</x:v>
      </x:c>
      <x:c r="H265" s="24" t="str">
        <x:v>Perch-likes</x:v>
      </x:c>
      <x:c r="I265" s="31" t="n">
        <x:v>13.791858533900001</x:v>
      </x:c>
      <x:c r="J265" s="31" t="n">
        <x:v>13.791858533900001</x:v>
      </x:c>
      <x:c r="K265" s="31" t="n">
        <x:v>0</x:v>
      </x:c>
      <x:c r="L265" s="31" t="n">
        <x:v>9.2963211727</x:v>
      </x:c>
      <x:c r="M265" s="31" t="n">
        <x:v>4.4955373612</x:v>
      </x:c>
      <x:c r="N265" s="24" t="str">
        <x:v>seriola dumerili</x:v>
      </x:c>
      <x:c r="O265" s="32" t="n">
        <x:v>4.5</x:v>
      </x:c>
      <x:c r="P265" s="24" t="str">
        <x:v>exact_2020_supplement</x:v>
      </x:c>
      <x:c r="Q265" s="32" t="str">
        <x:v>2020 supplement MeanTL</x:v>
      </x:c>
      <x:c r="R265" s="24" t="str">
        <x:v>high</x:v>
      </x:c>
      <x:c r="S265" s="24" t="str">
        <x:v>Seriola dumerili</x:v>
      </x:c>
      <x:c r="T265" s="32" t="n">
        <x:f>IF(O265="","",(1/'Metadata'!$B$5)^(O265-1))</x:f>
        <x:v>3162.2776601683795</x:v>
      </x:c>
      <x:c r="U265" s="31" t="n">
        <x:f>IF(T265="","",I265*T265)</x:f>
        <x:v>43613.686133954594</x:v>
      </x:c>
    </x:row>
    <x:row r="266" ht="18" customHeight="1">
      <x:c r="A266" s="24" t="str">
        <x:v>EEZ_036</x:v>
      </x:c>
      <x:c r="B266" s="24" t="str">
        <x:v>Australia</x:v>
      </x:c>
      <x:c r="C266" s="24" t="str">
        <x:v>EEZ</x:v>
      </x:c>
      <x:c r="D266" s="30" t="n">
        <x:v>2019</x:v>
      </x:c>
      <x:c r="E266" s="24" t="str">
        <x:v>Aprion virescens</x:v>
      </x:c>
      <x:c r="F266" s="24" t="str">
        <x:v>Green jobfish</x:v>
      </x:c>
      <x:c r="G266" s="24" t="str">
        <x:v>Large reef assoc. fish (&gt;=90 cm)</x:v>
      </x:c>
      <x:c r="H266" s="24" t="str">
        <x:v>Perch-likes</x:v>
      </x:c>
      <x:c r="I266" s="31" t="n">
        <x:v>13.6676770974</x:v>
      </x:c>
      <x:c r="J266" s="31" t="n">
        <x:v>13.6676770974</x:v>
      </x:c>
      <x:c r="K266" s="31" t="n">
        <x:v>0</x:v>
      </x:c>
      <x:c r="L266" s="31" t="n">
        <x:v>13.5513219013</x:v>
      </x:c>
      <x:c r="M266" s="31" t="n">
        <x:v>0.1163551961</x:v>
      </x:c>
      <x:c r="N266" s="24" t="str">
        <x:v>aprion virescens</x:v>
      </x:c>
      <x:c r="O266" s="32" t="n">
        <x:v>4.28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Aprion virescens</x:v>
      </x:c>
      <x:c r="T266" s="32" t="n">
        <x:f>IF(O266="","",(1/'Metadata'!$B$5)^(O266-1))</x:f>
        <x:v>1905.4607179632483</x:v>
      </x:c>
      <x:c r="U266" s="31" t="n">
        <x:f>IF(T266="","",I266*T266)</x:f>
        <x:v>26043.22181490165</x:v>
      </x:c>
    </x:row>
    <x:row r="267" ht="18" customHeight="1">
      <x:c r="A267" s="24" t="str">
        <x:v>EEZ_036</x:v>
      </x:c>
      <x:c r="B267" s="24" t="str">
        <x:v>Australia</x:v>
      </x:c>
      <x:c r="C267" s="24" t="str">
        <x:v>EEZ</x:v>
      </x:c>
      <x:c r="D267" s="30" t="n">
        <x:v>2019</x:v>
      </x:c>
      <x:c r="E267" s="24" t="str">
        <x:v>Dendrobranchiata</x:v>
      </x:c>
      <x:c r="F267" s="24" t="str">
        <x:v>Shrimps and prawns</x:v>
      </x:c>
      <x:c r="G267" s="24" t="str">
        <x:v>Shrimps</x:v>
      </x:c>
      <x:c r="H267" s="24" t="str">
        <x:v>Crustaceans</x:v>
      </x:c>
      <x:c r="I267" s="31" t="n">
        <x:v>12.6843717848</x:v>
      </x:c>
      <x:c r="J267" s="31" t="n">
        <x:v>8.4617534981</x:v>
      </x:c>
      <x:c r="K267" s="31" t="n">
        <x:v>4.2226182867</x:v>
      </x:c>
      <x:c r="L267" s="31" t="n">
        <x:v>8.4617534981</x:v>
      </x:c>
      <x:c r="M267" s="31" t="n">
        <x:v>4.2226182867</x:v>
      </x:c>
      <x:c r="N267" s="24" t="str">
        <x:v>dendrobranchiata</x:v>
      </x:c>
      <x:c r="O267" s="32" t="n">
        <x:v>3.24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Dendrobranchiata</x:v>
      </x:c>
      <x:c r="T267" s="32" t="n">
        <x:f>IF(O267="","",(1/'Metadata'!$B$5)^(O267-1))</x:f>
        <x:v>173.78008287493762</x:v>
      </x:c>
      <x:c r="U267" s="31" t="n">
        <x:f>IF(T267="","",I267*T267)</x:f>
        <x:v>2204.2911799790645</x:v>
      </x:c>
    </x:row>
    <x:row r="268" ht="18" customHeight="1">
      <x:c r="A268" s="24" t="str">
        <x:v>EEZ_036</x:v>
      </x:c>
      <x:c r="B268" s="24" t="str">
        <x:v>Australia</x:v>
      </x:c>
      <x:c r="C268" s="24" t="str">
        <x:v>EEZ</x:v>
      </x:c>
      <x:c r="D268" s="30" t="n">
        <x:v>2019</x:v>
      </x:c>
      <x:c r="E268" s="24" t="str">
        <x:v>Soleidae</x:v>
      </x:c>
      <x:c r="F268" s="24" t="str">
        <x:v>Soles</x:v>
      </x:c>
      <x:c r="G268" s="24" t="str">
        <x:v>Small to medium flatfishes (&lt;90 cm)</x:v>
      </x:c>
      <x:c r="H268" s="24" t="str">
        <x:v>Flatfishes</x:v>
      </x:c>
      <x:c r="I268" s="31" t="n">
        <x:v>12.5445762597</x:v>
      </x:c>
      <x:c r="J268" s="31" t="n">
        <x:v>12.5445762597</x:v>
      </x:c>
      <x:c r="K268" s="31" t="n">
        <x:v>0</x:v>
      </x:c>
      <x:c r="L268" s="31" t="n">
        <x:v>12.5444022749</x:v>
      </x:c>
      <x:c r="M268" s="31" t="n">
        <x:v>0.0001739848</x:v>
      </x:c>
      <x:c r="N268" s="24" t="str">
        <x:v>soleidae</x:v>
      </x:c>
      <x:c r="O268" s="32" t="n">
        <x:v>3.15</x:v>
      </x:c>
      <x:c r="P268" s="24" t="str">
        <x:v>exact_sea_around_us</x:v>
      </x:c>
      <x:c r="Q268" s="32" t="str">
        <x:v>Sea Around Us exploited organisms</x:v>
      </x:c>
      <x:c r="R268" s="24" t="str">
        <x:v>high</x:v>
      </x:c>
      <x:c r="S268" s="24" t="str">
        <x:v>Soleidae</x:v>
      </x:c>
      <x:c r="T268" s="32" t="n">
        <x:f>IF(O268="","",(1/'Metadata'!$B$5)^(O268-1))</x:f>
        <x:v>141.2537544622754</x:v>
      </x:c>
      <x:c r="U268" s="31" t="n">
        <x:f>IF(T268="","",I268*T268)</x:f>
        <x:v>1771.9684948209529</x:v>
      </x:c>
    </x:row>
    <x:row r="269" ht="18" customHeight="1">
      <x:c r="A269" s="24" t="str">
        <x:v>EEZ_036</x:v>
      </x:c>
      <x:c r="B269" s="24" t="str">
        <x:v>Australia</x:v>
      </x:c>
      <x:c r="C269" s="24" t="str">
        <x:v>EEZ</x:v>
      </x:c>
      <x:c r="D269" s="30" t="n">
        <x:v>2019</x:v>
      </x:c>
      <x:c r="E269" s="24" t="str">
        <x:v>Rhizoprionodon acutus</x:v>
      </x:c>
      <x:c r="F269" s="24" t="str">
        <x:v>Milk shark</x:v>
      </x:c>
      <x:c r="G269" s="24" t="str">
        <x:v>Large sharks (&gt;=90 cm)</x:v>
      </x:c>
      <x:c r="H269" s="24" t="str">
        <x:v>Sharks &amp; rays</x:v>
      </x:c>
      <x:c r="I269" s="31" t="n">
        <x:v>11.3871104407</x:v>
      </x:c>
      <x:c r="J269" s="31" t="n">
        <x:v>11.3871104407</x:v>
      </x:c>
      <x:c r="K269" s="31" t="n">
        <x:v>0</x:v>
      </x:c>
      <x:c r="L269" s="31" t="n">
        <x:v>11.387088395200001</x:v>
      </x:c>
      <x:c r="M269" s="31" t="n">
        <x:v>0.0000220455</x:v>
      </x:c>
      <x:c r="N269" s="24" t="str">
        <x:v>rhizoprionodon acutus</x:v>
      </x:c>
      <x:c r="O269" s="32" t="n">
        <x:v>4.25</x:v>
      </x:c>
      <x:c r="P269" s="24" t="str">
        <x:v>exact_2020_supplement</x:v>
      </x:c>
      <x:c r="Q269" s="32" t="str">
        <x:v>2020 supplement MeanTL</x:v>
      </x:c>
      <x:c r="R269" s="24" t="str">
        <x:v>high</x:v>
      </x:c>
      <x:c r="S269" s="24" t="str">
        <x:v>Rhizoprionodon acutus</x:v>
      </x:c>
      <x:c r="T269" s="32" t="n">
        <x:f>IF(O269="","",(1/'Metadata'!$B$5)^(O269-1))</x:f>
        <x:v>1778.2794100389228</x:v>
      </x:c>
      <x:c r="U269" s="31" t="n">
        <x:f>IF(T269="","",I269*T269)</x:f>
        <x:v>20249.464036536057</x:v>
      </x:c>
    </x:row>
    <x:row r="270" ht="18" customHeight="1">
      <x:c r="A270" s="24" t="str">
        <x:v>EEZ_036</x:v>
      </x:c>
      <x:c r="B270" s="24" t="str">
        <x:v>Australia</x:v>
      </x:c>
      <x:c r="C270" s="24" t="str">
        <x:v>EEZ</x:v>
      </x:c>
      <x:c r="D270" s="30" t="n">
        <x:v>2019</x:v>
      </x:c>
      <x:c r="E270" s="24" t="str">
        <x:v>Glaucosoma hebraicum</x:v>
      </x:c>
      <x:c r="F270" s="24" t="str">
        <x:v>West Australian dhufish</x:v>
      </x:c>
      <x:c r="G270" s="24" t="str">
        <x:v>Large reef assoc. fish (&gt;=90 cm)</x:v>
      </x:c>
      <x:c r="H270" s="24" t="str">
        <x:v>Perch-likes</x:v>
      </x:c>
      <x:c r="I270" s="31" t="n">
        <x:v>11.3818142334</x:v>
      </x:c>
      <x:c r="J270" s="31" t="n">
        <x:v>11.3818142334</x:v>
      </x:c>
      <x:c r="K270" s="31" t="n">
        <x:v>0</x:v>
      </x:c>
      <x:c r="L270" s="31" t="n">
        <x:v>0</x:v>
      </x:c>
      <x:c r="M270" s="31" t="n">
        <x:v>11.3818142334</x:v>
      </x:c>
      <x:c r="N270" s="24" t="str">
        <x:v>glaucosoma hebraicum</x:v>
      </x:c>
      <x:c r="O270" s="32" t="n">
        <x:v>4.3</x:v>
      </x:c>
      <x:c r="P270" s="24" t="str">
        <x:v>exact_2020_supplement</x:v>
      </x:c>
      <x:c r="Q270" s="32" t="str">
        <x:v>2020 supplement MeanTL</x:v>
      </x:c>
      <x:c r="R270" s="24" t="str">
        <x:v>high</x:v>
      </x:c>
      <x:c r="S270" s="24" t="str">
        <x:v>Glaucosoma hebraicum</x:v>
      </x:c>
      <x:c r="T270" s="32" t="n">
        <x:f>IF(O270="","",(1/'Metadata'!$B$5)^(O270-1))</x:f>
        <x:v>1995.2623149688789</x:v>
      </x:c>
      <x:c r="U270" s="31" t="n">
        <x:f>IF(T270="","",I270*T270)</x:f>
        <x:v>22709.70501587942</x:v>
      </x:c>
    </x:row>
    <x:row r="271" ht="18" customHeight="1">
      <x:c r="A271" s="24" t="str">
        <x:v>EEZ_036</x:v>
      </x:c>
      <x:c r="B271" s="24" t="str">
        <x:v>Australia</x:v>
      </x:c>
      <x:c r="C271" s="24" t="str">
        <x:v>EEZ</x:v>
      </x:c>
      <x:c r="D271" s="30" t="n">
        <x:v>2019</x:v>
      </x:c>
      <x:c r="E271" s="24" t="str">
        <x:v>Coryphaena</x:v>
      </x:c>
      <x:c r="F271" s="24" t="str">
        <x:v>Dolphinfishes</x:v>
      </x:c>
      <x:c r="G271" s="24" t="str">
        <x:v>Large pelagics (&gt;=90 cm)</x:v>
      </x:c>
      <x:c r="H271" s="24" t="str">
        <x:v>Perch-likes</x:v>
      </x:c>
      <x:c r="I271" s="31" t="n">
        <x:v>11.2832651304</x:v>
      </x:c>
      <x:c r="J271" s="31" t="n">
        <x:v>11.2832651304</x:v>
      </x:c>
      <x:c r="K271" s="31" t="n">
        <x:v>0</x:v>
      </x:c>
      <x:c r="L271" s="31" t="n">
        <x:v>0.1600418255</x:v>
      </x:c>
      <x:c r="M271" s="31" t="n">
        <x:v>11.1232233049</x:v>
      </x:c>
      <x:c r="N271" s="24" t="str">
        <x:v>coryphaena</x:v>
      </x:c>
      <x:c r="O271" s="32" t="n">
        <x:v>4.49</x:v>
      </x:c>
      <x:c r="P271" s="24" t="str">
        <x:v>exact_sea_around_us</x:v>
      </x:c>
      <x:c r="Q271" s="32" t="str">
        <x:v>Sea Around Us exploited organisms</x:v>
      </x:c>
      <x:c r="R271" s="24" t="str">
        <x:v>high</x:v>
      </x:c>
      <x:c r="S271" s="24" t="str">
        <x:v>Coryphaena</x:v>
      </x:c>
      <x:c r="T271" s="32" t="n">
        <x:f>IF(O271="","",(1/'Metadata'!$B$5)^(O271-1))</x:f>
        <x:v>3090.295432513592</x:v>
      </x:c>
      <x:c r="U271" s="31" t="n">
        <x:f>IF(T271="","",I271*T271)</x:f>
        <x:v>34868.622696315</x:v>
      </x:c>
    </x:row>
    <x:row r="272" ht="18" customHeight="1">
      <x:c r="A272" s="24" t="str">
        <x:v>EEZ_036</x:v>
      </x:c>
      <x:c r="B272" s="24" t="str">
        <x:v>Australia</x:v>
      </x:c>
      <x:c r="C272" s="24" t="str">
        <x:v>EEZ</x:v>
      </x:c>
      <x:c r="D272" s="30" t="n">
        <x:v>2019</x:v>
      </x:c>
      <x:c r="E272" s="24" t="str">
        <x:v>Alopias vulpinus</x:v>
      </x:c>
      <x:c r="F272" s="24" t="str">
        <x:v>Thresher</x:v>
      </x:c>
      <x:c r="G272" s="24" t="str">
        <x:v>Large sharks (&gt;=90 cm)</x:v>
      </x:c>
      <x:c r="H272" s="24" t="str">
        <x:v>Sharks &amp; rays</x:v>
      </x:c>
      <x:c r="I272" s="31" t="n">
        <x:v>11.2728266465</x:v>
      </x:c>
      <x:c r="J272" s="31" t="n">
        <x:v>11.2728266465</x:v>
      </x:c>
      <x:c r="K272" s="31" t="n">
        <x:v>0</x:v>
      </x:c>
      <x:c r="L272" s="31" t="n">
        <x:v>10.7139137478</x:v>
      </x:c>
      <x:c r="M272" s="31" t="n">
        <x:v>0.5589128987</x:v>
      </x:c>
      <x:c r="N272" s="24" t="str">
        <x:v>alopias vulpinus</x:v>
      </x:c>
      <x:c r="O272" s="32" t="n">
        <x:v>4.5</x:v>
      </x:c>
      <x:c r="P272" s="24" t="str">
        <x:v>exact_2020_supplement</x:v>
      </x:c>
      <x:c r="Q272" s="32" t="str">
        <x:v>2020 supplement MeanTL</x:v>
      </x:c>
      <x:c r="R272" s="24" t="str">
        <x:v>high</x:v>
      </x:c>
      <x:c r="S272" s="24" t="str">
        <x:v>Alopias vulpinus</x:v>
      </x:c>
      <x:c r="T272" s="32" t="n">
        <x:f>IF(O272="","",(1/'Metadata'!$B$5)^(O272-1))</x:f>
        <x:v>3162.2776601683795</x:v>
      </x:c>
      <x:c r="U272" s="31" t="n">
        <x:f>IF(T272="","",I272*T272)</x:f>
        <x:v>35647.80787117778</x:v>
      </x:c>
    </x:row>
    <x:row r="273" ht="18" customHeight="1">
      <x:c r="A273" s="24" t="str">
        <x:v>EEZ_036</x:v>
      </x:c>
      <x:c r="B273" s="24" t="str">
        <x:v>Australia</x:v>
      </x:c>
      <x:c r="C273" s="24" t="str">
        <x:v>EEZ</x:v>
      </x:c>
      <x:c r="D273" s="30" t="n">
        <x:v>2019</x:v>
      </x:c>
      <x:c r="E273" s="24" t="str">
        <x:v>Megalops cyprinoides</x:v>
      </x:c>
      <x:c r="F273" s="24" t="str">
        <x:v>Indo-Pacific tarpon</x:v>
      </x:c>
      <x:c r="G273" s="24" t="str">
        <x:v>Large pelagics (&gt;=90 cm)</x:v>
      </x:c>
      <x:c r="H273" s="24" t="str">
        <x:v>Other fishes &amp; inverts</x:v>
      </x:c>
      <x:c r="I273" s="31" t="n">
        <x:v>10.9233388669</x:v>
      </x:c>
      <x:c r="J273" s="31" t="n">
        <x:v>10.9233388669</x:v>
      </x:c>
      <x:c r="K273" s="31" t="n">
        <x:v>0</x:v>
      </x:c>
      <x:c r="L273" s="31" t="n">
        <x:v>2.2137636634</x:v>
      </x:c>
      <x:c r="M273" s="31" t="n">
        <x:v>8.7095752035</x:v>
      </x:c>
      <x:c r="N273" s="24" t="str">
        <x:v>megalops cyprinoides</x:v>
      </x:c>
      <x:c r="O273" s="32" t="n">
        <x:v>3.48</x:v>
      </x:c>
      <x:c r="P273" s="24" t="str">
        <x:v>exact_2020_supplement</x:v>
      </x:c>
      <x:c r="Q273" s="32" t="str">
        <x:v>2020 supplement MeanTL</x:v>
      </x:c>
      <x:c r="R273" s="24" t="str">
        <x:v>high</x:v>
      </x:c>
      <x:c r="S273" s="24" t="str">
        <x:v>Megalops cyprinoides</x:v>
      </x:c>
      <x:c r="T273" s="32" t="n">
        <x:f>IF(O273="","",(1/'Metadata'!$B$5)^(O273-1))</x:f>
        <x:v>301.9951720402016</x:v>
      </x:c>
      <x:c r="U273" s="31" t="n">
        <x:f>IF(T273="","",I273*T273)</x:f>
        <x:v>3298.7956003628865</x:v>
      </x:c>
    </x:row>
    <x:row r="274" ht="18" customHeight="1">
      <x:c r="A274" s="24" t="str">
        <x:v>EEZ_036</x:v>
      </x:c>
      <x:c r="B274" s="24" t="str">
        <x:v>Australia</x:v>
      </x:c>
      <x:c r="C274" s="24" t="str">
        <x:v>EEZ</x:v>
      </x:c>
      <x:c r="D274" s="30" t="n">
        <x:v>2019</x:v>
      </x:c>
      <x:c r="E274" s="24" t="str">
        <x:v>Amblygaster sirm</x:v>
      </x:c>
      <x:c r="F274" s="24" t="str">
        <x:v>Spotted sardinella</x:v>
      </x:c>
      <x:c r="G274" s="24" t="str">
        <x:v>Small pelagics (&lt;30 cm)</x:v>
      </x:c>
      <x:c r="H274" s="24" t="str">
        <x:v>Herring-likes</x:v>
      </x:c>
      <x:c r="I274" s="31" t="n">
        <x:v>10.0279914949</x:v>
      </x:c>
      <x:c r="J274" s="31" t="n">
        <x:v>10.0279914949</x:v>
      </x:c>
      <x:c r="K274" s="31" t="n">
        <x:v>0</x:v>
      </x:c>
      <x:c r="L274" s="31" t="n">
        <x:v>10.0235392502</x:v>
      </x:c>
      <x:c r="M274" s="31" t="n">
        <x:v>0.0044522447</x:v>
      </x:c>
      <x:c r="N274" s="24" t="str">
        <x:v>amblygaster sirm</x:v>
      </x:c>
      <x:c r="O274" s="32" t="n">
        <x:v>3.2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Amblygaster sirm</x:v>
      </x:c>
      <x:c r="T274" s="32" t="n">
        <x:f>IF(O274="","",(1/'Metadata'!$B$5)^(O274-1))</x:f>
        <x:v>158.48931924611142</x:v>
      </x:c>
      <x:c r="U274" s="31" t="n">
        <x:f>IF(T274="","",I274*T274)</x:f>
        <x:v>1589.3295454324962</x:v>
      </x:c>
    </x:row>
    <x:row r="275" ht="18" customHeight="1">
      <x:c r="A275" s="24" t="str">
        <x:v>EEZ_036</x:v>
      </x:c>
      <x:c r="B275" s="24" t="str">
        <x:v>Australia</x:v>
      </x:c>
      <x:c r="C275" s="24" t="str">
        <x:v>EEZ</x:v>
      </x:c>
      <x:c r="D275" s="30" t="n">
        <x:v>2019</x:v>
      </x:c>
      <x:c r="E275" s="24" t="str">
        <x:v>Parastromateus niger</x:v>
      </x:c>
      <x:c r="F275" s="24" t="str">
        <x:v>Black pomfret</x:v>
      </x:c>
      <x:c r="G275" s="24" t="str">
        <x:v>Medium benthopelagics (30 - 89 cm)</x:v>
      </x:c>
      <x:c r="H275" s="24" t="str">
        <x:v>Perch-likes</x:v>
      </x:c>
      <x:c r="I275" s="31" t="n">
        <x:v>9.923655801599999</x:v>
      </x:c>
      <x:c r="J275" s="31" t="n">
        <x:v>9.923655801599999</x:v>
      </x:c>
      <x:c r="K275" s="31" t="n">
        <x:v>0</x:v>
      </x:c>
      <x:c r="L275" s="31" t="n">
        <x:v>9.9079987084</x:v>
      </x:c>
      <x:c r="M275" s="31" t="n">
        <x:v>0.0156570932</x:v>
      </x:c>
      <x:c r="N275" s="24" t="str">
        <x:v>parastromateus niger</x:v>
      </x:c>
      <x:c r="O275" s="32" t="n">
        <x:v>2.93</x:v>
      </x:c>
      <x:c r="P275" s="24" t="str">
        <x:v>exact_2020_supplement</x:v>
      </x:c>
      <x:c r="Q275" s="32" t="str">
        <x:v>2020 supplement MeanTL</x:v>
      </x:c>
      <x:c r="R275" s="24" t="str">
        <x:v>high</x:v>
      </x:c>
      <x:c r="S275" s="24" t="str">
        <x:v>Parastromateus niger</x:v>
      </x:c>
      <x:c r="T275" s="32" t="n">
        <x:f>IF(O275="","",(1/'Metadata'!$B$5)^(O275-1))</x:f>
        <x:v>85.11380382023768</x:v>
      </x:c>
      <x:c r="U275" s="31" t="n">
        <x:f>IF(T275="","",I275*T275)</x:f>
        <x:v>844.6400930769457</x:v>
      </x:c>
    </x:row>
    <x:row r="276" ht="18" customHeight="1">
      <x:c r="A276" s="24" t="str">
        <x:v>EEZ_036</x:v>
      </x:c>
      <x:c r="B276" s="24" t="str">
        <x:v>Australia</x:v>
      </x:c>
      <x:c r="C276" s="24" t="str">
        <x:v>EEZ</x:v>
      </x:c>
      <x:c r="D276" s="30" t="n">
        <x:v>2019</x:v>
      </x:c>
      <x:c r="E276" s="24" t="str">
        <x:v>Plagiogeneion rubiginosum</x:v>
      </x:c>
      <x:c r="F276" s="24" t="str">
        <x:v>Rubyfish</x:v>
      </x:c>
      <x:c r="G276" s="24" t="str">
        <x:v>Medium bathydemersals (30 - 89 cm)</x:v>
      </x:c>
      <x:c r="H276" s="24" t="str">
        <x:v>Perch-likes</x:v>
      </x:c>
      <x:c r="I276" s="31" t="n">
        <x:v>9.8213747872</x:v>
      </x:c>
      <x:c r="J276" s="31" t="n">
        <x:v>9.8213747872</x:v>
      </x:c>
      <x:c r="K276" s="31" t="n">
        <x:v>0</x:v>
      </x:c>
      <x:c r="L276" s="31" t="n">
        <x:v>9.8213747872</x:v>
      </x:c>
      <x:c r="M276" s="31" t="n">
        <x:v>0</x:v>
      </x:c>
      <x:c r="N276" s="24" t="str">
        <x:v>plagiogeneion rubiginosum</x:v>
      </x:c>
      <x:c r="O276" s="32" t="n">
        <x:v>3.4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Plagiogeneion rubiginosum</x:v>
      </x:c>
      <x:c r="T276" s="32" t="n">
        <x:f>IF(O276="","",(1/'Metadata'!$B$5)^(O276-1))</x:f>
        <x:v>251.18864315095797</x:v>
      </x:c>
      <x:c r="U276" s="31" t="n">
        <x:f>IF(T276="","",I276*T276)</x:f>
        <x:v>2467.0178066737967</x:v>
      </x:c>
    </x:row>
    <x:row r="277" ht="18" customHeight="1">
      <x:c r="A277" s="24" t="str">
        <x:v>EEZ_036</x:v>
      </x:c>
      <x:c r="B277" s="24" t="str">
        <x:v>Australia</x:v>
      </x:c>
      <x:c r="C277" s="24" t="str">
        <x:v>EEZ</x:v>
      </x:c>
      <x:c r="D277" s="30" t="n">
        <x:v>2019</x:v>
      </x:c>
      <x:c r="E277" s="24" t="str">
        <x:v>Lepidoperca pulchella</x:v>
      </x:c>
      <x:c r="F277" s="24" t="str">
        <x:v>Orange perch</x:v>
      </x:c>
      <x:c r="G277" s="24" t="str">
        <x:v>Small demersals (&lt;30 cm)</x:v>
      </x:c>
      <x:c r="H277" s="24" t="str">
        <x:v>Perch-likes</x:v>
      </x:c>
      <x:c r="I277" s="31" t="n">
        <x:v>9.7208207788</x:v>
      </x:c>
      <x:c r="J277" s="31" t="n">
        <x:v>9.7208207788</x:v>
      </x:c>
      <x:c r="K277" s="31" t="n">
        <x:v>0</x:v>
      </x:c>
      <x:c r="L277" s="31" t="n">
        <x:v>9.7208207788</x:v>
      </x:c>
      <x:c r="M277" s="31" t="n">
        <x:v>0</x:v>
      </x:c>
      <x:c r="N277" s="24" t="str">
        <x:v>lepidoperca pulchella</x:v>
      </x:c>
      <x:c r="O277" s="32" t="n">
        <x:v>3.47</x:v>
      </x:c>
      <x:c r="P277" s="24" t="str">
        <x:v>exact_sea_around_us</x:v>
      </x:c>
      <x:c r="Q277" s="32" t="str">
        <x:v>Sea Around Us exploited organisms</x:v>
      </x:c>
      <x:c r="R277" s="24" t="str">
        <x:v>high</x:v>
      </x:c>
      <x:c r="S277" s="24" t="str">
        <x:v>Lepidoperca pulchella</x:v>
      </x:c>
      <x:c r="T277" s="32" t="n">
        <x:f>IF(O277="","",(1/'Metadata'!$B$5)^(O277-1))</x:f>
        <x:v>295.1209226666387</x:v>
      </x:c>
      <x:c r="U277" s="31" t="n">
        <x:f>IF(T277="","",I277*T277)</x:f>
        <x:v>2868.8175973164894</x:v>
      </x:c>
    </x:row>
    <x:row r="278" ht="18" customHeight="1">
      <x:c r="A278" s="24" t="str">
        <x:v>EEZ_036</x:v>
      </x:c>
      <x:c r="B278" s="24" t="str">
        <x:v>Australia</x:v>
      </x:c>
      <x:c r="C278" s="24" t="str">
        <x:v>EEZ</x:v>
      </x:c>
      <x:c r="D278" s="30" t="n">
        <x:v>2019</x:v>
      </x:c>
      <x:c r="E278" s="24" t="str">
        <x:v>Scarus ghobban</x:v>
      </x:c>
      <x:c r="F278" s="24" t="str">
        <x:v>Blue-barred parrotfish</x:v>
      </x:c>
      <x:c r="G278" s="24" t="str">
        <x:v>Medium reef assoc. fish (30 - 89 cm)</x:v>
      </x:c>
      <x:c r="H278" s="24" t="str">
        <x:v>Perch-likes</x:v>
      </x:c>
      <x:c r="I278" s="31" t="n">
        <x:v>9.6963217903</x:v>
      </x:c>
      <x:c r="J278" s="31" t="n">
        <x:v>9.6963217903</x:v>
      </x:c>
      <x:c r="K278" s="31" t="n">
        <x:v>0</x:v>
      </x:c>
      <x:c r="L278" s="31" t="n">
        <x:v>0</x:v>
      </x:c>
      <x:c r="M278" s="31" t="n">
        <x:v>9.6963217903</x:v>
      </x:c>
      <x:c r="N278" s="24" t="str">
        <x:v>scarus ghobban</x:v>
      </x:c>
      <x:c r="O278" s="32" t="n">
        <x:v>2</x:v>
      </x:c>
      <x:c r="P278" s="24" t="str">
        <x:v>exact_2020_supplement</x:v>
      </x:c>
      <x:c r="Q278" s="32" t="str">
        <x:v>2020 supplement MeanTL</x:v>
      </x:c>
      <x:c r="R278" s="24" t="str">
        <x:v>high</x:v>
      </x:c>
      <x:c r="S278" s="24" t="str">
        <x:v>Scarus ghobban</x:v>
      </x:c>
      <x:c r="T278" s="32" t="n">
        <x:f>IF(O278="","",(1/'Metadata'!$B$5)^(O278-1))</x:f>
        <x:v>10</x:v>
      </x:c>
      <x:c r="U278" s="31" t="n">
        <x:f>IF(T278="","",I278*T278)</x:f>
        <x:v>96.96321790300001</x:v>
      </x:c>
    </x:row>
    <x:row r="279" ht="18" customHeight="1">
      <x:c r="A279" s="24" t="str">
        <x:v>EEZ_036</x:v>
      </x:c>
      <x:c r="B279" s="24" t="str">
        <x:v>Australia</x:v>
      </x:c>
      <x:c r="C279" s="24" t="str">
        <x:v>EEZ</x:v>
      </x:c>
      <x:c r="D279" s="30" t="n">
        <x:v>2019</x:v>
      </x:c>
      <x:c r="E279" s="24" t="str">
        <x:v>Carcharias taurus</x:v>
      </x:c>
      <x:c r="F279" s="24" t="str">
        <x:v>Sand tiger shark</x:v>
      </x:c>
      <x:c r="G279" s="24" t="str">
        <x:v>Large sharks (&gt;=90 cm)</x:v>
      </x:c>
      <x:c r="H279" s="24" t="str">
        <x:v>Sharks &amp; rays</x:v>
      </x:c>
      <x:c r="I279" s="31" t="n">
        <x:v>9.5771811937</x:v>
      </x:c>
      <x:c r="J279" s="31" t="n">
        <x:v>9.5771811937</x:v>
      </x:c>
      <x:c r="K279" s="31" t="n">
        <x:v>0</x:v>
      </x:c>
      <x:c r="L279" s="31" t="n">
        <x:v>5.8803436824</x:v>
      </x:c>
      <x:c r="M279" s="31" t="n">
        <x:v>3.6968375113</x:v>
      </x:c>
      <x:c r="N279" s="24" t="str">
        <x:v>carcharias taurus</x:v>
      </x:c>
      <x:c r="O279" s="32" t="n">
        <x:v>4.5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Carcharias taurus</x:v>
      </x:c>
      <x:c r="T279" s="32" t="n">
        <x:f>IF(O279="","",(1/'Metadata'!$B$5)^(O279-1))</x:f>
        <x:v>3162.2776601683795</x:v>
      </x:c>
      <x:c r="U279" s="31" t="n">
        <x:f>IF(T279="","",I279*T279)</x:f>
        <x:v>30285.70613622224</x:v>
      </x:c>
    </x:row>
    <x:row r="280" ht="18" customHeight="1">
      <x:c r="A280" s="24" t="str">
        <x:v>EEZ_036</x:v>
      </x:c>
      <x:c r="B280" s="24" t="str">
        <x:v>Australia</x:v>
      </x:c>
      <x:c r="C280" s="24" t="str">
        <x:v>EEZ</x:v>
      </x:c>
      <x:c r="D280" s="30" t="n">
        <x:v>2019</x:v>
      </x:c>
      <x:c r="E280" s="24" t="str">
        <x:v>Thunnus tonggol</x:v>
      </x:c>
      <x:c r="F280" s="24" t="str">
        <x:v>Longtail tuna</x:v>
      </x:c>
      <x:c r="G280" s="24" t="str">
        <x:v>Large pelagics (&gt;=90 cm)</x:v>
      </x:c>
      <x:c r="H280" s="24" t="str">
        <x:v>Tuna &amp; billfishes</x:v>
      </x:c>
      <x:c r="I280" s="31" t="n">
        <x:v>9.5325485964</x:v>
      </x:c>
      <x:c r="J280" s="31" t="n">
        <x:v>9.5325485964</x:v>
      </x:c>
      <x:c r="K280" s="31" t="n">
        <x:v>0</x:v>
      </x:c>
      <x:c r="L280" s="31" t="n">
        <x:v>8.8820498159</x:v>
      </x:c>
      <x:c r="M280" s="31" t="n">
        <x:v>0.6504987805</x:v>
      </x:c>
      <x:c r="N280" s="24" t="str">
        <x:v>thunnus tonggol</x:v>
      </x:c>
      <x:c r="O280" s="32" t="n">
        <x:v>4.5</x:v>
      </x:c>
      <x:c r="P280" s="24" t="str">
        <x:v>exact_2020_supplement</x:v>
      </x:c>
      <x:c r="Q280" s="32" t="str">
        <x:v>2020 supplement MeanTL</x:v>
      </x:c>
      <x:c r="R280" s="24" t="str">
        <x:v>high</x:v>
      </x:c>
      <x:c r="S280" s="24" t="str">
        <x:v>Thunnus tonggol</x:v>
      </x:c>
      <x:c r="T280" s="32" t="n">
        <x:f>IF(O280="","",(1/'Metadata'!$B$5)^(O280-1))</x:f>
        <x:v>3162.2776601683795</x:v>
      </x:c>
      <x:c r="U280" s="31" t="n">
        <x:f>IF(T280="","",I280*T280)</x:f>
        <x:v>30144.56547086516</x:v>
      </x:c>
    </x:row>
    <x:row r="281" ht="18" customHeight="1">
      <x:c r="A281" s="24" t="str">
        <x:v>EEZ_036</x:v>
      </x:c>
      <x:c r="B281" s="24" t="str">
        <x:v>Australia</x:v>
      </x:c>
      <x:c r="C281" s="24" t="str">
        <x:v>EEZ</x:v>
      </x:c>
      <x:c r="D281" s="30" t="n">
        <x:v>2019</x:v>
      </x:c>
      <x:c r="E281" s="24" t="str">
        <x:v>Tetrapturus angustirostris</x:v>
      </x:c>
      <x:c r="F281" s="24" t="str">
        <x:v>Shortbill spearfish</x:v>
      </x:c>
      <x:c r="G281" s="24" t="str">
        <x:v>Large pelagics (&gt;=90 cm)</x:v>
      </x:c>
      <x:c r="H281" s="24" t="str">
        <x:v>Tuna &amp; billfishes</x:v>
      </x:c>
      <x:c r="I281" s="31" t="n">
        <x:v>9.5131113671</x:v>
      </x:c>
      <x:c r="J281" s="31" t="n">
        <x:v>9.5131113671</x:v>
      </x:c>
      <x:c r="K281" s="31" t="n">
        <x:v>0</x:v>
      </x:c>
      <x:c r="L281" s="31" t="n">
        <x:v>1.0351353849</x:v>
      </x:c>
      <x:c r="M281" s="31" t="n">
        <x:v>8.4779759822</x:v>
      </x:c>
      <x:c r="N281" s="24" t="str">
        <x:v>tetrapturus angustirostris</x:v>
      </x:c>
      <x:c r="O281" s="32" t="n">
        <x:v>4.5</x:v>
      </x:c>
      <x:c r="P281" s="24" t="str">
        <x:v>exact_2020_supplement</x:v>
      </x:c>
      <x:c r="Q281" s="32" t="str">
        <x:v>2020 supplement MeanTL</x:v>
      </x:c>
      <x:c r="R281" s="24" t="str">
        <x:v>high</x:v>
      </x:c>
      <x:c r="S281" s="24" t="str">
        <x:v>Tetrapturus angustirostris</x:v>
      </x:c>
      <x:c r="T281" s="32" t="n">
        <x:f>IF(O281="","",(1/'Metadata'!$B$5)^(O281-1))</x:f>
        <x:v>3162.2776601683795</x:v>
      </x:c>
      <x:c r="U281" s="31" t="n">
        <x:f>IF(T281="","",I281*T281)</x:f>
        <x:v>30083.099554874203</x:v>
      </x:c>
    </x:row>
    <x:row r="282" ht="18" customHeight="1">
      <x:c r="A282" s="24" t="str">
        <x:v>EEZ_036</x:v>
      </x:c>
      <x:c r="B282" s="24" t="str">
        <x:v>Australia</x:v>
      </x:c>
      <x:c r="C282" s="24" t="str">
        <x:v>EEZ</x:v>
      </x:c>
      <x:c r="D282" s="30" t="n">
        <x:v>2019</x:v>
      </x:c>
      <x:c r="E282" s="24" t="str">
        <x:v>Sarda</x:v>
      </x:c>
      <x:c r="F282" s="24" t="str">
        <x:v>Bonitos</x:v>
      </x:c>
      <x:c r="G282" s="24" t="str">
        <x:v>Large pelagics (&gt;=90 cm)</x:v>
      </x:c>
      <x:c r="H282" s="24" t="str">
        <x:v>Tuna &amp; billfishes</x:v>
      </x:c>
      <x:c r="I282" s="31" t="n">
        <x:v>9.3744861799</x:v>
      </x:c>
      <x:c r="J282" s="31" t="n">
        <x:v>9.3744861799</x:v>
      </x:c>
      <x:c r="K282" s="31" t="n">
        <x:v>0</x:v>
      </x:c>
      <x:c r="L282" s="31" t="n">
        <x:v>9.3744861799</x:v>
      </x:c>
      <x:c r="M282" s="31" t="n">
        <x:v>0</x:v>
      </x:c>
      <x:c r="N282" s="24" t="str">
        <x:v>sarda</x:v>
      </x:c>
      <x:c r="O282" s="32" t="n">
        <x:v>4.37</x:v>
      </x:c>
      <x:c r="P282" s="24" t="str">
        <x:v>exact_sea_around_us</x:v>
      </x:c>
      <x:c r="Q282" s="32" t="str">
        <x:v>Sea Around Us exploited organisms</x:v>
      </x:c>
      <x:c r="R282" s="24" t="str">
        <x:v>high</x:v>
      </x:c>
      <x:c r="S282" s="24" t="str">
        <x:v>Sarda</x:v>
      </x:c>
      <x:c r="T282" s="32" t="n">
        <x:f>IF(O282="","",(1/'Metadata'!$B$5)^(O282-1))</x:f>
        <x:v>2344.228815319923</x:v>
      </x:c>
      <x:c r="U282" s="31" t="n">
        <x:f>IF(T282="","",I282*T282)</x:f>
        <x:v>21975.940631739966</x:v>
      </x:c>
    </x:row>
    <x:row r="283" ht="18" customHeight="1">
      <x:c r="A283" s="24" t="str">
        <x:v>EEZ_036</x:v>
      </x:c>
      <x:c r="B283" s="24" t="str">
        <x:v>Australia</x:v>
      </x:c>
      <x:c r="C283" s="24" t="str">
        <x:v>EEZ</x:v>
      </x:c>
      <x:c r="D283" s="30" t="n">
        <x:v>2019</x:v>
      </x:c>
      <x:c r="E283" s="24" t="str">
        <x:v>Chanos chanos</x:v>
      </x:c>
      <x:c r="F283" s="24" t="str">
        <x:v>Milkfish</x:v>
      </x:c>
      <x:c r="G283" s="24" t="str">
        <x:v>Large benthopelagics (&gt;=90 cm)</x:v>
      </x:c>
      <x:c r="H283" s="24" t="str">
        <x:v>Other fishes &amp; inverts</x:v>
      </x:c>
      <x:c r="I283" s="31" t="n">
        <x:v>9.1723964623</x:v>
      </x:c>
      <x:c r="J283" s="31" t="n">
        <x:v>9.1723964623</x:v>
      </x:c>
      <x:c r="K283" s="31" t="n">
        <x:v>0</x:v>
      </x:c>
      <x:c r="L283" s="31" t="n">
        <x:v>8.7410758965</x:v>
      </x:c>
      <x:c r="M283" s="31" t="n">
        <x:v>0.4313205658</x:v>
      </x:c>
      <x:c r="N283" s="24" t="str">
        <x:v>chanos chanos</x:v>
      </x:c>
      <x:c r="O283" s="32" t="n">
        <x:v>2.03</x:v>
      </x:c>
      <x:c r="P283" s="24" t="str">
        <x:v>exact_2020_supplement</x:v>
      </x:c>
      <x:c r="Q283" s="32" t="str">
        <x:v>2020 supplement MeanTL</x:v>
      </x:c>
      <x:c r="R283" s="24" t="str">
        <x:v>high</x:v>
      </x:c>
      <x:c r="S283" s="24" t="str">
        <x:v>Chanos chanos</x:v>
      </x:c>
      <x:c r="T283" s="32" t="n">
        <x:f>IF(O283="","",(1/'Metadata'!$B$5)^(O283-1))</x:f>
        <x:v>10.71519305237606</x:v>
      </x:c>
      <x:c r="U283" s="31" t="n">
        <x:f>IF(T283="","",I283*T283)</x:f>
        <x:v>98.28399884647571</x:v>
      </x:c>
    </x:row>
    <x:row r="284" ht="18" customHeight="1">
      <x:c r="A284" s="24" t="str">
        <x:v>EEZ_036</x:v>
      </x:c>
      <x:c r="B284" s="24" t="str">
        <x:v>Australia</x:v>
      </x:c>
      <x:c r="C284" s="24" t="str">
        <x:v>EEZ</x:v>
      </x:c>
      <x:c r="D284" s="30" t="n">
        <x:v>2019</x:v>
      </x:c>
      <x:c r="E284" s="24" t="str">
        <x:v>Lamna nasus</x:v>
      </x:c>
      <x:c r="F284" s="24" t="str">
        <x:v>Porbeagle</x:v>
      </x:c>
      <x:c r="G284" s="24" t="str">
        <x:v>Large sharks (&gt;=90 cm)</x:v>
      </x:c>
      <x:c r="H284" s="24" t="str">
        <x:v>Sharks &amp; rays</x:v>
      </x:c>
      <x:c r="I284" s="31" t="n">
        <x:v>8.934448386</x:v>
      </x:c>
      <x:c r="J284" s="31" t="n">
        <x:v>8.934448386</x:v>
      </x:c>
      <x:c r="K284" s="31" t="n">
        <x:v>0</x:v>
      </x:c>
      <x:c r="L284" s="31" t="n">
        <x:v>8.934448386</x:v>
      </x:c>
      <x:c r="M284" s="31" t="n">
        <x:v>0</x:v>
      </x:c>
      <x:c r="N284" s="24" t="str">
        <x:v>lamna nasus</x:v>
      </x:c>
      <x:c r="O284" s="32" t="n">
        <x:v>4.57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Lamna nasus</x:v>
      </x:c>
      <x:c r="T284" s="32" t="n">
        <x:f>IF(O284="","",(1/'Metadata'!$B$5)^(O284-1))</x:f>
        <x:v>3715.3522909717276</x:v>
      </x:c>
      <x:c r="U284" s="31" t="n">
        <x:f>IF(T284="","",I284*T284)</x:f>
        <x:v>33194.62327949375</x:v>
      </x:c>
    </x:row>
    <x:row r="285" ht="18" customHeight="1">
      <x:c r="A285" s="24" t="str">
        <x:v>EEZ_036</x:v>
      </x:c>
      <x:c r="B285" s="24" t="str">
        <x:v>Australia</x:v>
      </x:c>
      <x:c r="C285" s="24" t="str">
        <x:v>EEZ</x:v>
      </x:c>
      <x:c r="D285" s="30" t="n">
        <x:v>2019</x:v>
      </x:c>
      <x:c r="E285" s="24" t="str">
        <x:v>Dasyatidae</x:v>
      </x:c>
      <x:c r="F285" s="24" t="str">
        <x:v>Whiptail stingrays</x:v>
      </x:c>
      <x:c r="G285" s="24" t="str">
        <x:v>Large rays (&gt;=90 cm)</x:v>
      </x:c>
      <x:c r="H285" s="24" t="str">
        <x:v>Sharks &amp; rays</x:v>
      </x:c>
      <x:c r="I285" s="31" t="n">
        <x:v>8.8001662663</x:v>
      </x:c>
      <x:c r="J285" s="31" t="n">
        <x:v>1.7333721004999998</x:v>
      </x:c>
      <x:c r="K285" s="31" t="n">
        <x:v>7.066794165799999</x:v>
      </x:c>
      <x:c r="L285" s="31" t="n">
        <x:v>1.7333419020999998</x:v>
      </x:c>
      <x:c r="M285" s="31" t="n">
        <x:v>7.0668243641999995</x:v>
      </x:c>
      <x:c r="N285" s="24" t="str">
        <x:v>dasyatidae</x:v>
      </x:c>
      <x:c r="O285" s="32" t="n">
        <x:v>3.38</x:v>
      </x:c>
      <x:c r="P285" s="24" t="str">
        <x:v>exact_sea_around_us</x:v>
      </x:c>
      <x:c r="Q285" s="32" t="str">
        <x:v>Sea Around Us exploited organisms</x:v>
      </x:c>
      <x:c r="R285" s="24" t="str">
        <x:v>high</x:v>
      </x:c>
      <x:c r="S285" s="24" t="str">
        <x:v>Dasyatidae</x:v>
      </x:c>
      <x:c r="T285" s="32" t="n">
        <x:f>IF(O285="","",(1/'Metadata'!$B$5)^(O285-1))</x:f>
        <x:v>239.88329190194898</x:v>
      </x:c>
      <x:c r="U285" s="31" t="n">
        <x:f>IF(T285="","",I285*T285)</x:f>
        <x:v>2111.0128532445274</x:v>
      </x:c>
    </x:row>
    <x:row r="286" ht="18" customHeight="1">
      <x:c r="A286" s="24" t="str">
        <x:v>EEZ_036</x:v>
      </x:c>
      <x:c r="B286" s="24" t="str">
        <x:v>Australia</x:v>
      </x:c>
      <x:c r="C286" s="24" t="str">
        <x:v>EEZ</x:v>
      </x:c>
      <x:c r="D286" s="30" t="n">
        <x:v>2019</x:v>
      </x:c>
      <x:c r="E286" s="24" t="str">
        <x:v>Carcharhinus albimarginatus</x:v>
      </x:c>
      <x:c r="F286" s="24" t="str">
        <x:v>Silvertip shark</x:v>
      </x:c>
      <x:c r="G286" s="24" t="str">
        <x:v>Large sharks (&gt;=90 cm)</x:v>
      </x:c>
      <x:c r="H286" s="24" t="str">
        <x:v>Sharks &amp; rays</x:v>
      </x:c>
      <x:c r="I286" s="31" t="n">
        <x:v>8.6123361161</x:v>
      </x:c>
      <x:c r="J286" s="31" t="n">
        <x:v>8.6123361161</x:v>
      </x:c>
      <x:c r="K286" s="31" t="n">
        <x:v>0</x:v>
      </x:c>
      <x:c r="L286" s="31" t="n">
        <x:v>5.9583506763</x:v>
      </x:c>
      <x:c r="M286" s="31" t="n">
        <x:v>2.6539854398</x:v>
      </x:c>
      <x:c r="N286" s="24" t="str">
        <x:v>carcharhinus albimarginatus</x:v>
      </x:c>
      <x:c r="O286" s="32" t="n">
        <x:v>4.21</x:v>
      </x:c>
      <x:c r="P286" s="24" t="str">
        <x:v>exact_2020_supplement</x:v>
      </x:c>
      <x:c r="Q286" s="32" t="str">
        <x:v>2020 supplement MeanTL</x:v>
      </x:c>
      <x:c r="R286" s="24" t="str">
        <x:v>high</x:v>
      </x:c>
      <x:c r="S286" s="24" t="str">
        <x:v>Carcharhinus albimarginatus</x:v>
      </x:c>
      <x:c r="T286" s="32" t="n">
        <x:f>IF(O286="","",(1/'Metadata'!$B$5)^(O286-1))</x:f>
        <x:v>1621.8100973589299</x:v>
      </x:c>
      <x:c r="U286" s="31" t="n">
        <x:f>IF(T286="","",I286*T286)</x:f>
        <x:v>13967.57367493997</x:v>
      </x:c>
    </x:row>
    <x:row r="287" ht="18" customHeight="1">
      <x:c r="A287" s="24" t="str">
        <x:v>EEZ_036</x:v>
      </x:c>
      <x:c r="B287" s="24" t="str">
        <x:v>Australia</x:v>
      </x:c>
      <x:c r="C287" s="24" t="str">
        <x:v>EEZ</x:v>
      </x:c>
      <x:c r="D287" s="30" t="n">
        <x:v>2019</x:v>
      </x:c>
      <x:c r="E287" s="24" t="str">
        <x:v>Clupeiformes</x:v>
      </x:c>
      <x:c r="F287" s="24" t="str">
        <x:v>Herrings, shads, anchovies</x:v>
      </x:c>
      <x:c r="G287" s="24" t="str">
        <x:v>Small pelagics (&lt;30 cm)</x:v>
      </x:c>
      <x:c r="H287" s="24" t="str">
        <x:v>Other fishes &amp; inverts</x:v>
      </x:c>
      <x:c r="I287" s="31" t="n">
        <x:v>8.51111832</x:v>
      </x:c>
      <x:c r="J287" s="31" t="n">
        <x:v>8.51111832</x:v>
      </x:c>
      <x:c r="K287" s="31" t="n">
        <x:v>0</x:v>
      </x:c>
      <x:c r="L287" s="31" t="n">
        <x:v>8.504219109100001</x:v>
      </x:c>
      <x:c r="M287" s="31" t="n">
        <x:v>0.0068992109</x:v>
      </x:c>
      <x:c r="N287" s="24" t="str">
        <x:v>clupeiformes</x:v>
      </x:c>
      <x:c r="O287" s="32" t="n">
        <x:v>3.24</x:v>
      </x:c>
      <x:c r="P287" s="24" t="str">
        <x:v>exact_sea_around_us</x:v>
      </x:c>
      <x:c r="Q287" s="32" t="str">
        <x:v>Sea Around Us exploited organisms</x:v>
      </x:c>
      <x:c r="R287" s="24" t="str">
        <x:v>high</x:v>
      </x:c>
      <x:c r="S287" s="24" t="str">
        <x:v>Clupeiformes</x:v>
      </x:c>
      <x:c r="T287" s="32" t="n">
        <x:f>IF(O287="","",(1/'Metadata'!$B$5)^(O287-1))</x:f>
        <x:v>173.78008287493762</x:v>
      </x:c>
      <x:c r="U287" s="31" t="n">
        <x:f>IF(T287="","",I287*T287)</x:f>
        <x:v>1479.0628470079998</x:v>
      </x:c>
    </x:row>
    <x:row r="288" ht="18" customHeight="1">
      <x:c r="A288" s="24" t="str">
        <x:v>EEZ_036</x:v>
      </x:c>
      <x:c r="B288" s="24" t="str">
        <x:v>Australia</x:v>
      </x:c>
      <x:c r="C288" s="24" t="str">
        <x:v>EEZ</x:v>
      </x:c>
      <x:c r="D288" s="30" t="n">
        <x:v>2019</x:v>
      </x:c>
      <x:c r="E288" s="24" t="str">
        <x:v>Isurus oxyrinchus</x:v>
      </x:c>
      <x:c r="F288" s="24" t="str">
        <x:v>Shortfin mako</x:v>
      </x:c>
      <x:c r="G288" s="24" t="str">
        <x:v>Large sharks (&gt;=90 cm)</x:v>
      </x:c>
      <x:c r="H288" s="24" t="str">
        <x:v>Sharks &amp; rays</x:v>
      </x:c>
      <x:c r="I288" s="31" t="n">
        <x:v>8.430060360299999</x:v>
      </x:c>
      <x:c r="J288" s="31" t="n">
        <x:v>8.430060360299999</x:v>
      </x:c>
      <x:c r="K288" s="31" t="n">
        <x:v>0</x:v>
      </x:c>
      <x:c r="L288" s="31" t="n">
        <x:v>8.1646159635</x:v>
      </x:c>
      <x:c r="M288" s="31" t="n">
        <x:v>0.2654443968</x:v>
      </x:c>
      <x:c r="N288" s="24" t="str">
        <x:v>isurus oxyrinchus</x:v>
      </x:c>
      <x:c r="O288" s="32" t="n">
        <x:v>4.5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Isurus oxyrinchus</x:v>
      </x:c>
      <x:c r="T288" s="32" t="n">
        <x:f>IF(O288="","",(1/'Metadata'!$B$5)^(O288-1))</x:f>
        <x:v>3162.2776601683795</x:v>
      </x:c>
      <x:c r="U288" s="31" t="n">
        <x:f>IF(T288="","",I288*T288)</x:f>
        <x:v>26658.191551247688</x:v>
      </x:c>
    </x:row>
    <x:row r="289" ht="18" customHeight="1">
      <x:c r="A289" s="24" t="str">
        <x:v>EEZ_036</x:v>
      </x:c>
      <x:c r="B289" s="24" t="str">
        <x:v>Australia</x:v>
      </x:c>
      <x:c r="C289" s="24" t="str">
        <x:v>EEZ</x:v>
      </x:c>
      <x:c r="D289" s="30" t="n">
        <x:v>2019</x:v>
      </x:c>
      <x:c r="E289" s="24" t="str">
        <x:v>Elagatis bipinnulata</x:v>
      </x:c>
      <x:c r="F289" s="24" t="str">
        <x:v>Rainbow runner</x:v>
      </x:c>
      <x:c r="G289" s="24" t="str">
        <x:v>Large pelagics (&gt;=90 cm)</x:v>
      </x:c>
      <x:c r="H289" s="24" t="str">
        <x:v>Perch-likes</x:v>
      </x:c>
      <x:c r="I289" s="31" t="n">
        <x:v>8.4193841891</x:v>
      </x:c>
      <x:c r="J289" s="31" t="n">
        <x:v>8.4193841891</x:v>
      </x:c>
      <x:c r="K289" s="31" t="n">
        <x:v>0</x:v>
      </x:c>
      <x:c r="L289" s="31" t="n">
        <x:v>8.3537142788</x:v>
      </x:c>
      <x:c r="M289" s="31" t="n">
        <x:v>0.0656699103</x:v>
      </x:c>
      <x:c r="N289" s="24" t="str">
        <x:v>elagatis bipinnulata</x:v>
      </x:c>
      <x:c r="O289" s="32" t="n">
        <x:v>4.27</x:v>
      </x:c>
      <x:c r="P289" s="24" t="str">
        <x:v>exact_2020_supplement</x:v>
      </x:c>
      <x:c r="Q289" s="32" t="str">
        <x:v>2020 supplement MeanTL</x:v>
      </x:c>
      <x:c r="R289" s="24" t="str">
        <x:v>high</x:v>
      </x:c>
      <x:c r="S289" s="24" t="str">
        <x:v>Elagatis bipinnulata</x:v>
      </x:c>
      <x:c r="T289" s="32" t="n">
        <x:f>IF(O289="","",(1/'Metadata'!$B$5)^(O289-1))</x:f>
        <x:v>1862.0871366628655</x:v>
      </x:c>
      <x:c r="U289" s="31" t="n">
        <x:f>IF(T289="","",I289*T289)</x:f>
        <x:v>15677.626997145822</x:v>
      </x:c>
    </x:row>
    <x:row r="290" ht="18" customHeight="1">
      <x:c r="A290" s="24" t="str">
        <x:v>EEZ_036</x:v>
      </x:c>
      <x:c r="B290" s="24" t="str">
        <x:v>Australia</x:v>
      </x:c>
      <x:c r="C290" s="24" t="str">
        <x:v>EEZ</x:v>
      </x:c>
      <x:c r="D290" s="30" t="n">
        <x:v>2019</x:v>
      </x:c>
      <x:c r="E290" s="24" t="str">
        <x:v>Carangoides</x:v>
      </x:c>
      <x:c r="F290" s="24" t="str">
        <x:v>Trevallies</x:v>
      </x:c>
      <x:c r="G290" s="24" t="str">
        <x:v>Medium reef assoc. fish (30 - 89 cm)</x:v>
      </x:c>
      <x:c r="H290" s="24" t="str">
        <x:v>Perch-likes</x:v>
      </x:c>
      <x:c r="I290" s="31" t="n">
        <x:v>8.3002897191</x:v>
      </x:c>
      <x:c r="J290" s="31" t="n">
        <x:v>8.3002897191</x:v>
      </x:c>
      <x:c r="K290" s="31" t="n">
        <x:v>0</x:v>
      </x:c>
      <x:c r="L290" s="31" t="n">
        <x:v>5.9603429095000005</x:v>
      </x:c>
      <x:c r="M290" s="31" t="n">
        <x:v>2.3399468096</x:v>
      </x:c>
      <x:c r="N290" s="24" t="str">
        <x:v>carangoides</x:v>
      </x:c>
      <x:c r="O290" s="32" t="n">
        <x:v>4.34</x:v>
      </x:c>
      <x:c r="P290" s="24" t="str">
        <x:v>exact_sea_around_us</x:v>
      </x:c>
      <x:c r="Q290" s="32" t="str">
        <x:v>Sea Around Us exploited organisms</x:v>
      </x:c>
      <x:c r="R290" s="24" t="str">
        <x:v>high</x:v>
      </x:c>
      <x:c r="S290" s="24" t="str">
        <x:v>Carangoides</x:v>
      </x:c>
      <x:c r="T290" s="32" t="n">
        <x:f>IF(O290="","",(1/'Metadata'!$B$5)^(O290-1))</x:f>
        <x:v>2187.761623949552</x:v>
      </x:c>
      <x:c r="U290" s="31" t="n">
        <x:f>IF(T290="","",I290*T290)</x:f>
        <x:v>18159.055315109985</x:v>
      </x:c>
    </x:row>
    <x:row r="291" ht="18" customHeight="1">
      <x:c r="A291" s="24" t="str">
        <x:v>EEZ_036</x:v>
      </x:c>
      <x:c r="B291" s="24" t="str">
        <x:v>Australia</x:v>
      </x:c>
      <x:c r="C291" s="24" t="str">
        <x:v>EEZ</x:v>
      </x:c>
      <x:c r="D291" s="30" t="n">
        <x:v>2019</x:v>
      </x:c>
      <x:c r="E291" s="24" t="str">
        <x:v>Turrum fulvoguttatum</x:v>
      </x:c>
      <x:c r="F291" s="24" t="str">
        <x:v>Yellowspotted trevally</x:v>
      </x:c>
      <x:c r="G291" s="24" t="str">
        <x:v>Large reef assoc. fish (&gt;=90 cm)</x:v>
      </x:c>
      <x:c r="H291" s="24" t="str">
        <x:v>Perch-likes</x:v>
      </x:c>
      <x:c r="I291" s="31" t="n">
        <x:v>7.9973181307</x:v>
      </x:c>
      <x:c r="J291" s="31" t="n">
        <x:v>7.9973181307</x:v>
      </x:c>
      <x:c r="K291" s="31" t="n">
        <x:v>0</x:v>
      </x:c>
      <x:c r="L291" s="31" t="n">
        <x:v>6.9530927831</x:v>
      </x:c>
      <x:c r="M291" s="31" t="n">
        <x:v>1.0442253476</x:v>
      </x:c>
      <x:c r="N291" s="24" t="str">
        <x:v>turrum fulvoguttatum</x:v>
      </x:c>
      <x:c r="O291" s="32" t="n">
        <x:v>4.43</x:v>
      </x:c>
      <x:c r="P291" s="24" t="str">
        <x:v>exact_sea_around_us</x:v>
      </x:c>
      <x:c r="Q291" s="32" t="str">
        <x:v>Sea Around Us exploited organisms</x:v>
      </x:c>
      <x:c r="R291" s="24" t="str">
        <x:v>high</x:v>
      </x:c>
      <x:c r="S291" s="24" t="str">
        <x:v>Turrum fulvoguttatum</x:v>
      </x:c>
      <x:c r="T291" s="32" t="n">
        <x:f>IF(O291="","",(1/'Metadata'!$B$5)^(O291-1))</x:f>
        <x:v>2691.534803926914</x:v>
      </x:c>
      <x:c r="U291" s="31" t="n">
        <x:f>IF(T291="","",I291*T291)</x:f>
        <x:v>21525.060086854777</x:v>
      </x:c>
    </x:row>
    <x:row r="292" ht="18" customHeight="1">
      <x:c r="A292" s="24" t="str">
        <x:v>EEZ_036</x:v>
      </x:c>
      <x:c r="B292" s="24" t="str">
        <x:v>Australia</x:v>
      </x:c>
      <x:c r="C292" s="24" t="str">
        <x:v>EEZ</x:v>
      </x:c>
      <x:c r="D292" s="30" t="n">
        <x:v>2019</x:v>
      </x:c>
      <x:c r="E292" s="24" t="str">
        <x:v>Gadiformes</x:v>
      </x:c>
      <x:c r="F292" s="24" t="str">
        <x:v>Cods</x:v>
      </x:c>
      <x:c r="G292" s="24" t="str">
        <x:v>Medium benthopelagics (30 - 89 cm)</x:v>
      </x:c>
      <x:c r="H292" s="24" t="str">
        <x:v>Cod-likes</x:v>
      </x:c>
      <x:c r="I292" s="31" t="n">
        <x:v>7.9654968295</x:v>
      </x:c>
      <x:c r="J292" s="31" t="n">
        <x:v>7.9654968295</x:v>
      </x:c>
      <x:c r="K292" s="31" t="n">
        <x:v>0</x:v>
      </x:c>
      <x:c r="L292" s="31" t="n">
        <x:v>7.9654968295</x:v>
      </x:c>
      <x:c r="M292" s="31" t="n">
        <x:v>0</x:v>
      </x:c>
      <x:c r="N292" s="24" t="str">
        <x:v>gadiformes</x:v>
      </x:c>
      <x:c r="O292" s="32" t="n">
        <x:v>3.91</x:v>
      </x:c>
      <x:c r="P292" s="24" t="str">
        <x:v>exact_sea_around_us</x:v>
      </x:c>
      <x:c r="Q292" s="32" t="str">
        <x:v>Sea Around Us exploited organisms</x:v>
      </x:c>
      <x:c r="R292" s="24" t="str">
        <x:v>high</x:v>
      </x:c>
      <x:c r="S292" s="24" t="str">
        <x:v>Gadiformes</x:v>
      </x:c>
      <x:c r="T292" s="32" t="n">
        <x:f>IF(O292="","",(1/'Metadata'!$B$5)^(O292-1))</x:f>
        <x:v>812.8305161640995</x:v>
      </x:c>
      <x:c r="U292" s="31" t="n">
        <x:f>IF(T292="","",I292*T292)</x:f>
        <x:v>6474.598899425983</x:v>
      </x:c>
    </x:row>
    <x:row r="293" ht="18" customHeight="1">
      <x:c r="A293" s="24" t="str">
        <x:v>EEZ_036</x:v>
      </x:c>
      <x:c r="B293" s="24" t="str">
        <x:v>Australia</x:v>
      </x:c>
      <x:c r="C293" s="24" t="str">
        <x:v>EEZ</x:v>
      </x:c>
      <x:c r="D293" s="30" t="n">
        <x:v>2019</x:v>
      </x:c>
      <x:c r="E293" s="24" t="str">
        <x:v>Leiognathus</x:v>
      </x:c>
      <x:c r="F293" s="24" t="str">
        <x:v>Ponyfishes</x:v>
      </x:c>
      <x:c r="G293" s="24" t="str">
        <x:v>Small benthopelagics (&lt;30 cm)</x:v>
      </x:c>
      <x:c r="H293" s="24" t="str">
        <x:v>Perch-likes</x:v>
      </x:c>
      <x:c r="I293" s="31" t="n">
        <x:v>7.8479976509</x:v>
      </x:c>
      <x:c r="J293" s="31" t="n">
        <x:v>0</x:v>
      </x:c>
      <x:c r="K293" s="31" t="n">
        <x:v>7.8479976509</x:v>
      </x:c>
      <x:c r="L293" s="31" t="n">
        <x:v>0</x:v>
      </x:c>
      <x:c r="M293" s="31" t="n">
        <x:v>7.8479976509</x:v>
      </x:c>
      <x:c r="N293" s="24" t="str">
        <x:v>leiognathus</x:v>
      </x:c>
      <x:c r="O293" s="32" t="n">
        <x:v>3.22</x:v>
      </x:c>
      <x:c r="P293" s="24" t="str">
        <x:v>exact_sea_around_us</x:v>
      </x:c>
      <x:c r="Q293" s="32" t="str">
        <x:v>Sea Around Us exploited organisms</x:v>
      </x:c>
      <x:c r="R293" s="24" t="str">
        <x:v>high</x:v>
      </x:c>
      <x:c r="S293" s="24" t="str">
        <x:v>Leiognathus</x:v>
      </x:c>
      <x:c r="T293" s="32" t="n">
        <x:f>IF(O293="","",(1/'Metadata'!$B$5)^(O293-1))</x:f>
        <x:v>165.95869074375614</x:v>
      </x:c>
      <x:c r="U293" s="31" t="n">
        <x:f>IF(T293="","",I293*T293)</x:f>
        <x:v>1302.4434151034377</x:v>
      </x:c>
    </x:row>
    <x:row r="294" ht="18" customHeight="1">
      <x:c r="A294" s="24" t="str">
        <x:v>EEZ_036</x:v>
      </x:c>
      <x:c r="B294" s="24" t="str">
        <x:v>Australia</x:v>
      </x:c>
      <x:c r="C294" s="24" t="str">
        <x:v>EEZ</x:v>
      </x:c>
      <x:c r="D294" s="30" t="n">
        <x:v>2019</x:v>
      </x:c>
      <x:c r="E294" s="24" t="str">
        <x:v>Centrolophidae</x:v>
      </x:c>
      <x:c r="F294" s="24" t="str">
        <x:v>Medusafishes</x:v>
      </x:c>
      <x:c r="G294" s="24" t="str">
        <x:v>Medium benthopelagics (30 - 89 cm)</x:v>
      </x:c>
      <x:c r="H294" s="24" t="str">
        <x:v>Perch-likes</x:v>
      </x:c>
      <x:c r="I294" s="31" t="n">
        <x:v>7.5070655876</x:v>
      </x:c>
      <x:c r="J294" s="31" t="n">
        <x:v>0.24227704490000002</x:v>
      </x:c>
      <x:c r="K294" s="31" t="n">
        <x:v>7.2647885427</x:v>
      </x:c>
      <x:c r="L294" s="31" t="n">
        <x:v>0.24227704490000002</x:v>
      </x:c>
      <x:c r="M294" s="31" t="n">
        <x:v>7.2647885427</x:v>
      </x:c>
      <x:c r="N294" s="24" t="str">
        <x:v>centrolophidae</x:v>
      </x:c>
      <x:c r="O294" s="32" t="n">
        <x:v>3.65</x:v>
      </x:c>
      <x:c r="P294" s="24" t="str">
        <x:v>exact_sea_around_us</x:v>
      </x:c>
      <x:c r="Q294" s="32" t="str">
        <x:v>Sea Around Us exploited organisms</x:v>
      </x:c>
      <x:c r="R294" s="24" t="str">
        <x:v>high</x:v>
      </x:c>
      <x:c r="S294" s="24" t="str">
        <x:v>Centrolophidae</x:v>
      </x:c>
      <x:c r="T294" s="32" t="n">
        <x:f>IF(O294="","",(1/'Metadata'!$B$5)^(O294-1))</x:f>
        <x:v>446.683592150963</x:v>
      </x:c>
      <x:c r="U294" s="31" t="n">
        <x:f>IF(T294="","",I294*T294)</x:f>
        <x:v>3353.2830231820476</x:v>
      </x:c>
    </x:row>
    <x:row r="295" ht="18" customHeight="1">
      <x:c r="A295" s="24" t="str">
        <x:v>EEZ_036</x:v>
      </x:c>
      <x:c r="B295" s="24" t="str">
        <x:v>Australia</x:v>
      </x:c>
      <x:c r="C295" s="24" t="str">
        <x:v>EEZ</x:v>
      </x:c>
      <x:c r="D295" s="30" t="n">
        <x:v>2019</x:v>
      </x:c>
      <x:c r="E295" s="24" t="str">
        <x:v>Chirocentrus</x:v>
      </x:c>
      <x:c r="F295" s="24" t="str">
        <x:v>Wolf herrings</x:v>
      </x:c>
      <x:c r="G295" s="24" t="str">
        <x:v>Large pelagics (&gt;=90 cm)</x:v>
      </x:c>
      <x:c r="H295" s="24" t="str">
        <x:v>Herring-likes</x:v>
      </x:c>
      <x:c r="I295" s="31" t="n">
        <x:v>7.4823874024000006</x:v>
      </x:c>
      <x:c r="J295" s="31" t="n">
        <x:v>7.4823874024000006</x:v>
      </x:c>
      <x:c r="K295" s="31" t="n">
        <x:v>0</x:v>
      </x:c>
      <x:c r="L295" s="31" t="n">
        <x:v>7.4823874024000006</x:v>
      </x:c>
      <x:c r="M295" s="31" t="n">
        <x:v>0</x:v>
      </x:c>
      <x:c r="N295" s="24" t="str">
        <x:v>chirocentrus</x:v>
      </x:c>
      <x:c r="O295" s="32" t="n">
        <x:v>4.3</x:v>
      </x:c>
      <x:c r="P295" s="24" t="str">
        <x:v>exact_sea_around_us</x:v>
      </x:c>
      <x:c r="Q295" s="32" t="str">
        <x:v>Sea Around Us exploited organisms</x:v>
      </x:c>
      <x:c r="R295" s="24" t="str">
        <x:v>high</x:v>
      </x:c>
      <x:c r="S295" s="24" t="str">
        <x:v>Chirocentrus</x:v>
      </x:c>
      <x:c r="T295" s="32" t="n">
        <x:f>IF(O295="","",(1/'Metadata'!$B$5)^(O295-1))</x:f>
        <x:v>1995.2623149688789</x:v>
      </x:c>
      <x:c r="U295" s="31" t="n">
        <x:f>IF(T295="","",I295*T295)</x:f>
        <x:v>14929.325610006601</x:v>
      </x:c>
    </x:row>
    <x:row r="296" ht="18" customHeight="1">
      <x:c r="A296" s="24" t="str">
        <x:v>EEZ_036</x:v>
      </x:c>
      <x:c r="B296" s="24" t="str">
        <x:v>Australia</x:v>
      </x:c>
      <x:c r="C296" s="24" t="str">
        <x:v>EEZ</x:v>
      </x:c>
      <x:c r="D296" s="30" t="n">
        <x:v>2019</x:v>
      </x:c>
      <x:c r="E296" s="24" t="str">
        <x:v>Dalatias licha</x:v>
      </x:c>
      <x:c r="F296" s="24" t="str">
        <x:v>Kitefin shark</x:v>
      </x:c>
      <x:c r="G296" s="24" t="str">
        <x:v>Large sharks (&gt;=90 cm)</x:v>
      </x:c>
      <x:c r="H296" s="24" t="str">
        <x:v>Sharks &amp; rays</x:v>
      </x:c>
      <x:c r="I296" s="31" t="n">
        <x:v>7.3618138652</x:v>
      </x:c>
      <x:c r="J296" s="31" t="n">
        <x:v>7.3618138652</x:v>
      </x:c>
      <x:c r="K296" s="31" t="n">
        <x:v>0</x:v>
      </x:c>
      <x:c r="L296" s="31" t="n">
        <x:v>7.3618138652</x:v>
      </x:c>
      <x:c r="M296" s="31" t="n">
        <x:v>0</x:v>
      </x:c>
      <x:c r="N296" s="24" t="str">
        <x:v>dalatias licha</x:v>
      </x:c>
      <x:c r="O296" s="32" t="n">
        <x:v>4.23</x:v>
      </x:c>
      <x:c r="P296" s="24" t="str">
        <x:v>exact_2020_supplement</x:v>
      </x:c>
      <x:c r="Q296" s="32" t="str">
        <x:v>2020 supplement MeanTL</x:v>
      </x:c>
      <x:c r="R296" s="24" t="str">
        <x:v>high</x:v>
      </x:c>
      <x:c r="S296" s="24" t="str">
        <x:v>Dalatias licha</x:v>
      </x:c>
      <x:c r="T296" s="32" t="n">
        <x:f>IF(O296="","",(1/'Metadata'!$B$5)^(O296-1))</x:f>
        <x:v>1698.243652461746</x:v>
      </x:c>
      <x:c r="U296" s="31" t="n">
        <x:f>IF(T296="","",I296*T296)</x:f>
        <x:v>12502.153667180772</x:v>
      </x:c>
    </x:row>
    <x:row r="297" ht="18" customHeight="1">
      <x:c r="A297" s="24" t="str">
        <x:v>EEZ_036</x:v>
      </x:c>
      <x:c r="B297" s="24" t="str">
        <x:v>Australia</x:v>
      </x:c>
      <x:c r="C297" s="24" t="str">
        <x:v>EEZ</x:v>
      </x:c>
      <x:c r="D297" s="30" t="n">
        <x:v>2019</x:v>
      </x:c>
      <x:c r="E297" s="24" t="str">
        <x:v>Valamugil</x:v>
      </x:c>
      <x:c r="F297" s="24" t="str">
        <x:v>Indo-Pacific mullets</x:v>
      </x:c>
      <x:c r="G297" s="24" t="str">
        <x:v>Medium reef assoc. fish (30 - 89 cm)</x:v>
      </x:c>
      <x:c r="H297" s="24" t="str">
        <x:v>Perch-likes</x:v>
      </x:c>
      <x:c r="I297" s="31" t="n">
        <x:v>7.2797422302</x:v>
      </x:c>
      <x:c r="J297" s="31" t="n">
        <x:v>7.2797422302</x:v>
      </x:c>
      <x:c r="K297" s="31" t="n">
        <x:v>0</x:v>
      </x:c>
      <x:c r="L297" s="31" t="n">
        <x:v>6.9542966680000005</x:v>
      </x:c>
      <x:c r="M297" s="31" t="n">
        <x:v>0.3254455622</x:v>
      </x:c>
      <x:c r="N297" s="24" t="str">
        <x:v>valamugil</x:v>
      </x:c>
      <x:c r="O297" s="32" t="n">
        <x:v>2.34</x:v>
      </x:c>
      <x:c r="P297" s="24" t="str">
        <x:v>exact_sea_around_us</x:v>
      </x:c>
      <x:c r="Q297" s="32" t="str">
        <x:v>Sea Around Us exploited organisms</x:v>
      </x:c>
      <x:c r="R297" s="24" t="str">
        <x:v>high</x:v>
      </x:c>
      <x:c r="S297" s="24" t="str">
        <x:v>Valamugil</x:v>
      </x:c>
      <x:c r="T297" s="32" t="n">
        <x:f>IF(O297="","",(1/'Metadata'!$B$5)^(O297-1))</x:f>
        <x:v>21.87761623949552</x:v>
      </x:c>
      <x:c r="U297" s="31" t="n">
        <x:f>IF(T297="","",I297*T297)</x:f>
        <x:v>159.26340683476485</x:v>
      </x:c>
    </x:row>
    <x:row r="298" ht="18" customHeight="1">
      <x:c r="A298" s="24" t="str">
        <x:v>EEZ_036</x:v>
      </x:c>
      <x:c r="B298" s="24" t="str">
        <x:v>Australia</x:v>
      </x:c>
      <x:c r="C298" s="24" t="str">
        <x:v>EEZ</x:v>
      </x:c>
      <x:c r="D298" s="30" t="n">
        <x:v>2019</x:v>
      </x:c>
      <x:c r="E298" s="24" t="str">
        <x:v>Beryx splendens</x:v>
      </x:c>
      <x:c r="F298" s="24" t="str">
        <x:v>Splendid alfonsino</x:v>
      </x:c>
      <x:c r="G298" s="24" t="str">
        <x:v>Medium benthopelagics (30 - 89 cm)</x:v>
      </x:c>
      <x:c r="H298" s="24" t="str">
        <x:v>Other fishes &amp; inverts</x:v>
      </x:c>
      <x:c r="I298" s="31" t="n">
        <x:v>7.2724632177</x:v>
      </x:c>
      <x:c r="J298" s="31" t="n">
        <x:v>7.2724632177</x:v>
      </x:c>
      <x:c r="K298" s="31" t="n">
        <x:v>0</x:v>
      </x:c>
      <x:c r="L298" s="31" t="n">
        <x:v>7.2724632177</x:v>
      </x:c>
      <x:c r="M298" s="31" t="n">
        <x:v>0</x:v>
      </x:c>
      <x:c r="N298" s="24" t="str">
        <x:v>beryx splendens</x:v>
      </x:c>
      <x:c r="O298" s="32" t="n">
        <x:v>4.27</x:v>
      </x:c>
      <x:c r="P298" s="24" t="str">
        <x:v>exact_2020_supplement</x:v>
      </x:c>
      <x:c r="Q298" s="32" t="str">
        <x:v>2020 supplement MeanTL</x:v>
      </x:c>
      <x:c r="R298" s="24" t="str">
        <x:v>high</x:v>
      </x:c>
      <x:c r="S298" s="24" t="str">
        <x:v>Beryx splendens</x:v>
      </x:c>
      <x:c r="T298" s="32" t="n">
        <x:f>IF(O298="","",(1/'Metadata'!$B$5)^(O298-1))</x:f>
        <x:v>1862.0871366628655</x:v>
      </x:c>
      <x:c r="U298" s="31" t="n">
        <x:f>IF(T298="","",I298*T298)</x:f>
        <x:v>13541.960209533003</x:v>
      </x:c>
    </x:row>
    <x:row r="299" ht="18" customHeight="1">
      <x:c r="A299" s="24" t="str">
        <x:v>EEZ_036</x:v>
      </x:c>
      <x:c r="B299" s="24" t="str">
        <x:v>Australia</x:v>
      </x:c>
      <x:c r="C299" s="24" t="str">
        <x:v>EEZ</x:v>
      </x:c>
      <x:c r="D299" s="30" t="n">
        <x:v>2019</x:v>
      </x:c>
      <x:c r="E299" s="24" t="str">
        <x:v>Epinephelus morrhua</x:v>
      </x:c>
      <x:c r="F299" s="24" t="str">
        <x:v>Comet grouper</x:v>
      </x:c>
      <x:c r="G299" s="24" t="str">
        <x:v>Medium demersals (30 - 89 cm)</x:v>
      </x:c>
      <x:c r="H299" s="24" t="str">
        <x:v>Perch-likes</x:v>
      </x:c>
      <x:c r="I299" s="31" t="n">
        <x:v>7.1251397558</x:v>
      </x:c>
      <x:c r="J299" s="31" t="n">
        <x:v>7.1251397558</x:v>
      </x:c>
      <x:c r="K299" s="31" t="n">
        <x:v>0</x:v>
      </x:c>
      <x:c r="L299" s="31" t="n">
        <x:v>7.0214343077</x:v>
      </x:c>
      <x:c r="M299" s="31" t="n">
        <x:v>0.1037054481</x:v>
      </x:c>
      <x:c r="N299" s="24" t="str">
        <x:v>epinephelus morrhua</x:v>
      </x:c>
      <x:c r="O299" s="32" t="n">
        <x:v>3.97</x:v>
      </x:c>
      <x:c r="P299" s="24" t="str">
        <x:v>exact_2020_supplement</x:v>
      </x:c>
      <x:c r="Q299" s="32" t="str">
        <x:v>2020 supplement MeanTL</x:v>
      </x:c>
      <x:c r="R299" s="24" t="str">
        <x:v>high</x:v>
      </x:c>
      <x:c r="S299" s="24" t="str">
        <x:v>Epinephelus morrhua</x:v>
      </x:c>
      <x:c r="T299" s="32" t="n">
        <x:f>IF(O299="","",(1/'Metadata'!$B$5)^(O299-1))</x:f>
        <x:v>933.2543007969915</x:v>
      </x:c>
      <x:c r="U299" s="31" t="n">
        <x:f>IF(T299="","",I299*T299)</x:f>
        <x:v>6649.567320879976</x:v>
      </x:c>
    </x:row>
    <x:row r="300" ht="18" customHeight="1">
      <x:c r="A300" s="24" t="str">
        <x:v>EEZ_036</x:v>
      </x:c>
      <x:c r="B300" s="24" t="str">
        <x:v>Australia</x:v>
      </x:c>
      <x:c r="C300" s="24" t="str">
        <x:v>EEZ</x:v>
      </x:c>
      <x:c r="D300" s="30" t="n">
        <x:v>2019</x:v>
      </x:c>
      <x:c r="E300" s="24" t="str">
        <x:v>Latidae</x:v>
      </x:c>
      <x:c r="F300" s="24" t="str">
        <x:v>Lates perches</x:v>
      </x:c>
      <x:c r="G300" s="24" t="str">
        <x:v>Large demersals (&gt;=90 cm)</x:v>
      </x:c>
      <x:c r="H300" s="24" t="str">
        <x:v>Perch-likes</x:v>
      </x:c>
      <x:c r="I300" s="31" t="n">
        <x:v>7.037945887899999</x:v>
      </x:c>
      <x:c r="J300" s="31" t="n">
        <x:v>7.037945887899999</x:v>
      </x:c>
      <x:c r="K300" s="31" t="n">
        <x:v>0</x:v>
      </x:c>
      <x:c r="L300" s="31" t="n">
        <x:v>6.280149283799999</x:v>
      </x:c>
      <x:c r="M300" s="31" t="n">
        <x:v>0.7577966041</x:v>
      </x:c>
      <x:c r="N300" s="24" t="str">
        <x:v>latidae</x:v>
      </x:c>
      <x:c r="O300" s="32" t="n">
        <x:v>4.35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Latidae</x:v>
      </x:c>
      <x:c r="T300" s="32" t="n">
        <x:f>IF(O300="","",(1/'Metadata'!$B$5)^(O300-1))</x:f>
        <x:v>2238.7211385683377</x:v>
      </x:c>
      <x:c r="U300" s="31" t="n">
        <x:f>IF(T300="","",I300*T300)</x:f>
        <x:v>15755.998231341837</x:v>
      </x:c>
    </x:row>
    <x:row r="301" ht="18" customHeight="1">
      <x:c r="A301" s="24" t="str">
        <x:v>EEZ_036</x:v>
      </x:c>
      <x:c r="B301" s="24" t="str">
        <x:v>Australia</x:v>
      </x:c>
      <x:c r="C301" s="24" t="str">
        <x:v>EEZ</x:v>
      </x:c>
      <x:c r="D301" s="30" t="n">
        <x:v>2019</x:v>
      </x:c>
      <x:c r="E301" s="24" t="str">
        <x:v>Monodactylus argenteus</x:v>
      </x:c>
      <x:c r="F301" s="24" t="str">
        <x:v>Silver moony</x:v>
      </x:c>
      <x:c r="G301" s="24" t="str">
        <x:v>Small pelagics (&lt;30 cm)</x:v>
      </x:c>
      <x:c r="H301" s="24" t="str">
        <x:v>Perch-likes</x:v>
      </x:c>
      <x:c r="I301" s="31" t="n">
        <x:v>7.0124593129</x:v>
      </x:c>
      <x:c r="J301" s="31" t="n">
        <x:v>7.0124593129</x:v>
      </x:c>
      <x:c r="K301" s="31" t="n">
        <x:v>0</x:v>
      </x:c>
      <x:c r="L301" s="31" t="n">
        <x:v>6.5473642238</x:v>
      </x:c>
      <x:c r="M301" s="31" t="n">
        <x:v>0.4650950891</x:v>
      </x:c>
      <x:c r="N301" s="24" t="str">
        <x:v>monodactylus argenteus</x:v>
      </x:c>
      <x:c r="O301" s="32" t="n">
        <x:v>2.95</x:v>
      </x:c>
      <x:c r="P301" s="24" t="str">
        <x:v>exact_2020_supplement</x:v>
      </x:c>
      <x:c r="Q301" s="32" t="str">
        <x:v>2020 supplement MeanTL</x:v>
      </x:c>
      <x:c r="R301" s="24" t="str">
        <x:v>high</x:v>
      </x:c>
      <x:c r="S301" s="24" t="str">
        <x:v>Monodactylus argenteus</x:v>
      </x:c>
      <x:c r="T301" s="32" t="n">
        <x:f>IF(O301="","",(1/'Metadata'!$B$5)^(O301-1))</x:f>
        <x:v>89.12509381337459</x:v>
      </x:c>
      <x:c r="U301" s="31" t="n">
        <x:f>IF(T301="","",I301*T301)</x:f>
        <x:v>624.9860941246848</x:v>
      </x:c>
    </x:row>
    <x:row r="302" ht="18" customHeight="1">
      <x:c r="A302" s="24" t="str">
        <x:v>EEZ_036</x:v>
      </x:c>
      <x:c r="B302" s="24" t="str">
        <x:v>Australia</x:v>
      </x:c>
      <x:c r="C302" s="24" t="str">
        <x:v>EEZ</x:v>
      </x:c>
      <x:c r="D302" s="30" t="n">
        <x:v>2019</x:v>
      </x:c>
      <x:c r="E302" s="24" t="str">
        <x:v>Albulidae</x:v>
      </x:c>
      <x:c r="F302" s="24" t="str">
        <x:v>Bonefishes</x:v>
      </x:c>
      <x:c r="G302" s="24" t="str">
        <x:v>Medium reef assoc. fish (30 - 89 cm)</x:v>
      </x:c>
      <x:c r="H302" s="24" t="str">
        <x:v>Other fishes &amp; inverts</x:v>
      </x:c>
      <x:c r="I302" s="31" t="n">
        <x:v>6.8193345402</x:v>
      </x:c>
      <x:c r="J302" s="31" t="n">
        <x:v>6.8193345402</x:v>
      </x:c>
      <x:c r="K302" s="31" t="n">
        <x:v>0</x:v>
      </x:c>
      <x:c r="L302" s="31" t="n">
        <x:v>6.7990827632</x:v>
      </x:c>
      <x:c r="M302" s="31" t="n">
        <x:v>0.020251777</x:v>
      </x:c>
      <x:c r="N302" s="24" t="str">
        <x:v>albulidae</x:v>
      </x:c>
      <x:c r="O302" s="32" t="n">
        <x:v>3.47</x:v>
      </x:c>
      <x:c r="P302" s="24" t="str">
        <x:v>exact_sea_around_us</x:v>
      </x:c>
      <x:c r="Q302" s="32" t="str">
        <x:v>Sea Around Us exploited organisms</x:v>
      </x:c>
      <x:c r="R302" s="24" t="str">
        <x:v>high</x:v>
      </x:c>
      <x:c r="S302" s="24" t="str">
        <x:v>Albulidae</x:v>
      </x:c>
      <x:c r="T302" s="32" t="n">
        <x:f>IF(O302="","",(1/'Metadata'!$B$5)^(O302-1))</x:f>
        <x:v>295.1209226666387</x:v>
      </x:c>
      <x:c r="U302" s="31" t="n">
        <x:f>IF(T302="","",I302*T302)</x:f>
        <x:v>2012.5283014763024</x:v>
      </x:c>
    </x:row>
    <x:row r="303" ht="18" customHeight="1">
      <x:c r="A303" s="24" t="str">
        <x:v>EEZ_036</x:v>
      </x:c>
      <x:c r="B303" s="24" t="str">
        <x:v>Australia</x:v>
      </x:c>
      <x:c r="C303" s="24" t="str">
        <x:v>EEZ</x:v>
      </x:c>
      <x:c r="D303" s="30" t="n">
        <x:v>2019</x:v>
      </x:c>
      <x:c r="E303" s="24" t="str">
        <x:v>Nebrius ferrugineus</x:v>
      </x:c>
      <x:c r="F303" s="24" t="str">
        <x:v>Tawny nurse shark</x:v>
      </x:c>
      <x:c r="G303" s="24" t="str">
        <x:v>Large sharks (&gt;=90 cm)</x:v>
      </x:c>
      <x:c r="H303" s="24" t="str">
        <x:v>Sharks &amp; rays</x:v>
      </x:c>
      <x:c r="I303" s="31" t="n">
        <x:v>6.7806674844999995</x:v>
      </x:c>
      <x:c r="J303" s="31" t="n">
        <x:v>6.7806674844999995</x:v>
      </x:c>
      <x:c r="K303" s="31" t="n">
        <x:v>0</x:v>
      </x:c>
      <x:c r="L303" s="31" t="n">
        <x:v>6.775657905</x:v>
      </x:c>
      <x:c r="M303" s="31" t="n">
        <x:v>0.0050095795</x:v>
      </x:c>
      <x:c r="N303" s="24" t="str">
        <x:v>nebrius ferrugineus</x:v>
      </x:c>
      <x:c r="O303" s="32" t="n">
        <x:v>4.1</x:v>
      </x:c>
      <x:c r="P303" s="24" t="str">
        <x:v>exact_2020_supplement</x:v>
      </x:c>
      <x:c r="Q303" s="32" t="str">
        <x:v>2020 supplement MeanTL</x:v>
      </x:c>
      <x:c r="R303" s="24" t="str">
        <x:v>high</x:v>
      </x:c>
      <x:c r="S303" s="24" t="str">
        <x:v>Nebrius ferrugineus</x:v>
      </x:c>
      <x:c r="T303" s="32" t="n">
        <x:f>IF(O303="","",(1/'Metadata'!$B$5)^(O303-1))</x:f>
        <x:v>1258.9254117941662</x:v>
      </x:c>
      <x:c r="U303" s="31" t="n">
        <x:f>IF(T303="","",I303*T303)</x:f>
        <x:v>8536.354605163475</x:v>
      </x:c>
    </x:row>
    <x:row r="304" ht="18" customHeight="1">
      <x:c r="A304" s="24" t="str">
        <x:v>EEZ_036</x:v>
      </x:c>
      <x:c r="B304" s="24" t="str">
        <x:v>Australia</x:v>
      </x:c>
      <x:c r="C304" s="24" t="str">
        <x:v>EEZ</x:v>
      </x:c>
      <x:c r="D304" s="30" t="n">
        <x:v>2019</x:v>
      </x:c>
      <x:c r="E304" s="24" t="str">
        <x:v>Siluriformes</x:v>
      </x:c>
      <x:c r="F304" s="24" t="str">
        <x:v>Catfishes</x:v>
      </x:c>
      <x:c r="G304" s="24" t="str">
        <x:v>Medium demersals (30 - 89 cm)</x:v>
      </x:c>
      <x:c r="H304" s="24" t="str">
        <x:v>Other fishes &amp; inverts</x:v>
      </x:c>
      <x:c r="I304" s="31" t="n">
        <x:v>6.7295325746</x:v>
      </x:c>
      <x:c r="J304" s="31" t="n">
        <x:v>6.7295325746</x:v>
      </x:c>
      <x:c r="K304" s="31" t="n">
        <x:v>0</x:v>
      </x:c>
      <x:c r="L304" s="31" t="n">
        <x:v>6.7295325746</x:v>
      </x:c>
      <x:c r="M304" s="31" t="n">
        <x:v>0</x:v>
      </x:c>
      <x:c r="N304" s="24" t="str">
        <x:v>siluriformes</x:v>
      </x:c>
      <x:c r="O304" s="32" t="n">
        <x:v>3.48</x:v>
      </x:c>
      <x:c r="P304" s="24" t="str">
        <x:v>exact_sea_around_us</x:v>
      </x:c>
      <x:c r="Q304" s="32" t="str">
        <x:v>Sea Around Us exploited organisms</x:v>
      </x:c>
      <x:c r="R304" s="24" t="str">
        <x:v>high</x:v>
      </x:c>
      <x:c r="S304" s="24" t="str">
        <x:v>Siluriformes</x:v>
      </x:c>
      <x:c r="T304" s="32" t="n">
        <x:f>IF(O304="","",(1/'Metadata'!$B$5)^(O304-1))</x:f>
        <x:v>301.9951720402016</x:v>
      </x:c>
      <x:c r="U304" s="31" t="n">
        <x:f>IF(T304="","",I304*T304)</x:f>
        <x:v>2032.286347616468</x:v>
      </x:c>
    </x:row>
    <x:row r="305" ht="18" customHeight="1">
      <x:c r="A305" s="24" t="str">
        <x:v>EEZ_036</x:v>
      </x:c>
      <x:c r="B305" s="24" t="str">
        <x:v>Australia</x:v>
      </x:c>
      <x:c r="C305" s="24" t="str">
        <x:v>EEZ</x:v>
      </x:c>
      <x:c r="D305" s="30" t="n">
        <x:v>2019</x:v>
      </x:c>
      <x:c r="E305" s="24" t="str">
        <x:v>Gobiidae</x:v>
      </x:c>
      <x:c r="F305" s="24" t="str">
        <x:v>Gobies</x:v>
      </x:c>
      <x:c r="G305" s="24" t="str">
        <x:v>Small reef assoc. fish (&lt;30 cm)</x:v>
      </x:c>
      <x:c r="H305" s="24" t="str">
        <x:v>Perch-likes</x:v>
      </x:c>
      <x:c r="I305" s="31" t="n">
        <x:v>6.7150629471</x:v>
      </x:c>
      <x:c r="J305" s="31" t="n">
        <x:v>0.0000145663</x:v>
      </x:c>
      <x:c r="K305" s="31" t="n">
        <x:v>6.7150483808</x:v>
      </x:c>
      <x:c r="L305" s="31" t="n">
        <x:v>0</x:v>
      </x:c>
      <x:c r="M305" s="31" t="n">
        <x:v>6.7150629471</x:v>
      </x:c>
      <x:c r="N305" s="24" t="str">
        <x:v>gobiidae</x:v>
      </x:c>
      <x:c r="O305" s="32" t="n">
        <x:v>3.11</x:v>
      </x:c>
      <x:c r="P305" s="24" t="str">
        <x:v>exact_sea_around_us</x:v>
      </x:c>
      <x:c r="Q305" s="32" t="str">
        <x:v>Sea Around Us exploited organisms</x:v>
      </x:c>
      <x:c r="R305" s="24" t="str">
        <x:v>high</x:v>
      </x:c>
      <x:c r="S305" s="24" t="str">
        <x:v>Gobiidae</x:v>
      </x:c>
      <x:c r="T305" s="32" t="n">
        <x:f>IF(O305="","",(1/'Metadata'!$B$5)^(O305-1))</x:f>
        <x:v>128.82495516931337</x:v>
      </x:c>
      <x:c r="U305" s="31" t="n">
        <x:f>IF(T305="","",I305*T305)</x:f>
        <x:v>865.0676831192748</x:v>
      </x:c>
    </x:row>
    <x:row r="306" ht="18" customHeight="1">
      <x:c r="A306" s="24" t="str">
        <x:v>EEZ_036</x:v>
      </x:c>
      <x:c r="B306" s="24" t="str">
        <x:v>Australia</x:v>
      </x:c>
      <x:c r="C306" s="24" t="str">
        <x:v>EEZ</x:v>
      </x:c>
      <x:c r="D306" s="30" t="n">
        <x:v>2019</x:v>
      </x:c>
      <x:c r="E306" s="24" t="str">
        <x:v>Triaenodon obesus</x:v>
      </x:c>
      <x:c r="F306" s="24" t="str">
        <x:v>Whitetip reef shark</x:v>
      </x:c>
      <x:c r="G306" s="24" t="str">
        <x:v>Large sharks (&gt;=90 cm)</x:v>
      </x:c>
      <x:c r="H306" s="24" t="str">
        <x:v>Sharks &amp; rays</x:v>
      </x:c>
      <x:c r="I306" s="31" t="n">
        <x:v>6.5191897678</x:v>
      </x:c>
      <x:c r="J306" s="31" t="n">
        <x:v>6.5191897678</x:v>
      </x:c>
      <x:c r="K306" s="31" t="n">
        <x:v>0</x:v>
      </x:c>
      <x:c r="L306" s="31" t="n">
        <x:v>0.9327399144</x:v>
      </x:c>
      <x:c r="M306" s="31" t="n">
        <x:v>5.5864498534</x:v>
      </x:c>
      <x:c r="N306" s="24" t="str">
        <x:v>triaenodon obesus</x:v>
      </x:c>
      <x:c r="O306" s="32" t="n">
        <x:v>4.19</x:v>
      </x:c>
      <x:c r="P306" s="24" t="str">
        <x:v>exact_2020_supplement</x:v>
      </x:c>
      <x:c r="Q306" s="32" t="str">
        <x:v>2020 supplement MeanTL</x:v>
      </x:c>
      <x:c r="R306" s="24" t="str">
        <x:v>high</x:v>
      </x:c>
      <x:c r="S306" s="24" t="str">
        <x:v>Triaenodon obesus</x:v>
      </x:c>
      <x:c r="T306" s="32" t="n">
        <x:f>IF(O306="","",(1/'Metadata'!$B$5)^(O306-1))</x:f>
        <x:v>1548.8166189124827</x:v>
      </x:c>
      <x:c r="U306" s="31" t="n">
        <x:f>IF(T306="","",I306*T306)</x:f>
        <x:v>10097.02945421285</x:v>
      </x:c>
    </x:row>
    <x:row r="307" ht="18" customHeight="1">
      <x:c r="A307" s="24" t="str">
        <x:v>EEZ_036</x:v>
      </x:c>
      <x:c r="B307" s="24" t="str">
        <x:v>Australia</x:v>
      </x:c>
      <x:c r="C307" s="24" t="str">
        <x:v>EEZ</x:v>
      </x:c>
      <x:c r="D307" s="30" t="n">
        <x:v>2019</x:v>
      </x:c>
      <x:c r="E307" s="24" t="str">
        <x:v>Plectorhinchus</x:v>
      </x:c>
      <x:c r="F307" s="24" t="str">
        <x:v>Sweetlips</x:v>
      </x:c>
      <x:c r="G307" s="24" t="str">
        <x:v>Medium reef assoc. fish (30 - 89 cm)</x:v>
      </x:c>
      <x:c r="H307" s="24" t="str">
        <x:v>Perch-likes</x:v>
      </x:c>
      <x:c r="I307" s="31" t="n">
        <x:v>6.4903252788</x:v>
      </x:c>
      <x:c r="J307" s="31" t="n">
        <x:v>6.4903252788</x:v>
      </x:c>
      <x:c r="K307" s="31" t="n">
        <x:v>0</x:v>
      </x:c>
      <x:c r="L307" s="31" t="n">
        <x:v>6.0676904897</x:v>
      </x:c>
      <x:c r="M307" s="31" t="n">
        <x:v>0.4226347891</x:v>
      </x:c>
      <x:c r="N307" s="24" t="str">
        <x:v>plectorhinchus</x:v>
      </x:c>
      <x:c r="O307" s="32" t="n">
        <x:v>3.43</x:v>
      </x:c>
      <x:c r="P307" s="24" t="str">
        <x:v>exact_sea_around_us</x:v>
      </x:c>
      <x:c r="Q307" s="32" t="str">
        <x:v>Sea Around Us exploited organisms</x:v>
      </x:c>
      <x:c r="R307" s="24" t="str">
        <x:v>high</x:v>
      </x:c>
      <x:c r="S307" s="24" t="str">
        <x:v>Plectorhinchus</x:v>
      </x:c>
      <x:c r="T307" s="32" t="n">
        <x:f>IF(O307="","",(1/'Metadata'!$B$5)^(O307-1))</x:f>
        <x:v>269.1534803926917</x:v>
      </x:c>
      <x:c r="U307" s="31" t="n">
        <x:f>IF(T307="","",I307*T307)</x:f>
        <x:v>1746.893637669687</x:v>
      </x:c>
    </x:row>
    <x:row r="308" ht="18" customHeight="1">
      <x:c r="A308" s="24" t="str">
        <x:v>EEZ_036</x:v>
      </x:c>
      <x:c r="B308" s="24" t="str">
        <x:v>Australia</x:v>
      </x:c>
      <x:c r="C308" s="24" t="str">
        <x:v>EEZ</x:v>
      </x:c>
      <x:c r="D308" s="30" t="n">
        <x:v>2019</x:v>
      </x:c>
      <x:c r="E308" s="24" t="str">
        <x:v>Seriolina nigrofasciata</x:v>
      </x:c>
      <x:c r="F308" s="24" t="str">
        <x:v>Blackbanded trevally</x:v>
      </x:c>
      <x:c r="G308" s="24" t="str">
        <x:v>Medium reef assoc. fish (30 - 89 cm)</x:v>
      </x:c>
      <x:c r="H308" s="24" t="str">
        <x:v>Perch-likes</x:v>
      </x:c>
      <x:c r="I308" s="31" t="n">
        <x:v>6.4753655814</x:v>
      </x:c>
      <x:c r="J308" s="31" t="n">
        <x:v>6.4753655814</x:v>
      </x:c>
      <x:c r="K308" s="31" t="n">
        <x:v>0</x:v>
      </x:c>
      <x:c r="L308" s="31" t="n">
        <x:v>6.4286182836000005</x:v>
      </x:c>
      <x:c r="M308" s="31" t="n">
        <x:v>0.0467472978</x:v>
      </x:c>
      <x:c r="N308" s="24" t="str">
        <x:v>seriolina nigrofasciata</x:v>
      </x:c>
      <x:c r="O308" s="32" t="n">
        <x:v>4.17</x:v>
      </x:c>
      <x:c r="P308" s="24" t="str">
        <x:v>exact_2020_supplement</x:v>
      </x:c>
      <x:c r="Q308" s="32" t="str">
        <x:v>2020 supplement MeanTL</x:v>
      </x:c>
      <x:c r="R308" s="24" t="str">
        <x:v>high</x:v>
      </x:c>
      <x:c r="S308" s="24" t="str">
        <x:v>Seriolina nigrofasciata</x:v>
      </x:c>
      <x:c r="T308" s="32" t="n">
        <x:f>IF(O308="","",(1/'Metadata'!$B$5)^(O308-1))</x:f>
        <x:v>1479.1083881682073</x:v>
      </x:c>
      <x:c r="U308" s="31" t="n">
        <x:f>IF(T308="","",I308*T308)</x:f>
        <x:v>9577.767547904441</x:v>
      </x:c>
    </x:row>
    <x:row r="309" ht="18" customHeight="1">
      <x:c r="A309" s="24" t="str">
        <x:v>EEZ_036</x:v>
      </x:c>
      <x:c r="B309" s="24" t="str">
        <x:v>Australia</x:v>
      </x:c>
      <x:c r="C309" s="24" t="str">
        <x:v>EEZ</x:v>
      </x:c>
      <x:c r="D309" s="30" t="n">
        <x:v>2019</x:v>
      </x:c>
      <x:c r="E309" s="24" t="str">
        <x:v>Gymnosarda unicolor</x:v>
      </x:c>
      <x:c r="F309" s="24" t="str">
        <x:v>Dogtooth tuna</x:v>
      </x:c>
      <x:c r="G309" s="24" t="str">
        <x:v>Large reef assoc. fish (&gt;=90 cm)</x:v>
      </x:c>
      <x:c r="H309" s="24" t="str">
        <x:v>Tuna &amp; billfishes</x:v>
      </x:c>
      <x:c r="I309" s="31" t="n">
        <x:v>6.4663945855</x:v>
      </x:c>
      <x:c r="J309" s="31" t="n">
        <x:v>6.4663945855</x:v>
      </x:c>
      <x:c r="K309" s="31" t="n">
        <x:v>0</x:v>
      </x:c>
      <x:c r="L309" s="31" t="n">
        <x:v>3.7553259248</x:v>
      </x:c>
      <x:c r="M309" s="31" t="n">
        <x:v>2.7110686607</x:v>
      </x:c>
      <x:c r="N309" s="24" t="str">
        <x:v>gymnosarda unicolor</x:v>
      </x:c>
      <x:c r="O309" s="32" t="n">
        <x:v>4.5</x:v>
      </x:c>
      <x:c r="P309" s="24" t="str">
        <x:v>exact_2020_supplement</x:v>
      </x:c>
      <x:c r="Q309" s="32" t="str">
        <x:v>2020 supplement MeanTL</x:v>
      </x:c>
      <x:c r="R309" s="24" t="str">
        <x:v>high</x:v>
      </x:c>
      <x:c r="S309" s="24" t="str">
        <x:v>Gymnosarda unicolor</x:v>
      </x:c>
      <x:c r="T309" s="32" t="n">
        <x:f>IF(O309="","",(1/'Metadata'!$B$5)^(O309-1))</x:f>
        <x:v>3162.2776601683795</x:v>
      </x:c>
      <x:c r="U309" s="31" t="n">
        <x:f>IF(T309="","",I309*T309)</x:f>
        <x:v>20448.53513956042</x:v>
      </x:c>
    </x:row>
    <x:row r="310" ht="18" customHeight="1">
      <x:c r="A310" s="24" t="str">
        <x:v>EEZ_036</x:v>
      </x:c>
      <x:c r="B310" s="24" t="str">
        <x:v>Australia</x:v>
      </x:c>
      <x:c r="C310" s="24" t="str">
        <x:v>EEZ</x:v>
      </x:c>
      <x:c r="D310" s="30" t="n">
        <x:v>2019</x:v>
      </x:c>
      <x:c r="E310" s="24" t="str">
        <x:v>Sepiidae</x:v>
      </x:c>
      <x:c r="F310" s="24" t="str">
        <x:v>Cuttlefishes</x:v>
      </x:c>
      <x:c r="G310" s="24" t="str">
        <x:v>Cephalopods</x:v>
      </x:c>
      <x:c r="H310" s="24" t="str">
        <x:v>Other fishes &amp; inverts</x:v>
      </x:c>
      <x:c r="I310" s="31" t="n">
        <x:v>6.4346288008</x:v>
      </x:c>
      <x:c r="J310" s="31" t="n">
        <x:v>1.2858606377</x:v>
      </x:c>
      <x:c r="K310" s="31" t="n">
        <x:v>5.1487681631</x:v>
      </x:c>
      <x:c r="L310" s="31" t="n">
        <x:v>1.2858606377</x:v>
      </x:c>
      <x:c r="M310" s="31" t="n">
        <x:v>5.1487681631</x:v>
      </x:c>
      <x:c r="N310" s="24" t="str">
        <x:v>sepiidae</x:v>
      </x:c>
      <x:c r="O310" s="32" t="n">
        <x:v>3.6</x:v>
      </x:c>
      <x:c r="P310" s="24" t="str">
        <x:v>exact_sea_around_us</x:v>
      </x:c>
      <x:c r="Q310" s="32" t="str">
        <x:v>Sea Around Us exploited organisms</x:v>
      </x:c>
      <x:c r="R310" s="24" t="str">
        <x:v>high</x:v>
      </x:c>
      <x:c r="S310" s="24" t="str">
        <x:v>Sepiidae</x:v>
      </x:c>
      <x:c r="T310" s="32" t="n">
        <x:f>IF(O310="","",(1/'Metadata'!$B$5)^(O310-1))</x:f>
        <x:v>398.1071705534973</x:v>
      </x:c>
      <x:c r="U310" s="31" t="n">
        <x:f>IF(T310="","",I310*T310)</x:f>
        <x:v>2561.6718654485317</x:v>
      </x:c>
    </x:row>
    <x:row r="311" ht="18" customHeight="1">
      <x:c r="A311" s="24" t="str">
        <x:v>EEZ_036</x:v>
      </x:c>
      <x:c r="B311" s="24" t="str">
        <x:v>Australia</x:v>
      </x:c>
      <x:c r="C311" s="24" t="str">
        <x:v>EEZ</x:v>
      </x:c>
      <x:c r="D311" s="30" t="n">
        <x:v>2019</x:v>
      </x:c>
      <x:c r="E311" s="24" t="str">
        <x:v>Gymnocranius euanus</x:v>
      </x:c>
      <x:c r="F311" s="24" t="str">
        <x:v>Japanese large-eye bream</x:v>
      </x:c>
      <x:c r="G311" s="24" t="str">
        <x:v>Medium reef assoc. fish (30 - 89 cm)</x:v>
      </x:c>
      <x:c r="H311" s="24" t="str">
        <x:v>Perch-likes</x:v>
      </x:c>
      <x:c r="I311" s="31" t="n">
        <x:v>6.3849847149</x:v>
      </x:c>
      <x:c r="J311" s="31" t="n">
        <x:v>6.3849847149</x:v>
      </x:c>
      <x:c r="K311" s="31" t="n">
        <x:v>0</x:v>
      </x:c>
      <x:c r="L311" s="31" t="n">
        <x:v>6.3618444278</x:v>
      </x:c>
      <x:c r="M311" s="31" t="n">
        <x:v>0.0231402871</x:v>
      </x:c>
      <x:c r="N311" s="24" t="str">
        <x:v>gymnocranius euanus</x:v>
      </x:c>
      <x:c r="O311" s="32" t="n">
        <x:v>3.8</x:v>
      </x:c>
      <x:c r="P311" s="24" t="str">
        <x:v>exact_2020_supplement</x:v>
      </x:c>
      <x:c r="Q311" s="32" t="str">
        <x:v>2020 supplement MeanTL</x:v>
      </x:c>
      <x:c r="R311" s="24" t="str">
        <x:v>high</x:v>
      </x:c>
      <x:c r="S311" s="24" t="str">
        <x:v>Gymnocranius euanus</x:v>
      </x:c>
      <x:c r="T311" s="32" t="n">
        <x:f>IF(O311="","",(1/'Metadata'!$B$5)^(O311-1))</x:f>
        <x:v>630.957344480193</x:v>
      </x:c>
      <x:c r="U311" s="31" t="n">
        <x:f>IF(T311="","",I311*T311)</x:f>
        <x:v>4028.653000259926</x:v>
      </x:c>
    </x:row>
    <x:row r="312" ht="18" customHeight="1">
      <x:c r="A312" s="24" t="str">
        <x:v>EEZ_036</x:v>
      </x:c>
      <x:c r="B312" s="24" t="str">
        <x:v>Australia</x:v>
      </x:c>
      <x:c r="C312" s="24" t="str">
        <x:v>EEZ</x:v>
      </x:c>
      <x:c r="D312" s="30" t="n">
        <x:v>2019</x:v>
      </x:c>
      <x:c r="E312" s="24" t="str">
        <x:v>Pomadasys argenteus</x:v>
      </x:c>
      <x:c r="F312" s="24" t="str">
        <x:v>Silver grunt</x:v>
      </x:c>
      <x:c r="G312" s="24" t="str">
        <x:v>Medium demersals (30 - 89 cm)</x:v>
      </x:c>
      <x:c r="H312" s="24" t="str">
        <x:v>Perch-likes</x:v>
      </x:c>
      <x:c r="I312" s="31" t="n">
        <x:v>6.3782472701</x:v>
      </x:c>
      <x:c r="J312" s="31" t="n">
        <x:v>6.3782472701</x:v>
      </x:c>
      <x:c r="K312" s="31" t="n">
        <x:v>0</x:v>
      </x:c>
      <x:c r="L312" s="31" t="n">
        <x:v>0</x:v>
      </x:c>
      <x:c r="M312" s="31" t="n">
        <x:v>6.3782472701</x:v>
      </x:c>
      <x:c r="N312" s="24" t="str">
        <x:v>pomadasys argenteus</x:v>
      </x:c>
      <x:c r="O312" s="32" t="n">
        <x:v>3.47</x:v>
      </x:c>
      <x:c r="P312" s="24" t="str">
        <x:v>exact_2020_supplement</x:v>
      </x:c>
      <x:c r="Q312" s="32" t="str">
        <x:v>2020 supplement MeanTL</x:v>
      </x:c>
      <x:c r="R312" s="24" t="str">
        <x:v>high</x:v>
      </x:c>
      <x:c r="S312" s="24" t="str">
        <x:v>Pomadasys argenteus</x:v>
      </x:c>
      <x:c r="T312" s="32" t="n">
        <x:f>IF(O312="","",(1/'Metadata'!$B$5)^(O312-1))</x:f>
        <x:v>295.1209226666387</x:v>
      </x:c>
      <x:c r="U312" s="31" t="n">
        <x:f>IF(T312="","",I312*T312)</x:f>
        <x:v>1882.3542193478816</x:v>
      </x:c>
    </x:row>
    <x:row r="313" ht="18" customHeight="1">
      <x:c r="A313" s="24" t="str">
        <x:v>EEZ_036</x:v>
      </x:c>
      <x:c r="B313" s="24" t="str">
        <x:v>Australia</x:v>
      </x:c>
      <x:c r="C313" s="24" t="str">
        <x:v>EEZ</x:v>
      </x:c>
      <x:c r="D313" s="30" t="n">
        <x:v>2019</x:v>
      </x:c>
      <x:c r="E313" s="24" t="str">
        <x:v>Epinephelus fuscoguttatus</x:v>
      </x:c>
      <x:c r="F313" s="24" t="str">
        <x:v>Brown-marbled grouper</x:v>
      </x:c>
      <x:c r="G313" s="24" t="str">
        <x:v>Large reef assoc. fish (&gt;=90 cm)</x:v>
      </x:c>
      <x:c r="H313" s="24" t="str">
        <x:v>Perch-likes</x:v>
      </x:c>
      <x:c r="I313" s="31" t="n">
        <x:v>6.2285841337</x:v>
      </x:c>
      <x:c r="J313" s="31" t="n">
        <x:v>6.2285841337</x:v>
      </x:c>
      <x:c r="K313" s="31" t="n">
        <x:v>0</x:v>
      </x:c>
      <x:c r="L313" s="31" t="n">
        <x:v>6.1319253829</x:v>
      </x:c>
      <x:c r="M313" s="31" t="n">
        <x:v>0.0966587508</x:v>
      </x:c>
      <x:c r="N313" s="24" t="str">
        <x:v>epinephelus fuscoguttatus</x:v>
      </x:c>
      <x:c r="O313" s="32" t="n">
        <x:v>4.14</x:v>
      </x:c>
      <x:c r="P313" s="24" t="str">
        <x:v>exact_2020_supplement</x:v>
      </x:c>
      <x:c r="Q313" s="32" t="str">
        <x:v>2020 supplement MeanTL</x:v>
      </x:c>
      <x:c r="R313" s="24" t="str">
        <x:v>high</x:v>
      </x:c>
      <x:c r="S313" s="24" t="str">
        <x:v>Epinephelus fuscoguttatus</x:v>
      </x:c>
      <x:c r="T313" s="32" t="n">
        <x:f>IF(O313="","",(1/'Metadata'!$B$5)^(O313-1))</x:f>
        <x:v>1380.3842646028838</x:v>
      </x:c>
      <x:c r="U313" s="31" t="n">
        <x:f>IF(T313="","",I313*T313)</x:f>
        <x:v>8597.839528914665</x:v>
      </x:c>
    </x:row>
    <x:row r="314" ht="18" customHeight="1">
      <x:c r="A314" s="24" t="str">
        <x:v>EEZ_036</x:v>
      </x:c>
      <x:c r="B314" s="24" t="str">
        <x:v>Australia</x:v>
      </x:c>
      <x:c r="C314" s="24" t="str">
        <x:v>EEZ</x:v>
      </x:c>
      <x:c r="D314" s="30" t="n">
        <x:v>2019</x:v>
      </x:c>
      <x:c r="E314" s="24" t="str">
        <x:v>Cephalopholis miniata</x:v>
      </x:c>
      <x:c r="F314" s="24" t="str">
        <x:v>Coral hind</x:v>
      </x:c>
      <x:c r="G314" s="24" t="str">
        <x:v>Medium reef assoc. fish (30 - 89 cm)</x:v>
      </x:c>
      <x:c r="H314" s="24" t="str">
        <x:v>Perch-likes</x:v>
      </x:c>
      <x:c r="I314" s="31" t="n">
        <x:v>6.2111662806</x:v>
      </x:c>
      <x:c r="J314" s="31" t="n">
        <x:v>6.2111662806</x:v>
      </x:c>
      <x:c r="K314" s="31" t="n">
        <x:v>0</x:v>
      </x:c>
      <x:c r="L314" s="31" t="n">
        <x:v>6.2048944528</x:v>
      </x:c>
      <x:c r="M314" s="31" t="n">
        <x:v>0.0062718278</x:v>
      </x:c>
      <x:c r="N314" s="24" t="str">
        <x:v>cephalopholis miniata</x:v>
      </x:c>
      <x:c r="O314" s="32" t="n">
        <x:v>4.29</x:v>
      </x:c>
      <x:c r="P314" s="24" t="str">
        <x:v>exact_2020_supplement</x:v>
      </x:c>
      <x:c r="Q314" s="32" t="str">
        <x:v>2020 supplement MeanTL</x:v>
      </x:c>
      <x:c r="R314" s="24" t="str">
        <x:v>high</x:v>
      </x:c>
      <x:c r="S314" s="24" t="str">
        <x:v>Cephalopholis miniata</x:v>
      </x:c>
      <x:c r="T314" s="32" t="n">
        <x:f>IF(O314="","",(1/'Metadata'!$B$5)^(O314-1))</x:f>
        <x:v>1949.8445997580454</x:v>
      </x:c>
      <x:c r="U314" s="31" t="n">
        <x:f>IF(T314="","",I314*T314)</x:f>
        <x:v>12110.809030427174</x:v>
      </x:c>
    </x:row>
    <x:row r="315" ht="18" customHeight="1">
      <x:c r="A315" s="24" t="str">
        <x:v>EEZ_036</x:v>
      </x:c>
      <x:c r="B315" s="24" t="str">
        <x:v>Australia</x:v>
      </x:c>
      <x:c r="C315" s="24" t="str">
        <x:v>EEZ</x:v>
      </x:c>
      <x:c r="D315" s="30" t="n">
        <x:v>2019</x:v>
      </x:c>
      <x:c r="E315" s="24" t="str">
        <x:v>Lethrinus rubrioperculatus</x:v>
      </x:c>
      <x:c r="F315" s="24" t="str">
        <x:v>Spotcheek emperor</x:v>
      </x:c>
      <x:c r="G315" s="24" t="str">
        <x:v>Medium reef assoc. fish (30 - 89 cm)</x:v>
      </x:c>
      <x:c r="H315" s="24" t="str">
        <x:v>Perch-likes</x:v>
      </x:c>
      <x:c r="I315" s="31" t="n">
        <x:v>5.9685594334</x:v>
      </x:c>
      <x:c r="J315" s="31" t="n">
        <x:v>5.9685594334</x:v>
      </x:c>
      <x:c r="K315" s="31" t="n">
        <x:v>0</x:v>
      </x:c>
      <x:c r="L315" s="31" t="n">
        <x:v>5.9596381172</x:v>
      </x:c>
      <x:c r="M315" s="31" t="n">
        <x:v>0.0089213162</x:v>
      </x:c>
      <x:c r="N315" s="24" t="str">
        <x:v>lethrinus rubrioperculatus</x:v>
      </x:c>
      <x:c r="O315" s="32" t="n">
        <x:v>3.75</x:v>
      </x:c>
      <x:c r="P315" s="24" t="str">
        <x:v>exact_2020_supplement</x:v>
      </x:c>
      <x:c r="Q315" s="32" t="str">
        <x:v>2020 supplement MeanTL</x:v>
      </x:c>
      <x:c r="R315" s="24" t="str">
        <x:v>high</x:v>
      </x:c>
      <x:c r="S315" s="24" t="str">
        <x:v>Lethrinus rubrioperculatus</x:v>
      </x:c>
      <x:c r="T315" s="32" t="n">
        <x:f>IF(O315="","",(1/'Metadata'!$B$5)^(O315-1))</x:f>
        <x:v>562.341325190349</x:v>
      </x:c>
      <x:c r="U315" s="31" t="n">
        <x:f>IF(T315="","",I315*T315)</x:f>
        <x:v>3356.367621255515</x:v>
      </x:c>
    </x:row>
    <x:row r="316" ht="18" customHeight="1">
      <x:c r="A316" s="24" t="str">
        <x:v>EEZ_036</x:v>
      </x:c>
      <x:c r="B316" s="24" t="str">
        <x:v>Australia</x:v>
      </x:c>
      <x:c r="C316" s="24" t="str">
        <x:v>EEZ</x:v>
      </x:c>
      <x:c r="D316" s="30" t="n">
        <x:v>2019</x:v>
      </x:c>
      <x:c r="E316" s="24" t="str">
        <x:v>Sphyrna mokarran</x:v>
      </x:c>
      <x:c r="F316" s="24" t="str">
        <x:v>Great hammerhead</x:v>
      </x:c>
      <x:c r="G316" s="24" t="str">
        <x:v>Large sharks (&gt;=90 cm)</x:v>
      </x:c>
      <x:c r="H316" s="24" t="str">
        <x:v>Sharks &amp; rays</x:v>
      </x:c>
      <x:c r="I316" s="31" t="n">
        <x:v>5.906821571699999</x:v>
      </x:c>
      <x:c r="J316" s="31" t="n">
        <x:v>5.906821571699999</x:v>
      </x:c>
      <x:c r="K316" s="31" t="n">
        <x:v>0</x:v>
      </x:c>
      <x:c r="L316" s="31" t="n">
        <x:v>5.906821571699999</x:v>
      </x:c>
      <x:c r="M316" s="31" t="n">
        <x:v>0</x:v>
      </x:c>
      <x:c r="N316" s="24" t="str">
        <x:v>sphyrna mokarran</x:v>
      </x:c>
      <x:c r="O316" s="32" t="n">
        <x:v>4.32</x:v>
      </x:c>
      <x:c r="P316" s="24" t="str">
        <x:v>exact_2020_supplement</x:v>
      </x:c>
      <x:c r="Q316" s="32" t="str">
        <x:v>2020 supplement MeanTL</x:v>
      </x:c>
      <x:c r="R316" s="24" t="str">
        <x:v>high</x:v>
      </x:c>
      <x:c r="S316" s="24" t="str">
        <x:v>Sphyrna mokarran</x:v>
      </x:c>
      <x:c r="T316" s="32" t="n">
        <x:f>IF(O316="","",(1/'Metadata'!$B$5)^(O316-1))</x:f>
        <x:v>2089.2961308540407</x:v>
      </x:c>
      <x:c r="U316" s="31" t="n">
        <x:f>IF(T316="","",I316*T316)</x:f>
        <x:v>12341.099455397993</x:v>
      </x:c>
    </x:row>
    <x:row r="317" ht="18" customHeight="1">
      <x:c r="A317" s="24" t="str">
        <x:v>EEZ_036</x:v>
      </x:c>
      <x:c r="B317" s="24" t="str">
        <x:v>Australia</x:v>
      </x:c>
      <x:c r="C317" s="24" t="str">
        <x:v>EEZ</x:v>
      </x:c>
      <x:c r="D317" s="30" t="n">
        <x:v>2019</x:v>
      </x:c>
      <x:c r="E317" s="24" t="str">
        <x:v>Naso</x:v>
      </x:c>
      <x:c r="F317" s="24" t="str">
        <x:v>Unicornfishes</x:v>
      </x:c>
      <x:c r="G317" s="24" t="str">
        <x:v>Medium reef assoc. fish (30 - 89 cm)</x:v>
      </x:c>
      <x:c r="H317" s="24" t="str">
        <x:v>Perch-likes</x:v>
      </x:c>
      <x:c r="I317" s="31" t="n">
        <x:v>5.892906066</x:v>
      </x:c>
      <x:c r="J317" s="31" t="n">
        <x:v>5.892906066</x:v>
      </x:c>
      <x:c r="K317" s="31" t="n">
        <x:v>0</x:v>
      </x:c>
      <x:c r="L317" s="31" t="n">
        <x:v>5.8715692716</x:v>
      </x:c>
      <x:c r="M317" s="31" t="n">
        <x:v>0.0213367944</x:v>
      </x:c>
      <x:c r="N317" s="24" t="str">
        <x:v>naso</x:v>
      </x:c>
      <x:c r="O317" s="32" t="n">
        <x:v>3.28</x:v>
      </x:c>
      <x:c r="P317" s="24" t="str">
        <x:v>exact_sea_around_us</x:v>
      </x:c>
      <x:c r="Q317" s="32" t="str">
        <x:v>Sea Around Us exploited organisms</x:v>
      </x:c>
      <x:c r="R317" s="24" t="str">
        <x:v>high</x:v>
      </x:c>
      <x:c r="S317" s="24" t="str">
        <x:v>Naso</x:v>
      </x:c>
      <x:c r="T317" s="32" t="n">
        <x:f>IF(O317="","",(1/'Metadata'!$B$5)^(O317-1))</x:f>
        <x:v>190.54607179632464</x:v>
      </x:c>
      <x:c r="U317" s="31" t="n">
        <x:f>IF(T317="","",I317*T317)</x:f>
        <x:v>1122.870102341033</x:v>
      </x:c>
    </x:row>
    <x:row r="318" ht="18" customHeight="1">
      <x:c r="A318" s="24" t="str">
        <x:v>EEZ_036</x:v>
      </x:c>
      <x:c r="B318" s="24" t="str">
        <x:v>Australia</x:v>
      </x:c>
      <x:c r="C318" s="24" t="str">
        <x:v>EEZ</x:v>
      </x:c>
      <x:c r="D318" s="30" t="n">
        <x:v>2019</x:v>
      </x:c>
      <x:c r="E318" s="24" t="str">
        <x:v>Variola albimarginata</x:v>
      </x:c>
      <x:c r="F318" s="24" t="str">
        <x:v>White-edged lyretail</x:v>
      </x:c>
      <x:c r="G318" s="24" t="str">
        <x:v>Medium reef assoc. fish (30 - 89 cm)</x:v>
      </x:c>
      <x:c r="H318" s="24" t="str">
        <x:v>Perch-likes</x:v>
      </x:c>
      <x:c r="I318" s="31" t="n">
        <x:v>5.8759676233</x:v>
      </x:c>
      <x:c r="J318" s="31" t="n">
        <x:v>5.8759676233</x:v>
      </x:c>
      <x:c r="K318" s="31" t="n">
        <x:v>0</x:v>
      </x:c>
      <x:c r="L318" s="31" t="n">
        <x:v>5.8759676233</x:v>
      </x:c>
      <x:c r="M318" s="31" t="n">
        <x:v>0</x:v>
      </x:c>
      <x:c r="N318" s="24" t="str">
        <x:v>variola albimarginata</x:v>
      </x:c>
      <x:c r="O318" s="32" t="n">
        <x:v>4.5</x:v>
      </x:c>
      <x:c r="P318" s="24" t="str">
        <x:v>exact_2020_supplement</x:v>
      </x:c>
      <x:c r="Q318" s="32" t="str">
        <x:v>2020 supplement MeanTL</x:v>
      </x:c>
      <x:c r="R318" s="24" t="str">
        <x:v>high</x:v>
      </x:c>
      <x:c r="S318" s="24" t="str">
        <x:v>Variola albimarginata</x:v>
      </x:c>
      <x:c r="T318" s="32" t="n">
        <x:f>IF(O318="","",(1/'Metadata'!$B$5)^(O318-1))</x:f>
        <x:v>3162.2776601683795</x:v>
      </x:c>
      <x:c r="U318" s="31" t="n">
        <x:f>IF(T318="","",I318*T318)</x:f>
        <x:v>18581.44114703428</x:v>
      </x:c>
    </x:row>
    <x:row r="319" ht="18" customHeight="1">
      <x:c r="A319" s="24" t="str">
        <x:v>EEZ_036</x:v>
      </x:c>
      <x:c r="B319" s="24" t="str">
        <x:v>Australia</x:v>
      </x:c>
      <x:c r="C319" s="24" t="str">
        <x:v>EEZ</x:v>
      </x:c>
      <x:c r="D319" s="30" t="n">
        <x:v>2019</x:v>
      </x:c>
      <x:c r="E319" s="24" t="str">
        <x:v>Stichopus</x:v>
      </x:c>
      <x:c r="F319" s="24" t="str">
        <x:v>Boxed sea cucumbers</x:v>
      </x:c>
      <x:c r="G319" s="24" t="str">
        <x:v>Other demersal invertebrates</x:v>
      </x:c>
      <x:c r="H319" s="24" t="str">
        <x:v>Other fishes &amp; inverts</x:v>
      </x:c>
      <x:c r="I319" s="31" t="n">
        <x:v>5.8715692716</x:v>
      </x:c>
      <x:c r="J319" s="31" t="n">
        <x:v>5.8715692716</x:v>
      </x:c>
      <x:c r="K319" s="31" t="n">
        <x:v>0</x:v>
      </x:c>
      <x:c r="L319" s="31" t="n">
        <x:v>5.8715692716</x:v>
      </x:c>
      <x:c r="M319" s="31" t="n">
        <x:v>0</x:v>
      </x:c>
      <x:c r="N319" s="24" t="str">
        <x:v>stichopus</x:v>
      </x:c>
      <x:c r="O319" s="32" t="n">
        <x:v>2.3</x:v>
      </x:c>
      <x:c r="P319" s="24" t="str">
        <x:v>exact_sea_around_us</x:v>
      </x:c>
      <x:c r="Q319" s="32" t="str">
        <x:v>Sea Around Us exploited organisms</x:v>
      </x:c>
      <x:c r="R319" s="24" t="str">
        <x:v>high</x:v>
      </x:c>
      <x:c r="S319" s="24" t="str">
        <x:v>Stichopus</x:v>
      </x:c>
      <x:c r="T319" s="32" t="n">
        <x:f>IF(O319="","",(1/'Metadata'!$B$5)^(O319-1))</x:f>
        <x:v>19.952623149688787</x:v>
      </x:c>
      <x:c r="U319" s="31" t="n">
        <x:f>IF(T319="","",I319*T319)</x:f>
        <x:v>117.1532089735275</x:v>
      </x:c>
    </x:row>
    <x:row r="320" ht="18" customHeight="1">
      <x:c r="A320" s="24" t="str">
        <x:v>EEZ_036</x:v>
      </x:c>
      <x:c r="B320" s="24" t="str">
        <x:v>Australia</x:v>
      </x:c>
      <x:c r="C320" s="24" t="str">
        <x:v>EEZ</x:v>
      </x:c>
      <x:c r="D320" s="30" t="n">
        <x:v>2019</x:v>
      </x:c>
      <x:c r="E320" s="24" t="str">
        <x:v>Lithodes</x:v>
      </x:c>
      <x:c r="F320" s="24" t="str">
        <x:v>King crabs</x:v>
      </x:c>
      <x:c r="G320" s="24" t="str">
        <x:v>Lobsters, crabs</x:v>
      </x:c>
      <x:c r="H320" s="24" t="str">
        <x:v>Crustaceans</x:v>
      </x:c>
      <x:c r="I320" s="31" t="n">
        <x:v>5.8715692716</x:v>
      </x:c>
      <x:c r="J320" s="31" t="n">
        <x:v>5.8715692716</x:v>
      </x:c>
      <x:c r="K320" s="31" t="n">
        <x:v>0</x:v>
      </x:c>
      <x:c r="L320" s="31" t="n">
        <x:v>5.8715692716</x:v>
      </x:c>
      <x:c r="M320" s="31" t="n">
        <x:v>0</x:v>
      </x:c>
      <x:c r="N320" s="24" t="str">
        <x:v>lithodes</x:v>
      </x:c>
      <x:c r="O320" s="32" t="n">
        <x:v>2.3</x:v>
      </x:c>
      <x:c r="P320" s="24" t="str">
        <x:v>exact_sea_around_us</x:v>
      </x:c>
      <x:c r="Q320" s="32" t="str">
        <x:v>Sea Around Us exploited organisms</x:v>
      </x:c>
      <x:c r="R320" s="24" t="str">
        <x:v>high</x:v>
      </x:c>
      <x:c r="S320" s="24" t="str">
        <x:v>Lithodes</x:v>
      </x:c>
      <x:c r="T320" s="32" t="n">
        <x:f>IF(O320="","",(1/'Metadata'!$B$5)^(O320-1))</x:f>
        <x:v>19.952623149688787</x:v>
      </x:c>
      <x:c r="U320" s="31" t="n">
        <x:f>IF(T320="","",I320*T320)</x:f>
        <x:v>117.1532089735275</x:v>
      </x:c>
    </x:row>
    <x:row r="321" ht="18" customHeight="1">
      <x:c r="A321" s="24" t="str">
        <x:v>EEZ_036</x:v>
      </x:c>
      <x:c r="B321" s="24" t="str">
        <x:v>Australia</x:v>
      </x:c>
      <x:c r="C321" s="24" t="str">
        <x:v>EEZ</x:v>
      </x:c>
      <x:c r="D321" s="30" t="n">
        <x:v>2019</x:v>
      </x:c>
      <x:c r="E321" s="24" t="str">
        <x:v>Mollusca</x:v>
      </x:c>
      <x:c r="F321" s="24" t="str">
        <x:v>Clams, seasnails, squids, octopuses</x:v>
      </x:c>
      <x:c r="G321" s="24" t="str">
        <x:v>Other demersal invertebrates</x:v>
      </x:c>
      <x:c r="H321" s="24" t="str">
        <x:v>Molluscs</x:v>
      </x:c>
      <x:c r="I321" s="31" t="n">
        <x:v>5.8715692716</x:v>
      </x:c>
      <x:c r="J321" s="31" t="n">
        <x:v>5.8715692716</x:v>
      </x:c>
      <x:c r="K321" s="31" t="n">
        <x:v>0</x:v>
      </x:c>
      <x:c r="L321" s="31" t="n">
        <x:v>5.8715692716</x:v>
      </x:c>
      <x:c r="M321" s="31" t="n">
        <x:v>0</x:v>
      </x:c>
      <x:c r="N321" s="24" t="str">
        <x:v>mollusca</x:v>
      </x:c>
      <x:c r="O321" s="32" t="n">
        <x:v>2.1</x:v>
      </x:c>
      <x:c r="P321" s="24" t="str">
        <x:v>exact_sea_around_us</x:v>
      </x:c>
      <x:c r="Q321" s="32" t="str">
        <x:v>Sea Around Us exploited organisms</x:v>
      </x:c>
      <x:c r="R321" s="24" t="str">
        <x:v>high</x:v>
      </x:c>
      <x:c r="S321" s="24" t="str">
        <x:v>Mollusca</x:v>
      </x:c>
      <x:c r="T321" s="32" t="n">
        <x:f>IF(O321="","",(1/'Metadata'!$B$5)^(O321-1))</x:f>
        <x:v>12.589254117941675</x:v>
      </x:c>
      <x:c r="U321" s="31" t="n">
        <x:f>IF(T321="","",I321*T321)</x:f>
        <x:v>73.9186776312701</x:v>
      </x:c>
    </x:row>
    <x:row r="322" ht="18" customHeight="1">
      <x:c r="A322" s="24" t="str">
        <x:v>EEZ_036</x:v>
      </x:c>
      <x:c r="B322" s="24" t="str">
        <x:v>Australia</x:v>
      </x:c>
      <x:c r="C322" s="24" t="str">
        <x:v>EEZ</x:v>
      </x:c>
      <x:c r="D322" s="30" t="n">
        <x:v>2019</x:v>
      </x:c>
      <x:c r="E322" s="24" t="str">
        <x:v>Siganus lineatus</x:v>
      </x:c>
      <x:c r="F322" s="24" t="str">
        <x:v>Golden-lined spinefoot</x:v>
      </x:c>
      <x:c r="G322" s="24" t="str">
        <x:v>Medium reef assoc. fish (30 - 89 cm)</x:v>
      </x:c>
      <x:c r="H322" s="24" t="str">
        <x:v>Perch-likes</x:v>
      </x:c>
      <x:c r="I322" s="31" t="n">
        <x:v>5.8715692716</x:v>
      </x:c>
      <x:c r="J322" s="31" t="n">
        <x:v>5.8715692716</x:v>
      </x:c>
      <x:c r="K322" s="31" t="n">
        <x:v>0</x:v>
      </x:c>
      <x:c r="L322" s="31" t="n">
        <x:v>5.8715692716</x:v>
      </x:c>
      <x:c r="M322" s="31" t="n">
        <x:v>0</x:v>
      </x:c>
      <x:c r="N322" s="24" t="str">
        <x:v>siganus lineatus</x:v>
      </x:c>
      <x:c r="O322" s="32" t="n">
        <x:v>2</x:v>
      </x:c>
      <x:c r="P322" s="24" t="str">
        <x:v>exact_2020_supplement</x:v>
      </x:c>
      <x:c r="Q322" s="32" t="str">
        <x:v>2020 supplement MeanTL</x:v>
      </x:c>
      <x:c r="R322" s="24" t="str">
        <x:v>high</x:v>
      </x:c>
      <x:c r="S322" s="24" t="str">
        <x:v>Siganus lineatus</x:v>
      </x:c>
      <x:c r="T322" s="32" t="n">
        <x:f>IF(O322="","",(1/'Metadata'!$B$5)^(O322-1))</x:f>
        <x:v>10</x:v>
      </x:c>
      <x:c r="U322" s="31" t="n">
        <x:f>IF(T322="","",I322*T322)</x:f>
        <x:v>58.71569271600001</x:v>
      </x:c>
    </x:row>
    <x:row r="323" ht="18" customHeight="1">
      <x:c r="A323" s="24" t="str">
        <x:v>EEZ_036</x:v>
      </x:c>
      <x:c r="B323" s="24" t="str">
        <x:v>Australia</x:v>
      </x:c>
      <x:c r="C323" s="24" t="str">
        <x:v>EEZ</x:v>
      </x:c>
      <x:c r="D323" s="30" t="n">
        <x:v>2019</x:v>
      </x:c>
      <x:c r="E323" s="24" t="str">
        <x:v>Argyrosomus japonicus</x:v>
      </x:c>
      <x:c r="F323" s="24" t="str">
        <x:v>Japanese meagre</x:v>
      </x:c>
      <x:c r="G323" s="24" t="str">
        <x:v>Large benthopelagics (&gt;=90 cm)</x:v>
      </x:c>
      <x:c r="H323" s="24" t="str">
        <x:v>Perch-likes</x:v>
      </x:c>
      <x:c r="I323" s="31" t="n">
        <x:v>5.6233818037</x:v>
      </x:c>
      <x:c r="J323" s="31" t="n">
        <x:v>5.6233818037</x:v>
      </x:c>
      <x:c r="K323" s="31" t="n">
        <x:v>0</x:v>
      </x:c>
      <x:c r="L323" s="31" t="n">
        <x:v>3.6144384126</x:v>
      </x:c>
      <x:c r="M323" s="31" t="n">
        <x:v>2.0089433911</x:v>
      </x:c>
      <x:c r="N323" s="24" t="str">
        <x:v>argyrosomus japonicus</x:v>
      </x:c>
      <x:c r="O323" s="32" t="n">
        <x:v>4.48</x:v>
      </x:c>
      <x:c r="P323" s="24" t="str">
        <x:v>exact_2020_supplement</x:v>
      </x:c>
      <x:c r="Q323" s="32" t="str">
        <x:v>2020 supplement MeanTL</x:v>
      </x:c>
      <x:c r="R323" s="24" t="str">
        <x:v>high</x:v>
      </x:c>
      <x:c r="S323" s="24" t="str">
        <x:v>Argyrosomus japonicus</x:v>
      </x:c>
      <x:c r="T323" s="32" t="n">
        <x:f>IF(O323="","",(1/'Metadata'!$B$5)^(O323-1))</x:f>
        <x:v>3019.951720402019</x:v>
      </x:c>
      <x:c r="U323" s="31" t="n">
        <x:f>IF(T323="","",I323*T323)</x:f>
        <x:v>16982.341552561225</x:v>
      </x:c>
    </x:row>
    <x:row r="324" ht="18" customHeight="1">
      <x:c r="A324" s="24" t="str">
        <x:v>EEZ_036</x:v>
      </x:c>
      <x:c r="B324" s="24" t="str">
        <x:v>Australia</x:v>
      </x:c>
      <x:c r="C324" s="24" t="str">
        <x:v>EEZ</x:v>
      </x:c>
      <x:c r="D324" s="30" t="n">
        <x:v>2019</x:v>
      </x:c>
      <x:c r="E324" s="24" t="str">
        <x:v>Bramidae</x:v>
      </x:c>
      <x:c r="F324" s="24" t="str">
        <x:v>Pomfrets</x:v>
      </x:c>
      <x:c r="G324" s="24" t="str">
        <x:v>Medium pelagics (30 - 89 cm)</x:v>
      </x:c>
      <x:c r="H324" s="24" t="str">
        <x:v>Perch-likes</x:v>
      </x:c>
      <x:c r="I324" s="31" t="n">
        <x:v>5.1016799488</x:v>
      </x:c>
      <x:c r="J324" s="31" t="n">
        <x:v>5.1016799488</x:v>
      </x:c>
      <x:c r="K324" s="31" t="n">
        <x:v>0</x:v>
      </x:c>
      <x:c r="L324" s="31" t="n">
        <x:v>5.1016799488</x:v>
      </x:c>
      <x:c r="M324" s="31" t="n">
        <x:v>0</x:v>
      </x:c>
      <x:c r="N324" s="24" t="str">
        <x:v>bramidae</x:v>
      </x:c>
      <x:c r="O324" s="32" t="n">
        <x:v>4.14</x:v>
      </x:c>
      <x:c r="P324" s="24" t="str">
        <x:v>exact_sea_around_us</x:v>
      </x:c>
      <x:c r="Q324" s="32" t="str">
        <x:v>Sea Around Us exploited organisms</x:v>
      </x:c>
      <x:c r="R324" s="24" t="str">
        <x:v>high</x:v>
      </x:c>
      <x:c r="S324" s="24" t="str">
        <x:v>Bramidae</x:v>
      </x:c>
      <x:c r="T324" s="32" t="n">
        <x:f>IF(O324="","",(1/'Metadata'!$B$5)^(O324-1))</x:f>
        <x:v>1380.3842646028838</x:v>
      </x:c>
      <x:c r="U324" s="31" t="n">
        <x:f>IF(T324="","",I324*T324)</x:f>
        <x:v>7042.278724363567</x:v>
      </x:c>
    </x:row>
    <x:row r="325" ht="18" customHeight="1">
      <x:c r="A325" s="24" t="str">
        <x:v>EEZ_036</x:v>
      </x:c>
      <x:c r="B325" s="24" t="str">
        <x:v>Australia</x:v>
      </x:c>
      <x:c r="C325" s="24" t="str">
        <x:v>EEZ</x:v>
      </x:c>
      <x:c r="D325" s="30" t="n">
        <x:v>2019</x:v>
      </x:c>
      <x:c r="E325" s="24" t="str">
        <x:v>Deania calceus</x:v>
      </x:c>
      <x:c r="F325" s="24" t="str">
        <x:v>Birdbeak dogfish</x:v>
      </x:c>
      <x:c r="G325" s="24" t="str">
        <x:v>Large sharks (&gt;=90 cm)</x:v>
      </x:c>
      <x:c r="H325" s="24" t="str">
        <x:v>Sharks &amp; rays</x:v>
      </x:c>
      <x:c r="I325" s="31" t="n">
        <x:v>5.012188592899999</x:v>
      </x:c>
      <x:c r="J325" s="31" t="n">
        <x:v>5.012188592899999</x:v>
      </x:c>
      <x:c r="K325" s="31" t="n">
        <x:v>0</x:v>
      </x:c>
      <x:c r="L325" s="31" t="n">
        <x:v>5.012188592899999</x:v>
      </x:c>
      <x:c r="M325" s="31" t="n">
        <x:v>0</x:v>
      </x:c>
      <x:c r="N325" s="24" t="str">
        <x:v>deania calceus</x:v>
      </x:c>
      <x:c r="O325" s="32" t="n">
        <x:v>4.33</x:v>
      </x:c>
      <x:c r="P325" s="24" t="str">
        <x:v>exact_sea_around_us</x:v>
      </x:c>
      <x:c r="Q325" s="32" t="str">
        <x:v>Sea Around Us exploited organisms</x:v>
      </x:c>
      <x:c r="R325" s="24" t="str">
        <x:v>high</x:v>
      </x:c>
      <x:c r="S325" s="24" t="str">
        <x:v>Deania calceus</x:v>
      </x:c>
      <x:c r="T325" s="32" t="n">
        <x:f>IF(O325="","",(1/'Metadata'!$B$5)^(O325-1))</x:f>
        <x:v>2137.9620895022326</x:v>
      </x:c>
      <x:c r="U325" s="31" t="n">
        <x:f>IF(T325="","",I325*T325)</x:f>
        <x:v>10715.869197055737</x:v>
      </x:c>
    </x:row>
    <x:row r="326" ht="18" customHeight="1">
      <x:c r="A326" s="24" t="str">
        <x:v>EEZ_036</x:v>
      </x:c>
      <x:c r="B326" s="24" t="str">
        <x:v>Australia</x:v>
      </x:c>
      <x:c r="C326" s="24" t="str">
        <x:v>EEZ</x:v>
      </x:c>
      <x:c r="D326" s="30" t="n">
        <x:v>2019</x:v>
      </x:c>
      <x:c r="E326" s="24" t="str">
        <x:v>Paristiopterus labiosus</x:v>
      </x:c>
      <x:c r="F326" s="24" t="str">
        <x:v>Giant boarfish</x:v>
      </x:c>
      <x:c r="G326" s="24" t="str">
        <x:v>Medium demersals (30 - 89 cm)</x:v>
      </x:c>
      <x:c r="H326" s="24" t="str">
        <x:v>Perch-likes</x:v>
      </x:c>
      <x:c r="I326" s="31" t="n">
        <x:v>4.9479984424</x:v>
      </x:c>
      <x:c r="J326" s="31" t="n">
        <x:v>4.9479984424</x:v>
      </x:c>
      <x:c r="K326" s="31" t="n">
        <x:v>0</x:v>
      </x:c>
      <x:c r="L326" s="31" t="n">
        <x:v>4.9479984424</x:v>
      </x:c>
      <x:c r="M326" s="31" t="n">
        <x:v>0</x:v>
      </x:c>
      <x:c r="N326" s="24" t="str">
        <x:v>paristiopterus labiosus</x:v>
      </x:c>
      <x:c r="O326" s="32" t="n">
        <x:v>3.33</x:v>
      </x:c>
      <x:c r="P326" s="24" t="str">
        <x:v>exact_2020_supplement</x:v>
      </x:c>
      <x:c r="Q326" s="32" t="str">
        <x:v>2020 supplement MeanTL</x:v>
      </x:c>
      <x:c r="R326" s="24" t="str">
        <x:v>high</x:v>
      </x:c>
      <x:c r="S326" s="24" t="str">
        <x:v>Paristiopterus labiosus</x:v>
      </x:c>
      <x:c r="T326" s="32" t="n">
        <x:f>IF(O326="","",(1/'Metadata'!$B$5)^(O326-1))</x:f>
        <x:v>213.79620895022325</x:v>
      </x:c>
      <x:c r="U326" s="31" t="n">
        <x:f>IF(T326="","",I326*T326)</x:f>
        <x:v>1057.8633088767297</x:v>
      </x:c>
    </x:row>
    <x:row r="327" ht="18" customHeight="1">
      <x:c r="A327" s="24" t="str">
        <x:v>EEZ_036</x:v>
      </x:c>
      <x:c r="B327" s="24" t="str">
        <x:v>Australia</x:v>
      </x:c>
      <x:c r="C327" s="24" t="str">
        <x:v>EEZ</x:v>
      </x:c>
      <x:c r="D327" s="30" t="n">
        <x:v>2019</x:v>
      </x:c>
      <x:c r="E327" s="24" t="str">
        <x:v>Rhynchobatus australiae</x:v>
      </x:c>
      <x:c r="F327" s="24" t="str">
        <x:v>Whitespotted wedgefish</x:v>
      </x:c>
      <x:c r="G327" s="24" t="str">
        <x:v>Large rays (&gt;=90 cm)</x:v>
      </x:c>
      <x:c r="H327" s="24" t="str">
        <x:v>Sharks &amp; rays</x:v>
      </x:c>
      <x:c r="I327" s="31" t="n">
        <x:v>4.8790270207</x:v>
      </x:c>
      <x:c r="J327" s="31" t="n">
        <x:v>4.8790270207</x:v>
      </x:c>
      <x:c r="K327" s="31" t="n">
        <x:v>0</x:v>
      </x:c>
      <x:c r="L327" s="31" t="n">
        <x:v>4.8336465886</x:v>
      </x:c>
      <x:c r="M327" s="31" t="n">
        <x:v>0.0453804321</x:v>
      </x:c>
      <x:c r="N327" s="24" t="str">
        <x:v>rhynchobatus australiae</x:v>
      </x:c>
      <x:c r="O327" s="32" t="n">
        <x:v>3.54</x:v>
      </x:c>
      <x:c r="P327" s="24" t="str">
        <x:v>exact_2020_supplement</x:v>
      </x:c>
      <x:c r="Q327" s="32" t="str">
        <x:v>2020 supplement MeanTL</x:v>
      </x:c>
      <x:c r="R327" s="24" t="str">
        <x:v>high</x:v>
      </x:c>
      <x:c r="S327" s="24" t="str">
        <x:v>Rhynchobatus australiae</x:v>
      </x:c>
      <x:c r="T327" s="32" t="n">
        <x:f>IF(O327="","",(1/'Metadata'!$B$5)^(O327-1))</x:f>
        <x:v>346.73685045253166</x:v>
      </x:c>
      <x:c r="U327" s="31" t="n">
        <x:f>IF(T327="","",I327*T327)</x:f>
        <x:v>1691.7384624303168</x:v>
      </x:c>
    </x:row>
    <x:row r="328" ht="18" customHeight="1">
      <x:c r="A328" s="24" t="str">
        <x:v>EEZ_036</x:v>
      </x:c>
      <x:c r="B328" s="24" t="str">
        <x:v>Australia</x:v>
      </x:c>
      <x:c r="C328" s="24" t="str">
        <x:v>EEZ</x:v>
      </x:c>
      <x:c r="D328" s="30" t="n">
        <x:v>2019</x:v>
      </x:c>
      <x:c r="E328" s="24" t="str">
        <x:v>Lobotes surinamensis</x:v>
      </x:c>
      <x:c r="F328" s="24" t="str">
        <x:v>Tripletail</x:v>
      </x:c>
      <x:c r="G328" s="24" t="str">
        <x:v>Large benthopelagics (&gt;=90 cm)</x:v>
      </x:c>
      <x:c r="H328" s="24" t="str">
        <x:v>Perch-likes</x:v>
      </x:c>
      <x:c r="I328" s="31" t="n">
        <x:v>4.8355466665</x:v>
      </x:c>
      <x:c r="J328" s="31" t="n">
        <x:v>4.8355466665</x:v>
      </x:c>
      <x:c r="K328" s="31" t="n">
        <x:v>0</x:v>
      </x:c>
      <x:c r="L328" s="31" t="n">
        <x:v>2.8928674405</x:v>
      </x:c>
      <x:c r="M328" s="31" t="n">
        <x:v>1.942679226</x:v>
      </x:c>
      <x:c r="N328" s="24" t="str">
        <x:v>lobotes surinamensis</x:v>
      </x:c>
      <x:c r="O328" s="32" t="n">
        <x:v>4.04</x:v>
      </x:c>
      <x:c r="P328" s="24" t="str">
        <x:v>exact_2020_supplement</x:v>
      </x:c>
      <x:c r="Q328" s="32" t="str">
        <x:v>2020 supplement MeanTL</x:v>
      </x:c>
      <x:c r="R328" s="24" t="str">
        <x:v>high</x:v>
      </x:c>
      <x:c r="S328" s="24" t="str">
        <x:v>Lobotes surinamensis</x:v>
      </x:c>
      <x:c r="T328" s="32" t="n">
        <x:f>IF(O328="","",(1/'Metadata'!$B$5)^(O328-1))</x:f>
        <x:v>1096.4781961431852</x:v>
      </x:c>
      <x:c r="U328" s="31" t="n">
        <x:f>IF(T328="","",I328*T328)</x:f>
        <x:v>5302.071486250113</x:v>
      </x:c>
    </x:row>
    <x:row r="329" ht="18" customHeight="1">
      <x:c r="A329" s="24" t="str">
        <x:v>EEZ_036</x:v>
      </x:c>
      <x:c r="B329" s="24" t="str">
        <x:v>Australia</x:v>
      </x:c>
      <x:c r="C329" s="24" t="str">
        <x:v>EEZ</x:v>
      </x:c>
      <x:c r="D329" s="30" t="n">
        <x:v>2019</x:v>
      </x:c>
      <x:c r="E329" s="24" t="str">
        <x:v>Ellochelon vaigiensis</x:v>
      </x:c>
      <x:c r="F329" s="24" t="str">
        <x:v>Squaretail mullet</x:v>
      </x:c>
      <x:c r="G329" s="24" t="str">
        <x:v>Medium reef assoc. fish (30 - 89 cm)</x:v>
      </x:c>
      <x:c r="H329" s="24" t="str">
        <x:v>Perch-likes</x:v>
      </x:c>
      <x:c r="I329" s="31" t="n">
        <x:v>4.4998291058</x:v>
      </x:c>
      <x:c r="J329" s="31" t="n">
        <x:v>4.4998291058</x:v>
      </x:c>
      <x:c r="K329" s="31" t="n">
        <x:v>0</x:v>
      </x:c>
      <x:c r="L329" s="31" t="n">
        <x:v>2.6886302492</x:v>
      </x:c>
      <x:c r="M329" s="31" t="n">
        <x:v>1.8111988566</x:v>
      </x:c>
      <x:c r="N329" s="24" t="str">
        <x:v>ellochelon vaigiensis</x:v>
      </x:c>
      <x:c r="O329" s="32" t="n">
        <x:v>2.18</x:v>
      </x:c>
      <x:c r="P329" s="24" t="str">
        <x:v>exact_2020_supplement</x:v>
      </x:c>
      <x:c r="Q329" s="32" t="str">
        <x:v>2020 supplement MeanTL</x:v>
      </x:c>
      <x:c r="R329" s="24" t="str">
        <x:v>high</x:v>
      </x:c>
      <x:c r="S329" s="24" t="str">
        <x:v>Ellochelon vaigiensis</x:v>
      </x:c>
      <x:c r="T329" s="32" t="n">
        <x:f>IF(O329="","",(1/'Metadata'!$B$5)^(O329-1))</x:f>
        <x:v>15.135612484362087</x:v>
      </x:c>
      <x:c r="U329" s="31" t="n">
        <x:f>IF(T329="","",I329*T329)</x:f>
        <x:v>68.10766959124237</x:v>
      </x:c>
    </x:row>
    <x:row r="330" ht="18" customHeight="1">
      <x:c r="A330" s="24" t="str">
        <x:v>EEZ_036</x:v>
      </x:c>
      <x:c r="B330" s="24" t="str">
        <x:v>Australia</x:v>
      </x:c>
      <x:c r="C330" s="24" t="str">
        <x:v>EEZ</x:v>
      </x:c>
      <x:c r="D330" s="30" t="n">
        <x:v>2019</x:v>
      </x:c>
      <x:c r="E330" s="24" t="str">
        <x:v>Leiognathidae</x:v>
      </x:c>
      <x:c r="F330" s="24" t="str">
        <x:v>Slipmouths, ponyfishes</x:v>
      </x:c>
      <x:c r="G330" s="24" t="str">
        <x:v>Small benthopelagics (&lt;30 cm)</x:v>
      </x:c>
      <x:c r="H330" s="24" t="str">
        <x:v>Perch-likes</x:v>
      </x:c>
      <x:c r="I330" s="31" t="n">
        <x:v>4.4081678681000005</x:v>
      </x:c>
      <x:c r="J330" s="31" t="n">
        <x:v>0.0127008269</x:v>
      </x:c>
      <x:c r="K330" s="31" t="n">
        <x:v>4.3954670412</x:v>
      </x:c>
      <x:c r="L330" s="31" t="n">
        <x:v>0.0127008269</x:v>
      </x:c>
      <x:c r="M330" s="31" t="n">
        <x:v>4.3954670412</x:v>
      </x:c>
      <x:c r="N330" s="24" t="str">
        <x:v>leiognathidae</x:v>
      </x:c>
      <x:c r="O330" s="32" t="n">
        <x:v>3.24</x:v>
      </x:c>
      <x:c r="P330" s="24" t="str">
        <x:v>exact_sea_around_us</x:v>
      </x:c>
      <x:c r="Q330" s="32" t="str">
        <x:v>Sea Around Us exploited organisms</x:v>
      </x:c>
      <x:c r="R330" s="24" t="str">
        <x:v>high</x:v>
      </x:c>
      <x:c r="S330" s="24" t="str">
        <x:v>Leiognathidae</x:v>
      </x:c>
      <x:c r="T330" s="32" t="n">
        <x:f>IF(O330="","",(1/'Metadata'!$B$5)^(O330-1))</x:f>
        <x:v>173.78008287493762</x:v>
      </x:c>
      <x:c r="U330" s="31" t="n">
        <x:f>IF(T330="","",I330*T330)</x:f>
        <x:v>766.0517774450552</x:v>
      </x:c>
    </x:row>
    <x:row r="331" ht="18" customHeight="1">
      <x:c r="A331" s="24" t="str">
        <x:v>EEZ_036</x:v>
      </x:c>
      <x:c r="B331" s="24" t="str">
        <x:v>Australia</x:v>
      </x:c>
      <x:c r="C331" s="24" t="str">
        <x:v>EEZ</x:v>
      </x:c>
      <x:c r="D331" s="30" t="n">
        <x:v>2019</x:v>
      </x:c>
      <x:c r="E331" s="24" t="str">
        <x:v>Pseudocaranx dentex</x:v>
      </x:c>
      <x:c r="F331" s="24" t="str">
        <x:v>White trevally</x:v>
      </x:c>
      <x:c r="G331" s="24" t="str">
        <x:v>Large reef assoc. fish (&gt;=90 cm)</x:v>
      </x:c>
      <x:c r="H331" s="24" t="str">
        <x:v>Perch-likes</x:v>
      </x:c>
      <x:c r="I331" s="31" t="n">
        <x:v>4.3967850023</x:v>
      </x:c>
      <x:c r="J331" s="31" t="n">
        <x:v>4.3164408228</x:v>
      </x:c>
      <x:c r="K331" s="31" t="n">
        <x:v>0.0803441795</x:v>
      </x:c>
      <x:c r="L331" s="31" t="n">
        <x:v>1.6433011355</x:v>
      </x:c>
      <x:c r="M331" s="31" t="n">
        <x:v>2.7534838668</x:v>
      </x:c>
      <x:c r="N331" s="24" t="str">
        <x:v>pseudocaranx dentex</x:v>
      </x:c>
      <x:c r="O331" s="32" t="n">
        <x:v>3.92</x:v>
      </x:c>
      <x:c r="P331" s="24" t="str">
        <x:v>exact_2020_supplement</x:v>
      </x:c>
      <x:c r="Q331" s="32" t="str">
        <x:v>2020 supplement MeanTL</x:v>
      </x:c>
      <x:c r="R331" s="24" t="str">
        <x:v>high</x:v>
      </x:c>
      <x:c r="S331" s="24" t="str">
        <x:v>Pseudocaranx dentex</x:v>
      </x:c>
      <x:c r="T331" s="32" t="n">
        <x:f>IF(O331="","",(1/'Metadata'!$B$5)^(O331-1))</x:f>
        <x:v>831.7637711026708</x:v>
      </x:c>
      <x:c r="U331" s="31" t="n">
        <x:f>IF(T331="","",I331*T331)</x:f>
        <x:v>3657.086474240713</x:v>
      </x:c>
    </x:row>
    <x:row r="332" ht="18" customHeight="1">
      <x:c r="A332" s="24" t="str">
        <x:v>EEZ_036</x:v>
      </x:c>
      <x:c r="B332" s="24" t="str">
        <x:v>Australia</x:v>
      </x:c>
      <x:c r="C332" s="24" t="str">
        <x:v>EEZ</x:v>
      </x:c>
      <x:c r="D332" s="30" t="n">
        <x:v>2019</x:v>
      </x:c>
      <x:c r="E332" s="24" t="str">
        <x:v>Centrolophus niger</x:v>
      </x:c>
      <x:c r="F332" s="24" t="str">
        <x:v>Rudderfish</x:v>
      </x:c>
      <x:c r="G332" s="24" t="str">
        <x:v>Large bathypelagics (&gt;=90 cm)</x:v>
      </x:c>
      <x:c r="H332" s="24" t="str">
        <x:v>Perch-likes</x:v>
      </x:c>
      <x:c r="I332" s="31" t="n">
        <x:v>3.9142830515</x:v>
      </x:c>
      <x:c r="J332" s="31" t="n">
        <x:v>3.9142830515</x:v>
      </x:c>
      <x:c r="K332" s="31" t="n">
        <x:v>0</x:v>
      </x:c>
      <x:c r="L332" s="31" t="n">
        <x:v>3.9142830515</x:v>
      </x:c>
      <x:c r="M332" s="31" t="n">
        <x:v>0</x:v>
      </x:c>
      <x:c r="N332" s="24" t="str">
        <x:v>centrolophus niger</x:v>
      </x:c>
      <x:c r="O332" s="32" t="n">
        <x:v>3.92</x:v>
      </x:c>
      <x:c r="P332" s="24" t="str">
        <x:v>exact_2020_supplement</x:v>
      </x:c>
      <x:c r="Q332" s="32" t="str">
        <x:v>2020 supplement MeanTL</x:v>
      </x:c>
      <x:c r="R332" s="24" t="str">
        <x:v>high</x:v>
      </x:c>
      <x:c r="S332" s="24" t="str">
        <x:v>Centrolophus niger</x:v>
      </x:c>
      <x:c r="T332" s="32" t="n">
        <x:f>IF(O332="","",(1/'Metadata'!$B$5)^(O332-1))</x:f>
        <x:v>831.7637711026708</x:v>
      </x:c>
      <x:c r="U332" s="31" t="n">
        <x:f>IF(T332="","",I332*T332)</x:f>
        <x:v>3255.75883207891</x:v>
      </x:c>
    </x:row>
    <x:row r="333" ht="18" customHeight="1">
      <x:c r="A333" s="24" t="str">
        <x:v>EEZ_036</x:v>
      </x:c>
      <x:c r="B333" s="24" t="str">
        <x:v>Australia</x:v>
      </x:c>
      <x:c r="C333" s="24" t="str">
        <x:v>EEZ</x:v>
      </x:c>
      <x:c r="D333" s="30" t="n">
        <x:v>2019</x:v>
      </x:c>
      <x:c r="E333" s="24" t="str">
        <x:v>Pellona ditchela</x:v>
      </x:c>
      <x:c r="F333" s="24" t="str">
        <x:v>Indian pellona</x:v>
      </x:c>
      <x:c r="G333" s="24" t="str">
        <x:v>Small pelagics (&lt;30 cm)</x:v>
      </x:c>
      <x:c r="H333" s="24" t="str">
        <x:v>Herring-likes</x:v>
      </x:c>
      <x:c r="I333" s="31" t="n">
        <x:v>3.7469377075</x:v>
      </x:c>
      <x:c r="J333" s="31" t="n">
        <x:v>3.7469377075</x:v>
      </x:c>
      <x:c r="K333" s="31" t="n">
        <x:v>0</x:v>
      </x:c>
      <x:c r="L333" s="31" t="n">
        <x:v>3.7469377075</x:v>
      </x:c>
      <x:c r="M333" s="31" t="n">
        <x:v>0</x:v>
      </x:c>
      <x:c r="N333" s="24" t="str">
        <x:v>pellona ditchela</x:v>
      </x:c>
      <x:c r="O333" s="32" t="n">
        <x:v>3.37</x:v>
      </x:c>
      <x:c r="P333" s="24" t="str">
        <x:v>exact_sea_around_us</x:v>
      </x:c>
      <x:c r="Q333" s="32" t="str">
        <x:v>Sea Around Us exploited organisms</x:v>
      </x:c>
      <x:c r="R333" s="24" t="str">
        <x:v>high</x:v>
      </x:c>
      <x:c r="S333" s="24" t="str">
        <x:v>Pellona ditchela</x:v>
      </x:c>
      <x:c r="T333" s="32" t="n">
        <x:f>IF(O333="","",(1/'Metadata'!$B$5)^(O333-1))</x:f>
        <x:v>234.42288153199226</x:v>
      </x:c>
      <x:c r="U333" s="31" t="n">
        <x:f>IF(T333="","",I333*T333)</x:f>
        <x:v>878.3679343130271</x:v>
      </x:c>
    </x:row>
    <x:row r="334" ht="18" customHeight="1">
      <x:c r="A334" s="24" t="str">
        <x:v>EEZ_036</x:v>
      </x:c>
      <x:c r="B334" s="24" t="str">
        <x:v>Australia</x:v>
      </x:c>
      <x:c r="C334" s="24" t="str">
        <x:v>EEZ</x:v>
      </x:c>
      <x:c r="D334" s="30" t="n">
        <x:v>2019</x:v>
      </x:c>
      <x:c r="E334" s="24" t="str">
        <x:v>Trachinotus</x:v>
      </x:c>
      <x:c r="F334" s="24" t="str">
        <x:v>Pompanos</x:v>
      </x:c>
      <x:c r="G334" s="24" t="str">
        <x:v>Medium pelagics (30 - 89 cm)</x:v>
      </x:c>
      <x:c r="H334" s="24" t="str">
        <x:v>Perch-likes</x:v>
      </x:c>
      <x:c r="I334" s="31" t="n">
        <x:v>3.7377344185</x:v>
      </x:c>
      <x:c r="J334" s="31" t="n">
        <x:v>3.7377344185</x:v>
      </x:c>
      <x:c r="K334" s="31" t="n">
        <x:v>0</x:v>
      </x:c>
      <x:c r="L334" s="31" t="n">
        <x:v>3.7377344185</x:v>
      </x:c>
      <x:c r="M334" s="31" t="n">
        <x:v>0</x:v>
      </x:c>
      <x:c r="N334" s="24" t="str">
        <x:v>trachinotus</x:v>
      </x:c>
      <x:c r="O334" s="32" t="n">
        <x:v>3.69</x:v>
      </x:c>
      <x:c r="P334" s="24" t="str">
        <x:v>exact_sea_around_us</x:v>
      </x:c>
      <x:c r="Q334" s="32" t="str">
        <x:v>Sea Around Us exploited organisms</x:v>
      </x:c>
      <x:c r="R334" s="24" t="str">
        <x:v>high</x:v>
      </x:c>
      <x:c r="S334" s="24" t="str">
        <x:v>Trachinotus</x:v>
      </x:c>
      <x:c r="T334" s="32" t="n">
        <x:f>IF(O334="","",(1/'Metadata'!$B$5)^(O334-1))</x:f>
        <x:v>489.77881936844614</x:v>
      </x:c>
      <x:c r="U334" s="31" t="n">
        <x:f>IF(T334="","",I334*T334)</x:f>
        <x:v>1830.6631506057356</x:v>
      </x:c>
    </x:row>
    <x:row r="335" ht="18" customHeight="1">
      <x:c r="A335" s="24" t="str">
        <x:v>EEZ_036</x:v>
      </x:c>
      <x:c r="B335" s="24" t="str">
        <x:v>Australia</x:v>
      </x:c>
      <x:c r="C335" s="24" t="str">
        <x:v>EEZ</x:v>
      </x:c>
      <x:c r="D335" s="30" t="n">
        <x:v>2019</x:v>
      </x:c>
      <x:c r="E335" s="24" t="str">
        <x:v>Epinephelus polyphekadion</x:v>
      </x:c>
      <x:c r="F335" s="24" t="str">
        <x:v>Camouflage grouper</x:v>
      </x:c>
      <x:c r="G335" s="24" t="str">
        <x:v>Large reef assoc. fish (&gt;=90 cm)</x:v>
      </x:c>
      <x:c r="H335" s="24" t="str">
        <x:v>Perch-likes</x:v>
      </x:c>
      <x:c r="I335" s="31" t="n">
        <x:v>3.5843392472</x:v>
      </x:c>
      <x:c r="J335" s="31" t="n">
        <x:v>3.5843392472</x:v>
      </x:c>
      <x:c r="K335" s="31" t="n">
        <x:v>0</x:v>
      </x:c>
      <x:c r="L335" s="31" t="n">
        <x:v>3.5843392472</x:v>
      </x:c>
      <x:c r="M335" s="31" t="n">
        <x:v>0</x:v>
      </x:c>
      <x:c r="N335" s="24" t="str">
        <x:v>epinephelus polyphekadion</x:v>
      </x:c>
      <x:c r="O335" s="32" t="n">
        <x:v>3.99</x:v>
      </x:c>
      <x:c r="P335" s="24" t="str">
        <x:v>exact_2020_supplement</x:v>
      </x:c>
      <x:c r="Q335" s="32" t="str">
        <x:v>2020 supplement MeanTL</x:v>
      </x:c>
      <x:c r="R335" s="24" t="str">
        <x:v>high</x:v>
      </x:c>
      <x:c r="S335" s="24" t="str">
        <x:v>Epinephelus polyphekadion</x:v>
      </x:c>
      <x:c r="T335" s="32" t="n">
        <x:f>IF(O335="","",(1/'Metadata'!$B$5)^(O335-1))</x:f>
        <x:v>977.2372209558112</x:v>
      </x:c>
      <x:c r="U335" s="31" t="n">
        <x:f>IF(T335="","",I335*T335)</x:f>
        <x:v>3502.7497248965724</x:v>
      </x:c>
    </x:row>
    <x:row r="336" ht="18" customHeight="1">
      <x:c r="A336" s="24" t="str">
        <x:v>EEZ_036</x:v>
      </x:c>
      <x:c r="B336" s="24" t="str">
        <x:v>Australia</x:v>
      </x:c>
      <x:c r="C336" s="24" t="str">
        <x:v>EEZ</x:v>
      </x:c>
      <x:c r="D336" s="30" t="n">
        <x:v>2019</x:v>
      </x:c>
      <x:c r="E336" s="24" t="str">
        <x:v>Squatina australis</x:v>
      </x:c>
      <x:c r="F336" s="24" t="str">
        <x:v>Australian angelshark</x:v>
      </x:c>
      <x:c r="G336" s="24" t="str">
        <x:v>Large sharks (&gt;=90 cm)</x:v>
      </x:c>
      <x:c r="H336" s="24" t="str">
        <x:v>Sharks &amp; rays</x:v>
      </x:c>
      <x:c r="I336" s="31" t="n">
        <x:v>3.5373709644</x:v>
      </x:c>
      <x:c r="J336" s="31" t="n">
        <x:v>3.5373709644</x:v>
      </x:c>
      <x:c r="K336" s="31" t="n">
        <x:v>0</x:v>
      </x:c>
      <x:c r="L336" s="31" t="n">
        <x:v>3.3892226148</x:v>
      </x:c>
      <x:c r="M336" s="31" t="n">
        <x:v>0.1481483496</x:v>
      </x:c>
      <x:c r="N336" s="24" t="str">
        <x:v>squatina australis</x:v>
      </x:c>
      <x:c r="O336" s="32" t="n">
        <x:v>3.99</x:v>
      </x:c>
      <x:c r="P336" s="24" t="str">
        <x:v>exact_2020_supplement</x:v>
      </x:c>
      <x:c r="Q336" s="32" t="str">
        <x:v>2020 supplement MeanTL</x:v>
      </x:c>
      <x:c r="R336" s="24" t="str">
        <x:v>high</x:v>
      </x:c>
      <x:c r="S336" s="24" t="str">
        <x:v>Squatina australis</x:v>
      </x:c>
      <x:c r="T336" s="32" t="n">
        <x:f>IF(O336="","",(1/'Metadata'!$B$5)^(O336-1))</x:f>
        <x:v>977.2372209558112</x:v>
      </x:c>
      <x:c r="U336" s="31" t="n">
        <x:f>IF(T336="","",I336*T336)</x:f>
        <x:v>3456.8505707400336</x:v>
      </x:c>
    </x:row>
    <x:row r="337" ht="18" customHeight="1">
      <x:c r="A337" s="24" t="str">
        <x:v>EEZ_036</x:v>
      </x:c>
      <x:c r="B337" s="24" t="str">
        <x:v>Australia</x:v>
      </x:c>
      <x:c r="C337" s="24" t="str">
        <x:v>EEZ</x:v>
      </x:c>
      <x:c r="D337" s="30" t="n">
        <x:v>2019</x:v>
      </x:c>
      <x:c r="E337" s="24" t="str">
        <x:v>Acanthopagrus australis</x:v>
      </x:c>
      <x:c r="F337" s="24" t="str">
        <x:v>Yellowfin bream</x:v>
      </x:c>
      <x:c r="G337" s="24" t="str">
        <x:v>Small pelagics (&lt;30 cm)</x:v>
      </x:c>
      <x:c r="H337" s="24" t="str">
        <x:v>Perch-likes</x:v>
      </x:c>
      <x:c r="I337" s="31" t="n">
        <x:v>3.4277005518</x:v>
      </x:c>
      <x:c r="J337" s="31" t="n">
        <x:v>3.4277005518</x:v>
      </x:c>
      <x:c r="K337" s="31" t="n">
        <x:v>0</x:v>
      </x:c>
      <x:c r="L337" s="31" t="n">
        <x:v>3.4277005518</x:v>
      </x:c>
      <x:c r="M337" s="31" t="n">
        <x:v>0</x:v>
      </x:c>
      <x:c r="N337" s="24" t="str">
        <x:v>acanthopagrus australis</x:v>
      </x:c>
      <x:c r="O337" s="32" t="n">
        <x:v>3.1</x:v>
      </x:c>
      <x:c r="P337" s="24" t="str">
        <x:v>exact_2020_supplement</x:v>
      </x:c>
      <x:c r="Q337" s="32" t="str">
        <x:v>2020 supplement MeanTL</x:v>
      </x:c>
      <x:c r="R337" s="24" t="str">
        <x:v>high</x:v>
      </x:c>
      <x:c r="S337" s="24" t="str">
        <x:v>Acanthopagrus australis</x:v>
      </x:c>
      <x:c r="T337" s="32" t="n">
        <x:f>IF(O337="","",(1/'Metadata'!$B$5)^(O337-1))</x:f>
        <x:v>125.89254117941675</x:v>
      </x:c>
      <x:c r="U337" s="31" t="n">
        <x:f>IF(T337="","",I337*T337)</x:f>
        <x:v>431.521932868191</x:v>
      </x:c>
    </x:row>
    <x:row r="338" ht="18" customHeight="1">
      <x:c r="A338" s="24" t="str">
        <x:v>EEZ_036</x:v>
      </x:c>
      <x:c r="B338" s="24" t="str">
        <x:v>Australia</x:v>
      </x:c>
      <x:c r="C338" s="24" t="str">
        <x:v>EEZ</x:v>
      </x:c>
      <x:c r="D338" s="30" t="n">
        <x:v>2019</x:v>
      </x:c>
      <x:c r="E338" s="24" t="str">
        <x:v>Cetorhinus maximus</x:v>
      </x:c>
      <x:c r="F338" s="24" t="str">
        <x:v>Basking shark</x:v>
      </x:c>
      <x:c r="G338" s="24" t="str">
        <x:v>Large sharks (&gt;=90 cm)</x:v>
      </x:c>
      <x:c r="H338" s="24" t="str">
        <x:v>Sharks &amp; rays</x:v>
      </x:c>
      <x:c r="I338" s="31" t="n">
        <x:v>3.4034094019000003</x:v>
      </x:c>
      <x:c r="J338" s="31" t="n">
        <x:v>3.4034094019000003</x:v>
      </x:c>
      <x:c r="K338" s="31" t="n">
        <x:v>0</x:v>
      </x:c>
      <x:c r="L338" s="31" t="n">
        <x:v>3.4034094019000003</x:v>
      </x:c>
      <x:c r="M338" s="31" t="n">
        <x:v>0</x:v>
      </x:c>
      <x:c r="N338" s="24" t="str">
        <x:v>cetorhinus maximus</x:v>
      </x:c>
      <x:c r="O338" s="32" t="n">
        <x:v>3.2</x:v>
      </x:c>
      <x:c r="P338" s="24" t="str">
        <x:v>exact_2020_supplement</x:v>
      </x:c>
      <x:c r="Q338" s="32" t="str">
        <x:v>2020 supplement MeanTL</x:v>
      </x:c>
      <x:c r="R338" s="24" t="str">
        <x:v>high</x:v>
      </x:c>
      <x:c r="S338" s="24" t="str">
        <x:v>Cetorhinus maximus</x:v>
      </x:c>
      <x:c r="T338" s="32" t="n">
        <x:f>IF(O338="","",(1/'Metadata'!$B$5)^(O338-1))</x:f>
        <x:v>158.48931924611142</x:v>
      </x:c>
      <x:c r="U338" s="31" t="n">
        <x:f>IF(T338="","",I338*T338)</x:f>
        <x:v>539.4040392229463</x:v>
      </x:c>
    </x:row>
    <x:row r="339" ht="18" customHeight="1">
      <x:c r="A339" s="24" t="str">
        <x:v>EEZ_036</x:v>
      </x:c>
      <x:c r="B339" s="24" t="str">
        <x:v>Australia</x:v>
      </x:c>
      <x:c r="C339" s="24" t="str">
        <x:v>EEZ</x:v>
      </x:c>
      <x:c r="D339" s="30" t="n">
        <x:v>2019</x:v>
      </x:c>
      <x:c r="E339" s="24" t="str">
        <x:v>Squalus mitsukurii</x:v>
      </x:c>
      <x:c r="F339" s="24" t="str">
        <x:v>Shortspine spurdog</x:v>
      </x:c>
      <x:c r="G339" s="24" t="str">
        <x:v>Small to medium sharks (&lt;90 cm)</x:v>
      </x:c>
      <x:c r="H339" s="24" t="str">
        <x:v>Sharks &amp; rays</x:v>
      </x:c>
      <x:c r="I339" s="31" t="n">
        <x:v>3.1905546731000003</x:v>
      </x:c>
      <x:c r="J339" s="31" t="n">
        <x:v>3.1905546731000003</x:v>
      </x:c>
      <x:c r="K339" s="31" t="n">
        <x:v>0</x:v>
      </x:c>
      <x:c r="L339" s="31" t="n">
        <x:v>3.1905546731000003</x:v>
      </x:c>
      <x:c r="M339" s="31" t="n">
        <x:v>0</x:v>
      </x:c>
      <x:c r="N339" s="24" t="str">
        <x:v>squalus mitsukurii</x:v>
      </x:c>
      <x:c r="O339" s="32" t="n">
        <x:v>4.37</x:v>
      </x:c>
      <x:c r="P339" s="24" t="str">
        <x:v>exact_2020_supplement</x:v>
      </x:c>
      <x:c r="Q339" s="32" t="str">
        <x:v>2020 supplement MeanTL</x:v>
      </x:c>
      <x:c r="R339" s="24" t="str">
        <x:v>high</x:v>
      </x:c>
      <x:c r="S339" s="24" t="str">
        <x:v>Squalus mitsukurii</x:v>
      </x:c>
      <x:c r="T339" s="32" t="n">
        <x:f>IF(O339="","",(1/'Metadata'!$B$5)^(O339-1))</x:f>
        <x:v>2344.228815319923</x:v>
      </x:c>
      <x:c r="U339" s="31" t="n">
        <x:f>IF(T339="","",I339*T339)</x:f>
        <x:v>7479.3902015346575</x:v>
      </x:c>
    </x:row>
    <x:row r="340" ht="18" customHeight="1">
      <x:c r="A340" s="24" t="str">
        <x:v>EEZ_036</x:v>
      </x:c>
      <x:c r="B340" s="24" t="str">
        <x:v>Australia</x:v>
      </x:c>
      <x:c r="C340" s="24" t="str">
        <x:v>EEZ</x:v>
      </x:c>
      <x:c r="D340" s="30" t="n">
        <x:v>2019</x:v>
      </x:c>
      <x:c r="E340" s="24" t="str">
        <x:v>Anguilliformes</x:v>
      </x:c>
      <x:c r="F340" s="24" t="str">
        <x:v>Eels, morays</x:v>
      </x:c>
      <x:c r="G340" s="24" t="str">
        <x:v>Large demersals (&gt;=90 cm)</x:v>
      </x:c>
      <x:c r="H340" s="24" t="str">
        <x:v>Other fishes &amp; inverts</x:v>
      </x:c>
      <x:c r="I340" s="31" t="n">
        <x:v>3.0831832395000003</x:v>
      </x:c>
      <x:c r="J340" s="31" t="n">
        <x:v>3.0831832395000003</x:v>
      </x:c>
      <x:c r="K340" s="31" t="n">
        <x:v>0</x:v>
      </x:c>
      <x:c r="L340" s="31" t="n">
        <x:v>3.0686084704</x:v>
      </x:c>
      <x:c r="M340" s="31" t="n">
        <x:v>0.0145747691</x:v>
      </x:c>
      <x:c r="N340" s="24" t="str">
        <x:v>anguilliformes</x:v>
      </x:c>
      <x:c r="O340" s="32" t="n">
        <x:v>3.89</x:v>
      </x:c>
      <x:c r="P340" s="24" t="str">
        <x:v>exact_sea_around_us</x:v>
      </x:c>
      <x:c r="Q340" s="32" t="str">
        <x:v>Sea Around Us exploited organisms</x:v>
      </x:c>
      <x:c r="R340" s="24" t="str">
        <x:v>high</x:v>
      </x:c>
      <x:c r="S340" s="24" t="str">
        <x:v>Anguilliformes</x:v>
      </x:c>
      <x:c r="T340" s="32" t="n">
        <x:f>IF(O340="","",(1/'Metadata'!$B$5)^(O340-1))</x:f>
        <x:v>776.247116628692</x:v>
      </x:c>
      <x:c r="U340" s="31" t="n">
        <x:f>IF(T340="","",I340*T340)</x:f>
        <x:v>2393.312099699785</x:v>
      </x:c>
    </x:row>
    <x:row r="341" ht="18" customHeight="1">
      <x:c r="A341" s="24" t="str">
        <x:v>EEZ_036</x:v>
      </x:c>
      <x:c r="B341" s="24" t="str">
        <x:v>Australia</x:v>
      </x:c>
      <x:c r="C341" s="24" t="str">
        <x:v>EEZ</x:v>
      </x:c>
      <x:c r="D341" s="30" t="n">
        <x:v>2019</x:v>
      </x:c>
      <x:c r="E341" s="24" t="str">
        <x:v>Alopias pelagicus</x:v>
      </x:c>
      <x:c r="F341" s="24" t="str">
        <x:v>Pelagic thresher</x:v>
      </x:c>
      <x:c r="G341" s="24" t="str">
        <x:v>Large sharks (&gt;=90 cm)</x:v>
      </x:c>
      <x:c r="H341" s="24" t="str">
        <x:v>Sharks &amp; rays</x:v>
      </x:c>
      <x:c r="I341" s="31" t="n">
        <x:v>2.9294403238</x:v>
      </x:c>
      <x:c r="J341" s="31" t="n">
        <x:v>2.9294403238</x:v>
      </x:c>
      <x:c r="K341" s="31" t="n">
        <x:v>0</x:v>
      </x:c>
      <x:c r="L341" s="31" t="n">
        <x:v>0.21621602139999999</x:v>
      </x:c>
      <x:c r="M341" s="31" t="n">
        <x:v>2.7132243024</x:v>
      </x:c>
      <x:c r="N341" s="24" t="str">
        <x:v>alopias pelagicus</x:v>
      </x:c>
      <x:c r="O341" s="32" t="n">
        <x:v>4.5</x:v>
      </x:c>
      <x:c r="P341" s="24" t="str">
        <x:v>exact_2020_supplement</x:v>
      </x:c>
      <x:c r="Q341" s="32" t="str">
        <x:v>2020 supplement MeanTL</x:v>
      </x:c>
      <x:c r="R341" s="24" t="str">
        <x:v>high</x:v>
      </x:c>
      <x:c r="S341" s="24" t="str">
        <x:v>Alopias pelagicus</x:v>
      </x:c>
      <x:c r="T341" s="32" t="n">
        <x:f>IF(O341="","",(1/'Metadata'!$B$5)^(O341-1))</x:f>
        <x:v>3162.2776601683795</x:v>
      </x:c>
      <x:c r="U341" s="31" t="n">
        <x:f>IF(T341="","",I341*T341)</x:f>
        <x:v>9263.703692749164</x:v>
      </x:c>
    </x:row>
    <x:row r="342" ht="18" customHeight="1">
      <x:c r="A342" s="24" t="str">
        <x:v>EEZ_036</x:v>
      </x:c>
      <x:c r="B342" s="24" t="str">
        <x:v>Australia</x:v>
      </x:c>
      <x:c r="C342" s="24" t="str">
        <x:v>EEZ</x:v>
      </x:c>
      <x:c r="D342" s="30" t="n">
        <x:v>2019</x:v>
      </x:c>
      <x:c r="E342" s="24" t="str">
        <x:v>Sphyraena barracuda</x:v>
      </x:c>
      <x:c r="F342" s="24" t="str">
        <x:v>Great barracuda</x:v>
      </x:c>
      <x:c r="G342" s="24" t="str">
        <x:v>Large pelagics (&gt;=90 cm)</x:v>
      </x:c>
      <x:c r="H342" s="24" t="str">
        <x:v>Perch-likes</x:v>
      </x:c>
      <x:c r="I342" s="31" t="n">
        <x:v>2.8215415874</x:v>
      </x:c>
      <x:c r="J342" s="31" t="n">
        <x:v>2.8215415874</x:v>
      </x:c>
      <x:c r="K342" s="31" t="n">
        <x:v>0</x:v>
      </x:c>
      <x:c r="L342" s="31" t="n">
        <x:v>2.0072953244</x:v>
      </x:c>
      <x:c r="M342" s="31" t="n">
        <x:v>0.814246263</x:v>
      </x:c>
      <x:c r="N342" s="24" t="str">
        <x:v>sphyraena barracuda</x:v>
      </x:c>
      <x:c r="O342" s="32" t="n">
        <x:v>4.49</x:v>
      </x:c>
      <x:c r="P342" s="24" t="str">
        <x:v>exact_2020_supplement</x:v>
      </x:c>
      <x:c r="Q342" s="32" t="str">
        <x:v>2020 supplement MeanTL</x:v>
      </x:c>
      <x:c r="R342" s="24" t="str">
        <x:v>high</x:v>
      </x:c>
      <x:c r="S342" s="24" t="str">
        <x:v>Sphyraena barracuda</x:v>
      </x:c>
      <x:c r="T342" s="32" t="n">
        <x:f>IF(O342="","",(1/'Metadata'!$B$5)^(O342-1))</x:f>
        <x:v>3090.295432513592</x:v>
      </x:c>
      <x:c r="U342" s="31" t="n">
        <x:f>IF(T342="","",I342*T342)</x:f>
        <x:v>8719.39708018937</x:v>
      </x:c>
    </x:row>
    <x:row r="343" ht="18" customHeight="1">
      <x:c r="A343" s="24" t="str">
        <x:v>EEZ_036</x:v>
      </x:c>
      <x:c r="B343" s="24" t="str">
        <x:v>Australia</x:v>
      </x:c>
      <x:c r="C343" s="24" t="str">
        <x:v>EEZ</x:v>
      </x:c>
      <x:c r="D343" s="30" t="n">
        <x:v>2019</x:v>
      </x:c>
      <x:c r="E343" s="24" t="str">
        <x:v>Caranx sexfasciatus</x:v>
      </x:c>
      <x:c r="F343" s="24" t="str">
        <x:v>Bigeye trevally</x:v>
      </x:c>
      <x:c r="G343" s="24" t="str">
        <x:v>Large reef assoc. fish (&gt;=90 cm)</x:v>
      </x:c>
      <x:c r="H343" s="24" t="str">
        <x:v>Perch-likes</x:v>
      </x:c>
      <x:c r="I343" s="31" t="n">
        <x:v>2.814457826</x:v>
      </x:c>
      <x:c r="J343" s="31" t="n">
        <x:v>2.814457826</x:v>
      </x:c>
      <x:c r="K343" s="31" t="n">
        <x:v>0</x:v>
      </x:c>
      <x:c r="L343" s="31" t="n">
        <x:v>2.8082574046</x:v>
      </x:c>
      <x:c r="M343" s="31" t="n">
        <x:v>0.0062004214</x:v>
      </x:c>
      <x:c r="N343" s="24" t="str">
        <x:v>caranx sexfasciatus</x:v>
      </x:c>
      <x:c r="O343" s="32" t="n">
        <x:v>4.5</x:v>
      </x:c>
      <x:c r="P343" s="24" t="str">
        <x:v>exact_2020_supplement</x:v>
      </x:c>
      <x:c r="Q343" s="32" t="str">
        <x:v>2020 supplement MeanTL</x:v>
      </x:c>
      <x:c r="R343" s="24" t="str">
        <x:v>high</x:v>
      </x:c>
      <x:c r="S343" s="24" t="str">
        <x:v>Caranx sexfasciatus</x:v>
      </x:c>
      <x:c r="T343" s="32" t="n">
        <x:f>IF(O343="","",(1/'Metadata'!$B$5)^(O343-1))</x:f>
        <x:v>3162.2776601683795</x:v>
      </x:c>
      <x:c r="U343" s="31" t="n">
        <x:f>IF(T343="","",I343*T343)</x:f>
        <x:v>8900.097108645865</x:v>
      </x:c>
    </x:row>
    <x:row r="344" ht="18" customHeight="1">
      <x:c r="A344" s="24" t="str">
        <x:v>EEZ_036</x:v>
      </x:c>
      <x:c r="B344" s="24" t="str">
        <x:v>Australia</x:v>
      </x:c>
      <x:c r="C344" s="24" t="str">
        <x:v>EEZ</x:v>
      </x:c>
      <x:c r="D344" s="30" t="n">
        <x:v>2019</x:v>
      </x:c>
      <x:c r="E344" s="24" t="str">
        <x:v>Pentaceros decacanthus</x:v>
      </x:c>
      <x:c r="F344" s="24" t="str">
        <x:v>Bigspined boarfish</x:v>
      </x:c>
      <x:c r="G344" s="24" t="str">
        <x:v>Medium bathydemersals (30 - 89 cm)</x:v>
      </x:c>
      <x:c r="H344" s="24" t="str">
        <x:v>Perch-likes</x:v>
      </x:c>
      <x:c r="I344" s="31" t="n">
        <x:v>2.4467945184</x:v>
      </x:c>
      <x:c r="J344" s="31" t="n">
        <x:v>2.4467945184</x:v>
      </x:c>
      <x:c r="K344" s="31" t="n">
        <x:v>0</x:v>
      </x:c>
      <x:c r="L344" s="31" t="n">
        <x:v>2.4467945184</x:v>
      </x:c>
      <x:c r="M344" s="31" t="n">
        <x:v>0</x:v>
      </x:c>
      <x:c r="N344" s="24" t="str">
        <x:v>pentaceros decacanthus</x:v>
      </x:c>
      <x:c r="O344" s="32" t="n">
        <x:v>3.33</x:v>
      </x:c>
      <x:c r="P344" s="24" t="str">
        <x:v>exact_sea_around_us</x:v>
      </x:c>
      <x:c r="Q344" s="32" t="str">
        <x:v>Sea Around Us exploited organisms</x:v>
      </x:c>
      <x:c r="R344" s="24" t="str">
        <x:v>high</x:v>
      </x:c>
      <x:c r="S344" s="24" t="str">
        <x:v>Pentaceros decacanthus</x:v>
      </x:c>
      <x:c r="T344" s="32" t="n">
        <x:f>IF(O344="","",(1/'Metadata'!$B$5)^(O344-1))</x:f>
        <x:v>213.79620895022325</x:v>
      </x:c>
      <x:c r="U344" s="31" t="n">
        <x:f>IF(T344="","",I344*T344)</x:f>
        <x:v>523.1153921141073</x:v>
      </x:c>
    </x:row>
    <x:row r="345" ht="18" customHeight="1">
      <x:c r="A345" s="24" t="str">
        <x:v>EEZ_036</x:v>
      </x:c>
      <x:c r="B345" s="24" t="str">
        <x:v>Australia</x:v>
      </x:c>
      <x:c r="C345" s="24" t="str">
        <x:v>EEZ</x:v>
      </x:c>
      <x:c r="D345" s="30" t="n">
        <x:v>2019</x:v>
      </x:c>
      <x:c r="E345" s="24" t="str">
        <x:v>Centrophorus squamosus</x:v>
      </x:c>
      <x:c r="F345" s="24" t="str">
        <x:v>Leafscale gulper shark</x:v>
      </x:c>
      <x:c r="G345" s="24" t="str">
        <x:v>Large sharks (&gt;=90 cm)</x:v>
      </x:c>
      <x:c r="H345" s="24" t="str">
        <x:v>Sharks &amp; rays</x:v>
      </x:c>
      <x:c r="I345" s="31" t="n">
        <x:v>2.2984219319</x:v>
      </x:c>
      <x:c r="J345" s="31" t="n">
        <x:v>2.2984219319</x:v>
      </x:c>
      <x:c r="K345" s="31" t="n">
        <x:v>0</x:v>
      </x:c>
      <x:c r="L345" s="31" t="n">
        <x:v>2.2984219319</x:v>
      </x:c>
      <x:c r="M345" s="31" t="n">
        <x:v>0</x:v>
      </x:c>
      <x:c r="N345" s="24" t="str">
        <x:v>centrophorus squamosus</x:v>
      </x:c>
      <x:c r="O345" s="32" t="n">
        <x:v>4.47</x:v>
      </x:c>
      <x:c r="P345" s="24" t="str">
        <x:v>exact_2020_supplement</x:v>
      </x:c>
      <x:c r="Q345" s="32" t="str">
        <x:v>2020 supplement MeanTL</x:v>
      </x:c>
      <x:c r="R345" s="24" t="str">
        <x:v>high</x:v>
      </x:c>
      <x:c r="S345" s="24" t="str">
        <x:v>Centrophorus squamosus</x:v>
      </x:c>
      <x:c r="T345" s="32" t="n">
        <x:f>IF(O345="","",(1/'Metadata'!$B$5)^(O345-1))</x:f>
        <x:v>2951.209226666384</x:v>
      </x:c>
      <x:c r="U345" s="31" t="n">
        <x:f>IF(T345="","",I345*T345)</x:f>
        <x:v>6783.124012195655</x:v>
      </x:c>
    </x:row>
    <x:row r="346" ht="18" customHeight="1">
      <x:c r="A346" s="24" t="str">
        <x:v>EEZ_036</x:v>
      </x:c>
      <x:c r="B346" s="24" t="str">
        <x:v>Australia</x:v>
      </x:c>
      <x:c r="C346" s="24" t="str">
        <x:v>EEZ</x:v>
      </x:c>
      <x:c r="D346" s="30" t="n">
        <x:v>2019</x:v>
      </x:c>
      <x:c r="E346" s="24" t="str">
        <x:v>Lethrinus atkinsoni</x:v>
      </x:c>
      <x:c r="F346" s="24" t="str">
        <x:v>Pacific yellowtail emperor</x:v>
      </x:c>
      <x:c r="G346" s="24" t="str">
        <x:v>Medium reef assoc. fish (30 - 89 cm)</x:v>
      </x:c>
      <x:c r="H346" s="24" t="str">
        <x:v>Perch-likes</x:v>
      </x:c>
      <x:c r="I346" s="31" t="n">
        <x:v>2.2483201673</x:v>
      </x:c>
      <x:c r="J346" s="31" t="n">
        <x:v>2.2483201673</x:v>
      </x:c>
      <x:c r="K346" s="31" t="n">
        <x:v>0</x:v>
      </x:c>
      <x:c r="L346" s="31" t="n">
        <x:v>1.9343523384999999</x:v>
      </x:c>
      <x:c r="M346" s="31" t="n">
        <x:v>0.3139678288</x:v>
      </x:c>
      <x:c r="N346" s="24" t="str">
        <x:v>lethrinus atkinsoni</x:v>
      </x:c>
      <x:c r="O346" s="32" t="n">
        <x:v>3.79</x:v>
      </x:c>
      <x:c r="P346" s="24" t="str">
        <x:v>exact_2020_supplement</x:v>
      </x:c>
      <x:c r="Q346" s="32" t="str">
        <x:v>2020 supplement MeanTL</x:v>
      </x:c>
      <x:c r="R346" s="24" t="str">
        <x:v>high</x:v>
      </x:c>
      <x:c r="S346" s="24" t="str">
        <x:v>Lethrinus atkinsoni</x:v>
      </x:c>
      <x:c r="T346" s="32" t="n">
        <x:f>IF(O346="","",(1/'Metadata'!$B$5)^(O346-1))</x:f>
        <x:v>616.5950018614822</x:v>
      </x:c>
      <x:c r="U346" s="31" t="n">
        <x:f>IF(T346="","",I346*T346)</x:f>
        <x:v>1386.3029777415516</x:v>
      </x:c>
    </x:row>
    <x:row r="347" ht="18" customHeight="1">
      <x:c r="A347" s="24" t="str">
        <x:v>EEZ_036</x:v>
      </x:c>
      <x:c r="B347" s="24" t="str">
        <x:v>Australia</x:v>
      </x:c>
      <x:c r="C347" s="24" t="str">
        <x:v>EEZ</x:v>
      </x:c>
      <x:c r="D347" s="30" t="n">
        <x:v>2019</x:v>
      </x:c>
      <x:c r="E347" s="24" t="str">
        <x:v>Latris lineata</x:v>
      </x:c>
      <x:c r="F347" s="24" t="str">
        <x:v>Striped trumpeter</x:v>
      </x:c>
      <x:c r="G347" s="24" t="str">
        <x:v>Small pelagics (&lt;30 cm)</x:v>
      </x:c>
      <x:c r="H347" s="24" t="str">
        <x:v>Perch-likes</x:v>
      </x:c>
      <x:c r="I347" s="31" t="n">
        <x:v>2.1718008836</x:v>
      </x:c>
      <x:c r="J347" s="31" t="n">
        <x:v>2.1718008836</x:v>
      </x:c>
      <x:c r="K347" s="31" t="n">
        <x:v>0</x:v>
      </x:c>
      <x:c r="L347" s="31" t="n">
        <x:v>2.1718008836</x:v>
      </x:c>
      <x:c r="M347" s="31" t="n">
        <x:v>0</x:v>
      </x:c>
      <x:c r="N347" s="24" t="str">
        <x:v>latris lineata</x:v>
      </x:c>
      <x:c r="O347" s="32" t="n">
        <x:v>3.7</x:v>
      </x:c>
      <x:c r="P347" s="24" t="str">
        <x:v>exact_sea_around_us</x:v>
      </x:c>
      <x:c r="Q347" s="32" t="str">
        <x:v>Sea Around Us exploited organisms</x:v>
      </x:c>
      <x:c r="R347" s="24" t="str">
        <x:v>high</x:v>
      </x:c>
      <x:c r="S347" s="24" t="str">
        <x:v>Latris lineata</x:v>
      </x:c>
      <x:c r="T347" s="32" t="n">
        <x:f>IF(O347="","",(1/'Metadata'!$B$5)^(O347-1))</x:f>
        <x:v>501.18723362727246</x:v>
      </x:c>
      <x:c r="U347" s="31" t="n">
        <x:f>IF(T347="","",I347*T347)</x:f>
        <x:v>1088.47887684075</x:v>
      </x:c>
    </x:row>
    <x:row r="348" ht="18" customHeight="1">
      <x:c r="A348" s="24" t="str">
        <x:v>EEZ_036</x:v>
      </x:c>
      <x:c r="B348" s="24" t="str">
        <x:v>Australia</x:v>
      </x:c>
      <x:c r="C348" s="24" t="str">
        <x:v>EEZ</x:v>
      </x:c>
      <x:c r="D348" s="30" t="n">
        <x:v>2019</x:v>
      </x:c>
      <x:c r="E348" s="24" t="str">
        <x:v>Lampris</x:v>
      </x:c>
      <x:c r="F348" s="24" t="str">
        <x:v>Opahs</x:v>
      </x:c>
      <x:c r="G348" s="24" t="str">
        <x:v>Large pelagics (&gt;=90 cm)</x:v>
      </x:c>
      <x:c r="H348" s="24" t="str">
        <x:v>Other fishes &amp; inverts</x:v>
      </x:c>
      <x:c r="I348" s="31" t="n">
        <x:v>2.0940067383</x:v>
      </x:c>
      <x:c r="J348" s="31" t="n">
        <x:v>2.0940067383</x:v>
      </x:c>
      <x:c r="K348" s="31" t="n">
        <x:v>0</x:v>
      </x:c>
      <x:c r="L348" s="31" t="n">
        <x:v>2.0940067383</x:v>
      </x:c>
      <x:c r="M348" s="31" t="n">
        <x:v>0</x:v>
      </x:c>
      <x:c r="N348" s="24" t="str">
        <x:v>lampris</x:v>
      </x:c>
      <x:c r="O348" s="32" t="n">
        <x:v>4.22</x:v>
      </x:c>
      <x:c r="P348" s="24" t="str">
        <x:v>exact_sea_around_us</x:v>
      </x:c>
      <x:c r="Q348" s="32" t="str">
        <x:v>Sea Around Us exploited organisms</x:v>
      </x:c>
      <x:c r="R348" s="24" t="str">
        <x:v>high</x:v>
      </x:c>
      <x:c r="S348" s="24" t="str">
        <x:v>Lampris</x:v>
      </x:c>
      <x:c r="T348" s="32" t="n">
        <x:f>IF(O348="","",(1/'Metadata'!$B$5)^(O348-1))</x:f>
        <x:v>1659.5869074375596</x:v>
      </x:c>
      <x:c r="U348" s="31" t="n">
        <x:f>IF(T348="","",I348*T348)</x:f>
        <x:v>3475.186166968708</x:v>
      </x:c>
    </x:row>
    <x:row r="349" ht="18" customHeight="1">
      <x:c r="A349" s="24" t="str">
        <x:v>EEZ_036</x:v>
      </x:c>
      <x:c r="B349" s="24" t="str">
        <x:v>Australia</x:v>
      </x:c>
      <x:c r="C349" s="24" t="str">
        <x:v>EEZ</x:v>
      </x:c>
      <x:c r="D349" s="30" t="n">
        <x:v>2019</x:v>
      </x:c>
      <x:c r="E349" s="24" t="str">
        <x:v>Pristiophorus cirratus</x:v>
      </x:c>
      <x:c r="F349" s="24" t="str">
        <x:v>Common sawshark</x:v>
      </x:c>
      <x:c r="G349" s="24" t="str">
        <x:v>Large sharks (&gt;=90 cm)</x:v>
      </x:c>
      <x:c r="H349" s="24" t="str">
        <x:v>Sharks &amp; rays</x:v>
      </x:c>
      <x:c r="I349" s="31" t="n">
        <x:v>2.0833281619</x:v>
      </x:c>
      <x:c r="J349" s="31" t="n">
        <x:v>2.0833281619</x:v>
      </x:c>
      <x:c r="K349" s="31" t="n">
        <x:v>0</x:v>
      </x:c>
      <x:c r="L349" s="31" t="n">
        <x:v>1.9888692579</x:v>
      </x:c>
      <x:c r="M349" s="31" t="n">
        <x:v>0.094458904</x:v>
      </x:c>
      <x:c r="N349" s="24" t="str">
        <x:v>pristiophorus cirratus</x:v>
      </x:c>
      <x:c r="O349" s="32" t="n">
        <x:v>4.17</x:v>
      </x:c>
      <x:c r="P349" s="24" t="str">
        <x:v>exact_2020_supplement</x:v>
      </x:c>
      <x:c r="Q349" s="32" t="str">
        <x:v>2020 supplement MeanTL</x:v>
      </x:c>
      <x:c r="R349" s="24" t="str">
        <x:v>high</x:v>
      </x:c>
      <x:c r="S349" s="24" t="str">
        <x:v>Pristiophorus cirratus</x:v>
      </x:c>
      <x:c r="T349" s="32" t="n">
        <x:f>IF(O349="","",(1/'Metadata'!$B$5)^(O349-1))</x:f>
        <x:v>1479.1083881682073</x:v>
      </x:c>
      <x:c r="U349" s="31" t="n">
        <x:f>IF(T349="","",I349*T349)</x:f>
        <x:v>3081.4681595733427</x:v>
      </x:c>
    </x:row>
    <x:row r="350" ht="18" customHeight="1">
      <x:c r="A350" s="24" t="str">
        <x:v>EEZ_036</x:v>
      </x:c>
      <x:c r="B350" s="24" t="str">
        <x:v>Australia</x:v>
      </x:c>
      <x:c r="C350" s="24" t="str">
        <x:v>EEZ</x:v>
      </x:c>
      <x:c r="D350" s="30" t="n">
        <x:v>2019</x:v>
      </x:c>
      <x:c r="E350" s="24" t="str">
        <x:v>Beryx decadactylus</x:v>
      </x:c>
      <x:c r="F350" s="24" t="str">
        <x:v>Alfonsino</x:v>
      </x:c>
      <x:c r="G350" s="24" t="str">
        <x:v>Medium bathydemersals (30 - 89 cm)</x:v>
      </x:c>
      <x:c r="H350" s="24" t="str">
        <x:v>Other fishes &amp; inverts</x:v>
      </x:c>
      <x:c r="I350" s="31" t="n">
        <x:v>2.0256198032</x:v>
      </x:c>
      <x:c r="J350" s="31" t="n">
        <x:v>2.0256198032</x:v>
      </x:c>
      <x:c r="K350" s="31" t="n">
        <x:v>0</x:v>
      </x:c>
      <x:c r="L350" s="31" t="n">
        <x:v>2.0256198032</x:v>
      </x:c>
      <x:c r="M350" s="31" t="n">
        <x:v>0</x:v>
      </x:c>
      <x:c r="N350" s="24" t="str">
        <x:v>beryx decadactylus</x:v>
      </x:c>
      <x:c r="O350" s="32" t="n">
        <x:v>4.13</x:v>
      </x:c>
      <x:c r="P350" s="24" t="str">
        <x:v>exact_2020_supplement</x:v>
      </x:c>
      <x:c r="Q350" s="32" t="str">
        <x:v>2020 supplement MeanTL</x:v>
      </x:c>
      <x:c r="R350" s="24" t="str">
        <x:v>high</x:v>
      </x:c>
      <x:c r="S350" s="24" t="str">
        <x:v>Beryx decadactylus</x:v>
      </x:c>
      <x:c r="T350" s="32" t="n">
        <x:f>IF(O350="","",(1/'Metadata'!$B$5)^(O350-1))</x:f>
        <x:v>1348.9628825916532</x:v>
      </x:c>
      <x:c r="U350" s="31" t="n">
        <x:f>IF(T350="","",I350*T350)</x:f>
        <x:v>2732.4859287594095</x:v>
      </x:c>
    </x:row>
    <x:row r="351" ht="18" customHeight="1">
      <x:c r="A351" s="24" t="str">
        <x:v>EEZ_036</x:v>
      </x:c>
      <x:c r="B351" s="24" t="str">
        <x:v>Australia</x:v>
      </x:c>
      <x:c r="C351" s="24" t="str">
        <x:v>EEZ</x:v>
      </x:c>
      <x:c r="D351" s="30" t="n">
        <x:v>2019</x:v>
      </x:c>
      <x:c r="E351" s="24" t="str">
        <x:v>Epinephelus tauvina</x:v>
      </x:c>
      <x:c r="F351" s="24" t="str">
        <x:v>Greasy grouper</x:v>
      </x:c>
      <x:c r="G351" s="24" t="str">
        <x:v>Medium reef assoc. fish (30 - 89 cm)</x:v>
      </x:c>
      <x:c r="H351" s="24" t="str">
        <x:v>Perch-likes</x:v>
      </x:c>
      <x:c r="I351" s="31" t="n">
        <x:v>1.9811169057</x:v>
      </x:c>
      <x:c r="J351" s="31" t="n">
        <x:v>1.9811169057</x:v>
      </x:c>
      <x:c r="K351" s="31" t="n">
        <x:v>0</x:v>
      </x:c>
      <x:c r="L351" s="31" t="n">
        <x:v>1.1795531162000001</x:v>
      </x:c>
      <x:c r="M351" s="31" t="n">
        <x:v>0.8015637895</x:v>
      </x:c>
      <x:c r="N351" s="24" t="str">
        <x:v>epinephelus tauvina</x:v>
      </x:c>
      <x:c r="O351" s="32" t="n">
        <x:v>4.13</x:v>
      </x:c>
      <x:c r="P351" s="24" t="str">
        <x:v>exact_2020_supplement</x:v>
      </x:c>
      <x:c r="Q351" s="32" t="str">
        <x:v>2020 supplement MeanTL</x:v>
      </x:c>
      <x:c r="R351" s="24" t="str">
        <x:v>high</x:v>
      </x:c>
      <x:c r="S351" s="24" t="str">
        <x:v>Epinephelus tauvina</x:v>
      </x:c>
      <x:c r="T351" s="32" t="n">
        <x:f>IF(O351="","",(1/'Metadata'!$B$5)^(O351-1))</x:f>
        <x:v>1348.9628825916532</x:v>
      </x:c>
      <x:c r="U351" s="31" t="n">
        <x:f>IF(T351="","",I351*T351)</x:f>
        <x:v>2672.4531718641283</x:v>
      </x:c>
    </x:row>
    <x:row r="352" ht="18" customHeight="1">
      <x:c r="A352" s="24" t="str">
        <x:v>EEZ_036</x:v>
      </x:c>
      <x:c r="B352" s="24" t="str">
        <x:v>Australia</x:v>
      </x:c>
      <x:c r="C352" s="24" t="str">
        <x:v>EEZ</x:v>
      </x:c>
      <x:c r="D352" s="30" t="n">
        <x:v>2019</x:v>
      </x:c>
      <x:c r="E352" s="24" t="str">
        <x:v>Psettodes erumei</x:v>
      </x:c>
      <x:c r="F352" s="24" t="str">
        <x:v>Indian halibut</x:v>
      </x:c>
      <x:c r="G352" s="24" t="str">
        <x:v>Small to medium flatfishes (&lt;90 cm)</x:v>
      </x:c>
      <x:c r="H352" s="24" t="str">
        <x:v>Flatfishes</x:v>
      </x:c>
      <x:c r="I352" s="31" t="n">
        <x:v>1.9346434462</x:v>
      </x:c>
      <x:c r="J352" s="31" t="n">
        <x:v>1.9346434462</x:v>
      </x:c>
      <x:c r="K352" s="31" t="n">
        <x:v>0</x:v>
      </x:c>
      <x:c r="L352" s="31" t="n">
        <x:v>1.9346434462</x:v>
      </x:c>
      <x:c r="M352" s="31" t="n">
        <x:v>0</x:v>
      </x:c>
      <x:c r="N352" s="24" t="str">
        <x:v>psettodes erumei</x:v>
      </x:c>
      <x:c r="O352" s="32" t="n">
        <x:v>4.39</x:v>
      </x:c>
      <x:c r="P352" s="24" t="str">
        <x:v>exact_2020_supplement</x:v>
      </x:c>
      <x:c r="Q352" s="32" t="str">
        <x:v>2020 supplement MeanTL</x:v>
      </x:c>
      <x:c r="R352" s="24" t="str">
        <x:v>high</x:v>
      </x:c>
      <x:c r="S352" s="24" t="str">
        <x:v>Psettodes erumei</x:v>
      </x:c>
      <x:c r="T352" s="32" t="n">
        <x:f>IF(O352="","",(1/'Metadata'!$B$5)^(O352-1))</x:f>
        <x:v>2454.7089156850284</x:v>
      </x:c>
      <x:c r="U352" s="31" t="n">
        <x:f>IF(T352="","",I352*T352)</x:f>
        <x:v>4748.986516058749</x:v>
      </x:c>
    </x:row>
    <x:row r="353" ht="18" customHeight="1">
      <x:c r="A353" s="24" t="str">
        <x:v>EEZ_036</x:v>
      </x:c>
      <x:c r="B353" s="24" t="str">
        <x:v>Australia</x:v>
      </x:c>
      <x:c r="C353" s="24" t="str">
        <x:v>EEZ</x:v>
      </x:c>
      <x:c r="D353" s="30" t="n">
        <x:v>2019</x:v>
      </x:c>
      <x:c r="E353" s="24" t="str">
        <x:v>Hemiramphus</x:v>
      </x:c>
      <x:c r="F353" s="24" t="str">
        <x:v>Halfbeaks</x:v>
      </x:c>
      <x:c r="G353" s="24" t="str">
        <x:v>Medium pelagics (30 - 89 cm)</x:v>
      </x:c>
      <x:c r="H353" s="24" t="str">
        <x:v>Other fishes &amp; inverts</x:v>
      </x:c>
      <x:c r="I353" s="31" t="n">
        <x:v>1.8612688288</x:v>
      </x:c>
      <x:c r="J353" s="31" t="n">
        <x:v>1.8612688288</x:v>
      </x:c>
      <x:c r="K353" s="31" t="n">
        <x:v>0</x:v>
      </x:c>
      <x:c r="L353" s="31" t="n">
        <x:v>0</x:v>
      </x:c>
      <x:c r="M353" s="31" t="n">
        <x:v>1.8612688288</x:v>
      </x:c>
      <x:c r="N353" s="24" t="str">
        <x:v>hemiramphus</x:v>
      </x:c>
      <x:c r="O353" s="32" t="n">
        <x:v>3.05</x:v>
      </x:c>
      <x:c r="P353" s="24" t="str">
        <x:v>exact_sea_around_us</x:v>
      </x:c>
      <x:c r="Q353" s="32" t="str">
        <x:v>Sea Around Us exploited organisms</x:v>
      </x:c>
      <x:c r="R353" s="24" t="str">
        <x:v>high</x:v>
      </x:c>
      <x:c r="S353" s="24" t="str">
        <x:v>Hemiramphus</x:v>
      </x:c>
      <x:c r="T353" s="32" t="n">
        <x:f>IF(O353="","",(1/'Metadata'!$B$5)^(O353-1))</x:f>
        <x:v>112.2018454301963</x:v>
      </x:c>
      <x:c r="U353" s="31" t="n">
        <x:f>IF(T353="","",I353*T353)</x:f>
        <x:v>208.8377974330601</x:v>
      </x:c>
    </x:row>
    <x:row r="354" ht="18" customHeight="1">
      <x:c r="A354" s="24" t="str">
        <x:v>EEZ_036</x:v>
      </x:c>
      <x:c r="B354" s="24" t="str">
        <x:v>Australia</x:v>
      </x:c>
      <x:c r="C354" s="24" t="str">
        <x:v>EEZ</x:v>
      </x:c>
      <x:c r="D354" s="30" t="n">
        <x:v>2019</x:v>
      </x:c>
      <x:c r="E354" s="24" t="str">
        <x:v>Etelis</x:v>
      </x:c>
      <x:c r="F354" s="24" t="str">
        <x:v>Snappers</x:v>
      </x:c>
      <x:c r="G354" s="24" t="str">
        <x:v>Medium bathydemersals (30 - 89 cm)</x:v>
      </x:c>
      <x:c r="H354" s="24" t="str">
        <x:v>Perch-likes</x:v>
      </x:c>
      <x:c r="I354" s="31" t="n">
        <x:v>1.8571317296999998</x:v>
      </x:c>
      <x:c r="J354" s="31" t="n">
        <x:v>1.8571317296999998</x:v>
      </x:c>
      <x:c r="K354" s="31" t="n">
        <x:v>0</x:v>
      </x:c>
      <x:c r="L354" s="31" t="n">
        <x:v>1.7321066568999999</x:v>
      </x:c>
      <x:c r="M354" s="31" t="n">
        <x:v>0.1250250728</x:v>
      </x:c>
      <x:c r="N354" s="24" t="str">
        <x:v>etelis</x:v>
      </x:c>
      <x:c r="O354" s="32" t="n">
        <x:v>4.36</x:v>
      </x:c>
      <x:c r="P354" s="24" t="str">
        <x:v>exact_sea_around_us</x:v>
      </x:c>
      <x:c r="Q354" s="32" t="str">
        <x:v>Sea Around Us exploited organisms</x:v>
      </x:c>
      <x:c r="R354" s="24" t="str">
        <x:v>high</x:v>
      </x:c>
      <x:c r="S354" s="24" t="str">
        <x:v>Etelis</x:v>
      </x:c>
      <x:c r="T354" s="32" t="n">
        <x:f>IF(O354="","",(1/'Metadata'!$B$5)^(O354-1))</x:f>
        <x:v>2290.867652767775</x:v>
      </x:c>
      <x:c r="U354" s="31" t="n">
        <x:f>IF(T354="","",I354*T354)</x:f>
        <x:v>4254.443006498396</x:v>
      </x:c>
    </x:row>
    <x:row r="355" ht="18" customHeight="1">
      <x:c r="A355" s="24" t="str">
        <x:v>EEZ_036</x:v>
      </x:c>
      <x:c r="B355" s="24" t="str">
        <x:v>Australia</x:v>
      </x:c>
      <x:c r="C355" s="24" t="str">
        <x:v>EEZ</x:v>
      </x:c>
      <x:c r="D355" s="30" t="n">
        <x:v>2019</x:v>
      </x:c>
      <x:c r="E355" s="24" t="str">
        <x:v>Carcharhiniformes</x:v>
      </x:c>
      <x:c r="F355" s="24" t="str">
        <x:v>Ground sharks</x:v>
      </x:c>
      <x:c r="G355" s="24" t="str">
        <x:v>Large sharks (&gt;=90 cm)</x:v>
      </x:c>
      <x:c r="H355" s="24" t="str">
        <x:v>Sharks &amp; rays</x:v>
      </x:c>
      <x:c r="I355" s="31" t="n">
        <x:v>1.8265571929</x:v>
      </x:c>
      <x:c r="J355" s="31" t="n">
        <x:v>1.8265571929</x:v>
      </x:c>
      <x:c r="K355" s="31" t="n">
        <x:v>0</x:v>
      </x:c>
      <x:c r="L355" s="31" t="n">
        <x:v>1.4441382557</x:v>
      </x:c>
      <x:c r="M355" s="31" t="n">
        <x:v>0.3824189372</x:v>
      </x:c>
      <x:c r="N355" s="24" t="str">
        <x:v>carcharhiniformes</x:v>
      </x:c>
      <x:c r="O355" s="32" t="n">
        <x:v>4.08</x:v>
      </x:c>
      <x:c r="P355" s="24" t="str">
        <x:v>exact_sea_around_us</x:v>
      </x:c>
      <x:c r="Q355" s="32" t="str">
        <x:v>Sea Around Us exploited organisms</x:v>
      </x:c>
      <x:c r="R355" s="24" t="str">
        <x:v>high</x:v>
      </x:c>
      <x:c r="S355" s="24" t="str">
        <x:v>Carcharhiniformes</x:v>
      </x:c>
      <x:c r="T355" s="32" t="n">
        <x:f>IF(O355="","",(1/'Metadata'!$B$5)^(O355-1))</x:f>
        <x:v>1202.2644346174131</x:v>
      </x:c>
      <x:c r="U355" s="31" t="n">
        <x:f>IF(T355="","",I355*T355)</x:f>
        <x:v>2196.004750818288</x:v>
      </x:c>
    </x:row>
    <x:row r="356" ht="18" customHeight="1">
      <x:c r="A356" s="24" t="str">
        <x:v>EEZ_036</x:v>
      </x:c>
      <x:c r="B356" s="24" t="str">
        <x:v>Australia</x:v>
      </x:c>
      <x:c r="C356" s="24" t="str">
        <x:v>EEZ</x:v>
      </x:c>
      <x:c r="D356" s="30" t="n">
        <x:v>2019</x:v>
      </x:c>
      <x:c r="E356" s="24" t="str">
        <x:v>Wattsia mossambica</x:v>
      </x:c>
      <x:c r="F356" s="24" t="str">
        <x:v>Mozambique large-eye bream</x:v>
      </x:c>
      <x:c r="G356" s="24" t="str">
        <x:v>Medium demersals (30 - 89 cm)</x:v>
      </x:c>
      <x:c r="H356" s="24" t="str">
        <x:v>Perch-likes</x:v>
      </x:c>
      <x:c r="I356" s="31" t="n">
        <x:v>1.8258104368</x:v>
      </x:c>
      <x:c r="J356" s="31" t="n">
        <x:v>1.8258104368</x:v>
      </x:c>
      <x:c r="K356" s="31" t="n">
        <x:v>0</x:v>
      </x:c>
      <x:c r="L356" s="31" t="n">
        <x:v>1.8258104368</x:v>
      </x:c>
      <x:c r="M356" s="31" t="n">
        <x:v>0</x:v>
      </x:c>
      <x:c r="N356" s="24" t="str">
        <x:v>wattsia mossambica</x:v>
      </x:c>
      <x:c r="O356" s="32" t="n">
        <x:v>3.65</x:v>
      </x:c>
      <x:c r="P356" s="24" t="str">
        <x:v>exact_2020_supplement</x:v>
      </x:c>
      <x:c r="Q356" s="32" t="str">
        <x:v>2020 supplement MeanTL</x:v>
      </x:c>
      <x:c r="R356" s="24" t="str">
        <x:v>high</x:v>
      </x:c>
      <x:c r="S356" s="24" t="str">
        <x:v>Wattsia mossambica</x:v>
      </x:c>
      <x:c r="T356" s="32" t="n">
        <x:f>IF(O356="","",(1/'Metadata'!$B$5)^(O356-1))</x:f>
        <x:v>446.683592150963</x:v>
      </x:c>
      <x:c r="U356" s="31" t="n">
        <x:f>IF(T356="","",I356*T356)</x:f>
        <x:v>815.5595644965429</x:v>
      </x:c>
    </x:row>
    <x:row r="357" ht="18" customHeight="1">
      <x:c r="A357" s="24" t="str">
        <x:v>EEZ_036</x:v>
      </x:c>
      <x:c r="B357" s="24" t="str">
        <x:v>Australia</x:v>
      </x:c>
      <x:c r="C357" s="24" t="str">
        <x:v>EEZ</x:v>
      </x:c>
      <x:c r="D357" s="30" t="n">
        <x:v>2019</x:v>
      </x:c>
      <x:c r="E357" s="24" t="str">
        <x:v>Rachycentridae</x:v>
      </x:c>
      <x:c r="F357" s="24" t="str">
        <x:v>Cobias</x:v>
      </x:c>
      <x:c r="G357" s="24" t="str">
        <x:v>Large pelagics (&gt;=90 cm)</x:v>
      </x:c>
      <x:c r="H357" s="24" t="str">
        <x:v>Perch-likes</x:v>
      </x:c>
      <x:c r="I357" s="31" t="n">
        <x:v>1.7511999195999999</x:v>
      </x:c>
      <x:c r="J357" s="31" t="n">
        <x:v>1.7511999195999999</x:v>
      </x:c>
      <x:c r="K357" s="31" t="n">
        <x:v>0</x:v>
      </x:c>
      <x:c r="L357" s="31" t="n">
        <x:v>1.7511999195999999</x:v>
      </x:c>
      <x:c r="M357" s="31" t="n">
        <x:v>0</x:v>
      </x:c>
      <x:c r="N357" s="24" t="str">
        <x:v>rachycentridae</x:v>
      </x:c>
      <x:c r="O357" s="32" t="n">
        <x:v>3.96</x:v>
      </x:c>
      <x:c r="P357" s="24" t="str">
        <x:v>exact_sea_around_us</x:v>
      </x:c>
      <x:c r="Q357" s="32" t="str">
        <x:v>Sea Around Us exploited organisms</x:v>
      </x:c>
      <x:c r="R357" s="24" t="str">
        <x:v>high</x:v>
      </x:c>
      <x:c r="S357" s="24" t="str">
        <x:v>Rachycentridae</x:v>
      </x:c>
      <x:c r="T357" s="32" t="n">
        <x:f>IF(O357="","",(1/'Metadata'!$B$5)^(O357-1))</x:f>
        <x:v>912.0108393559096</x:v>
      </x:c>
      <x:c r="U357" s="31" t="n">
        <x:f>IF(T357="","",I357*T357)</x:f>
        <x:v>1597.1133085543975</x:v>
      </x:c>
    </x:row>
    <x:row r="358" ht="18" customHeight="1">
      <x:c r="A358" s="24" t="str">
        <x:v>EEZ_036</x:v>
      </x:c>
      <x:c r="B358" s="24" t="str">
        <x:v>Australia</x:v>
      </x:c>
      <x:c r="C358" s="24" t="str">
        <x:v>EEZ</x:v>
      </x:c>
      <x:c r="D358" s="30" t="n">
        <x:v>2019</x:v>
      </x:c>
      <x:c r="E358" s="24" t="str">
        <x:v>Epinephelus lanceolatus</x:v>
      </x:c>
      <x:c r="F358" s="24" t="str">
        <x:v>Giant grouper</x:v>
      </x:c>
      <x:c r="G358" s="24" t="str">
        <x:v>Large reef assoc. fish (&gt;=90 cm)</x:v>
      </x:c>
      <x:c r="H358" s="24" t="str">
        <x:v>Perch-likes</x:v>
      </x:c>
      <x:c r="I358" s="31" t="n">
        <x:v>1.7252418958</x:v>
      </x:c>
      <x:c r="J358" s="31" t="n">
        <x:v>1.7252418958</x:v>
      </x:c>
      <x:c r="K358" s="31" t="n">
        <x:v>0</x:v>
      </x:c>
      <x:c r="L358" s="31" t="n">
        <x:v>1.7193762356</x:v>
      </x:c>
      <x:c r="M358" s="31" t="n">
        <x:v>0.0058656602</x:v>
      </x:c>
      <x:c r="N358" s="24" t="str">
        <x:v>epinephelus lanceolatus</x:v>
      </x:c>
      <x:c r="O358" s="32" t="n">
        <x:v>4</x:v>
      </x:c>
      <x:c r="P358" s="24" t="str">
        <x:v>exact_2020_supplement</x:v>
      </x:c>
      <x:c r="Q358" s="32" t="str">
        <x:v>2020 supplement MeanTL</x:v>
      </x:c>
      <x:c r="R358" s="24" t="str">
        <x:v>high</x:v>
      </x:c>
      <x:c r="S358" s="24" t="str">
        <x:v>Epinephelus lanceolatus</x:v>
      </x:c>
      <x:c r="T358" s="32" t="n">
        <x:f>IF(O358="","",(1/'Metadata'!$B$5)^(O358-1))</x:f>
        <x:v>1000</x:v>
      </x:c>
      <x:c r="U358" s="31" t="n">
        <x:f>IF(T358="","",I358*T358)</x:f>
        <x:v>1725.2418958</x:v>
      </x:c>
    </x:row>
    <x:row r="359" ht="18" customHeight="1">
      <x:c r="A359" s="24" t="str">
        <x:v>EEZ_036</x:v>
      </x:c>
      <x:c r="B359" s="24" t="str">
        <x:v>Australia</x:v>
      </x:c>
      <x:c r="C359" s="24" t="str">
        <x:v>EEZ</x:v>
      </x:c>
      <x:c r="D359" s="30" t="n">
        <x:v>2019</x:v>
      </x:c>
      <x:c r="E359" s="24" t="str">
        <x:v>Pomacentridae</x:v>
      </x:c>
      <x:c r="F359" s="24" t="str">
        <x:v>Damselfishes</x:v>
      </x:c>
      <x:c r="G359" s="24" t="str">
        <x:v>Small reef assoc. fish (&lt;30 cm)</x:v>
      </x:c>
      <x:c r="H359" s="24" t="str">
        <x:v>Perch-likes</x:v>
      </x:c>
      <x:c r="I359" s="31" t="n">
        <x:v>1.7153515572000002</x:v>
      </x:c>
      <x:c r="J359" s="31" t="n">
        <x:v>1.7153515572000002</x:v>
      </x:c>
      <x:c r="K359" s="31" t="n">
        <x:v>0</x:v>
      </x:c>
      <x:c r="L359" s="31" t="n">
        <x:v>1.7144272432</x:v>
      </x:c>
      <x:c r="M359" s="31" t="n">
        <x:v>0.000924314</x:v>
      </x:c>
      <x:c r="N359" s="24" t="str">
        <x:v>pomacentridae</x:v>
      </x:c>
      <x:c r="O359" s="32" t="n">
        <x:v>2.57</x:v>
      </x:c>
      <x:c r="P359" s="24" t="str">
        <x:v>exact_sea_around_us</x:v>
      </x:c>
      <x:c r="Q359" s="32" t="str">
        <x:v>Sea Around Us exploited organisms</x:v>
      </x:c>
      <x:c r="R359" s="24" t="str">
        <x:v>high</x:v>
      </x:c>
      <x:c r="S359" s="24" t="str">
        <x:v>Pomacentridae</x:v>
      </x:c>
      <x:c r="T359" s="32" t="n">
        <x:f>IF(O359="","",(1/'Metadata'!$B$5)^(O359-1))</x:f>
        <x:v>37.15352290971724</x:v>
      </x:c>
      <x:c r="U359" s="31" t="n">
        <x:f>IF(T359="","",I359*T359)</x:f>
        <x:v>63.73135337864935</x:v>
      </x:c>
    </x:row>
    <x:row r="360" ht="18" customHeight="1">
      <x:c r="A360" s="24" t="str">
        <x:v>EEZ_036</x:v>
      </x:c>
      <x:c r="B360" s="24" t="str">
        <x:v>Australia</x:v>
      </x:c>
      <x:c r="C360" s="24" t="str">
        <x:v>EEZ</x:v>
      </x:c>
      <x:c r="D360" s="30" t="n">
        <x:v>2019</x:v>
      </x:c>
      <x:c r="E360" s="24" t="str">
        <x:v>Seriolella caerulea</x:v>
      </x:c>
      <x:c r="F360" s="24" t="str">
        <x:v>White warehou</x:v>
      </x:c>
      <x:c r="G360" s="24" t="str">
        <x:v>Medium bathypelagics (30 - 89 cm)</x:v>
      </x:c>
      <x:c r="H360" s="24" t="str">
        <x:v>Perch-likes</x:v>
      </x:c>
      <x:c r="I360" s="31" t="n">
        <x:v>1.6509749659</x:v>
      </x:c>
      <x:c r="J360" s="31" t="n">
        <x:v>1.6509749659</x:v>
      </x:c>
      <x:c r="K360" s="31" t="n">
        <x:v>0</x:v>
      </x:c>
      <x:c r="L360" s="31" t="n">
        <x:v>1.6509749659</x:v>
      </x:c>
      <x:c r="M360" s="31" t="n">
        <x:v>0</x:v>
      </x:c>
      <x:c r="N360" s="24" t="str">
        <x:v>seriolella caerulea</x:v>
      </x:c>
      <x:c r="O360" s="32" t="n">
        <x:v>3.42</x:v>
      </x:c>
      <x:c r="P360" s="24" t="str">
        <x:v>exact_sea_around_us</x:v>
      </x:c>
      <x:c r="Q360" s="32" t="str">
        <x:v>Sea Around Us exploited organisms</x:v>
      </x:c>
      <x:c r="R360" s="24" t="str">
        <x:v>high</x:v>
      </x:c>
      <x:c r="S360" s="24" t="str">
        <x:v>Seriolella caerulea</x:v>
      </x:c>
      <x:c r="T360" s="32" t="n">
        <x:f>IF(O360="","",(1/'Metadata'!$B$5)^(O360-1))</x:f>
        <x:v>263.02679918953817</x:v>
      </x:c>
      <x:c r="U360" s="31" t="n">
        <x:f>IF(T360="","",I360*T360)</x:f>
        <x:v>434.2506608227339</x:v>
      </x:c>
    </x:row>
    <x:row r="361" ht="18" customHeight="1">
      <x:c r="A361" s="24" t="str">
        <x:v>EEZ_036</x:v>
      </x:c>
      <x:c r="B361" s="24" t="str">
        <x:v>Australia</x:v>
      </x:c>
      <x:c r="C361" s="24" t="str">
        <x:v>EEZ</x:v>
      </x:c>
      <x:c r="D361" s="30" t="n">
        <x:v>2019</x:v>
      </x:c>
      <x:c r="E361" s="24" t="str">
        <x:v>Decapterus</x:v>
      </x:c>
      <x:c r="F361" s="24" t="str">
        <x:v>Scads</x:v>
      </x:c>
      <x:c r="G361" s="24" t="str">
        <x:v>Medium pelagics (30 - 89 cm)</x:v>
      </x:c>
      <x:c r="H361" s="24" t="str">
        <x:v>Perch-likes</x:v>
      </x:c>
      <x:c r="I361" s="31" t="n">
        <x:v>1.5336540374</x:v>
      </x:c>
      <x:c r="J361" s="31" t="n">
        <x:v>1.5336540374</x:v>
      </x:c>
      <x:c r="K361" s="31" t="n">
        <x:v>0</x:v>
      </x:c>
      <x:c r="L361" s="31" t="n">
        <x:v>1.523566202</x:v>
      </x:c>
      <x:c r="M361" s="31" t="n">
        <x:v>0.0100878354</x:v>
      </x:c>
      <x:c r="N361" s="24" t="str">
        <x:v>decapterus</x:v>
      </x:c>
      <x:c r="O361" s="32" t="n">
        <x:v>3.63</x:v>
      </x:c>
      <x:c r="P361" s="24" t="str">
        <x:v>exact_sea_around_us</x:v>
      </x:c>
      <x:c r="Q361" s="32" t="str">
        <x:v>Sea Around Us exploited organisms</x:v>
      </x:c>
      <x:c r="R361" s="24" t="str">
        <x:v>high</x:v>
      </x:c>
      <x:c r="S361" s="24" t="str">
        <x:v>Decapterus</x:v>
      </x:c>
      <x:c r="T361" s="32" t="n">
        <x:f>IF(O361="","",(1/'Metadata'!$B$5)^(O361-1))</x:f>
        <x:v>426.57951880159254</x:v>
      </x:c>
      <x:c r="U361" s="31" t="n">
        <x:f>IF(T361="","",I361*T361)</x:f>
        <x:v>654.2254012822117</x:v>
      </x:c>
    </x:row>
    <x:row r="362" ht="18" customHeight="1">
      <x:c r="A362" s="24" t="str">
        <x:v>EEZ_036</x:v>
      </x:c>
      <x:c r="B362" s="24" t="str">
        <x:v>Australia</x:v>
      </x:c>
      <x:c r="C362" s="24" t="str">
        <x:v>EEZ</x:v>
      </x:c>
      <x:c r="D362" s="30" t="n">
        <x:v>2019</x:v>
      </x:c>
      <x:c r="E362" s="24" t="str">
        <x:v>Rastrelliger kanagurta</x:v>
      </x:c>
      <x:c r="F362" s="24" t="str">
        <x:v>Indian mackerel</x:v>
      </x:c>
      <x:c r="G362" s="24" t="str">
        <x:v>Medium pelagics (30 - 89 cm)</x:v>
      </x:c>
      <x:c r="H362" s="24" t="str">
        <x:v>Perch-likes</x:v>
      </x:c>
      <x:c r="I362" s="31" t="n">
        <x:v>1.4902235503</x:v>
      </x:c>
      <x:c r="J362" s="31" t="n">
        <x:v>1.4902235503</x:v>
      </x:c>
      <x:c r="K362" s="31" t="n">
        <x:v>0</x:v>
      </x:c>
      <x:c r="L362" s="31" t="n">
        <x:v>1.4902235503</x:v>
      </x:c>
      <x:c r="M362" s="31" t="n">
        <x:v>0</x:v>
      </x:c>
      <x:c r="N362" s="24" t="str">
        <x:v>rastrelliger kanagurta</x:v>
      </x:c>
      <x:c r="O362" s="32" t="n">
        <x:v>3.19</x:v>
      </x:c>
      <x:c r="P362" s="24" t="str">
        <x:v>exact_2020_supplement</x:v>
      </x:c>
      <x:c r="Q362" s="32" t="str">
        <x:v>2020 supplement MeanTL</x:v>
      </x:c>
      <x:c r="R362" s="24" t="str">
        <x:v>high</x:v>
      </x:c>
      <x:c r="S362" s="24" t="str">
        <x:v>Rastrelliger kanagurta</x:v>
      </x:c>
      <x:c r="T362" s="32" t="n">
        <x:f>IF(O362="","",(1/'Metadata'!$B$5)^(O362-1))</x:f>
        <x:v>154.88166189124811</x:v>
      </x:c>
      <x:c r="U362" s="31" t="n">
        <x:f>IF(T362="","",I362*T362)</x:f>
        <x:v>230.80830005994</x:v>
      </x:c>
    </x:row>
    <x:row r="363" ht="18" customHeight="1">
      <x:c r="A363" s="24" t="str">
        <x:v>EEZ_036</x:v>
      </x:c>
      <x:c r="B363" s="24" t="str">
        <x:v>Australia</x:v>
      </x:c>
      <x:c r="C363" s="24" t="str">
        <x:v>EEZ</x:v>
      </x:c>
      <x:c r="D363" s="30" t="n">
        <x:v>2019</x:v>
      </x:c>
      <x:c r="E363" s="24" t="str">
        <x:v>Dussumieria elopsoides</x:v>
      </x:c>
      <x:c r="F363" s="24" t="str">
        <x:v>Slender rainbow sardine</x:v>
      </x:c>
      <x:c r="G363" s="24" t="str">
        <x:v>Small pelagics (&lt;30 cm)</x:v>
      </x:c>
      <x:c r="H363" s="24" t="str">
        <x:v>Herring-likes</x:v>
      </x:c>
      <x:c r="I363" s="31" t="n">
        <x:v>1.4896584182</x:v>
      </x:c>
      <x:c r="J363" s="31" t="n">
        <x:v>1.4896584182</x:v>
      </x:c>
      <x:c r="K363" s="31" t="n">
        <x:v>0</x:v>
      </x:c>
      <x:c r="L363" s="31" t="n">
        <x:v>1.4896584182</x:v>
      </x:c>
      <x:c r="M363" s="31" t="n">
        <x:v>0</x:v>
      </x:c>
      <x:c r="N363" s="24" t="str">
        <x:v>dussumieria elopsoides</x:v>
      </x:c>
      <x:c r="O363" s="32" t="n">
        <x:v>3.4</x:v>
      </x:c>
      <x:c r="P363" s="24" t="str">
        <x:v>exact_2020_supplement</x:v>
      </x:c>
      <x:c r="Q363" s="32" t="str">
        <x:v>2020 supplement MeanTL</x:v>
      </x:c>
      <x:c r="R363" s="24" t="str">
        <x:v>high</x:v>
      </x:c>
      <x:c r="S363" s="24" t="str">
        <x:v>Dussumieria elopsoides</x:v>
      </x:c>
      <x:c r="T363" s="32" t="n">
        <x:f>IF(O363="","",(1/'Metadata'!$B$5)^(O363-1))</x:f>
        <x:v>251.18864315095797</x:v>
      </x:c>
      <x:c r="U363" s="31" t="n">
        <x:f>IF(T363="","",I363*T363)</x:f>
        <x:v>374.1852768260603</x:v>
      </x:c>
    </x:row>
    <x:row r="364" ht="18" customHeight="1">
      <x:c r="A364" s="24" t="str">
        <x:v>EEZ_036</x:v>
      </x:c>
      <x:c r="B364" s="24" t="str">
        <x:v>Australia</x:v>
      </x:c>
      <x:c r="C364" s="24" t="str">
        <x:v>EEZ</x:v>
      </x:c>
      <x:c r="D364" s="30" t="n">
        <x:v>2019</x:v>
      </x:c>
      <x:c r="E364" s="24" t="str">
        <x:v>Gymnocranius</x:v>
      </x:c>
      <x:c r="F364" s="24" t="str">
        <x:v>Largeeye breams</x:v>
      </x:c>
      <x:c r="G364" s="24" t="str">
        <x:v>Medium reef assoc. fish (30 - 89 cm)</x:v>
      </x:c>
      <x:c r="H364" s="24" t="str">
        <x:v>Perch-likes</x:v>
      </x:c>
      <x:c r="I364" s="31" t="n">
        <x:v>1.4805046111</x:v>
      </x:c>
      <x:c r="J364" s="31" t="n">
        <x:v>1.4805046111</x:v>
      </x:c>
      <x:c r="K364" s="31" t="n">
        <x:v>0</x:v>
      </x:c>
      <x:c r="L364" s="31" t="n">
        <x:v>1.4707880284000001</x:v>
      </x:c>
      <x:c r="M364" s="31" t="n">
        <x:v>0.0097165827</x:v>
      </x:c>
      <x:c r="N364" s="24" t="str">
        <x:v>gymnocranius</x:v>
      </x:c>
      <x:c r="O364" s="32" t="n">
        <x:v>3.4</x:v>
      </x:c>
      <x:c r="P364" s="24" t="str">
        <x:v>exact_sea_around_us</x:v>
      </x:c>
      <x:c r="Q364" s="32" t="str">
        <x:v>Sea Around Us exploited organisms</x:v>
      </x:c>
      <x:c r="R364" s="24" t="str">
        <x:v>high</x:v>
      </x:c>
      <x:c r="S364" s="24" t="str">
        <x:v>Gymnocranius</x:v>
      </x:c>
      <x:c r="T364" s="32" t="n">
        <x:f>IF(O364="","",(1/'Metadata'!$B$5)^(O364-1))</x:f>
        <x:v>251.18864315095797</x:v>
      </x:c>
      <x:c r="U364" s="31" t="n">
        <x:f>IF(T364="","",I364*T364)</x:f>
        <x:v>371.8859444409457</x:v>
      </x:c>
    </x:row>
    <x:row r="365" ht="18" customHeight="1">
      <x:c r="A365" s="24" t="str">
        <x:v>EEZ_036</x:v>
      </x:c>
      <x:c r="B365" s="24" t="str">
        <x:v>Australia</x:v>
      </x:c>
      <x:c r="C365" s="24" t="str">
        <x:v>EEZ</x:v>
      </x:c>
      <x:c r="D365" s="30" t="n">
        <x:v>2019</x:v>
      </x:c>
      <x:c r="E365" s="24" t="str">
        <x:v>Hippocampus</x:v>
      </x:c>
      <x:c r="F365" s="24" t="str">
        <x:v>Seahorses</x:v>
      </x:c>
      <x:c r="G365" s="24" t="str">
        <x:v>Small reef assoc. fish (&lt;30 cm)</x:v>
      </x:c>
      <x:c r="H365" s="24" t="str">
        <x:v>Other fishes &amp; inverts</x:v>
      </x:c>
      <x:c r="I365" s="31" t="n">
        <x:v>1.4631235767</x:v>
      </x:c>
      <x:c r="J365" s="31" t="n">
        <x:v>1.4631235767</x:v>
      </x:c>
      <x:c r="K365" s="31" t="n">
        <x:v>0</x:v>
      </x:c>
      <x:c r="L365" s="31" t="n">
        <x:v>1.4631235767</x:v>
      </x:c>
      <x:c r="M365" s="31" t="n">
        <x:v>0</x:v>
      </x:c>
      <x:c r="N365" s="24" t="str">
        <x:v>hippocampus</x:v>
      </x:c>
      <x:c r="O365" s="32" t="n">
        <x:v>3.33</x:v>
      </x:c>
      <x:c r="P365" s="24" t="str">
        <x:v>exact_sea_around_us</x:v>
      </x:c>
      <x:c r="Q365" s="32" t="str">
        <x:v>Sea Around Us exploited organisms</x:v>
      </x:c>
      <x:c r="R365" s="24" t="str">
        <x:v>high</x:v>
      </x:c>
      <x:c r="S365" s="24" t="str">
        <x:v>Hippocampus</x:v>
      </x:c>
      <x:c r="T365" s="32" t="n">
        <x:f>IF(O365="","",(1/'Metadata'!$B$5)^(O365-1))</x:f>
        <x:v>213.79620895022325</x:v>
      </x:c>
      <x:c r="U365" s="31" t="n">
        <x:f>IF(T365="","",I365*T365)</x:f>
        <x:v>312.81027392415115</x:v>
      </x:c>
    </x:row>
    <x:row r="366" ht="18" customHeight="1">
      <x:c r="A366" s="24" t="str">
        <x:v>EEZ_036</x:v>
      </x:c>
      <x:c r="B366" s="24" t="str">
        <x:v>Australia</x:v>
      </x:c>
      <x:c r="C366" s="24" t="str">
        <x:v>EEZ</x:v>
      </x:c>
      <x:c r="D366" s="30" t="n">
        <x:v>2019</x:v>
      </x:c>
      <x:c r="E366" s="24" t="str">
        <x:v>Drepane</x:v>
      </x:c>
      <x:c r="F366" s="24" t="str">
        <x:v>Sicklefishes</x:v>
      </x:c>
      <x:c r="G366" s="24" t="str">
        <x:v>Medium benthopelagics (30 - 89 cm)</x:v>
      </x:c>
      <x:c r="H366" s="24" t="str">
        <x:v>Perch-likes</x:v>
      </x:c>
      <x:c r="I366" s="31" t="n">
        <x:v>1.3572540187</x:v>
      </x:c>
      <x:c r="J366" s="31" t="n">
        <x:v>1.3572540187</x:v>
      </x:c>
      <x:c r="K366" s="31" t="n">
        <x:v>0</x:v>
      </x:c>
      <x:c r="L366" s="31" t="n">
        <x:v>1.3572540187</x:v>
      </x:c>
      <x:c r="M366" s="31" t="n">
        <x:v>0</x:v>
      </x:c>
      <x:c r="N366" s="24" t="str">
        <x:v>drepane</x:v>
      </x:c>
      <x:c r="O366" s="32" t="n">
        <x:v>3.32</x:v>
      </x:c>
      <x:c r="P366" s="24" t="str">
        <x:v>exact_sea_around_us</x:v>
      </x:c>
      <x:c r="Q366" s="32" t="str">
        <x:v>Sea Around Us exploited organisms</x:v>
      </x:c>
      <x:c r="R366" s="24" t="str">
        <x:v>high</x:v>
      </x:c>
      <x:c r="S366" s="24" t="str">
        <x:v>Drepane</x:v>
      </x:c>
      <x:c r="T366" s="32" t="n">
        <x:f>IF(O366="","",(1/'Metadata'!$B$5)^(O366-1))</x:f>
        <x:v>208.92961308540387</x:v>
      </x:c>
      <x:c r="U366" s="31" t="n">
        <x:f>IF(T366="","",I366*T366)</x:f>
        <x:v>283.5705569856005</x:v>
      </x:c>
    </x:row>
    <x:row r="367" ht="18" customHeight="1">
      <x:c r="A367" s="24" t="str">
        <x:v>EEZ_036</x:v>
      </x:c>
      <x:c r="B367" s="24" t="str">
        <x:v>Australia</x:v>
      </x:c>
      <x:c r="C367" s="24" t="str">
        <x:v>EEZ</x:v>
      </x:c>
      <x:c r="D367" s="30" t="n">
        <x:v>2019</x:v>
      </x:c>
      <x:c r="E367" s="24" t="str">
        <x:v>Cephalopholis sonnerati</x:v>
      </x:c>
      <x:c r="F367" s="24" t="str">
        <x:v>Tomato hind</x:v>
      </x:c>
      <x:c r="G367" s="24" t="str">
        <x:v>Medium reef assoc. fish (30 - 89 cm)</x:v>
      </x:c>
      <x:c r="H367" s="24" t="str">
        <x:v>Perch-likes</x:v>
      </x:c>
      <x:c r="I367" s="31" t="n">
        <x:v>1.2754527005</x:v>
      </x:c>
      <x:c r="J367" s="31" t="n">
        <x:v>1.2754527005</x:v>
      </x:c>
      <x:c r="K367" s="31" t="n">
        <x:v>0</x:v>
      </x:c>
      <x:c r="L367" s="31" t="n">
        <x:v>0.4655235182</x:v>
      </x:c>
      <x:c r="M367" s="31" t="n">
        <x:v>0.8099291823</x:v>
      </x:c>
      <x:c r="N367" s="24" t="str">
        <x:v>cephalopholis sonnerati</x:v>
      </x:c>
      <x:c r="O367" s="32" t="n">
        <x:v>3.81</x:v>
      </x:c>
      <x:c r="P367" s="24" t="str">
        <x:v>exact_2020_supplement</x:v>
      </x:c>
      <x:c r="Q367" s="32" t="str">
        <x:v>2020 supplement MeanTL</x:v>
      </x:c>
      <x:c r="R367" s="24" t="str">
        <x:v>high</x:v>
      </x:c>
      <x:c r="S367" s="24" t="str">
        <x:v>Cephalopholis sonnerati</x:v>
      </x:c>
      <x:c r="T367" s="32" t="n">
        <x:f>IF(O367="","",(1/'Metadata'!$B$5)^(O367-1))</x:f>
        <x:v>645.6542290346556</x:v>
      </x:c>
      <x:c r="U367" s="31" t="n">
        <x:f>IF(T367="","",I367*T367)</x:f>
        <x:v>823.5014300114971</x:v>
      </x:c>
    </x:row>
    <x:row r="368" ht="18" customHeight="1">
      <x:c r="A368" s="24" t="str">
        <x:v>EEZ_036</x:v>
      </x:c>
      <x:c r="B368" s="24" t="str">
        <x:v>Australia</x:v>
      </x:c>
      <x:c r="C368" s="24" t="str">
        <x:v>EEZ</x:v>
      </x:c>
      <x:c r="D368" s="30" t="n">
        <x:v>2019</x:v>
      </x:c>
      <x:c r="E368" s="24" t="str">
        <x:v>Scyris indica</x:v>
      </x:c>
      <x:c r="F368" s="24" t="str">
        <x:v>Indian threadfish</x:v>
      </x:c>
      <x:c r="G368" s="24" t="str">
        <x:v>Large reef assoc. fish (&gt;=90 cm)</x:v>
      </x:c>
      <x:c r="H368" s="24" t="str">
        <x:v>Perch-likes</x:v>
      </x:c>
      <x:c r="I368" s="31" t="n">
        <x:v>1.2737973496000001</x:v>
      </x:c>
      <x:c r="J368" s="31" t="n">
        <x:v>1.2737973496000001</x:v>
      </x:c>
      <x:c r="K368" s="31" t="n">
        <x:v>0</x:v>
      </x:c>
      <x:c r="L368" s="31" t="n">
        <x:v>1.0809506580000001</x:v>
      </x:c>
      <x:c r="M368" s="31" t="n">
        <x:v>0.1928466916</x:v>
      </x:c>
      <x:c r="N368" s="24" t="str">
        <x:v>scyris indica</x:v>
      </x:c>
      <x:c r="O368" s="32" t="n">
        <x:v>4.09</x:v>
      </x:c>
      <x:c r="P368" s="24" t="str">
        <x:v>exact_sea_around_us</x:v>
      </x:c>
      <x:c r="Q368" s="32" t="str">
        <x:v>Sea Around Us exploited organisms</x:v>
      </x:c>
      <x:c r="R368" s="24" t="str">
        <x:v>high</x:v>
      </x:c>
      <x:c r="S368" s="24" t="str">
        <x:v>Scyris indica</x:v>
      </x:c>
      <x:c r="T368" s="32" t="n">
        <x:f>IF(O368="","",(1/'Metadata'!$B$5)^(O368-1))</x:f>
        <x:v>1230.268770812381</x:v>
      </x:c>
      <x:c r="U368" s="31" t="n">
        <x:f>IF(T368="","",I368*T368)</x:f>
        <x:v>1567.113099556461</x:v>
      </x:c>
    </x:row>
    <x:row r="369" ht="18" customHeight="1">
      <x:c r="A369" s="24" t="str">
        <x:v>EEZ_036</x:v>
      </x:c>
      <x:c r="B369" s="24" t="str">
        <x:v>Australia</x:v>
      </x:c>
      <x:c r="C369" s="24" t="str">
        <x:v>EEZ</x:v>
      </x:c>
      <x:c r="D369" s="30" t="n">
        <x:v>2019</x:v>
      </x:c>
      <x:c r="E369" s="24" t="str">
        <x:v>Nemipterus</x:v>
      </x:c>
      <x:c r="F369" s="24" t="str">
        <x:v>Threadfin breams</x:v>
      </x:c>
      <x:c r="G369" s="24" t="str">
        <x:v>Small demersals (&lt;30 cm)</x:v>
      </x:c>
      <x:c r="H369" s="24" t="str">
        <x:v>Perch-likes</x:v>
      </x:c>
      <x:c r="I369" s="31" t="n">
        <x:v>1.2023837802</x:v>
      </x:c>
      <x:c r="J369" s="31" t="n">
        <x:v>1.2023837802</x:v>
      </x:c>
      <x:c r="K369" s="31" t="n">
        <x:v>0</x:v>
      </x:c>
      <x:c r="L369" s="31" t="n">
        <x:v>0.9327023184000001</x:v>
      </x:c>
      <x:c r="M369" s="31" t="n">
        <x:v>0.2696814618</x:v>
      </x:c>
      <x:c r="N369" s="24" t="str">
        <x:v>nemipterus</x:v>
      </x:c>
      <x:c r="O369" s="32" t="n">
        <x:v>3.72</x:v>
      </x:c>
      <x:c r="P369" s="24" t="str">
        <x:v>exact_sea_around_us</x:v>
      </x:c>
      <x:c r="Q369" s="32" t="str">
        <x:v>Sea Around Us exploited organisms</x:v>
      </x:c>
      <x:c r="R369" s="24" t="str">
        <x:v>high</x:v>
      </x:c>
      <x:c r="S369" s="24" t="str">
        <x:v>Nemipterus</x:v>
      </x:c>
      <x:c r="T369" s="32" t="n">
        <x:f>IF(O369="","",(1/'Metadata'!$B$5)^(O369-1))</x:f>
        <x:v>524.8074602497728</x:v>
      </x:c>
      <x:c r="U369" s="31" t="n">
        <x:f>IF(T369="","",I369*T369)</x:f>
        <x:v>631.019977932283</x:v>
      </x:c>
    </x:row>
    <x:row r="370" ht="18" customHeight="1">
      <x:c r="A370" s="24" t="str">
        <x:v>EEZ_036</x:v>
      </x:c>
      <x:c r="B370" s="24" t="str">
        <x:v>Australia</x:v>
      </x:c>
      <x:c r="C370" s="24" t="str">
        <x:v>EEZ</x:v>
      </x:c>
      <x:c r="D370" s="30" t="n">
        <x:v>2019</x:v>
      </x:c>
      <x:c r="E370" s="24" t="str">
        <x:v>Muraenidae</x:v>
      </x:c>
      <x:c r="F370" s="24" t="str">
        <x:v>Moray eels</x:v>
      </x:c>
      <x:c r="G370" s="24" t="str">
        <x:v>Large reef assoc. fish (&gt;=90 cm)</x:v>
      </x:c>
      <x:c r="H370" s="24" t="str">
        <x:v>Other fishes &amp; inverts</x:v>
      </x:c>
      <x:c r="I370" s="31" t="n">
        <x:v>1.185581249</x:v>
      </x:c>
      <x:c r="J370" s="31" t="n">
        <x:v>1.185581249</x:v>
      </x:c>
      <x:c r="K370" s="31" t="n">
        <x:v>0</x:v>
      </x:c>
      <x:c r="L370" s="31" t="n">
        <x:v>1.1851343038</x:v>
      </x:c>
      <x:c r="M370" s="31" t="n">
        <x:v>0.0004469452</x:v>
      </x:c>
      <x:c r="N370" s="24" t="str">
        <x:v>muraenidae</x:v>
      </x:c>
      <x:c r="O370" s="32" t="n">
        <x:v>4.07</x:v>
      </x:c>
      <x:c r="P370" s="24" t="str">
        <x:v>exact_sea_around_us</x:v>
      </x:c>
      <x:c r="Q370" s="32" t="str">
        <x:v>Sea Around Us exploited organisms</x:v>
      </x:c>
      <x:c r="R370" s="24" t="str">
        <x:v>high</x:v>
      </x:c>
      <x:c r="S370" s="24" t="str">
        <x:v>Muraenidae</x:v>
      </x:c>
      <x:c r="T370" s="32" t="n">
        <x:f>IF(O370="","",(1/'Metadata'!$B$5)^(O370-1))</x:f>
        <x:v>1174.8975549395302</x:v>
      </x:c>
      <x:c r="U370" s="31" t="n">
        <x:f>IF(T370="","",I370*T370)</x:f>
        <x:v>1392.9365106322543</x:v>
      </x:c>
    </x:row>
    <x:row r="371" ht="18" customHeight="1">
      <x:c r="A371" s="24" t="str">
        <x:v>EEZ_036</x:v>
      </x:c>
      <x:c r="B371" s="24" t="str">
        <x:v>Australia</x:v>
      </x:c>
      <x:c r="C371" s="24" t="str">
        <x:v>EEZ</x:v>
      </x:c>
      <x:c r="D371" s="30" t="n">
        <x:v>2019</x:v>
      </x:c>
      <x:c r="E371" s="24" t="str">
        <x:v>Elops machnata</x:v>
      </x:c>
      <x:c r="F371" s="24" t="str">
        <x:v>Tenpounder</x:v>
      </x:c>
      <x:c r="G371" s="24" t="str">
        <x:v>Large pelagics (&gt;=90 cm)</x:v>
      </x:c>
      <x:c r="H371" s="24" t="str">
        <x:v>Other fishes &amp; inverts</x:v>
      </x:c>
      <x:c r="I371" s="31" t="n">
        <x:v>1.1655982037000001</x:v>
      </x:c>
      <x:c r="J371" s="31" t="n">
        <x:v>1.1655982037000001</x:v>
      </x:c>
      <x:c r="K371" s="31" t="n">
        <x:v>0</x:v>
      </x:c>
      <x:c r="L371" s="31" t="n">
        <x:v>1.1655982037000001</x:v>
      </x:c>
      <x:c r="M371" s="31" t="n">
        <x:v>0</x:v>
      </x:c>
      <x:c r="N371" s="24" t="str">
        <x:v>elops machnata</x:v>
      </x:c>
      <x:c r="O371" s="32" t="n">
        <x:v>3.97</x:v>
      </x:c>
      <x:c r="P371" s="24" t="str">
        <x:v>exact_2020_supplement</x:v>
      </x:c>
      <x:c r="Q371" s="32" t="str">
        <x:v>2020 supplement MeanTL</x:v>
      </x:c>
      <x:c r="R371" s="24" t="str">
        <x:v>high</x:v>
      </x:c>
      <x:c r="S371" s="24" t="str">
        <x:v>Elops machnata</x:v>
      </x:c>
      <x:c r="T371" s="32" t="n">
        <x:f>IF(O371="","",(1/'Metadata'!$B$5)^(O371-1))</x:f>
        <x:v>933.2543007969915</x:v>
      </x:c>
      <x:c r="U371" s="31" t="n">
        <x:f>IF(T371="","",I371*T371)</x:f>
        <x:v>1087.7995366042728</x:v>
      </x:c>
    </x:row>
    <x:row r="372" ht="18" customHeight="1">
      <x:c r="A372" s="24" t="str">
        <x:v>EEZ_036</x:v>
      </x:c>
      <x:c r="B372" s="24" t="str">
        <x:v>Australia</x:v>
      </x:c>
      <x:c r="C372" s="24" t="str">
        <x:v>EEZ</x:v>
      </x:c>
      <x:c r="D372" s="30" t="n">
        <x:v>2019</x:v>
      </x:c>
      <x:c r="E372" s="24" t="str">
        <x:v>Sphyraena obtusata</x:v>
      </x:c>
      <x:c r="F372" s="24" t="str">
        <x:v>Obtuse barracuda</x:v>
      </x:c>
      <x:c r="G372" s="24" t="str">
        <x:v>Medium reef assoc. fish (30 - 89 cm)</x:v>
      </x:c>
      <x:c r="H372" s="24" t="str">
        <x:v>Perch-likes</x:v>
      </x:c>
      <x:c r="I372" s="31" t="n">
        <x:v>1.1331924034</x:v>
      </x:c>
      <x:c r="J372" s="31" t="n">
        <x:v>1.1331924034</x:v>
      </x:c>
      <x:c r="K372" s="31" t="n">
        <x:v>0</x:v>
      </x:c>
      <x:c r="L372" s="31" t="n">
        <x:v>0</x:v>
      </x:c>
      <x:c r="M372" s="31" t="n">
        <x:v>1.1331924034</x:v>
      </x:c>
      <x:c r="N372" s="24" t="str">
        <x:v>sphyraena obtusata</x:v>
      </x:c>
      <x:c r="O372" s="32" t="n">
        <x:v>4.5</x:v>
      </x:c>
      <x:c r="P372" s="24" t="str">
        <x:v>exact_2020_supplement</x:v>
      </x:c>
      <x:c r="Q372" s="32" t="str">
        <x:v>2020 supplement MeanTL</x:v>
      </x:c>
      <x:c r="R372" s="24" t="str">
        <x:v>high</x:v>
      </x:c>
      <x:c r="S372" s="24" t="str">
        <x:v>Sphyraena obtusata</x:v>
      </x:c>
      <x:c r="T372" s="32" t="n">
        <x:f>IF(O372="","",(1/'Metadata'!$B$5)^(O372-1))</x:f>
        <x:v>3162.2776601683795</x:v>
      </x:c>
      <x:c r="U372" s="31" t="n">
        <x:f>IF(T372="","",I372*T372)</x:f>
        <x:v>3583.4690219443346</x:v>
      </x:c>
    </x:row>
    <x:row r="373" ht="18" customHeight="1">
      <x:c r="A373" s="24" t="str">
        <x:v>EEZ_036</x:v>
      </x:c>
      <x:c r="B373" s="24" t="str">
        <x:v>Australia</x:v>
      </x:c>
      <x:c r="C373" s="24" t="str">
        <x:v>EEZ</x:v>
      </x:c>
      <x:c r="D373" s="30" t="n">
        <x:v>2019</x:v>
      </x:c>
      <x:c r="E373" s="24" t="str">
        <x:v>Drepane punctata</x:v>
      </x:c>
      <x:c r="F373" s="24" t="str">
        <x:v>Spotted sicklefish</x:v>
      </x:c>
      <x:c r="G373" s="24" t="str">
        <x:v>Medium reef assoc. fish (30 - 89 cm)</x:v>
      </x:c>
      <x:c r="H373" s="24" t="str">
        <x:v>Perch-likes</x:v>
      </x:c>
      <x:c r="I373" s="31" t="n">
        <x:v>1.1136895085</x:v>
      </x:c>
      <x:c r="J373" s="31" t="n">
        <x:v>1.1136895085</x:v>
      </x:c>
      <x:c r="K373" s="31" t="n">
        <x:v>0</x:v>
      </x:c>
      <x:c r="L373" s="31" t="n">
        <x:v>1.098074191</x:v>
      </x:c>
      <x:c r="M373" s="31" t="n">
        <x:v>0.0156153175</x:v>
      </x:c>
      <x:c r="N373" s="24" t="str">
        <x:v>drepane punctata</x:v>
      </x:c>
      <x:c r="O373" s="32" t="n">
        <x:v>3.32</x:v>
      </x:c>
      <x:c r="P373" s="24" t="str">
        <x:v>exact_2020_supplement</x:v>
      </x:c>
      <x:c r="Q373" s="32" t="str">
        <x:v>2020 supplement MeanTL</x:v>
      </x:c>
      <x:c r="R373" s="24" t="str">
        <x:v>high</x:v>
      </x:c>
      <x:c r="S373" s="24" t="str">
        <x:v>Drepane punctata</x:v>
      </x:c>
      <x:c r="T373" s="32" t="n">
        <x:f>IF(O373="","",(1/'Metadata'!$B$5)^(O373-1))</x:f>
        <x:v>208.92961308540387</x:v>
      </x:c>
      <x:c r="U373" s="31" t="n">
        <x:f>IF(T373="","",I373*T373)</x:f>
        <x:v>232.68271810817862</x:v>
      </x:c>
    </x:row>
    <x:row r="374" ht="18" customHeight="1">
      <x:c r="A374" s="24" t="str">
        <x:v>EEZ_036</x:v>
      </x:c>
      <x:c r="B374" s="24" t="str">
        <x:v>Australia</x:v>
      </x:c>
      <x:c r="C374" s="24" t="str">
        <x:v>EEZ</x:v>
      </x:c>
      <x:c r="D374" s="30" t="n">
        <x:v>2019</x:v>
      </x:c>
      <x:c r="E374" s="24" t="str">
        <x:v>Mola mola</x:v>
      </x:c>
      <x:c r="F374" s="24" t="str">
        <x:v>Ocean sunfish</x:v>
      </x:c>
      <x:c r="G374" s="24" t="str">
        <x:v>Large pelagics (&gt;=90 cm)</x:v>
      </x:c>
      <x:c r="H374" s="24" t="str">
        <x:v>Other fishes &amp; inverts</x:v>
      </x:c>
      <x:c r="I374" s="31" t="n">
        <x:v>1.0912511633000002</x:v>
      </x:c>
      <x:c r="J374" s="31" t="n">
        <x:v>1.0912511633000002</x:v>
      </x:c>
      <x:c r="K374" s="31" t="n">
        <x:v>0</x:v>
      </x:c>
      <x:c r="L374" s="31" t="n">
        <x:v>1.0912511633000002</x:v>
      </x:c>
      <x:c r="M374" s="31" t="n">
        <x:v>0</x:v>
      </x:c>
      <x:c r="N374" s="24" t="str">
        <x:v>mola mola</x:v>
      </x:c>
      <x:c r="O374" s="32" t="n">
        <x:v>3.68</x:v>
      </x:c>
      <x:c r="P374" s="24" t="str">
        <x:v>exact_2020_supplement</x:v>
      </x:c>
      <x:c r="Q374" s="32" t="str">
        <x:v>2020 supplement MeanTL</x:v>
      </x:c>
      <x:c r="R374" s="24" t="str">
        <x:v>high</x:v>
      </x:c>
      <x:c r="S374" s="24" t="str">
        <x:v>Mola mola</x:v>
      </x:c>
      <x:c r="T374" s="32" t="n">
        <x:f>IF(O374="","",(1/'Metadata'!$B$5)^(O374-1))</x:f>
        <x:v>478.6300923226385</x:v>
      </x:c>
      <x:c r="U374" s="31" t="n">
        <x:f>IF(T374="","",I374*T374)</x:f>
        <x:v>522.3056450374658</x:v>
      </x:c>
    </x:row>
    <x:row r="375" ht="18" customHeight="1">
      <x:c r="A375" s="24" t="str">
        <x:v>EEZ_036</x:v>
      </x:c>
      <x:c r="B375" s="24" t="str">
        <x:v>Australia</x:v>
      </x:c>
      <x:c r="C375" s="24" t="str">
        <x:v>EEZ</x:v>
      </x:c>
      <x:c r="D375" s="30" t="n">
        <x:v>2019</x:v>
      </x:c>
      <x:c r="E375" s="24" t="str">
        <x:v>Ferdauia orthogrammus</x:v>
      </x:c>
      <x:c r="F375" s="24" t="str">
        <x:v>Island trevally</x:v>
      </x:c>
      <x:c r="G375" s="24" t="str">
        <x:v>Medium pelagics (30 - 89 cm)</x:v>
      </x:c>
      <x:c r="H375" s="24" t="str">
        <x:v>Perch-likes</x:v>
      </x:c>
      <x:c r="I375" s="31" t="n">
        <x:v>1.0910410641</x:v>
      </x:c>
      <x:c r="J375" s="31" t="n">
        <x:v>1.0910410641</x:v>
      </x:c>
      <x:c r="K375" s="31" t="n">
        <x:v>0</x:v>
      </x:c>
      <x:c r="L375" s="31" t="n">
        <x:v>1.0907153468</x:v>
      </x:c>
      <x:c r="M375" s="31" t="n">
        <x:v>0.0003257173</x:v>
      </x:c>
      <x:c r="N375" s="24" t="str">
        <x:v>ferdauia orthogrammus</x:v>
      </x:c>
      <x:c r="O375" s="32" t="n">
        <x:v>4.48</x:v>
      </x:c>
      <x:c r="P375" s="24" t="str">
        <x:v>exact_sea_around_us</x:v>
      </x:c>
      <x:c r="Q375" s="32" t="str">
        <x:v>Sea Around Us exploited organisms</x:v>
      </x:c>
      <x:c r="R375" s="24" t="str">
        <x:v>high</x:v>
      </x:c>
      <x:c r="S375" s="24" t="str">
        <x:v>Ferdauia orthogrammus</x:v>
      </x:c>
      <x:c r="T375" s="32" t="n">
        <x:f>IF(O375="","",(1/'Metadata'!$B$5)^(O375-1))</x:f>
        <x:v>3019.951720402019</x:v>
      </x:c>
      <x:c r="U375" s="31" t="n">
        <x:f>IF(T375="","",I375*T375)</x:f>
        <x:v>3294.891338558044</x:v>
      </x:c>
    </x:row>
    <x:row r="376" ht="18" customHeight="1">
      <x:c r="A376" s="24" t="str">
        <x:v>EEZ_036</x:v>
      </x:c>
      <x:c r="B376" s="24" t="str">
        <x:v>Australia</x:v>
      </x:c>
      <x:c r="C376" s="24" t="str">
        <x:v>EEZ</x:v>
      </x:c>
      <x:c r="D376" s="30" t="n">
        <x:v>2019</x:v>
      </x:c>
      <x:c r="E376" s="24" t="str">
        <x:v>Heptranchias perlo</x:v>
      </x:c>
      <x:c r="F376" s="24" t="str">
        <x:v>Sharpnose sevengill shark</x:v>
      </x:c>
      <x:c r="G376" s="24" t="str">
        <x:v>Large sharks (&gt;=90 cm)</x:v>
      </x:c>
      <x:c r="H376" s="24" t="str">
        <x:v>Sharks &amp; rays</x:v>
      </x:c>
      <x:c r="I376" s="31" t="n">
        <x:v>1.086017703</x:v>
      </x:c>
      <x:c r="J376" s="31" t="n">
        <x:v>1.086017703</x:v>
      </x:c>
      <x:c r="K376" s="31" t="n">
        <x:v>0</x:v>
      </x:c>
      <x:c r="L376" s="31" t="n">
        <x:v>1.086017703</x:v>
      </x:c>
      <x:c r="M376" s="31" t="n">
        <x:v>0</x:v>
      </x:c>
      <x:c r="N376" s="24" t="str">
        <x:v>heptranchias perlo</x:v>
      </x:c>
      <x:c r="O376" s="32" t="n">
        <x:v>4.16</x:v>
      </x:c>
      <x:c r="P376" s="24" t="str">
        <x:v>exact_2020_supplement</x:v>
      </x:c>
      <x:c r="Q376" s="32" t="str">
        <x:v>2020 supplement MeanTL</x:v>
      </x:c>
      <x:c r="R376" s="24" t="str">
        <x:v>high</x:v>
      </x:c>
      <x:c r="S376" s="24" t="str">
        <x:v>Heptranchias perlo</x:v>
      </x:c>
      <x:c r="T376" s="32" t="n">
        <x:f>IF(O376="","",(1/'Metadata'!$B$5)^(O376-1))</x:f>
        <x:v>1445.439770745928</x:v>
      </x:c>
      <x:c r="U376" s="31" t="n">
        <x:f>IF(T376="","",I376*T376)</x:f>
        <x:v>1569.7731796503392</x:v>
      </x:c>
    </x:row>
    <x:row r="377" ht="18" customHeight="1">
      <x:c r="A377" s="24" t="str">
        <x:v>EEZ_036</x:v>
      </x:c>
      <x:c r="B377" s="24" t="str">
        <x:v>Australia</x:v>
      </x:c>
      <x:c r="C377" s="24" t="str">
        <x:v>EEZ</x:v>
      </x:c>
      <x:c r="D377" s="30" t="n">
        <x:v>2019</x:v>
      </x:c>
      <x:c r="E377" s="24" t="str">
        <x:v>Sardinella</x:v>
      </x:c>
      <x:c r="F377" s="24" t="str">
        <x:v>Sardinellas</x:v>
      </x:c>
      <x:c r="G377" s="24" t="str">
        <x:v>Small pelagics (&lt;30 cm)</x:v>
      </x:c>
      <x:c r="H377" s="24" t="str">
        <x:v>Herring-likes</x:v>
      </x:c>
      <x:c r="I377" s="31" t="n">
        <x:v>1.0811434143</x:v>
      </x:c>
      <x:c r="J377" s="31" t="n">
        <x:v>1.0811434143</x:v>
      </x:c>
      <x:c r="K377" s="31" t="n">
        <x:v>0</x:v>
      </x:c>
      <x:c r="L377" s="31" t="n">
        <x:v>1.0811434143</x:v>
      </x:c>
      <x:c r="M377" s="31" t="n">
        <x:v>0</x:v>
      </x:c>
      <x:c r="N377" s="24" t="str">
        <x:v>sardinella</x:v>
      </x:c>
      <x:c r="O377" s="32" t="n">
        <x:v>2.77</x:v>
      </x:c>
      <x:c r="P377" s="24" t="str">
        <x:v>exact_sea_around_us</x:v>
      </x:c>
      <x:c r="Q377" s="32" t="str">
        <x:v>Sea Around Us exploited organisms</x:v>
      </x:c>
      <x:c r="R377" s="24" t="str">
        <x:v>high</x:v>
      </x:c>
      <x:c r="S377" s="24" t="str">
        <x:v>Sardinella</x:v>
      </x:c>
      <x:c r="T377" s="32" t="n">
        <x:f>IF(O377="","",(1/'Metadata'!$B$5)^(O377-1))</x:f>
        <x:v>58.8843655355589</x:v>
      </x:c>
      <x:c r="U377" s="31" t="n">
        <x:f>IF(T377="","",I377*T377)</x:f>
        <x:v>63.6624440040034</x:v>
      </x:c>
    </x:row>
    <x:row r="378" ht="18" customHeight="1">
      <x:c r="A378" s="24" t="str">
        <x:v>EEZ_036</x:v>
      </x:c>
      <x:c r="B378" s="24" t="str">
        <x:v>Australia</x:v>
      </x:c>
      <x:c r="C378" s="24" t="str">
        <x:v>EEZ</x:v>
      </x:c>
      <x:c r="D378" s="30" t="n">
        <x:v>2019</x:v>
      </x:c>
      <x:c r="E378" s="24" t="str">
        <x:v>Megalaspis cordyla</x:v>
      </x:c>
      <x:c r="F378" s="24" t="str">
        <x:v>Torpedo scad</x:v>
      </x:c>
      <x:c r="G378" s="24" t="str">
        <x:v>Medium pelagics (30 - 89 cm)</x:v>
      </x:c>
      <x:c r="H378" s="24" t="str">
        <x:v>Perch-likes</x:v>
      </x:c>
      <x:c r="I378" s="31" t="n">
        <x:v>1.0213634413000001</x:v>
      </x:c>
      <x:c r="J378" s="31" t="n">
        <x:v>1.0213634413000001</x:v>
      </x:c>
      <x:c r="K378" s="31" t="n">
        <x:v>0</x:v>
      </x:c>
      <x:c r="L378" s="31" t="n">
        <x:v>1.0212944017</x:v>
      </x:c>
      <x:c r="M378" s="31" t="n">
        <x:v>0.0000690396</x:v>
      </x:c>
      <x:c r="N378" s="24" t="str">
        <x:v>megalaspis cordyla</x:v>
      </x:c>
      <x:c r="O378" s="32" t="n">
        <x:v>4.24</x:v>
      </x:c>
      <x:c r="P378" s="24" t="str">
        <x:v>exact_2020_supplement</x:v>
      </x:c>
      <x:c r="Q378" s="32" t="str">
        <x:v>2020 supplement MeanTL</x:v>
      </x:c>
      <x:c r="R378" s="24" t="str">
        <x:v>high</x:v>
      </x:c>
      <x:c r="S378" s="24" t="str">
        <x:v>Megalaspis cordyla</x:v>
      </x:c>
      <x:c r="T378" s="32" t="n">
        <x:f>IF(O378="","",(1/'Metadata'!$B$5)^(O378-1))</x:f>
        <x:v>1737.8008287493763</x:v>
      </x:c>
      <x:c r="U378" s="31" t="n">
        <x:f>IF(T378="","",I378*T378)</x:f>
        <x:v>1774.926234745455</x:v>
      </x:c>
    </x:row>
    <x:row r="379" ht="18" customHeight="1">
      <x:c r="A379" s="24" t="str">
        <x:v>EEZ_036</x:v>
      </x:c>
      <x:c r="B379" s="24" t="str">
        <x:v>Australia</x:v>
      </x:c>
      <x:c r="C379" s="24" t="str">
        <x:v>EEZ</x:v>
      </x:c>
      <x:c r="D379" s="30" t="n">
        <x:v>2019</x:v>
      </x:c>
      <x:c r="E379" s="24" t="str">
        <x:v>Pseudophycis bachus</x:v>
      </x:c>
      <x:c r="F379" s="24" t="str">
        <x:v>Red codling</x:v>
      </x:c>
      <x:c r="G379" s="24" t="str">
        <x:v>Medium demersals (30 - 89 cm)</x:v>
      </x:c>
      <x:c r="H379" s="24" t="str">
        <x:v>Cod-likes</x:v>
      </x:c>
      <x:c r="I379" s="31" t="n">
        <x:v>0.9875681303</x:v>
      </x:c>
      <x:c r="J379" s="31" t="n">
        <x:v>0.9875681303</x:v>
      </x:c>
      <x:c r="K379" s="31" t="n">
        <x:v>0</x:v>
      </x:c>
      <x:c r="L379" s="31" t="n">
        <x:v>0.9875681303</x:v>
      </x:c>
      <x:c r="M379" s="31" t="n">
        <x:v>0</x:v>
      </x:c>
      <x:c r="N379" s="24" t="str">
        <x:v>pseudophycis bachus</x:v>
      </x:c>
      <x:c r="O379" s="32" t="n">
        <x:v>4.5</x:v>
      </x:c>
      <x:c r="P379" s="24" t="str">
        <x:v>exact_2020_supplement</x:v>
      </x:c>
      <x:c r="Q379" s="32" t="str">
        <x:v>2020 supplement MeanTL</x:v>
      </x:c>
      <x:c r="R379" s="24" t="str">
        <x:v>high</x:v>
      </x:c>
      <x:c r="S379" s="24" t="str">
        <x:v>Pseudophycis bachus</x:v>
      </x:c>
      <x:c r="T379" s="32" t="n">
        <x:f>IF(O379="","",(1/'Metadata'!$B$5)^(O379-1))</x:f>
        <x:v>3162.2776601683795</x:v>
      </x:c>
      <x:c r="U379" s="31" t="n">
        <x:f>IF(T379="","",I379*T379)</x:f>
        <x:v>3122.964636341945</x:v>
      </x:c>
    </x:row>
    <x:row r="380" ht="18" customHeight="1">
      <x:c r="A380" s="24" t="str">
        <x:v>EEZ_036</x:v>
      </x:c>
      <x:c r="B380" s="24" t="str">
        <x:v>Australia</x:v>
      </x:c>
      <x:c r="C380" s="24" t="str">
        <x:v>EEZ</x:v>
      </x:c>
      <x:c r="D380" s="30" t="n">
        <x:v>2019</x:v>
      </x:c>
      <x:c r="E380" s="24" t="str">
        <x:v>Aphareus rutilans</x:v>
      </x:c>
      <x:c r="F380" s="24" t="str">
        <x:v>Rusty jobfish</x:v>
      </x:c>
      <x:c r="G380" s="24" t="str">
        <x:v>Medium reef assoc. fish (30 - 89 cm)</x:v>
      </x:c>
      <x:c r="H380" s="24" t="str">
        <x:v>Perch-likes</x:v>
      </x:c>
      <x:c r="I380" s="31" t="n">
        <x:v>0.9784358522</x:v>
      </x:c>
      <x:c r="J380" s="31" t="n">
        <x:v>0.9784358522</x:v>
      </x:c>
      <x:c r="K380" s="31" t="n">
        <x:v>0</x:v>
      </x:c>
      <x:c r="L380" s="31" t="n">
        <x:v>0.9744024993</x:v>
      </x:c>
      <x:c r="M380" s="31" t="n">
        <x:v>0.0040333529</x:v>
      </x:c>
      <x:c r="N380" s="24" t="str">
        <x:v>aphareus rutilans</x:v>
      </x:c>
      <x:c r="O380" s="32" t="n">
        <x:v>4.11</x:v>
      </x:c>
      <x:c r="P380" s="24" t="str">
        <x:v>exact_2020_supplement</x:v>
      </x:c>
      <x:c r="Q380" s="32" t="str">
        <x:v>2020 supplement MeanTL</x:v>
      </x:c>
      <x:c r="R380" s="24" t="str">
        <x:v>high</x:v>
      </x:c>
      <x:c r="S380" s="24" t="str">
        <x:v>Aphareus rutilans</x:v>
      </x:c>
      <x:c r="T380" s="32" t="n">
        <x:f>IF(O380="","",(1/'Metadata'!$B$5)^(O380-1))</x:f>
        <x:v>1288.249551693135</x:v>
      </x:c>
      <x:c r="U380" s="31" t="n">
        <x:f>IF(T380="","",I380*T380)</x:f>
        <x:v>1260.4695479571403</x:v>
      </x:c>
    </x:row>
    <x:row r="381" ht="18" customHeight="1">
      <x:c r="A381" s="24" t="str">
        <x:v>EEZ_036</x:v>
      </x:c>
      <x:c r="B381" s="24" t="str">
        <x:v>Australia</x:v>
      </x:c>
      <x:c r="C381" s="24" t="str">
        <x:v>EEZ</x:v>
      </x:c>
      <x:c r="D381" s="30" t="n">
        <x:v>2019</x:v>
      </x:c>
      <x:c r="E381" s="24" t="str">
        <x:v>Carcharhinus macloti</x:v>
      </x:c>
      <x:c r="F381" s="24" t="str">
        <x:v>Hardnose shark</x:v>
      </x:c>
      <x:c r="G381" s="24" t="str">
        <x:v>Small to medium sharks (&lt;90 cm)</x:v>
      </x:c>
      <x:c r="H381" s="24" t="str">
        <x:v>Sharks &amp; rays</x:v>
      </x:c>
      <x:c r="I381" s="31" t="n">
        <x:v>0.9672265117000001</x:v>
      </x:c>
      <x:c r="J381" s="31" t="n">
        <x:v>0.9672265117000001</x:v>
      </x:c>
      <x:c r="K381" s="31" t="n">
        <x:v>0</x:v>
      </x:c>
      <x:c r="L381" s="31" t="n">
        <x:v>0.9672265117000001</x:v>
      </x:c>
      <x:c r="M381" s="31" t="n">
        <x:v>0</x:v>
      </x:c>
      <x:c r="N381" s="24" t="str">
        <x:v>carcharhinus macloti</x:v>
      </x:c>
      <x:c r="O381" s="32" t="n">
        <x:v>4.22</x:v>
      </x:c>
      <x:c r="P381" s="24" t="str">
        <x:v>exact_2020_supplement</x:v>
      </x:c>
      <x:c r="Q381" s="32" t="str">
        <x:v>2020 supplement MeanTL</x:v>
      </x:c>
      <x:c r="R381" s="24" t="str">
        <x:v>high</x:v>
      </x:c>
      <x:c r="S381" s="24" t="str">
        <x:v>Carcharhinus macloti</x:v>
      </x:c>
      <x:c r="T381" s="32" t="n">
        <x:f>IF(O381="","",(1/'Metadata'!$B$5)^(O381-1))</x:f>
        <x:v>1659.5869074375596</x:v>
      </x:c>
      <x:c r="U381" s="31" t="n">
        <x:f>IF(T381="","",I381*T381)</x:f>
        <x:v>1605.1964553438218</x:v>
      </x:c>
    </x:row>
    <x:row r="382" ht="18" customHeight="1">
      <x:c r="A382" s="24" t="str">
        <x:v>EEZ_036</x:v>
      </x:c>
      <x:c r="B382" s="24" t="str">
        <x:v>Australia</x:v>
      </x:c>
      <x:c r="C382" s="24" t="str">
        <x:v>EEZ</x:v>
      </x:c>
      <x:c r="D382" s="30" t="n">
        <x:v>2019</x:v>
      </x:c>
      <x:c r="E382" s="24" t="str">
        <x:v>Chromileptes altivelis</x:v>
      </x:c>
      <x:c r="F382" s="24" t="str">
        <x:v>Humpback grouper</x:v>
      </x:c>
      <x:c r="G382" s="24" t="str">
        <x:v>Medium reef assoc. fish (30 - 89 cm)</x:v>
      </x:c>
      <x:c r="H382" s="24" t="str">
        <x:v>Perch-likes</x:v>
      </x:c>
      <x:c r="I382" s="31" t="n">
        <x:v>0.9627233329</x:v>
      </x:c>
      <x:c r="J382" s="31" t="n">
        <x:v>0.9627233329</x:v>
      </x:c>
      <x:c r="K382" s="31" t="n">
        <x:v>0</x:v>
      </x:c>
      <x:c r="L382" s="31" t="n">
        <x:v>0.1125560797</x:v>
      </x:c>
      <x:c r="M382" s="31" t="n">
        <x:v>0.8501672532</x:v>
      </x:c>
      <x:c r="N382" s="24" t="str">
        <x:v>chromileptes altivelis</x:v>
      </x:c>
      <x:c r="O382" s="32" t="n">
        <x:v>4.5</x:v>
      </x:c>
      <x:c r="P382" s="24" t="str">
        <x:v>exact_sea_around_us</x:v>
      </x:c>
      <x:c r="Q382" s="32" t="str">
        <x:v>Sea Around Us exploited organisms</x:v>
      </x:c>
      <x:c r="R382" s="24" t="str">
        <x:v>high</x:v>
      </x:c>
      <x:c r="S382" s="24" t="str">
        <x:v>Chromileptes altivelis</x:v>
      </x:c>
      <x:c r="T382" s="32" t="n">
        <x:f>IF(O382="","",(1/'Metadata'!$B$5)^(O382-1))</x:f>
        <x:v>3162.2776601683795</x:v>
      </x:c>
      <x:c r="U382" s="31" t="n">
        <x:f>IF(T382="","",I382*T382)</x:f>
        <x:v>3044.398488552516</x:v>
      </x:c>
    </x:row>
    <x:row r="383" ht="18" customHeight="1">
      <x:c r="A383" s="24" t="str">
        <x:v>EEZ_036</x:v>
      </x:c>
      <x:c r="B383" s="24" t="str">
        <x:v>Australia</x:v>
      </x:c>
      <x:c r="C383" s="24" t="str">
        <x:v>EEZ</x:v>
      </x:c>
      <x:c r="D383" s="30" t="n">
        <x:v>2019</x:v>
      </x:c>
      <x:c r="E383" s="24" t="str">
        <x:v>Aristaeomorpha foliacea</x:v>
      </x:c>
      <x:c r="F383" s="24" t="str">
        <x:v>Giant red shrimp</x:v>
      </x:c>
      <x:c r="G383" s="24" t="str">
        <x:v>Shrimps</x:v>
      </x:c>
      <x:c r="H383" s="24" t="str">
        <x:v>Crustaceans</x:v>
      </x:c>
      <x:c r="I383" s="31" t="n">
        <x:v>0.9469755459</x:v>
      </x:c>
      <x:c r="J383" s="31" t="n">
        <x:v>0.9469755459</x:v>
      </x:c>
      <x:c r="K383" s="31" t="n">
        <x:v>0</x:v>
      </x:c>
      <x:c r="L383" s="31" t="n">
        <x:v>0.9469755459</x:v>
      </x:c>
      <x:c r="M383" s="31" t="n">
        <x:v>0</x:v>
      </x:c>
      <x:c r="N383" s="24" t="str">
        <x:v>aristaeomorpha foliacea</x:v>
      </x:c>
      <x:c r="O383" s="32" t="n">
        <x:v>3.71</x:v>
      </x:c>
      <x:c r="P383" s="24" t="str">
        <x:v>exact_2020_supplement</x:v>
      </x:c>
      <x:c r="Q383" s="32" t="str">
        <x:v>2020 supplement MeanTL</x:v>
      </x:c>
      <x:c r="R383" s="24" t="str">
        <x:v>high</x:v>
      </x:c>
      <x:c r="S383" s="24" t="str">
        <x:v>Aristaeomorpha foliacea</x:v>
      </x:c>
      <x:c r="T383" s="32" t="n">
        <x:f>IF(O383="","",(1/'Metadata'!$B$5)^(O383-1))</x:f>
        <x:v>512.8613839913648</x:v>
      </x:c>
      <x:c r="U383" s="31" t="n">
        <x:f>IF(T383="","",I383*T383)</x:f>
        <x:v>485.66718907625227</x:v>
      </x:c>
    </x:row>
    <x:row r="384" ht="18" customHeight="1">
      <x:c r="A384" s="24" t="str">
        <x:v>EEZ_036</x:v>
      </x:c>
      <x:c r="B384" s="24" t="str">
        <x:v>Australia</x:v>
      </x:c>
      <x:c r="C384" s="24" t="str">
        <x:v>EEZ</x:v>
      </x:c>
      <x:c r="D384" s="30" t="n">
        <x:v>2019</x:v>
      </x:c>
      <x:c r="E384" s="24" t="str">
        <x:v>Aristeidae</x:v>
      </x:c>
      <x:c r="F384" s="24" t="str">
        <x:v>Aristeid shrimps</x:v>
      </x:c>
      <x:c r="G384" s="24" t="str">
        <x:v>Shrimps</x:v>
      </x:c>
      <x:c r="H384" s="24" t="str">
        <x:v>Crustaceans</x:v>
      </x:c>
      <x:c r="I384" s="31" t="n">
        <x:v>0.9458864569000001</x:v>
      </x:c>
      <x:c r="J384" s="31" t="n">
        <x:v>0.9458864569000001</x:v>
      </x:c>
      <x:c r="K384" s="31" t="n">
        <x:v>0</x:v>
      </x:c>
      <x:c r="L384" s="31" t="n">
        <x:v>0.9458864569000001</x:v>
      </x:c>
      <x:c r="M384" s="31" t="n">
        <x:v>0</x:v>
      </x:c>
      <x:c r="N384" s="24" t="str">
        <x:v>aristeidae</x:v>
      </x:c>
      <x:c r="O384" s="32" t="n">
        <x:v>3.47</x:v>
      </x:c>
      <x:c r="P384" s="24" t="str">
        <x:v>exact_sea_around_us</x:v>
      </x:c>
      <x:c r="Q384" s="32" t="str">
        <x:v>Sea Around Us exploited organisms</x:v>
      </x:c>
      <x:c r="R384" s="24" t="str">
        <x:v>high</x:v>
      </x:c>
      <x:c r="S384" s="24" t="str">
        <x:v>Aristeidae</x:v>
      </x:c>
      <x:c r="T384" s="32" t="n">
        <x:f>IF(O384="","",(1/'Metadata'!$B$5)^(O384-1))</x:f>
        <x:v>295.1209226666387</x:v>
      </x:c>
      <x:c r="U384" s="31" t="n">
        <x:f>IF(T384="","",I384*T384)</x:f>
        <x:v>279.1508838982058</x:v>
      </x:c>
    </x:row>
    <x:row r="385" ht="18" customHeight="1">
      <x:c r="A385" s="24" t="str">
        <x:v>EEZ_036</x:v>
      </x:c>
      <x:c r="B385" s="24" t="str">
        <x:v>Australia</x:v>
      </x:c>
      <x:c r="C385" s="24" t="str">
        <x:v>EEZ</x:v>
      </x:c>
      <x:c r="D385" s="30" t="n">
        <x:v>2019</x:v>
      </x:c>
      <x:c r="E385" s="24" t="str">
        <x:v>Myxus elongatus</x:v>
      </x:c>
      <x:c r="F385" s="24" t="str">
        <x:v>Sand grey mullet</x:v>
      </x:c>
      <x:c r="G385" s="24" t="str">
        <x:v>Small pelagics (&lt;30 cm)</x:v>
      </x:c>
      <x:c r="H385" s="24" t="str">
        <x:v>Other fishes &amp; inverts</x:v>
      </x:c>
      <x:c r="I385" s="31" t="n">
        <x:v>0.929877909</x:v>
      </x:c>
      <x:c r="J385" s="31" t="n">
        <x:v>0.929877909</x:v>
      </x:c>
      <x:c r="K385" s="31" t="n">
        <x:v>0</x:v>
      </x:c>
      <x:c r="L385" s="31" t="n">
        <x:v>0.929877909</x:v>
      </x:c>
      <x:c r="M385" s="31" t="n">
        <x:v>0</x:v>
      </x:c>
      <x:c r="N385" s="24" t="str">
        <x:v>myxus elongatus</x:v>
      </x:c>
      <x:c r="O385" s="32" t="n">
        <x:v>3.08</x:v>
      </x:c>
      <x:c r="P385" s="24" t="str">
        <x:v>exact_2020_supplement</x:v>
      </x:c>
      <x:c r="Q385" s="32" t="str">
        <x:v>2020 supplement MeanTL</x:v>
      </x:c>
      <x:c r="R385" s="24" t="str">
        <x:v>high</x:v>
      </x:c>
      <x:c r="S385" s="24" t="str">
        <x:v>Myxus elongatus</x:v>
      </x:c>
      <x:c r="T385" s="32" t="n">
        <x:f>IF(O385="","",(1/'Metadata'!$B$5)^(O385-1))</x:f>
        <x:v>120.22644346174131</x:v>
      </x:c>
      <x:c r="U385" s="31" t="n">
        <x:f>IF(T385="","",I385*T385)</x:f>
        <x:v>111.79591385271073</x:v>
      </x:c>
    </x:row>
    <x:row r="386" ht="18" customHeight="1">
      <x:c r="A386" s="24" t="str">
        <x:v>EEZ_036</x:v>
      </x:c>
      <x:c r="B386" s="24" t="str">
        <x:v>Australia</x:v>
      </x:c>
      <x:c r="C386" s="24" t="str">
        <x:v>EEZ</x:v>
      </x:c>
      <x:c r="D386" s="30" t="n">
        <x:v>2019</x:v>
      </x:c>
      <x:c r="E386" s="24" t="str">
        <x:v>Catostylus mosaicus</x:v>
      </x:c>
      <x:c r="F386" s="24" t="str">
        <x:v>Mosaic sea jelly</x:v>
      </x:c>
      <x:c r="G386" s="24" t="str">
        <x:v>Jellyfish</x:v>
      </x:c>
      <x:c r="H386" s="24" t="str">
        <x:v>Other fishes &amp; inverts</x:v>
      </x:c>
      <x:c r="I386" s="31" t="n">
        <x:v>0.92</x:v>
      </x:c>
      <x:c r="J386" s="31" t="n">
        <x:v>0.92</x:v>
      </x:c>
      <x:c r="K386" s="31" t="n">
        <x:v>0</x:v>
      </x:c>
      <x:c r="L386" s="31" t="n">
        <x:v>0.92</x:v>
      </x:c>
      <x:c r="M386" s="31" t="n">
        <x:v>0</x:v>
      </x:c>
      <x:c r="N386" s="24" t="str">
        <x:v>catostylus mosaicus</x:v>
      </x:c>
      <x:c r="O386" s="32" t="n">
        <x:v>3.46</x:v>
      </x:c>
      <x:c r="P386" s="24" t="str">
        <x:v>exact_sea_around_us</x:v>
      </x:c>
      <x:c r="Q386" s="32" t="str">
        <x:v>Sea Around Us exploited organisms</x:v>
      </x:c>
      <x:c r="R386" s="24" t="str">
        <x:v>high</x:v>
      </x:c>
      <x:c r="S386" s="24" t="str">
        <x:v>Catostylus mosaicus</x:v>
      </x:c>
      <x:c r="T386" s="32" t="n">
        <x:f>IF(O386="","",(1/'Metadata'!$B$5)^(O386-1))</x:f>
        <x:v>288.40315031266056</x:v>
      </x:c>
      <x:c r="U386" s="31" t="n">
        <x:f>IF(T386="","",I386*T386)</x:f>
        <x:v>265.3308982876477</x:v>
      </x:c>
    </x:row>
    <x:row r="387" ht="18" customHeight="1">
      <x:c r="A387" s="24" t="str">
        <x:v>EEZ_036</x:v>
      </x:c>
      <x:c r="B387" s="24" t="str">
        <x:v>Australia</x:v>
      </x:c>
      <x:c r="C387" s="24" t="str">
        <x:v>EEZ</x:v>
      </x:c>
      <x:c r="D387" s="30" t="n">
        <x:v>2019</x:v>
      </x:c>
      <x:c r="E387" s="24" t="str">
        <x:v>Scatophagus</x:v>
      </x:c>
      <x:c r="F387" s="24" t="str">
        <x:v>Scats</x:v>
      </x:c>
      <x:c r="G387" s="24" t="str">
        <x:v>Medium demersals (30 - 89 cm)</x:v>
      </x:c>
      <x:c r="H387" s="24" t="str">
        <x:v>Perch-likes</x:v>
      </x:c>
      <x:c r="I387" s="31" t="n">
        <x:v>0.8952370203000001</x:v>
      </x:c>
      <x:c r="J387" s="31" t="n">
        <x:v>0.8952370203000001</x:v>
      </x:c>
      <x:c r="K387" s="31" t="n">
        <x:v>0</x:v>
      </x:c>
      <x:c r="L387" s="31" t="n">
        <x:v>0.8952370203000001</x:v>
      </x:c>
      <x:c r="M387" s="31" t="n">
        <x:v>0</x:v>
      </x:c>
      <x:c r="N387" s="24" t="str">
        <x:v>scatophagus</x:v>
      </x:c>
      <x:c r="O387" s="32" t="n">
        <x:v>2.75</x:v>
      </x:c>
      <x:c r="P387" s="24" t="str">
        <x:v>exact_sea_around_us</x:v>
      </x:c>
      <x:c r="Q387" s="32" t="str">
        <x:v>Sea Around Us exploited organisms</x:v>
      </x:c>
      <x:c r="R387" s="24" t="str">
        <x:v>high</x:v>
      </x:c>
      <x:c r="S387" s="24" t="str">
        <x:v>Scatophagus</x:v>
      </x:c>
      <x:c r="T387" s="32" t="n">
        <x:f>IF(O387="","",(1/'Metadata'!$B$5)^(O387-1))</x:f>
        <x:v>56.23413251903491</x:v>
      </x:c>
      <x:c r="U387" s="31" t="n">
        <x:f>IF(T387="","",I387*T387)</x:f>
        <x:v>50.34287723549615</x:v>
      </x:c>
    </x:row>
    <x:row r="388" ht="18" customHeight="1">
      <x:c r="A388" s="24" t="str">
        <x:v>EEZ_036</x:v>
      </x:c>
      <x:c r="B388" s="24" t="str">
        <x:v>Australia</x:v>
      </x:c>
      <x:c r="C388" s="24" t="str">
        <x:v>EEZ</x:v>
      </x:c>
      <x:c r="D388" s="30" t="n">
        <x:v>2019</x:v>
      </x:c>
      <x:c r="E388" s="24" t="str">
        <x:v>Brama brama</x:v>
      </x:c>
      <x:c r="F388" s="24" t="str">
        <x:v>Atlantic pomfret</x:v>
      </x:c>
      <x:c r="G388" s="24" t="str">
        <x:v>Medium bathypelagics (30 - 89 cm)</x:v>
      </x:c>
      <x:c r="H388" s="24" t="str">
        <x:v>Perch-likes</x:v>
      </x:c>
      <x:c r="I388" s="31" t="n">
        <x:v>0.8868343904</x:v>
      </x:c>
      <x:c r="J388" s="31" t="n">
        <x:v>0.8868343904</x:v>
      </x:c>
      <x:c r="K388" s="31" t="n">
        <x:v>0</x:v>
      </x:c>
      <x:c r="L388" s="31" t="n">
        <x:v>0.8868343904</x:v>
      </x:c>
      <x:c r="M388" s="31" t="n">
        <x:v>0</x:v>
      </x:c>
      <x:c r="N388" s="24" t="str">
        <x:v>brama brama</x:v>
      </x:c>
      <x:c r="O388" s="32" t="n">
        <x:v>4.08</x:v>
      </x:c>
      <x:c r="P388" s="24" t="str">
        <x:v>exact_2020_supplement</x:v>
      </x:c>
      <x:c r="Q388" s="32" t="str">
        <x:v>2020 supplement MeanTL</x:v>
      </x:c>
      <x:c r="R388" s="24" t="str">
        <x:v>high</x:v>
      </x:c>
      <x:c r="S388" s="24" t="str">
        <x:v>Brama brama</x:v>
      </x:c>
      <x:c r="T388" s="32" t="n">
        <x:f>IF(O388="","",(1/'Metadata'!$B$5)^(O388-1))</x:f>
        <x:v>1202.2644346174131</x:v>
      </x:c>
      <x:c r="U388" s="31" t="n">
        <x:f>IF(T388="","",I388*T388)</x:f>
        <x:v>1066.2094469735343</x:v>
      </x:c>
    </x:row>
    <x:row r="389" ht="18" customHeight="1">
      <x:c r="A389" s="24" t="str">
        <x:v>EEZ_036</x:v>
      </x:c>
      <x:c r="B389" s="24" t="str">
        <x:v>Australia</x:v>
      </x:c>
      <x:c r="C389" s="24" t="str">
        <x:v>EEZ</x:v>
      </x:c>
      <x:c r="D389" s="30" t="n">
        <x:v>2019</x:v>
      </x:c>
      <x:c r="E389" s="24" t="str">
        <x:v>Ruvettus pretiosus</x:v>
      </x:c>
      <x:c r="F389" s="24" t="str">
        <x:v>Oilfish</x:v>
      </x:c>
      <x:c r="G389" s="24" t="str">
        <x:v>Large benthopelagics (&gt;=90 cm)</x:v>
      </x:c>
      <x:c r="H389" s="24" t="str">
        <x:v>Perch-likes</x:v>
      </x:c>
      <x:c r="I389" s="31" t="n">
        <x:v>0.833309573</x:v>
      </x:c>
      <x:c r="J389" s="31" t="n">
        <x:v>0.833309573</x:v>
      </x:c>
      <x:c r="K389" s="31" t="n">
        <x:v>0</x:v>
      </x:c>
      <x:c r="L389" s="31" t="n">
        <x:v>0.1967888151</x:v>
      </x:c>
      <x:c r="M389" s="31" t="n">
        <x:v>0.6365207579</x:v>
      </x:c>
      <x:c r="N389" s="24" t="str">
        <x:v>ruvettus pretiosus</x:v>
      </x:c>
      <x:c r="O389" s="32" t="n">
        <x:v>4.18</x:v>
      </x:c>
      <x:c r="P389" s="24" t="str">
        <x:v>exact_2020_supplement</x:v>
      </x:c>
      <x:c r="Q389" s="32" t="str">
        <x:v>2020 supplement MeanTL</x:v>
      </x:c>
      <x:c r="R389" s="24" t="str">
        <x:v>high</x:v>
      </x:c>
      <x:c r="S389" s="24" t="str">
        <x:v>Ruvettus pretiosus</x:v>
      </x:c>
      <x:c r="T389" s="32" t="n">
        <x:f>IF(O389="","",(1/'Metadata'!$B$5)^(O389-1))</x:f>
        <x:v>1513.5612484362073</x:v>
      </x:c>
      <x:c r="U389" s="31" t="n">
        <x:f>IF(T389="","",I389*T389)</x:f>
        <x:v>1261.2650776437229</x:v>
      </x:c>
    </x:row>
    <x:row r="390" ht="18" customHeight="1">
      <x:c r="A390" s="24" t="str">
        <x:v>EEZ_036</x:v>
      </x:c>
      <x:c r="B390" s="24" t="str">
        <x:v>Australia</x:v>
      </x:c>
      <x:c r="C390" s="24" t="str">
        <x:v>EEZ</x:v>
      </x:c>
      <x:c r="D390" s="30" t="n">
        <x:v>2019</x:v>
      </x:c>
      <x:c r="E390" s="24" t="str">
        <x:v>Caranx lugubris</x:v>
      </x:c>
      <x:c r="F390" s="24" t="str">
        <x:v>Black jack</x:v>
      </x:c>
      <x:c r="G390" s="24" t="str">
        <x:v>Large benthopelagics (&gt;=90 cm)</x:v>
      </x:c>
      <x:c r="H390" s="24" t="str">
        <x:v>Perch-likes</x:v>
      </x:c>
      <x:c r="I390" s="31" t="n">
        <x:v>0.7841482258</x:v>
      </x:c>
      <x:c r="J390" s="31" t="n">
        <x:v>0.7841482258</x:v>
      </x:c>
      <x:c r="K390" s="31" t="n">
        <x:v>0</x:v>
      </x:c>
      <x:c r="L390" s="31" t="n">
        <x:v>0.7756482092</x:v>
      </x:c>
      <x:c r="M390" s="31" t="n">
        <x:v>0.0085000166</x:v>
      </x:c>
      <x:c r="N390" s="24" t="str">
        <x:v>caranx lugubris</x:v>
      </x:c>
      <x:c r="O390" s="32" t="n">
        <x:v>4.5</x:v>
      </x:c>
      <x:c r="P390" s="24" t="str">
        <x:v>exact_2020_supplement</x:v>
      </x:c>
      <x:c r="Q390" s="32" t="str">
        <x:v>2020 supplement MeanTL</x:v>
      </x:c>
      <x:c r="R390" s="24" t="str">
        <x:v>high</x:v>
      </x:c>
      <x:c r="S390" s="24" t="str">
        <x:v>Caranx lugubris</x:v>
      </x:c>
      <x:c r="T390" s="32" t="n">
        <x:f>IF(O390="","",(1/'Metadata'!$B$5)^(O390-1))</x:f>
        <x:v>3162.2776601683795</x:v>
      </x:c>
      <x:c r="U390" s="31" t="n">
        <x:f>IF(T390="","",I390*T390)</x:f>
        <x:v>2479.69441670801</x:v>
      </x:c>
    </x:row>
    <x:row r="391" ht="18" customHeight="1">
      <x:c r="A391" s="24" t="str">
        <x:v>EEZ_036</x:v>
      </x:c>
      <x:c r="B391" s="24" t="str">
        <x:v>Australia</x:v>
      </x:c>
      <x:c r="C391" s="24" t="str">
        <x:v>EEZ</x:v>
      </x:c>
      <x:c r="D391" s="30" t="n">
        <x:v>2019</x:v>
      </x:c>
      <x:c r="E391" s="24" t="str">
        <x:v>Muraenesocidae</x:v>
      </x:c>
      <x:c r="F391" s="24" t="str">
        <x:v>Pike congers</x:v>
      </x:c>
      <x:c r="G391" s="24" t="str">
        <x:v>Large demersals (&gt;=90 cm)</x:v>
      </x:c>
      <x:c r="H391" s="24" t="str">
        <x:v>Other fishes &amp; inverts</x:v>
      </x:c>
      <x:c r="I391" s="31" t="n">
        <x:v>0.7709135921</x:v>
      </x:c>
      <x:c r="J391" s="31" t="n">
        <x:v>0.7709135921</x:v>
      </x:c>
      <x:c r="K391" s="31" t="n">
        <x:v>0</x:v>
      </x:c>
      <x:c r="L391" s="31" t="n">
        <x:v>0.7709135921</x:v>
      </x:c>
      <x:c r="M391" s="31" t="n">
        <x:v>0</x:v>
      </x:c>
      <x:c r="N391" s="24" t="str">
        <x:v>muraenesocidae</x:v>
      </x:c>
      <x:c r="O391" s="32" t="n">
        <x:v>3.9</x:v>
      </x:c>
      <x:c r="P391" s="24" t="str">
        <x:v>exact_sea_around_us</x:v>
      </x:c>
      <x:c r="Q391" s="32" t="str">
        <x:v>Sea Around Us exploited organisms</x:v>
      </x:c>
      <x:c r="R391" s="24" t="str">
        <x:v>high</x:v>
      </x:c>
      <x:c r="S391" s="24" t="str">
        <x:v>Muraenesocidae</x:v>
      </x:c>
      <x:c r="T391" s="32" t="n">
        <x:f>IF(O391="","",(1/'Metadata'!$B$5)^(O391-1))</x:f>
        <x:v>794.3282347242813</x:v>
      </x:c>
      <x:c r="U391" s="31" t="n">
        <x:f>IF(T391="","",I391*T391)</x:f>
        <x:v>612.3584327377476</x:v>
      </x:c>
    </x:row>
    <x:row r="392" ht="18" customHeight="1">
      <x:c r="A392" s="24" t="str">
        <x:v>EEZ_036</x:v>
      </x:c>
      <x:c r="B392" s="24" t="str">
        <x:v>Australia</x:v>
      </x:c>
      <x:c r="C392" s="24" t="str">
        <x:v>EEZ</x:v>
      </x:c>
      <x:c r="D392" s="30" t="n">
        <x:v>2019</x:v>
      </x:c>
      <x:c r="E392" s="24" t="str">
        <x:v>Otolithes ruber</x:v>
      </x:c>
      <x:c r="F392" s="24" t="str">
        <x:v>Tigertooth croaker</x:v>
      </x:c>
      <x:c r="G392" s="24" t="str">
        <x:v>Medium benthopelagics (30 - 89 cm)</x:v>
      </x:c>
      <x:c r="H392" s="24" t="str">
        <x:v>Perch-likes</x:v>
      </x:c>
      <x:c r="I392" s="31" t="n">
        <x:v>0.7677587638</x:v>
      </x:c>
      <x:c r="J392" s="31" t="n">
        <x:v>0.7677587638</x:v>
      </x:c>
      <x:c r="K392" s="31" t="n">
        <x:v>0</x:v>
      </x:c>
      <x:c r="L392" s="31" t="n">
        <x:v>0.7677587638</x:v>
      </x:c>
      <x:c r="M392" s="31" t="n">
        <x:v>0</x:v>
      </x:c>
      <x:c r="N392" s="24" t="str">
        <x:v>otolithes ruber</x:v>
      </x:c>
      <x:c r="O392" s="32" t="n">
        <x:v>3.6</x:v>
      </x:c>
      <x:c r="P392" s="24" t="str">
        <x:v>exact_2020_supplement</x:v>
      </x:c>
      <x:c r="Q392" s="32" t="str">
        <x:v>2020 supplement MeanTL</x:v>
      </x:c>
      <x:c r="R392" s="24" t="str">
        <x:v>high</x:v>
      </x:c>
      <x:c r="S392" s="24" t="str">
        <x:v>Otolithes ruber</x:v>
      </x:c>
      <x:c r="T392" s="32" t="n">
        <x:f>IF(O392="","",(1/'Metadata'!$B$5)^(O392-1))</x:f>
        <x:v>398.1071705534973</x:v>
      </x:c>
      <x:c r="U392" s="31" t="n">
        <x:f>IF(T392="","",I392*T392)</x:f>
        <x:v>305.65026912406887</x:v>
      </x:c>
    </x:row>
    <x:row r="393" ht="18" customHeight="1">
      <x:c r="A393" s="24" t="str">
        <x:v>EEZ_036</x:v>
      </x:c>
      <x:c r="B393" s="24" t="str">
        <x:v>Australia</x:v>
      </x:c>
      <x:c r="C393" s="24" t="str">
        <x:v>EEZ</x:v>
      </x:c>
      <x:c r="D393" s="30" t="n">
        <x:v>2019</x:v>
      </x:c>
      <x:c r="E393" s="24" t="str">
        <x:v>Plectorhinchus gibbosus</x:v>
      </x:c>
      <x:c r="F393" s="24" t="str">
        <x:v>Harry hotlips</x:v>
      </x:c>
      <x:c r="G393" s="24" t="str">
        <x:v>Medium reef assoc. fish (30 - 89 cm)</x:v>
      </x:c>
      <x:c r="H393" s="24" t="str">
        <x:v>Perch-likes</x:v>
      </x:c>
      <x:c r="I393" s="31" t="n">
        <x:v>0.7434148752</x:v>
      </x:c>
      <x:c r="J393" s="31" t="n">
        <x:v>0.7434148752</x:v>
      </x:c>
      <x:c r="K393" s="31" t="n">
        <x:v>0</x:v>
      </x:c>
      <x:c r="L393" s="31" t="n">
        <x:v>0.7431544058</x:v>
      </x:c>
      <x:c r="M393" s="31" t="n">
        <x:v>0.0002604694</x:v>
      </x:c>
      <x:c r="N393" s="24" t="str">
        <x:v>plectorhinchus gibbosus</x:v>
      </x:c>
      <x:c r="O393" s="32" t="n">
        <x:v>3.57</x:v>
      </x:c>
      <x:c r="P393" s="24" t="str">
        <x:v>exact_2020_supplement</x:v>
      </x:c>
      <x:c r="Q393" s="32" t="str">
        <x:v>2020 supplement MeanTL</x:v>
      </x:c>
      <x:c r="R393" s="24" t="str">
        <x:v>high</x:v>
      </x:c>
      <x:c r="S393" s="24" t="str">
        <x:v>Plectorhinchus gibbosus</x:v>
      </x:c>
      <x:c r="T393" s="32" t="n">
        <x:f>IF(O393="","",(1/'Metadata'!$B$5)^(O393-1))</x:f>
        <x:v>371.5352290971724</x:v>
      </x:c>
      <x:c r="U393" s="31" t="n">
        <x:f>IF(T393="","",I393*T393)</x:f>
        <x:v>276.2048159716779</x:v>
      </x:c>
    </x:row>
    <x:row r="394" ht="18" customHeight="1">
      <x:c r="A394" s="24" t="str">
        <x:v>EEZ_036</x:v>
      </x:c>
      <x:c r="B394" s="24" t="str">
        <x:v>Australia</x:v>
      </x:c>
      <x:c r="C394" s="24" t="str">
        <x:v>EEZ</x:v>
      </x:c>
      <x:c r="D394" s="30" t="n">
        <x:v>2019</x:v>
      </x:c>
      <x:c r="E394" s="24" t="str">
        <x:v>Penaeus monodon</x:v>
      </x:c>
      <x:c r="F394" s="24" t="str">
        <x:v>Giant tiger prawn</x:v>
      </x:c>
      <x:c r="G394" s="24" t="str">
        <x:v>Shrimps</x:v>
      </x:c>
      <x:c r="H394" s="24" t="str">
        <x:v>Crustaceans</x:v>
      </x:c>
      <x:c r="I394" s="31" t="n">
        <x:v>0.7235051129</x:v>
      </x:c>
      <x:c r="J394" s="31" t="n">
        <x:v>0.7235051129</x:v>
      </x:c>
      <x:c r="K394" s="31" t="n">
        <x:v>0</x:v>
      </x:c>
      <x:c r="L394" s="31" t="n">
        <x:v>0.7235051129</x:v>
      </x:c>
      <x:c r="M394" s="31" t="n">
        <x:v>0</x:v>
      </x:c>
      <x:c r="N394" s="24" t="str">
        <x:v>penaeus monodon</x:v>
      </x:c>
      <x:c r="O394" s="32" t="n">
        <x:v>2.6</x:v>
      </x:c>
      <x:c r="P394" s="24" t="str">
        <x:v>exact_sea_around_us</x:v>
      </x:c>
      <x:c r="Q394" s="32" t="str">
        <x:v>Sea Around Us exploited organisms</x:v>
      </x:c>
      <x:c r="R394" s="24" t="str">
        <x:v>high</x:v>
      </x:c>
      <x:c r="S394" s="24" t="str">
        <x:v>Penaeus monodon</x:v>
      </x:c>
      <x:c r="T394" s="32" t="n">
        <x:f>IF(O394="","",(1/'Metadata'!$B$5)^(O394-1))</x:f>
        <x:v>39.810717055349734</x:v>
      </x:c>
      <x:c r="U394" s="31" t="n">
        <x:f>IF(T394="","",I394*T394)</x:f>
        <x:v>28.803257337760762</x:v>
      </x:c>
    </x:row>
    <x:row r="395" ht="18" customHeight="1">
      <x:c r="A395" s="24" t="str">
        <x:v>EEZ_036</x:v>
      </x:c>
      <x:c r="B395" s="24" t="str">
        <x:v>Australia</x:v>
      </x:c>
      <x:c r="C395" s="24" t="str">
        <x:v>EEZ</x:v>
      </x:c>
      <x:c r="D395" s="30" t="n">
        <x:v>2019</x:v>
      </x:c>
      <x:c r="E395" s="24" t="str">
        <x:v>Pristipomoides argyrogrammicus</x:v>
      </x:c>
      <x:c r="F395" s="24" t="str">
        <x:v>Ornate jobfish</x:v>
      </x:c>
      <x:c r="G395" s="24" t="str">
        <x:v>Medium demersals (30 - 89 cm)</x:v>
      </x:c>
      <x:c r="H395" s="24" t="str">
        <x:v>Perch-likes</x:v>
      </x:c>
      <x:c r="I395" s="31" t="n">
        <x:v>0.7044956043</x:v>
      </x:c>
      <x:c r="J395" s="31" t="n">
        <x:v>0.7044956043</x:v>
      </x:c>
      <x:c r="K395" s="31" t="n">
        <x:v>0</x:v>
      </x:c>
      <x:c r="L395" s="31" t="n">
        <x:v>0.7044956043</x:v>
      </x:c>
      <x:c r="M395" s="31" t="n">
        <x:v>0</x:v>
      </x:c>
      <x:c r="N395" s="24" t="str">
        <x:v>pristipomoides argyrogrammicus</x:v>
      </x:c>
      <x:c r="O395" s="32" t="n">
        <x:v>4.18</x:v>
      </x:c>
      <x:c r="P395" s="24" t="str">
        <x:v>exact_2020_supplement</x:v>
      </x:c>
      <x:c r="Q395" s="32" t="str">
        <x:v>2020 supplement MeanTL</x:v>
      </x:c>
      <x:c r="R395" s="24" t="str">
        <x:v>high</x:v>
      </x:c>
      <x:c r="S395" s="24" t="str">
        <x:v>Pristipomoides argyrogrammicus</x:v>
      </x:c>
      <x:c r="T395" s="32" t="n">
        <x:f>IF(O395="","",(1/'Metadata'!$B$5)^(O395-1))</x:f>
        <x:v>1513.5612484362073</x:v>
      </x:c>
      <x:c r="U395" s="31" t="n">
        <x:f>IF(T395="","",I395*T395)</x:f>
        <x:v>1066.2972463621284</x:v>
      </x:c>
    </x:row>
    <x:row r="396" ht="18" customHeight="1">
      <x:c r="A396" s="24" t="str">
        <x:v>EEZ_036</x:v>
      </x:c>
      <x:c r="B396" s="24" t="str">
        <x:v>Australia</x:v>
      </x:c>
      <x:c r="C396" s="24" t="str">
        <x:v>EEZ</x:v>
      </x:c>
      <x:c r="D396" s="30" t="n">
        <x:v>2019</x:v>
      </x:c>
      <x:c r="E396" s="24" t="str">
        <x:v>Cephalopholis</x:v>
      </x:c>
      <x:c r="F396" s="24" t="str">
        <x:v>Hinds</x:v>
      </x:c>
      <x:c r="G396" s="24" t="str">
        <x:v>Medium reef assoc. fish (30 - 89 cm)</x:v>
      </x:c>
      <x:c r="H396" s="24" t="str">
        <x:v>Perch-likes</x:v>
      </x:c>
      <x:c r="I396" s="31" t="n">
        <x:v>0.6901874427</x:v>
      </x:c>
      <x:c r="J396" s="31" t="n">
        <x:v>0.6901874427</x:v>
      </x:c>
      <x:c r="K396" s="31" t="n">
        <x:v>0</x:v>
      </x:c>
      <x:c r="L396" s="31" t="n">
        <x:v>0.6859958096000001</x:v>
      </x:c>
      <x:c r="M396" s="31" t="n">
        <x:v>0.0041916331</x:v>
      </x:c>
      <x:c r="N396" s="24" t="str">
        <x:v>cephalopholis</x:v>
      </x:c>
      <x:c r="O396" s="32" t="n">
        <x:v>4.13</x:v>
      </x:c>
      <x:c r="P396" s="24" t="str">
        <x:v>exact_sea_around_us</x:v>
      </x:c>
      <x:c r="Q396" s="32" t="str">
        <x:v>Sea Around Us exploited organisms</x:v>
      </x:c>
      <x:c r="R396" s="24" t="str">
        <x:v>high</x:v>
      </x:c>
      <x:c r="S396" s="24" t="str">
        <x:v>Cephalopholis</x:v>
      </x:c>
      <x:c r="T396" s="32" t="n">
        <x:f>IF(O396="","",(1/'Metadata'!$B$5)^(O396-1))</x:f>
        <x:v>1348.9628825916532</x:v>
      </x:c>
      <x:c r="U396" s="31" t="n">
        <x:f>IF(T396="","",I396*T396)</x:f>
        <x:v>931.0372422331534</x:v>
      </x:c>
    </x:row>
    <x:row r="397" ht="18" customHeight="1">
      <x:c r="A397" s="24" t="str">
        <x:v>EEZ_036</x:v>
      </x:c>
      <x:c r="B397" s="24" t="str">
        <x:v>Australia</x:v>
      </x:c>
      <x:c r="C397" s="24" t="str">
        <x:v>EEZ</x:v>
      </x:c>
      <x:c r="D397" s="30" t="n">
        <x:v>2019</x:v>
      </x:c>
      <x:c r="E397" s="24" t="str">
        <x:v>Carcharhinus amboinensis</x:v>
      </x:c>
      <x:c r="F397" s="24" t="str">
        <x:v>Pigeye shark</x:v>
      </x:c>
      <x:c r="G397" s="24" t="str">
        <x:v>Large sharks (&gt;=90 cm)</x:v>
      </x:c>
      <x:c r="H397" s="24" t="str">
        <x:v>Sharks &amp; rays</x:v>
      </x:c>
      <x:c r="I397" s="31" t="n">
        <x:v>0.669750884</x:v>
      </x:c>
      <x:c r="J397" s="31" t="n">
        <x:v>0.669750884</x:v>
      </x:c>
      <x:c r="K397" s="31" t="n">
        <x:v>0</x:v>
      </x:c>
      <x:c r="L397" s="31" t="n">
        <x:v>0</x:v>
      </x:c>
      <x:c r="M397" s="31" t="n">
        <x:v>0.669750884</x:v>
      </x:c>
      <x:c r="N397" s="24" t="str">
        <x:v>carcharhinus amboinensis</x:v>
      </x:c>
      <x:c r="O397" s="32" t="n">
        <x:v>4.28</x:v>
      </x:c>
      <x:c r="P397" s="24" t="str">
        <x:v>exact_2020_supplement</x:v>
      </x:c>
      <x:c r="Q397" s="32" t="str">
        <x:v>2020 supplement MeanTL</x:v>
      </x:c>
      <x:c r="R397" s="24" t="str">
        <x:v>high</x:v>
      </x:c>
      <x:c r="S397" s="24" t="str">
        <x:v>Carcharhinus amboinensis</x:v>
      </x:c>
      <x:c r="T397" s="32" t="n">
        <x:f>IF(O397="","",(1/'Metadata'!$B$5)^(O397-1))</x:f>
        <x:v>1905.4607179632483</x:v>
      </x:c>
      <x:c r="U397" s="31" t="n">
        <x:f>IF(T397="","",I397*T397)</x:f>
        <x:v>1276.1840002831602</x:v>
      </x:c>
    </x:row>
    <x:row r="398" ht="18" customHeight="1">
      <x:c r="A398" s="24" t="str">
        <x:v>EEZ_036</x:v>
      </x:c>
      <x:c r="B398" s="24" t="str">
        <x:v>Australia</x:v>
      </x:c>
      <x:c r="C398" s="24" t="str">
        <x:v>EEZ</x:v>
      </x:c>
      <x:c r="D398" s="30" t="n">
        <x:v>2019</x:v>
      </x:c>
      <x:c r="E398" s="24" t="str">
        <x:v>Scomberoides commersonnianus</x:v>
      </x:c>
      <x:c r="F398" s="24" t="str">
        <x:v>Talang queenfish</x:v>
      </x:c>
      <x:c r="G398" s="24" t="str">
        <x:v>Large reef assoc. fish (&gt;=90 cm)</x:v>
      </x:c>
      <x:c r="H398" s="24" t="str">
        <x:v>Perch-likes</x:v>
      </x:c>
      <x:c r="I398" s="31" t="n">
        <x:v>0.6631506823</x:v>
      </x:c>
      <x:c r="J398" s="31" t="n">
        <x:v>0.6631506823</x:v>
      </x:c>
      <x:c r="K398" s="31" t="n">
        <x:v>0</x:v>
      </x:c>
      <x:c r="L398" s="31" t="n">
        <x:v>0.6561403799</x:v>
      </x:c>
      <x:c r="M398" s="31" t="n">
        <x:v>0.0070103024</x:v>
      </x:c>
      <x:c r="N398" s="24" t="str">
        <x:v>scomberoides commersonnianus</x:v>
      </x:c>
      <x:c r="O398" s="32" t="n">
        <x:v>4.48</x:v>
      </x:c>
      <x:c r="P398" s="24" t="str">
        <x:v>exact_2020_supplement</x:v>
      </x:c>
      <x:c r="Q398" s="32" t="str">
        <x:v>2020 supplement MeanTL</x:v>
      </x:c>
      <x:c r="R398" s="24" t="str">
        <x:v>high</x:v>
      </x:c>
      <x:c r="S398" s="24" t="str">
        <x:v>Scomberoides commersonnianus</x:v>
      </x:c>
      <x:c r="T398" s="32" t="n">
        <x:f>IF(O398="","",(1/'Metadata'!$B$5)^(O398-1))</x:f>
        <x:v>3019.951720402019</x:v>
      </x:c>
      <x:c r="U398" s="31" t="n">
        <x:f>IF(T398="","",I398*T398)</x:f>
        <x:v>2002.6830438976576</x:v>
      </x:c>
    </x:row>
    <x:row r="399" ht="18" customHeight="1">
      <x:c r="A399" s="24" t="str">
        <x:v>EEZ_036</x:v>
      </x:c>
      <x:c r="B399" s="24" t="str">
        <x:v>Australia</x:v>
      </x:c>
      <x:c r="C399" s="24" t="str">
        <x:v>EEZ</x:v>
      </x:c>
      <x:c r="D399" s="30" t="n">
        <x:v>2019</x:v>
      </x:c>
      <x:c r="E399" s="24" t="str">
        <x:v>Acanthurus triostegus</x:v>
      </x:c>
      <x:c r="F399" s="24" t="str">
        <x:v>Convict surgeonfish</x:v>
      </x:c>
      <x:c r="G399" s="24" t="str">
        <x:v>Small reef assoc. fish (&lt;30 cm)</x:v>
      </x:c>
      <x:c r="H399" s="24" t="str">
        <x:v>Perch-likes</x:v>
      </x:c>
      <x:c r="I399" s="31" t="n">
        <x:v>0.6456355136</x:v>
      </x:c>
      <x:c r="J399" s="31" t="n">
        <x:v>0.6456355136</x:v>
      </x:c>
      <x:c r="K399" s="31" t="n">
        <x:v>0</x:v>
      </x:c>
      <x:c r="L399" s="31" t="n">
        <x:v>0.6456355136</x:v>
      </x:c>
      <x:c r="M399" s="31" t="n">
        <x:v>0</x:v>
      </x:c>
      <x:c r="N399" s="24" t="str">
        <x:v>acanthurus triostegus</x:v>
      </x:c>
      <x:c r="O399" s="32" t="n">
        <x:v>2.78</x:v>
      </x:c>
      <x:c r="P399" s="24" t="str">
        <x:v>exact_2020_supplement</x:v>
      </x:c>
      <x:c r="Q399" s="32" t="str">
        <x:v>2020 supplement MeanTL</x:v>
      </x:c>
      <x:c r="R399" s="24" t="str">
        <x:v>high</x:v>
      </x:c>
      <x:c r="S399" s="24" t="str">
        <x:v>Acanthurus triostegus</x:v>
      </x:c>
      <x:c r="T399" s="32" t="n">
        <x:f>IF(O399="","",(1/'Metadata'!$B$5)^(O399-1))</x:f>
        <x:v>60.255958607435744</x:v>
      </x:c>
      <x:c r="U399" s="31" t="n">
        <x:f>IF(T399="","",I399*T399)</x:f>
        <x:v>38.90338678297212</x:v>
      </x:c>
    </x:row>
    <x:row r="400" ht="18" customHeight="1">
      <x:c r="A400" s="24" t="str">
        <x:v>EEZ_036</x:v>
      </x:c>
      <x:c r="B400" s="24" t="str">
        <x:v>Australia</x:v>
      </x:c>
      <x:c r="C400" s="24" t="str">
        <x:v>EEZ</x:v>
      </x:c>
      <x:c r="D400" s="30" t="n">
        <x:v>2019</x:v>
      </x:c>
      <x:c r="E400" s="24" t="str">
        <x:v>Batoidea</x:v>
      </x:c>
      <x:c r="F400" s="24" t="str">
        <x:v>Batoids, skates, rays, sawfishes</x:v>
      </x:c>
      <x:c r="G400" s="24" t="str">
        <x:v>Large rays (&gt;=90 cm)</x:v>
      </x:c>
      <x:c r="H400" s="24" t="str">
        <x:v>Sharks &amp; rays</x:v>
      </x:c>
      <x:c r="I400" s="31" t="n">
        <x:v>0.6105437921</x:v>
      </x:c>
      <x:c r="J400" s="31" t="n">
        <x:v>0.6105437921</x:v>
      </x:c>
      <x:c r="K400" s="31" t="n">
        <x:v>0</x:v>
      </x:c>
      <x:c r="L400" s="31" t="n">
        <x:v>0.6105437921</x:v>
      </x:c>
      <x:c r="M400" s="31" t="n">
        <x:v>0</x:v>
      </x:c>
      <x:c r="N400" s="24" t="str">
        <x:v>batoidea</x:v>
      </x:c>
      <x:c r="O400" s="32" t="n">
        <x:v>3.72</x:v>
      </x:c>
      <x:c r="P400" s="24" t="str">
        <x:v>exact_sea_around_us</x:v>
      </x:c>
      <x:c r="Q400" s="32" t="str">
        <x:v>Sea Around Us exploited organisms</x:v>
      </x:c>
      <x:c r="R400" s="24" t="str">
        <x:v>high</x:v>
      </x:c>
      <x:c r="S400" s="24" t="str">
        <x:v>Batoidea</x:v>
      </x:c>
      <x:c r="T400" s="32" t="n">
        <x:f>IF(O400="","",(1/'Metadata'!$B$5)^(O400-1))</x:f>
        <x:v>524.8074602497728</x:v>
      </x:c>
      <x:c r="U400" s="31" t="n">
        <x:f>IF(T400="","",I400*T400)</x:f>
        <x:v>320.4179369032663</x:v>
      </x:c>
    </x:row>
    <x:row r="401" ht="18" customHeight="1">
      <x:c r="A401" s="24" t="str">
        <x:v>EEZ_036</x:v>
      </x:c>
      <x:c r="B401" s="24" t="str">
        <x:v>Australia</x:v>
      </x:c>
      <x:c r="C401" s="24" t="str">
        <x:v>EEZ</x:v>
      </x:c>
      <x:c r="D401" s="30" t="n">
        <x:v>2019</x:v>
      </x:c>
      <x:c r="E401" s="24" t="str">
        <x:v>Alectis ciliaris</x:v>
      </x:c>
      <x:c r="F401" s="24" t="str">
        <x:v>African pompano</x:v>
      </x:c>
      <x:c r="G401" s="24" t="str">
        <x:v>Large pelagics (&gt;=90 cm)</x:v>
      </x:c>
      <x:c r="H401" s="24" t="str">
        <x:v>Perch-likes</x:v>
      </x:c>
      <x:c r="I401" s="31" t="n">
        <x:v>0.5919066239</x:v>
      </x:c>
      <x:c r="J401" s="31" t="n">
        <x:v>0.5919066239</x:v>
      </x:c>
      <x:c r="K401" s="31" t="n">
        <x:v>0</x:v>
      </x:c>
      <x:c r="L401" s="31" t="n">
        <x:v>0.0912671932</x:v>
      </x:c>
      <x:c r="M401" s="31" t="n">
        <x:v>0.5006394307</x:v>
      </x:c>
      <x:c r="N401" s="24" t="str">
        <x:v>alectis ciliaris</x:v>
      </x:c>
      <x:c r="O401" s="32" t="n">
        <x:v>3.95</x:v>
      </x:c>
      <x:c r="P401" s="24" t="str">
        <x:v>exact_2020_supplement</x:v>
      </x:c>
      <x:c r="Q401" s="32" t="str">
        <x:v>2020 supplement MeanTL</x:v>
      </x:c>
      <x:c r="R401" s="24" t="str">
        <x:v>high</x:v>
      </x:c>
      <x:c r="S401" s="24" t="str">
        <x:v>Alectis ciliaris</x:v>
      </x:c>
      <x:c r="T401" s="32" t="n">
        <x:f>IF(O401="","",(1/'Metadata'!$B$5)^(O401-1))</x:f>
        <x:v>891.2509381337459</x:v>
      </x:c>
      <x:c r="U401" s="31" t="n">
        <x:f>IF(T401="","",I401*T401)</x:f>
        <x:v>527.5373338384534</x:v>
      </x:c>
    </x:row>
    <x:row r="402" ht="18" customHeight="1">
      <x:c r="A402" s="24" t="str">
        <x:v>EEZ_036</x:v>
      </x:c>
      <x:c r="B402" s="24" t="str">
        <x:v>Australia</x:v>
      </x:c>
      <x:c r="C402" s="24" t="str">
        <x:v>EEZ</x:v>
      </x:c>
      <x:c r="D402" s="30" t="n">
        <x:v>2019</x:v>
      </x:c>
      <x:c r="E402" s="24" t="str">
        <x:v>Lutjanus quinquelineatus</x:v>
      </x:c>
      <x:c r="F402" s="24" t="str">
        <x:v>Five-lined snapper</x:v>
      </x:c>
      <x:c r="G402" s="24" t="str">
        <x:v>Medium reef assoc. fish (30 - 89 cm)</x:v>
      </x:c>
      <x:c r="H402" s="24" t="str">
        <x:v>Perch-likes</x:v>
      </x:c>
      <x:c r="I402" s="31" t="n">
        <x:v>0.5442756187000001</x:v>
      </x:c>
      <x:c r="J402" s="31" t="n">
        <x:v>0.5442756187000001</x:v>
      </x:c>
      <x:c r="K402" s="31" t="n">
        <x:v>0</x:v>
      </x:c>
      <x:c r="L402" s="31" t="n">
        <x:v>0.5288702973</x:v>
      </x:c>
      <x:c r="M402" s="31" t="n">
        <x:v>0.0154053214</x:v>
      </x:c>
      <x:c r="N402" s="24" t="str">
        <x:v>lutjanus quinquelineatus</x:v>
      </x:c>
      <x:c r="O402" s="32" t="n">
        <x:v>3.68</x:v>
      </x:c>
      <x:c r="P402" s="24" t="str">
        <x:v>exact_2020_supplement</x:v>
      </x:c>
      <x:c r="Q402" s="32" t="str">
        <x:v>2020 supplement MeanTL</x:v>
      </x:c>
      <x:c r="R402" s="24" t="str">
        <x:v>high</x:v>
      </x:c>
      <x:c r="S402" s="24" t="str">
        <x:v>Lutjanus quinquelineatus</x:v>
      </x:c>
      <x:c r="T402" s="32" t="n">
        <x:f>IF(O402="","",(1/'Metadata'!$B$5)^(O402-1))</x:f>
        <x:v>478.6300923226385</x:v>
      </x:c>
      <x:c r="U402" s="31" t="n">
        <x:f>IF(T402="","",I402*T402)</x:f>
        <x:v>260.5066896273422</x:v>
      </x:c>
    </x:row>
    <x:row r="403" ht="18" customHeight="1">
      <x:c r="A403" s="24" t="str">
        <x:v>EEZ_036</x:v>
      </x:c>
      <x:c r="B403" s="24" t="str">
        <x:v>Australia</x:v>
      </x:c>
      <x:c r="C403" s="24" t="str">
        <x:v>EEZ</x:v>
      </x:c>
      <x:c r="D403" s="30" t="n">
        <x:v>2019</x:v>
      </x:c>
      <x:c r="E403" s="24" t="str">
        <x:v>Pseudorhombus arsius</x:v>
      </x:c>
      <x:c r="F403" s="24" t="str">
        <x:v>Largetooth flounder</x:v>
      </x:c>
      <x:c r="G403" s="24" t="str">
        <x:v>Small to medium flatfishes (&lt;90 cm)</x:v>
      </x:c>
      <x:c r="H403" s="24" t="str">
        <x:v>Flatfishes</x:v>
      </x:c>
      <x:c r="I403" s="31" t="n">
        <x:v>0.5278137718</x:v>
      </x:c>
      <x:c r="J403" s="31" t="n">
        <x:v>0.5278137718</x:v>
      </x:c>
      <x:c r="K403" s="31" t="n">
        <x:v>0</x:v>
      </x:c>
      <x:c r="L403" s="31" t="n">
        <x:v>0</x:v>
      </x:c>
      <x:c r="M403" s="31" t="n">
        <x:v>0.5278137718</x:v>
      </x:c>
      <x:c r="N403" s="24" t="str">
        <x:v>pseudorhombus arsius</x:v>
      </x:c>
      <x:c r="O403" s="32" t="n">
        <x:v>4.16</x:v>
      </x:c>
      <x:c r="P403" s="24" t="str">
        <x:v>exact_2020_supplement</x:v>
      </x:c>
      <x:c r="Q403" s="32" t="str">
        <x:v>2020 supplement MeanTL</x:v>
      </x:c>
      <x:c r="R403" s="24" t="str">
        <x:v>high</x:v>
      </x:c>
      <x:c r="S403" s="24" t="str">
        <x:v>Pseudorhombus arsius</x:v>
      </x:c>
      <x:c r="T403" s="32" t="n">
        <x:f>IF(O403="","",(1/'Metadata'!$B$5)^(O403-1))</x:f>
        <x:v>1445.439770745928</x:v>
      </x:c>
      <x:c r="U403" s="31" t="n">
        <x:f>IF(T403="","",I403*T403)</x:f>
        <x:v>762.9230173071355</x:v>
      </x:c>
    </x:row>
    <x:row r="404" ht="18" customHeight="1">
      <x:c r="A404" s="24" t="str">
        <x:v>EEZ_036</x:v>
      </x:c>
      <x:c r="B404" s="24" t="str">
        <x:v>Australia</x:v>
      </x:c>
      <x:c r="C404" s="24" t="str">
        <x:v>EEZ</x:v>
      </x:c>
      <x:c r="D404" s="30" t="n">
        <x:v>2019</x:v>
      </x:c>
      <x:c r="E404" s="24" t="str">
        <x:v>Paracaesio kusakarii</x:v>
      </x:c>
      <x:c r="F404" s="24" t="str">
        <x:v>Saddle-back snapper</x:v>
      </x:c>
      <x:c r="G404" s="24" t="str">
        <x:v>Medium demersals (30 - 89 cm)</x:v>
      </x:c>
      <x:c r="H404" s="24" t="str">
        <x:v>Perch-likes</x:v>
      </x:c>
      <x:c r="I404" s="31" t="n">
        <x:v>0.4979409838</x:v>
      </x:c>
      <x:c r="J404" s="31" t="n">
        <x:v>0.4979409838</x:v>
      </x:c>
      <x:c r="K404" s="31" t="n">
        <x:v>0</x:v>
      </x:c>
      <x:c r="L404" s="31" t="n">
        <x:v>0.4979409838</x:v>
      </x:c>
      <x:c r="M404" s="31" t="n">
        <x:v>0</x:v>
      </x:c>
      <x:c r="N404" s="24" t="str">
        <x:v>paracaesio kusakarii</x:v>
      </x:c>
      <x:c r="O404" s="32" t="n">
        <x:v>4.01</x:v>
      </x:c>
      <x:c r="P404" s="24" t="str">
        <x:v>exact_2020_supplement</x:v>
      </x:c>
      <x:c r="Q404" s="32" t="str">
        <x:v>2020 supplement MeanTL</x:v>
      </x:c>
      <x:c r="R404" s="24" t="str">
        <x:v>high</x:v>
      </x:c>
      <x:c r="S404" s="24" t="str">
        <x:v>Paracaesio kusakarii</x:v>
      </x:c>
      <x:c r="T404" s="32" t="n">
        <x:f>IF(O404="","",(1/'Metadata'!$B$5)^(O404-1))</x:f>
        <x:v>1023.2929922807537</x:v>
      </x:c>
      <x:c r="U404" s="31" t="n">
        <x:f>IF(T404="","",I404*T404)</x:f>
        <x:v>509.5395192919243</x:v>
      </x:c>
    </x:row>
    <x:row r="405" ht="18" customHeight="1">
      <x:c r="A405" s="24" t="str">
        <x:v>EEZ_036</x:v>
      </x:c>
      <x:c r="B405" s="24" t="str">
        <x:v>Australia</x:v>
      </x:c>
      <x:c r="C405" s="24" t="str">
        <x:v>EEZ</x:v>
      </x:c>
      <x:c r="D405" s="30" t="n">
        <x:v>2019</x:v>
      </x:c>
      <x:c r="E405" s="24" t="str">
        <x:v>Myctophidae</x:v>
      </x:c>
      <x:c r="F405" s="24" t="str">
        <x:v>Lanternfishes</x:v>
      </x:c>
      <x:c r="G405" s="24" t="str">
        <x:v>Small pelagics (&lt;30 cm)</x:v>
      </x:c>
      <x:c r="H405" s="24" t="str">
        <x:v>Other fishes &amp; inverts</x:v>
      </x:c>
      <x:c r="I405" s="31" t="n">
        <x:v>0.446731167</x:v>
      </x:c>
      <x:c r="J405" s="31" t="n">
        <x:v>0.446731167</x:v>
      </x:c>
      <x:c r="K405" s="31" t="n">
        <x:v>0</x:v>
      </x:c>
      <x:c r="L405" s="31" t="n">
        <x:v>0.446731167</x:v>
      </x:c>
      <x:c r="M405" s="31" t="n">
        <x:v>0</x:v>
      </x:c>
      <x:c r="N405" s="24" t="str">
        <x:v>myctophidae</x:v>
      </x:c>
      <x:c r="O405" s="32" t="n">
        <x:v>3.3</x:v>
      </x:c>
      <x:c r="P405" s="24" t="str">
        <x:v>exact_sea_around_us</x:v>
      </x:c>
      <x:c r="Q405" s="32" t="str">
        <x:v>Sea Around Us exploited organisms</x:v>
      </x:c>
      <x:c r="R405" s="24" t="str">
        <x:v>high</x:v>
      </x:c>
      <x:c r="S405" s="24" t="str">
        <x:v>Myctophidae</x:v>
      </x:c>
      <x:c r="T405" s="32" t="n">
        <x:f>IF(O405="","",(1/'Metadata'!$B$5)^(O405-1))</x:f>
        <x:v>199.52623149688787</x:v>
      </x:c>
      <x:c r="U405" s="31" t="n">
        <x:f>IF(T405="","",I405*T405)</x:f>
        <x:v>89.13458624371687</x:v>
      </x:c>
    </x:row>
    <x:row r="406" ht="18" customHeight="1">
      <x:c r="A406" s="24" t="str">
        <x:v>EEZ_036</x:v>
      </x:c>
      <x:c r="B406" s="24" t="str">
        <x:v>Australia</x:v>
      </x:c>
      <x:c r="C406" s="24" t="str">
        <x:v>EEZ</x:v>
      </x:c>
      <x:c r="D406" s="30" t="n">
        <x:v>2019</x:v>
      </x:c>
      <x:c r="E406" s="24" t="str">
        <x:v>Diogenidae</x:v>
      </x:c>
      <x:c r="F406" s="24" t="str">
        <x:v>Hermit crabs</x:v>
      </x:c>
      <x:c r="G406" s="24" t="str">
        <x:v>Lobsters, crabs</x:v>
      </x:c>
      <x:c r="H406" s="24" t="str">
        <x:v>Crustaceans</x:v>
      </x:c>
      <x:c r="I406" s="31" t="n">
        <x:v>0.4363824641</x:v>
      </x:c>
      <x:c r="J406" s="31" t="n">
        <x:v>0.4363824641</x:v>
      </x:c>
      <x:c r="K406" s="31" t="n">
        <x:v>0</x:v>
      </x:c>
      <x:c r="L406" s="31" t="n">
        <x:v>0.4363824641</x:v>
      </x:c>
      <x:c r="M406" s="31" t="n">
        <x:v>0</x:v>
      </x:c>
      <x:c r="N406" s="24" t="str">
        <x:v>diogenidae</x:v>
      </x:c>
      <x:c r="O406" s="32" t="n">
        <x:v>4</x:v>
      </x:c>
      <x:c r="P406" s="24" t="str">
        <x:v>exact_sea_around_us</x:v>
      </x:c>
      <x:c r="Q406" s="32" t="str">
        <x:v>Sea Around Us exploited organisms</x:v>
      </x:c>
      <x:c r="R406" s="24" t="str">
        <x:v>high</x:v>
      </x:c>
      <x:c r="S406" s="24" t="str">
        <x:v>Diogenidae</x:v>
      </x:c>
      <x:c r="T406" s="32" t="n">
        <x:f>IF(O406="","",(1/'Metadata'!$B$5)^(O406-1))</x:f>
        <x:v>1000</x:v>
      </x:c>
      <x:c r="U406" s="31" t="n">
        <x:f>IF(T406="","",I406*T406)</x:f>
        <x:v>436.3824641</x:v>
      </x:c>
    </x:row>
    <x:row r="407" ht="18" customHeight="1">
      <x:c r="A407" s="24" t="str">
        <x:v>EEZ_036</x:v>
      </x:c>
      <x:c r="B407" s="24" t="str">
        <x:v>Australia</x:v>
      </x:c>
      <x:c r="C407" s="24" t="str">
        <x:v>EEZ</x:v>
      </x:c>
      <x:c r="D407" s="30" t="n">
        <x:v>2019</x:v>
      </x:c>
      <x:c r="E407" s="24" t="str">
        <x:v>Himantura</x:v>
      </x:c>
      <x:c r="F407" s="24" t="str">
        <x:v>Whiprays</x:v>
      </x:c>
      <x:c r="G407" s="24" t="str">
        <x:v>Large rays (&gt;=90 cm)</x:v>
      </x:c>
      <x:c r="H407" s="24" t="str">
        <x:v>Sharks &amp; rays</x:v>
      </x:c>
      <x:c r="I407" s="31" t="n">
        <x:v>0.3757336501</x:v>
      </x:c>
      <x:c r="J407" s="31" t="n">
        <x:v>0.3757336501</x:v>
      </x:c>
      <x:c r="K407" s="31" t="n">
        <x:v>0</x:v>
      </x:c>
      <x:c r="L407" s="31" t="n">
        <x:v>0</x:v>
      </x:c>
      <x:c r="M407" s="31" t="n">
        <x:v>0.3757336501</x:v>
      </x:c>
      <x:c r="N407" s="24" t="str">
        <x:v>himantura</x:v>
      </x:c>
      <x:c r="O407" s="32" t="n">
        <x:v>3.85</x:v>
      </x:c>
      <x:c r="P407" s="24" t="str">
        <x:v>exact_sea_around_us</x:v>
      </x:c>
      <x:c r="Q407" s="32" t="str">
        <x:v>Sea Around Us exploited organisms</x:v>
      </x:c>
      <x:c r="R407" s="24" t="str">
        <x:v>high</x:v>
      </x:c>
      <x:c r="S407" s="24" t="str">
        <x:v>Himantura</x:v>
      </x:c>
      <x:c r="T407" s="32" t="n">
        <x:f>IF(O407="","",(1/'Metadata'!$B$5)^(O407-1))</x:f>
        <x:v>707.945784384138</x:v>
      </x:c>
      <x:c r="U407" s="31" t="n">
        <x:f>IF(T407="","",I407*T407)</x:f>
        <x:v>265.99905363955975</x:v>
      </x:c>
    </x:row>
    <x:row r="408" ht="18" customHeight="1">
      <x:c r="A408" s="24" t="str">
        <x:v>EEZ_036</x:v>
      </x:c>
      <x:c r="B408" s="24" t="str">
        <x:v>Australia</x:v>
      </x:c>
      <x:c r="C408" s="24" t="str">
        <x:v>EEZ</x:v>
      </x:c>
      <x:c r="D408" s="30" t="n">
        <x:v>2019</x:v>
      </x:c>
      <x:c r="E408" s="24" t="str">
        <x:v>Caesio cuning</x:v>
      </x:c>
      <x:c r="F408" s="24" t="str">
        <x:v>Redbelly yellowtail fusilier</x:v>
      </x:c>
      <x:c r="G408" s="24" t="str">
        <x:v>Medium reef assoc. fish (30 - 89 cm)</x:v>
      </x:c>
      <x:c r="H408" s="24" t="str">
        <x:v>Perch-likes</x:v>
      </x:c>
      <x:c r="I408" s="31" t="n">
        <x:v>0.36699152279999997</x:v>
      </x:c>
      <x:c r="J408" s="31" t="n">
        <x:v>0.36699152279999997</x:v>
      </x:c>
      <x:c r="K408" s="31" t="n">
        <x:v>0</x:v>
      </x:c>
      <x:c r="L408" s="31" t="n">
        <x:v>0.36697175569999996</x:v>
      </x:c>
      <x:c r="M408" s="31" t="n">
        <x:v>0.0000197671</x:v>
      </x:c>
      <x:c r="N408" s="24" t="str">
        <x:v>caesio cuning</x:v>
      </x:c>
      <x:c r="O408" s="32" t="n">
        <x:v>3.4</x:v>
      </x:c>
      <x:c r="P408" s="24" t="str">
        <x:v>exact_2020_supplement</x:v>
      </x:c>
      <x:c r="Q408" s="32" t="str">
        <x:v>2020 supplement MeanTL</x:v>
      </x:c>
      <x:c r="R408" s="24" t="str">
        <x:v>high</x:v>
      </x:c>
      <x:c r="S408" s="24" t="str">
        <x:v>Caesio cuning</x:v>
      </x:c>
      <x:c r="T408" s="32" t="n">
        <x:f>IF(O408="","",(1/'Metadata'!$B$5)^(O408-1))</x:f>
        <x:v>251.18864315095797</x:v>
      </x:c>
      <x:c r="U408" s="31" t="n">
        <x:f>IF(T408="","",I408*T408)</x:f>
        <x:v>92.18410266003585</x:v>
      </x:c>
    </x:row>
    <x:row r="409" ht="18" customHeight="1">
      <x:c r="A409" s="24" t="str">
        <x:v>EEZ_036</x:v>
      </x:c>
      <x:c r="B409" s="24" t="str">
        <x:v>Australia</x:v>
      </x:c>
      <x:c r="C409" s="24" t="str">
        <x:v>EEZ</x:v>
      </x:c>
      <x:c r="D409" s="30" t="n">
        <x:v>2019</x:v>
      </x:c>
      <x:c r="E409" s="24" t="str">
        <x:v>Epinephelus merra</x:v>
      </x:c>
      <x:c r="F409" s="24" t="str">
        <x:v>Honeycomb grouper</x:v>
      </x:c>
      <x:c r="G409" s="24" t="str">
        <x:v>Small reef assoc. fish (&lt;30 cm)</x:v>
      </x:c>
      <x:c r="H409" s="24" t="str">
        <x:v>Perch-likes</x:v>
      </x:c>
      <x:c r="I409" s="31" t="n">
        <x:v>0.3655393631</x:v>
      </x:c>
      <x:c r="J409" s="31" t="n">
        <x:v>0.3655393631</x:v>
      </x:c>
      <x:c r="K409" s="31" t="n">
        <x:v>0</x:v>
      </x:c>
      <x:c r="L409" s="31" t="n">
        <x:v>0.34486527840000003</x:v>
      </x:c>
      <x:c r="M409" s="31" t="n">
        <x:v>0.0206740847</x:v>
      </x:c>
      <x:c r="N409" s="24" t="str">
        <x:v>epinephelus merra</x:v>
      </x:c>
      <x:c r="O409" s="32" t="n">
        <x:v>3.82</x:v>
      </x:c>
      <x:c r="P409" s="24" t="str">
        <x:v>exact_2020_supplement</x:v>
      </x:c>
      <x:c r="Q409" s="32" t="str">
        <x:v>2020 supplement MeanTL</x:v>
      </x:c>
      <x:c r="R409" s="24" t="str">
        <x:v>high</x:v>
      </x:c>
      <x:c r="S409" s="24" t="str">
        <x:v>Epinephelus merra</x:v>
      </x:c>
      <x:c r="T409" s="32" t="n">
        <x:f>IF(O409="","",(1/'Metadata'!$B$5)^(O409-1))</x:f>
        <x:v>660.6934480075957</x:v>
      </x:c>
      <x:c r="U409" s="31" t="n">
        <x:f>IF(T409="","",I409*T409)</x:f>
        <x:v>241.5094621890395</x:v>
      </x:c>
    </x:row>
    <x:row r="410" ht="18" customHeight="1">
      <x:c r="A410" s="24" t="str">
        <x:v>EEZ_036</x:v>
      </x:c>
      <x:c r="B410" s="24" t="str">
        <x:v>Australia</x:v>
      </x:c>
      <x:c r="C410" s="24" t="str">
        <x:v>EEZ</x:v>
      </x:c>
      <x:c r="D410" s="30" t="n">
        <x:v>2019</x:v>
      </x:c>
      <x:c r="E410" s="24" t="str">
        <x:v>Pentaceros richardsoni</x:v>
      </x:c>
      <x:c r="F410" s="24" t="str">
        <x:v>Pelagic armourhead</x:v>
      </x:c>
      <x:c r="G410" s="24" t="str">
        <x:v>Medium pelagics (30 - 89 cm)</x:v>
      </x:c>
      <x:c r="H410" s="24" t="str">
        <x:v>Perch-likes</x:v>
      </x:c>
      <x:c r="I410" s="31" t="n">
        <x:v>0.36506855190000004</x:v>
      </x:c>
      <x:c r="J410" s="31" t="n">
        <x:v>0.36506855190000004</x:v>
      </x:c>
      <x:c r="K410" s="31" t="n">
        <x:v>0</x:v>
      </x:c>
      <x:c r="L410" s="31" t="n">
        <x:v>0.36506855190000004</x:v>
      </x:c>
      <x:c r="M410" s="31" t="n">
        <x:v>0</x:v>
      </x:c>
      <x:c r="N410" s="24" t="str">
        <x:v>pentaceros richardsoni</x:v>
      </x:c>
      <x:c r="O410" s="32" t="n">
        <x:v>3.5</x:v>
      </x:c>
      <x:c r="P410" s="24" t="str">
        <x:v>exact_2020_supplement</x:v>
      </x:c>
      <x:c r="Q410" s="32" t="str">
        <x:v>2020 supplement MeanTL</x:v>
      </x:c>
      <x:c r="R410" s="24" t="str">
        <x:v>high</x:v>
      </x:c>
      <x:c r="S410" s="24" t="str">
        <x:v>Pentaceros richardsoni</x:v>
      </x:c>
      <x:c r="T410" s="32" t="n">
        <x:f>IF(O410="","",(1/'Metadata'!$B$5)^(O410-1))</x:f>
        <x:v>316.22776601683796</x:v>
      </x:c>
      <x:c r="U410" s="31" t="n">
        <x:f>IF(T410="","",I410*T410)</x:f>
        <x:v>115.44481261033907</x:v>
      </x:c>
    </x:row>
    <x:row r="411" ht="18" customHeight="1">
      <x:c r="A411" s="24" t="str">
        <x:v>EEZ_036</x:v>
      </x:c>
      <x:c r="B411" s="24" t="str">
        <x:v>Australia</x:v>
      </x:c>
      <x:c r="C411" s="24" t="str">
        <x:v>EEZ</x:v>
      </x:c>
      <x:c r="D411" s="30" t="n">
        <x:v>2019</x:v>
      </x:c>
      <x:c r="E411" s="24" t="str">
        <x:v>Sillago ciliata</x:v>
      </x:c>
      <x:c r="F411" s="24" t="str">
        <x:v>Sand sillago</x:v>
      </x:c>
      <x:c r="G411" s="24" t="str">
        <x:v>Small pelagics (&lt;30 cm)</x:v>
      </x:c>
      <x:c r="H411" s="24" t="str">
        <x:v>Perch-likes</x:v>
      </x:c>
      <x:c r="I411" s="31" t="n">
        <x:v>0.36058300439999996</x:v>
      </x:c>
      <x:c r="J411" s="31" t="n">
        <x:v>0.36058300439999996</x:v>
      </x:c>
      <x:c r="K411" s="31" t="n">
        <x:v>0</x:v>
      </x:c>
      <x:c r="L411" s="31" t="n">
        <x:v>0.36058300439999996</x:v>
      </x:c>
      <x:c r="M411" s="31" t="n">
        <x:v>0</x:v>
      </x:c>
      <x:c r="N411" s="24" t="str">
        <x:v>sillago ciliata</x:v>
      </x:c>
      <x:c r="O411" s="32" t="n">
        <x:v>3.24</x:v>
      </x:c>
      <x:c r="P411" s="24" t="str">
        <x:v>exact_2020_supplement</x:v>
      </x:c>
      <x:c r="Q411" s="32" t="str">
        <x:v>2020 supplement MeanTL</x:v>
      </x:c>
      <x:c r="R411" s="24" t="str">
        <x:v>high</x:v>
      </x:c>
      <x:c r="S411" s="24" t="str">
        <x:v>Sillago ciliata</x:v>
      </x:c>
      <x:c r="T411" s="32" t="n">
        <x:f>IF(O411="","",(1/'Metadata'!$B$5)^(O411-1))</x:f>
        <x:v>173.78008287493762</x:v>
      </x:c>
      <x:c r="U411" s="31" t="n">
        <x:f>IF(T411="","",I411*T411)</x:f>
        <x:v>62.66214438792599</x:v>
      </x:c>
    </x:row>
    <x:row r="412" ht="18" customHeight="1">
      <x:c r="A412" s="24" t="str">
        <x:v>EEZ_036</x:v>
      </x:c>
      <x:c r="B412" s="24" t="str">
        <x:v>Australia</x:v>
      </x:c>
      <x:c r="C412" s="24" t="str">
        <x:v>EEZ</x:v>
      </x:c>
      <x:c r="D412" s="30" t="n">
        <x:v>2019</x:v>
      </x:c>
      <x:c r="E412" s="24" t="str">
        <x:v>Alopias superciliosus</x:v>
      </x:c>
      <x:c r="F412" s="24" t="str">
        <x:v>Bigeye thresher</x:v>
      </x:c>
      <x:c r="G412" s="24" t="str">
        <x:v>Large sharks (&gt;=90 cm)</x:v>
      </x:c>
      <x:c r="H412" s="24" t="str">
        <x:v>Sharks &amp; rays</x:v>
      </x:c>
      <x:c r="I412" s="31" t="n">
        <x:v>0.3388460036</x:v>
      </x:c>
      <x:c r="J412" s="31" t="n">
        <x:v>0.3388460036</x:v>
      </x:c>
      <x:c r="K412" s="31" t="n">
        <x:v>0</x:v>
      </x:c>
      <x:c r="L412" s="31" t="n">
        <x:v>0.3388460036</x:v>
      </x:c>
      <x:c r="M412" s="31" t="n">
        <x:v>0</x:v>
      </x:c>
      <x:c r="N412" s="24" t="str">
        <x:v>alopias superciliosus</x:v>
      </x:c>
      <x:c r="O412" s="32" t="n">
        <x:v>4.51</x:v>
      </x:c>
      <x:c r="P412" s="24" t="str">
        <x:v>exact_2020_supplement</x:v>
      </x:c>
      <x:c r="Q412" s="32" t="str">
        <x:v>2020 supplement MeanTL</x:v>
      </x:c>
      <x:c r="R412" s="24" t="str">
        <x:v>high</x:v>
      </x:c>
      <x:c r="S412" s="24" t="str">
        <x:v>Alopias superciliosus</x:v>
      </x:c>
      <x:c r="T412" s="32" t="n">
        <x:f>IF(O412="","",(1/'Metadata'!$B$5)^(O412-1))</x:f>
        <x:v>3235.936569296281</x:v>
      </x:c>
      <x:c r="U412" s="31" t="n">
        <x:f>IF(T412="","",I412*T412)</x:f>
        <x:v>1096.4841744091393</x:v>
      </x:c>
    </x:row>
    <x:row r="413" ht="18" customHeight="1">
      <x:c r="A413" s="24" t="str">
        <x:v>EEZ_036</x:v>
      </x:c>
      <x:c r="B413" s="24" t="str">
        <x:v>Australia</x:v>
      </x:c>
      <x:c r="C413" s="24" t="str">
        <x:v>EEZ</x:v>
      </x:c>
      <x:c r="D413" s="30" t="n">
        <x:v>2019</x:v>
      </x:c>
      <x:c r="E413" s="24" t="str">
        <x:v>Isurus paucus</x:v>
      </x:c>
      <x:c r="F413" s="24" t="str">
        <x:v>Longfin mako</x:v>
      </x:c>
      <x:c r="G413" s="24" t="str">
        <x:v>Large sharks (&gt;=90 cm)</x:v>
      </x:c>
      <x:c r="H413" s="24" t="str">
        <x:v>Sharks &amp; rays</x:v>
      </x:c>
      <x:c r="I413" s="31" t="n">
        <x:v>0.3160155547</x:v>
      </x:c>
      <x:c r="J413" s="31" t="n">
        <x:v>0.3160155547</x:v>
      </x:c>
      <x:c r="K413" s="31" t="n">
        <x:v>0</x:v>
      </x:c>
      <x:c r="L413" s="31" t="n">
        <x:v>0.3160155547</x:v>
      </x:c>
      <x:c r="M413" s="31" t="n">
        <x:v>0</x:v>
      </x:c>
      <x:c r="N413" s="24" t="str">
        <x:v>isurus paucus</x:v>
      </x:c>
      <x:c r="O413" s="32" t="n">
        <x:v>4.51</x:v>
      </x:c>
      <x:c r="P413" s="24" t="str">
        <x:v>exact_2020_supplement</x:v>
      </x:c>
      <x:c r="Q413" s="32" t="str">
        <x:v>2020 supplement MeanTL</x:v>
      </x:c>
      <x:c r="R413" s="24" t="str">
        <x:v>high</x:v>
      </x:c>
      <x:c r="S413" s="24" t="str">
        <x:v>Isurus paucus</x:v>
      </x:c>
      <x:c r="T413" s="32" t="n">
        <x:f>IF(O413="","",(1/'Metadata'!$B$5)^(O413-1))</x:f>
        <x:v>3235.936569296281</x:v>
      </x:c>
      <x:c r="U413" s="31" t="n">
        <x:f>IF(T413="","",I413*T413)</x:f>
        <x:v>1022.6062899201792</x:v>
      </x:c>
    </x:row>
    <x:row r="414" ht="18" customHeight="1">
      <x:c r="A414" s="24" t="str">
        <x:v>EEZ_036</x:v>
      </x:c>
      <x:c r="B414" s="24" t="str">
        <x:v>Australia</x:v>
      </x:c>
      <x:c r="C414" s="24" t="str">
        <x:v>EEZ</x:v>
      </x:c>
      <x:c r="D414" s="30" t="n">
        <x:v>2019</x:v>
      </x:c>
      <x:c r="E414" s="24" t="str">
        <x:v>Aphareus furca</x:v>
      </x:c>
      <x:c r="F414" s="24" t="str">
        <x:v>Small toothed jobfish</x:v>
      </x:c>
      <x:c r="G414" s="24" t="str">
        <x:v>Medium reef assoc. fish (30 - 89 cm)</x:v>
      </x:c>
      <x:c r="H414" s="24" t="str">
        <x:v>Perch-likes</x:v>
      </x:c>
      <x:c r="I414" s="31" t="n">
        <x:v>0.2883247409</x:v>
      </x:c>
      <x:c r="J414" s="31" t="n">
        <x:v>0.2883247409</x:v>
      </x:c>
      <x:c r="K414" s="31" t="n">
        <x:v>0</x:v>
      </x:c>
      <x:c r="L414" s="31" t="n">
        <x:v>0.2721100265</x:v>
      </x:c>
      <x:c r="M414" s="31" t="n">
        <x:v>0.0162147144</x:v>
      </x:c>
      <x:c r="N414" s="24" t="str">
        <x:v>aphareus furca</x:v>
      </x:c>
      <x:c r="O414" s="32" t="n">
        <x:v>4.14</x:v>
      </x:c>
      <x:c r="P414" s="24" t="str">
        <x:v>exact_2020_supplement</x:v>
      </x:c>
      <x:c r="Q414" s="32" t="str">
        <x:v>2020 supplement MeanTL</x:v>
      </x:c>
      <x:c r="R414" s="24" t="str">
        <x:v>high</x:v>
      </x:c>
      <x:c r="S414" s="24" t="str">
        <x:v>Aphareus furca</x:v>
      </x:c>
      <x:c r="T414" s="32" t="n">
        <x:f>IF(O414="","",(1/'Metadata'!$B$5)^(O414-1))</x:f>
        <x:v>1380.3842646028838</x:v>
      </x:c>
      <x:c r="U414" s="31" t="n">
        <x:f>IF(T414="","",I414*T414)</x:f>
        <x:v>397.9989354340635</x:v>
      </x:c>
    </x:row>
    <x:row r="415" ht="18" customHeight="1">
      <x:c r="A415" s="24" t="str">
        <x:v>EEZ_036</x:v>
      </x:c>
      <x:c r="B415" s="24" t="str">
        <x:v>Australia</x:v>
      </x:c>
      <x:c r="C415" s="24" t="str">
        <x:v>EEZ</x:v>
      </x:c>
      <x:c r="D415" s="30" t="n">
        <x:v>2019</x:v>
      </x:c>
      <x:c r="E415" s="24" t="str">
        <x:v>Caprodon longimanus</x:v>
      </x:c>
      <x:c r="F415" s="24" t="str">
        <x:v>Pink maomao</x:v>
      </x:c>
      <x:c r="G415" s="24" t="str">
        <x:v>Medium reef assoc. fish (30 - 89 cm)</x:v>
      </x:c>
      <x:c r="H415" s="24" t="str">
        <x:v>Perch-likes</x:v>
      </x:c>
      <x:c r="I415" s="31" t="n">
        <x:v>0.2863675208</x:v>
      </x:c>
      <x:c r="J415" s="31" t="n">
        <x:v>0.2863675208</x:v>
      </x:c>
      <x:c r="K415" s="31" t="n">
        <x:v>0</x:v>
      </x:c>
      <x:c r="L415" s="31" t="n">
        <x:v>0.2863675208</x:v>
      </x:c>
      <x:c r="M415" s="31" t="n">
        <x:v>0</x:v>
      </x:c>
      <x:c r="N415" s="24" t="str">
        <x:v>caprodon longimanus</x:v>
      </x:c>
      <x:c r="O415" s="32" t="n">
        <x:v>3.92</x:v>
      </x:c>
      <x:c r="P415" s="24" t="str">
        <x:v>exact_2020_supplement</x:v>
      </x:c>
      <x:c r="Q415" s="32" t="str">
        <x:v>2020 supplement MeanTL</x:v>
      </x:c>
      <x:c r="R415" s="24" t="str">
        <x:v>high</x:v>
      </x:c>
      <x:c r="S415" s="24" t="str">
        <x:v>Caprodon longimanus</x:v>
      </x:c>
      <x:c r="T415" s="32" t="n">
        <x:f>IF(O415="","",(1/'Metadata'!$B$5)^(O415-1))</x:f>
        <x:v>831.7637711026708</x:v>
      </x:c>
      <x:c r="U415" s="31" t="n">
        <x:f>IF(T415="","",I415*T415)</x:f>
        <x:v>238.19012902193052</x:v>
      </x:c>
    </x:row>
    <x:row r="416" ht="18" customHeight="1">
      <x:c r="A416" s="24" t="str">
        <x:v>EEZ_036</x:v>
      </x:c>
      <x:c r="B416" s="24" t="str">
        <x:v>Australia</x:v>
      </x:c>
      <x:c r="C416" s="24" t="str">
        <x:v>EEZ</x:v>
      </x:c>
      <x:c r="D416" s="30" t="n">
        <x:v>2019</x:v>
      </x:c>
      <x:c r="E416" s="24" t="str">
        <x:v>Platycaranx chrysophrys</x:v>
      </x:c>
      <x:c r="F416" s="24" t="str">
        <x:v>Longnose trevally</x:v>
      </x:c>
      <x:c r="G416" s="24" t="str">
        <x:v>Small pelagics (&lt;30 cm)</x:v>
      </x:c>
      <x:c r="H416" s="24" t="str">
        <x:v>Perch-likes</x:v>
      </x:c>
      <x:c r="I416" s="31" t="n">
        <x:v>0.28364804720000003</x:v>
      </x:c>
      <x:c r="J416" s="31" t="n">
        <x:v>0.28364804720000003</x:v>
      </x:c>
      <x:c r="K416" s="31" t="n">
        <x:v>0</x:v>
      </x:c>
      <x:c r="L416" s="31" t="n">
        <x:v>0.077984092</x:v>
      </x:c>
      <x:c r="M416" s="31" t="n">
        <x:v>0.2056639552</x:v>
      </x:c>
      <x:c r="N416" s="24" t="str">
        <x:v>platycaranx chrysophrys</x:v>
      </x:c>
      <x:c r="O416" s="32" t="n">
        <x:v>4.3</x:v>
      </x:c>
      <x:c r="P416" s="24" t="str">
        <x:v>exact_sea_around_us</x:v>
      </x:c>
      <x:c r="Q416" s="32" t="str">
        <x:v>Sea Around Us exploited organisms</x:v>
      </x:c>
      <x:c r="R416" s="24" t="str">
        <x:v>high</x:v>
      </x:c>
      <x:c r="S416" s="24" t="str">
        <x:v>Platycaranx chrysophrys</x:v>
      </x:c>
      <x:c r="T416" s="32" t="n">
        <x:f>IF(O416="","",(1/'Metadata'!$B$5)^(O416-1))</x:f>
        <x:v>1995.2623149688789</x:v>
      </x:c>
      <x:c r="U416" s="31" t="n">
        <x:f>IF(T416="","",I416*T416)</x:f>
        <x:v>565.9522592926738</x:v>
      </x:c>
    </x:row>
    <x:row r="417" ht="18" customHeight="1">
      <x:c r="A417" s="24" t="str">
        <x:v>EEZ_036</x:v>
      </x:c>
      <x:c r="B417" s="24" t="str">
        <x:v>Australia</x:v>
      </x:c>
      <x:c r="C417" s="24" t="str">
        <x:v>EEZ</x:v>
      </x:c>
      <x:c r="D417" s="30" t="n">
        <x:v>2019</x:v>
      </x:c>
      <x:c r="E417" s="24" t="str">
        <x:v>Etmopterus</x:v>
      </x:c>
      <x:c r="F417" s="24" t="str">
        <x:v>Lanternsharks</x:v>
      </x:c>
      <x:c r="G417" s="24" t="str">
        <x:v>Small to medium sharks (&lt;90 cm)</x:v>
      </x:c>
      <x:c r="H417" s="24" t="str">
        <x:v>Sharks &amp; rays</x:v>
      </x:c>
      <x:c r="I417" s="31" t="n">
        <x:v>0.283476178</x:v>
      </x:c>
      <x:c r="J417" s="31" t="n">
        <x:v>0.283476178</x:v>
      </x:c>
      <x:c r="K417" s="31" t="n">
        <x:v>0</x:v>
      </x:c>
      <x:c r="L417" s="31" t="n">
        <x:v>0.283476178</x:v>
      </x:c>
      <x:c r="M417" s="31" t="n">
        <x:v>0</x:v>
      </x:c>
      <x:c r="N417" s="24" t="str">
        <x:v>etmopterus</x:v>
      </x:c>
      <x:c r="O417" s="32" t="n">
        <x:v>4.02</x:v>
      </x:c>
      <x:c r="P417" s="24" t="str">
        <x:v>exact_sea_around_us</x:v>
      </x:c>
      <x:c r="Q417" s="32" t="str">
        <x:v>Sea Around Us exploited organisms</x:v>
      </x:c>
      <x:c r="R417" s="24" t="str">
        <x:v>high</x:v>
      </x:c>
      <x:c r="S417" s="24" t="str">
        <x:v>Etmopterus</x:v>
      </x:c>
      <x:c r="T417" s="32" t="n">
        <x:f>IF(O417="","",(1/'Metadata'!$B$5)^(O417-1))</x:f>
        <x:v>1047.1285480508984</x:v>
      </x:c>
      <x:c r="U417" s="31" t="n">
        <x:f>IF(T417="","",I417*T417)</x:f>
        <x:v>296.83599867615806</x:v>
      </x:c>
    </x:row>
    <x:row r="418" ht="18" customHeight="1">
      <x:c r="A418" s="24" t="str">
        <x:v>EEZ_036</x:v>
      </x:c>
      <x:c r="B418" s="24" t="str">
        <x:v>Australia</x:v>
      </x:c>
      <x:c r="C418" s="24" t="str">
        <x:v>EEZ</x:v>
      </x:c>
      <x:c r="D418" s="30" t="n">
        <x:v>2019</x:v>
      </x:c>
      <x:c r="E418" s="24" t="str">
        <x:v>Lethrinus variegatus</x:v>
      </x:c>
      <x:c r="F418" s="24" t="str">
        <x:v>Slender emperor</x:v>
      </x:c>
      <x:c r="G418" s="24" t="str">
        <x:v>Small reef assoc. fish (&lt;30 cm)</x:v>
      </x:c>
      <x:c r="H418" s="24" t="str">
        <x:v>Perch-likes</x:v>
      </x:c>
      <x:c r="I418" s="31" t="n">
        <x:v>0.2795393482</x:v>
      </x:c>
      <x:c r="J418" s="31" t="n">
        <x:v>0.2795393482</x:v>
      </x:c>
      <x:c r="K418" s="31" t="n">
        <x:v>0</x:v>
      </x:c>
      <x:c r="L418" s="31" t="n">
        <x:v>0.2795393482</x:v>
      </x:c>
      <x:c r="M418" s="31" t="n">
        <x:v>0</x:v>
      </x:c>
      <x:c r="N418" s="24" t="str">
        <x:v>lethrinus variegatus</x:v>
      </x:c>
      <x:c r="O418" s="32" t="n">
        <x:v>3.84</x:v>
      </x:c>
      <x:c r="P418" s="24" t="str">
        <x:v>exact_2020_supplement</x:v>
      </x:c>
      <x:c r="Q418" s="32" t="str">
        <x:v>2020 supplement MeanTL</x:v>
      </x:c>
      <x:c r="R418" s="24" t="str">
        <x:v>high</x:v>
      </x:c>
      <x:c r="S418" s="24" t="str">
        <x:v>Lethrinus variegatus</x:v>
      </x:c>
      <x:c r="T418" s="32" t="n">
        <x:f>IF(O418="","",(1/'Metadata'!$B$5)^(O418-1))</x:f>
        <x:v>691.8309709189363</x:v>
      </x:c>
      <x:c r="U418" s="31" t="n">
        <x:f>IF(T418="","",I418*T418)</x:f>
        <x:v>193.39397867525258</x:v>
      </x:c>
    </x:row>
    <x:row r="419" ht="18" customHeight="1">
      <x:c r="A419" s="24" t="str">
        <x:v>EEZ_036</x:v>
      </x:c>
      <x:c r="B419" s="24" t="str">
        <x:v>Australia</x:v>
      </x:c>
      <x:c r="C419" s="24" t="str">
        <x:v>EEZ</x:v>
      </x:c>
      <x:c r="D419" s="30" t="n">
        <x:v>2019</x:v>
      </x:c>
      <x:c r="E419" s="24" t="str">
        <x:v>Plectropomus areolatus</x:v>
      </x:c>
      <x:c r="F419" s="24" t="str">
        <x:v>Squaretail coralgrouper</x:v>
      </x:c>
      <x:c r="G419" s="24" t="str">
        <x:v>Medium reef assoc. fish (30 - 89 cm)</x:v>
      </x:c>
      <x:c r="H419" s="24" t="str">
        <x:v>Perch-likes</x:v>
      </x:c>
      <x:c r="I419" s="31" t="n">
        <x:v>0.2710756083</x:v>
      </x:c>
      <x:c r="J419" s="31" t="n">
        <x:v>0.2710756083</x:v>
      </x:c>
      <x:c r="K419" s="31" t="n">
        <x:v>0</x:v>
      </x:c>
      <x:c r="L419" s="31" t="n">
        <x:v>0.2639470403</x:v>
      </x:c>
      <x:c r="M419" s="31" t="n">
        <x:v>0.007128568</x:v>
      </x:c>
      <x:c r="N419" s="24" t="str">
        <x:v>plectropomus areolatus</x:v>
      </x:c>
      <x:c r="O419" s="32" t="n">
        <x:v>4.5</x:v>
      </x:c>
      <x:c r="P419" s="24" t="str">
        <x:v>exact_2020_supplement</x:v>
      </x:c>
      <x:c r="Q419" s="32" t="str">
        <x:v>2020 supplement MeanTL</x:v>
      </x:c>
      <x:c r="R419" s="24" t="str">
        <x:v>high</x:v>
      </x:c>
      <x:c r="S419" s="24" t="str">
        <x:v>Plectropomus areolatus</x:v>
      </x:c>
      <x:c r="T419" s="32" t="n">
        <x:f>IF(O419="","",(1/'Metadata'!$B$5)^(O419-1))</x:f>
        <x:v>3162.2776601683795</x:v>
      </x:c>
      <x:c r="U419" s="31" t="n">
        <x:f>IF(T419="","",I419*T419)</x:f>
        <x:v>857.2163403436441</x:v>
      </x:c>
    </x:row>
    <x:row r="420" ht="18" customHeight="1">
      <x:c r="A420" s="24" t="str">
        <x:v>EEZ_036</x:v>
      </x:c>
      <x:c r="B420" s="24" t="str">
        <x:v>Australia</x:v>
      </x:c>
      <x:c r="C420" s="24" t="str">
        <x:v>EEZ</x:v>
      </x:c>
      <x:c r="D420" s="30" t="n">
        <x:v>2019</x:v>
      </x:c>
      <x:c r="E420" s="24" t="str">
        <x:v>Caranx papuensis</x:v>
      </x:c>
      <x:c r="F420" s="24" t="str">
        <x:v>Brassy trevally</x:v>
      </x:c>
      <x:c r="G420" s="24" t="str">
        <x:v>Medium reef assoc. fish (30 - 89 cm)</x:v>
      </x:c>
      <x:c r="H420" s="24" t="str">
        <x:v>Perch-likes</x:v>
      </x:c>
      <x:c r="I420" s="31" t="n">
        <x:v>0.26945820360000006</x:v>
      </x:c>
      <x:c r="J420" s="31" t="n">
        <x:v>0.26945820360000006</x:v>
      </x:c>
      <x:c r="K420" s="31" t="n">
        <x:v>0</x:v>
      </x:c>
      <x:c r="L420" s="31" t="n">
        <x:v>0.14203319920000002</x:v>
      </x:c>
      <x:c r="M420" s="31" t="n">
        <x:v>0.1274250044</x:v>
      </x:c>
      <x:c r="N420" s="24" t="str">
        <x:v>caranx papuensis</x:v>
      </x:c>
      <x:c r="O420" s="32" t="n">
        <x:v>3.98</x:v>
      </x:c>
      <x:c r="P420" s="24" t="str">
        <x:v>exact_2020_supplement</x:v>
      </x:c>
      <x:c r="Q420" s="32" t="str">
        <x:v>2020 supplement MeanTL</x:v>
      </x:c>
      <x:c r="R420" s="24" t="str">
        <x:v>high</x:v>
      </x:c>
      <x:c r="S420" s="24" t="str">
        <x:v>Caranx papuensis</x:v>
      </x:c>
      <x:c r="T420" s="32" t="n">
        <x:f>IF(O420="","",(1/'Metadata'!$B$5)^(O420-1))</x:f>
        <x:v>954.992586021436</x:v>
      </x:c>
      <x:c r="U420" s="31" t="n">
        <x:f>IF(T420="","",I420*T420)</x:f>
        <x:v>257.3305866806547</x:v>
      </x:c>
    </x:row>
    <x:row r="421" ht="18" customHeight="1">
      <x:c r="A421" s="24" t="str">
        <x:v>EEZ_036</x:v>
      </x:c>
      <x:c r="B421" s="24" t="str">
        <x:v>Australia</x:v>
      </x:c>
      <x:c r="C421" s="24" t="str">
        <x:v>EEZ</x:v>
      </x:c>
      <x:c r="D421" s="30" t="n">
        <x:v>2019</x:v>
      </x:c>
      <x:c r="E421" s="24" t="str">
        <x:v>Charybdis feriatus</x:v>
      </x:c>
      <x:c r="F421" s="24" t="str">
        <x:v>Crucifix crab</x:v>
      </x:c>
      <x:c r="G421" s="24" t="str">
        <x:v>Lobsters, crabs</x:v>
      </x:c>
      <x:c r="H421" s="24" t="str">
        <x:v>Crustaceans</x:v>
      </x:c>
      <x:c r="I421" s="31" t="n">
        <x:v>0.2688728324</x:v>
      </x:c>
      <x:c r="J421" s="31" t="n">
        <x:v>0.2688728324</x:v>
      </x:c>
      <x:c r="K421" s="31" t="n">
        <x:v>0</x:v>
      </x:c>
      <x:c r="L421" s="31" t="n">
        <x:v>0.2688728324</x:v>
      </x:c>
      <x:c r="M421" s="31" t="n">
        <x:v>0</x:v>
      </x:c>
      <x:c r="N421" s="24" t="str">
        <x:v>charybdis feriatus</x:v>
      </x:c>
      <x:c r="O421" s="32" t="n">
        <x:v>3.51</x:v>
      </x:c>
      <x:c r="P421" s="24" t="str">
        <x:v>exact_sea_around_us</x:v>
      </x:c>
      <x:c r="Q421" s="32" t="str">
        <x:v>Sea Around Us exploited organisms</x:v>
      </x:c>
      <x:c r="R421" s="24" t="str">
        <x:v>high</x:v>
      </x:c>
      <x:c r="S421" s="24" t="str">
        <x:v>Charybdis feriatus</x:v>
      </x:c>
      <x:c r="T421" s="32" t="n">
        <x:f>IF(O421="","",(1/'Metadata'!$B$5)^(O421-1))</x:f>
        <x:v>323.5936569296281</x:v>
      </x:c>
      <x:c r="U421" s="31" t="n">
        <x:f>IF(T421="","",I421*T421)</x:f>
        <x:v>87.00554308534298</x:v>
      </x:c>
    </x:row>
    <x:row r="422" ht="18" customHeight="1">
      <x:c r="A422" s="24" t="str">
        <x:v>EEZ_036</x:v>
      </x:c>
      <x:c r="B422" s="24" t="str">
        <x:v>Australia</x:v>
      </x:c>
      <x:c r="C422" s="24" t="str">
        <x:v>EEZ</x:v>
      </x:c>
      <x:c r="D422" s="30" t="n">
        <x:v>2019</x:v>
      </x:c>
      <x:c r="E422" s="24" t="str">
        <x:v>Sphyraena jello</x:v>
      </x:c>
      <x:c r="F422" s="24" t="str">
        <x:v>Pickhandle barracuda</x:v>
      </x:c>
      <x:c r="G422" s="24" t="str">
        <x:v>Large reef assoc. fish (&gt;=90 cm)</x:v>
      </x:c>
      <x:c r="H422" s="24" t="str">
        <x:v>Perch-likes</x:v>
      </x:c>
      <x:c r="I422" s="31" t="n">
        <x:v>0.2684025533</x:v>
      </x:c>
      <x:c r="J422" s="31" t="n">
        <x:v>0.2684025533</x:v>
      </x:c>
      <x:c r="K422" s="31" t="n">
        <x:v>0</x:v>
      </x:c>
      <x:c r="L422" s="31" t="n">
        <x:v>0</x:v>
      </x:c>
      <x:c r="M422" s="31" t="n">
        <x:v>0.2684025533</x:v>
      </x:c>
      <x:c r="N422" s="24" t="str">
        <x:v>sphyraena jello</x:v>
      </x:c>
      <x:c r="O422" s="32" t="n">
        <x:v>4.5</x:v>
      </x:c>
      <x:c r="P422" s="24" t="str">
        <x:v>exact_2020_supplement</x:v>
      </x:c>
      <x:c r="Q422" s="32" t="str">
        <x:v>2020 supplement MeanTL</x:v>
      </x:c>
      <x:c r="R422" s="24" t="str">
        <x:v>high</x:v>
      </x:c>
      <x:c r="S422" s="24" t="str">
        <x:v>Sphyraena jello</x:v>
      </x:c>
      <x:c r="T422" s="32" t="n">
        <x:f>IF(O422="","",(1/'Metadata'!$B$5)^(O422-1))</x:f>
        <x:v>3162.2776601683795</x:v>
      </x:c>
      <x:c r="U422" s="31" t="n">
        <x:f>IF(T422="","",I422*T422)</x:f>
        <x:v>848.7633982327428</x:v>
      </x:c>
    </x:row>
    <x:row r="423" ht="18" customHeight="1">
      <x:c r="A423" s="24" t="str">
        <x:v>EEZ_036</x:v>
      </x:c>
      <x:c r="B423" s="24" t="str">
        <x:v>Australia</x:v>
      </x:c>
      <x:c r="C423" s="24" t="str">
        <x:v>EEZ</x:v>
      </x:c>
      <x:c r="D423" s="30" t="n">
        <x:v>2019</x:v>
      </x:c>
      <x:c r="E423" s="24" t="str">
        <x:v>Peristediidae</x:v>
      </x:c>
      <x:c r="F423" s="24" t="str">
        <x:v>Armored searobins, gurnards</x:v>
      </x:c>
      <x:c r="G423" s="24" t="str">
        <x:v>Medium bathydemersals (30 - 89 cm)</x:v>
      </x:c>
      <x:c r="H423" s="24" t="str">
        <x:v>Scorpionfishes</x:v>
      </x:c>
      <x:c r="I423" s="31" t="n">
        <x:v>0.2652959183</x:v>
      </x:c>
      <x:c r="J423" s="31" t="n">
        <x:v>0.2652959183</x:v>
      </x:c>
      <x:c r="K423" s="31" t="n">
        <x:v>0</x:v>
      </x:c>
      <x:c r="L423" s="31" t="n">
        <x:v>0.2652959183</x:v>
      </x:c>
      <x:c r="M423" s="31" t="n">
        <x:v>0</x:v>
      </x:c>
      <x:c r="N423" s="24" t="str">
        <x:v>peristediidae</x:v>
      </x:c>
      <x:c r="O423" s="32" t="n">
        <x:v>3.47</x:v>
      </x:c>
      <x:c r="P423" s="24" t="str">
        <x:v>exact_sea_around_us</x:v>
      </x:c>
      <x:c r="Q423" s="32" t="str">
        <x:v>Sea Around Us exploited organisms</x:v>
      </x:c>
      <x:c r="R423" s="24" t="str">
        <x:v>high</x:v>
      </x:c>
      <x:c r="S423" s="24" t="str">
        <x:v>Peristediidae</x:v>
      </x:c>
      <x:c r="T423" s="32" t="n">
        <x:f>IF(O423="","",(1/'Metadata'!$B$5)^(O423-1))</x:f>
        <x:v>295.1209226666387</x:v>
      </x:c>
      <x:c r="U423" s="31" t="n">
        <x:f>IF(T423="","",I423*T423)</x:f>
        <x:v>78.2943761883892</x:v>
      </x:c>
    </x:row>
    <x:row r="424" ht="18" customHeight="1">
      <x:c r="A424" s="24" t="str">
        <x:v>EEZ_036</x:v>
      </x:c>
      <x:c r="B424" s="24" t="str">
        <x:v>Australia</x:v>
      </x:c>
      <x:c r="C424" s="24" t="str">
        <x:v>EEZ</x:v>
      </x:c>
      <x:c r="D424" s="30" t="n">
        <x:v>2019</x:v>
      </x:c>
      <x:c r="E424" s="24" t="str">
        <x:v>Centrophorus granulosus</x:v>
      </x:c>
      <x:c r="F424" s="24" t="str">
        <x:v>Gulper shark</x:v>
      </x:c>
      <x:c r="G424" s="24" t="str">
        <x:v>Large sharks (&gt;=90 cm)</x:v>
      </x:c>
      <x:c r="H424" s="24" t="str">
        <x:v>Sharks &amp; rays</x:v>
      </x:c>
      <x:c r="I424" s="31" t="n">
        <x:v>0.2461267959</x:v>
      </x:c>
      <x:c r="J424" s="31" t="n">
        <x:v>0.2461267959</x:v>
      </x:c>
      <x:c r="K424" s="31" t="n">
        <x:v>0</x:v>
      </x:c>
      <x:c r="L424" s="31" t="n">
        <x:v>0.2461267959</x:v>
      </x:c>
      <x:c r="M424" s="31" t="n">
        <x:v>0</x:v>
      </x:c>
      <x:c r="N424" s="24" t="str">
        <x:v>centrophorus granulosus</x:v>
      </x:c>
      <x:c r="O424" s="32" t="n">
        <x:v>4.11</x:v>
      </x:c>
      <x:c r="P424" s="24" t="str">
        <x:v>exact_2020_supplement</x:v>
      </x:c>
      <x:c r="Q424" s="32" t="str">
        <x:v>2020 supplement MeanTL</x:v>
      </x:c>
      <x:c r="R424" s="24" t="str">
        <x:v>high</x:v>
      </x:c>
      <x:c r="S424" s="24" t="str">
        <x:v>Centrophorus granulosus</x:v>
      </x:c>
      <x:c r="T424" s="32" t="n">
        <x:f>IF(O424="","",(1/'Metadata'!$B$5)^(O424-1))</x:f>
        <x:v>1288.249551693135</x:v>
      </x:c>
      <x:c r="U424" s="31" t="n">
        <x:f>IF(T424="","",I424*T424)</x:f>
        <x:v>317.0727344778427</x:v>
      </x:c>
    </x:row>
    <x:row r="425" ht="18" customHeight="1">
      <x:c r="A425" s="24" t="str">
        <x:v>EEZ_036</x:v>
      </x:c>
      <x:c r="B425" s="24" t="str">
        <x:v>Australia</x:v>
      </x:c>
      <x:c r="C425" s="24" t="str">
        <x:v>EEZ</x:v>
      </x:c>
      <x:c r="D425" s="30" t="n">
        <x:v>2019</x:v>
      </x:c>
      <x:c r="E425" s="24" t="str">
        <x:v>Plectropomus laevis</x:v>
      </x:c>
      <x:c r="F425" s="24" t="str">
        <x:v>Blacksaddled coralgrouper</x:v>
      </x:c>
      <x:c r="G425" s="24" t="str">
        <x:v>Large reef assoc. fish (&gt;=90 cm)</x:v>
      </x:c>
      <x:c r="H425" s="24" t="str">
        <x:v>Perch-likes</x:v>
      </x:c>
      <x:c r="I425" s="31" t="n">
        <x:v>0.24229639860000002</x:v>
      </x:c>
      <x:c r="J425" s="31" t="n">
        <x:v>0.24229639860000002</x:v>
      </x:c>
      <x:c r="K425" s="31" t="n">
        <x:v>0</x:v>
      </x:c>
      <x:c r="L425" s="31" t="n">
        <x:v>0.24229639860000002</x:v>
      </x:c>
      <x:c r="M425" s="31" t="n">
        <x:v>0</x:v>
      </x:c>
      <x:c r="N425" s="24" t="str">
        <x:v>plectropomus laevis</x:v>
      </x:c>
      <x:c r="O425" s="32" t="n">
        <x:v>4.14</x:v>
      </x:c>
      <x:c r="P425" s="24" t="str">
        <x:v>exact_2020_supplement</x:v>
      </x:c>
      <x:c r="Q425" s="32" t="str">
        <x:v>2020 supplement MeanTL</x:v>
      </x:c>
      <x:c r="R425" s="24" t="str">
        <x:v>high</x:v>
      </x:c>
      <x:c r="S425" s="24" t="str">
        <x:v>Plectropomus laevis</x:v>
      </x:c>
      <x:c r="T425" s="32" t="n">
        <x:f>IF(O425="","",(1/'Metadata'!$B$5)^(O425-1))</x:f>
        <x:v>1380.3842646028838</x:v>
      </x:c>
      <x:c r="U425" s="31" t="n">
        <x:f>IF(T425="","",I425*T425)</x:f>
        <x:v>334.46213599738826</x:v>
      </x:c>
    </x:row>
    <x:row r="426" ht="18" customHeight="1">
      <x:c r="A426" s="24" t="str">
        <x:v>EEZ_036</x:v>
      </x:c>
      <x:c r="B426" s="24" t="str">
        <x:v>Australia</x:v>
      </x:c>
      <x:c r="C426" s="24" t="str">
        <x:v>EEZ</x:v>
      </x:c>
      <x:c r="D426" s="30" t="n">
        <x:v>2019</x:v>
      </x:c>
      <x:c r="E426" s="24" t="str">
        <x:v>Echeneidae</x:v>
      </x:c>
      <x:c r="F426" s="24" t="str">
        <x:v>Remoras</x:v>
      </x:c>
      <x:c r="G426" s="24" t="str">
        <x:v>Large pelagics (&gt;=90 cm)</x:v>
      </x:c>
      <x:c r="H426" s="24" t="str">
        <x:v>Perch-likes</x:v>
      </x:c>
      <x:c r="I426" s="31" t="n">
        <x:v>0.22498786440000001</x:v>
      </x:c>
      <x:c r="J426" s="31" t="n">
        <x:v>0.22498786440000001</x:v>
      </x:c>
      <x:c r="K426" s="31" t="n">
        <x:v>0</x:v>
      </x:c>
      <x:c r="L426" s="31" t="n">
        <x:v>0.2249004282</x:v>
      </x:c>
      <x:c r="M426" s="31" t="n">
        <x:v>0.0000874362</x:v>
      </x:c>
      <x:c r="N426" s="24" t="str">
        <x:v>echeneidae</x:v>
      </x:c>
      <x:c r="O426" s="32" t="n">
        <x:v>3.22</x:v>
      </x:c>
      <x:c r="P426" s="24" t="str">
        <x:v>exact_sea_around_us</x:v>
      </x:c>
      <x:c r="Q426" s="32" t="str">
        <x:v>Sea Around Us exploited organisms</x:v>
      </x:c>
      <x:c r="R426" s="24" t="str">
        <x:v>high</x:v>
      </x:c>
      <x:c r="S426" s="24" t="str">
        <x:v>Echeneidae</x:v>
      </x:c>
      <x:c r="T426" s="32" t="n">
        <x:f>IF(O426="","",(1/'Metadata'!$B$5)^(O426-1))</x:f>
        <x:v>165.95869074375614</x:v>
      </x:c>
      <x:c r="U426" s="31" t="n">
        <x:f>IF(T426="","",I426*T426)</x:f>
        <x:v>37.338691409057745</x:v>
      </x:c>
    </x:row>
    <x:row r="427" ht="18" customHeight="1">
      <x:c r="A427" s="24" t="str">
        <x:v>EEZ_036</x:v>
      </x:c>
      <x:c r="B427" s="24" t="str">
        <x:v>Australia</x:v>
      </x:c>
      <x:c r="C427" s="24" t="str">
        <x:v>EEZ</x:v>
      </x:c>
      <x:c r="D427" s="30" t="n">
        <x:v>2019</x:v>
      </x:c>
      <x:c r="E427" s="24" t="str">
        <x:v>Paracaesio xanthurus</x:v>
      </x:c>
      <x:c r="F427" s="24" t="str">
        <x:v>Yellowtail blue snapper</x:v>
      </x:c>
      <x:c r="G427" s="24" t="str">
        <x:v>Medium reef assoc. fish (30 - 89 cm)</x:v>
      </x:c>
      <x:c r="H427" s="24" t="str">
        <x:v>Perch-likes</x:v>
      </x:c>
      <x:c r="I427" s="31" t="n">
        <x:v>0.2145289573</x:v>
      </x:c>
      <x:c r="J427" s="31" t="n">
        <x:v>0.2145289573</x:v>
      </x:c>
      <x:c r="K427" s="31" t="n">
        <x:v>0</x:v>
      </x:c>
      <x:c r="L427" s="31" t="n">
        <x:v>0.2067804972</x:v>
      </x:c>
      <x:c r="M427" s="31" t="n">
        <x:v>0.0077484601</x:v>
      </x:c>
      <x:c r="N427" s="24" t="str">
        <x:v>paracaesio xanthurus</x:v>
      </x:c>
      <x:c r="O427" s="32" t="n">
        <x:v>3.4</x:v>
      </x:c>
      <x:c r="P427" s="24" t="str">
        <x:v>exact_sea_around_us</x:v>
      </x:c>
      <x:c r="Q427" s="32" t="str">
        <x:v>Sea Around Us exploited organisms</x:v>
      </x:c>
      <x:c r="R427" s="24" t="str">
        <x:v>high</x:v>
      </x:c>
      <x:c r="S427" s="24" t="str">
        <x:v>Paracaesio xanthurus</x:v>
      </x:c>
      <x:c r="T427" s="32" t="n">
        <x:f>IF(O427="","",(1/'Metadata'!$B$5)^(O427-1))</x:f>
        <x:v>251.18864315095797</x:v>
      </x:c>
      <x:c r="U427" s="31" t="n">
        <x:f>IF(T427="","",I427*T427)</x:f>
        <x:v>53.8872377007768</x:v>
      </x:c>
    </x:row>
    <x:row r="428" ht="18" customHeight="1">
      <x:c r="A428" s="24" t="str">
        <x:v>EEZ_036</x:v>
      </x:c>
      <x:c r="B428" s="24" t="str">
        <x:v>Australia</x:v>
      </x:c>
      <x:c r="C428" s="24" t="str">
        <x:v>EEZ</x:v>
      </x:c>
      <x:c r="D428" s="30" t="n">
        <x:v>2019</x:v>
      </x:c>
      <x:c r="E428" s="24" t="str">
        <x:v>Stolephorus indicus</x:v>
      </x:c>
      <x:c r="F428" s="24" t="str">
        <x:v>Indian anchovy</x:v>
      </x:c>
      <x:c r="G428" s="24" t="str">
        <x:v>Small pelagics (&lt;30 cm)</x:v>
      </x:c>
      <x:c r="H428" s="24" t="str">
        <x:v>Anchovies</x:v>
      </x:c>
      <x:c r="I428" s="31" t="n">
        <x:v>0.196540308</x:v>
      </x:c>
      <x:c r="J428" s="31" t="n">
        <x:v>0.196540308</x:v>
      </x:c>
      <x:c r="K428" s="31" t="n">
        <x:v>0</x:v>
      </x:c>
      <x:c r="L428" s="31" t="n">
        <x:v>0.196540308</x:v>
      </x:c>
      <x:c r="M428" s="31" t="n">
        <x:v>0</x:v>
      </x:c>
      <x:c r="N428" s="24" t="str">
        <x:v>stolephorus indicus</x:v>
      </x:c>
      <x:c r="O428" s="32" t="n">
        <x:v>3.59</x:v>
      </x:c>
      <x:c r="P428" s="24" t="str">
        <x:v>exact_2020_supplement</x:v>
      </x:c>
      <x:c r="Q428" s="32" t="str">
        <x:v>2020 supplement MeanTL</x:v>
      </x:c>
      <x:c r="R428" s="24" t="str">
        <x:v>high</x:v>
      </x:c>
      <x:c r="S428" s="24" t="str">
        <x:v>Stolephorus indicus</x:v>
      </x:c>
      <x:c r="T428" s="32" t="n">
        <x:f>IF(O428="","",(1/'Metadata'!$B$5)^(O428-1))</x:f>
        <x:v>389.04514499428046</x:v>
      </x:c>
      <x:c r="U428" s="31" t="n">
        <x:f>IF(T428="","",I428*T428)</x:f>
        <x:v>76.46305262308054</x:v>
      </x:c>
    </x:row>
    <x:row r="429" ht="18" customHeight="1">
      <x:c r="A429" s="24" t="str">
        <x:v>EEZ_036</x:v>
      </x:c>
      <x:c r="B429" s="24" t="str">
        <x:v>Australia</x:v>
      </x:c>
      <x:c r="C429" s="24" t="str">
        <x:v>EEZ</x:v>
      </x:c>
      <x:c r="D429" s="30" t="n">
        <x:v>2019</x:v>
      </x:c>
      <x:c r="E429" s="24" t="str">
        <x:v>Caranx</x:v>
      </x:c>
      <x:c r="F429" s="24" t="str">
        <x:v>Jacks</x:v>
      </x:c>
      <x:c r="G429" s="24" t="str">
        <x:v>Medium reef assoc. fish (30 - 89 cm)</x:v>
      </x:c>
      <x:c r="H429" s="24" t="str">
        <x:v>Perch-likes</x:v>
      </x:c>
      <x:c r="I429" s="31" t="n">
        <x:v>0.1910691601</x:v>
      </x:c>
      <x:c r="J429" s="31" t="n">
        <x:v>0.1910691601</x:v>
      </x:c>
      <x:c r="K429" s="31" t="n">
        <x:v>0</x:v>
      </x:c>
      <x:c r="L429" s="31" t="n">
        <x:v>0.176725322</x:v>
      </x:c>
      <x:c r="M429" s="31" t="n">
        <x:v>0.0143438381</x:v>
      </x:c>
      <x:c r="N429" s="24" t="str">
        <x:v>caranx</x:v>
      </x:c>
      <x:c r="O429" s="32" t="n">
        <x:v>4.12</x:v>
      </x:c>
      <x:c r="P429" s="24" t="str">
        <x:v>exact_sea_around_us</x:v>
      </x:c>
      <x:c r="Q429" s="32" t="str">
        <x:v>Sea Around Us exploited organisms</x:v>
      </x:c>
      <x:c r="R429" s="24" t="str">
        <x:v>high</x:v>
      </x:c>
      <x:c r="S429" s="24" t="str">
        <x:v>Caranx</x:v>
      </x:c>
      <x:c r="T429" s="32" t="n">
        <x:f>IF(O429="","",(1/'Metadata'!$B$5)^(O429-1))</x:f>
        <x:v>1318.2567385564075</x:v>
      </x:c>
      <x:c r="U429" s="31" t="n">
        <x:f>IF(T429="","",I429*T429)</x:f>
        <x:v>251.87820783213806</x:v>
      </x:c>
    </x:row>
    <x:row r="430" ht="18" customHeight="1">
      <x:c r="A430" s="24" t="str">
        <x:v>EEZ_036</x:v>
      </x:c>
      <x:c r="B430" s="24" t="str">
        <x:v>Australia</x:v>
      </x:c>
      <x:c r="C430" s="24" t="str">
        <x:v>EEZ</x:v>
      </x:c>
      <x:c r="D430" s="30" t="n">
        <x:v>2019</x:v>
      </x:c>
      <x:c r="E430" s="24" t="str">
        <x:v>Hexanchus griseus</x:v>
      </x:c>
      <x:c r="F430" s="24" t="str">
        <x:v>Bluntnose sixgill shark</x:v>
      </x:c>
      <x:c r="G430" s="24" t="str">
        <x:v>Large sharks (&gt;=90 cm)</x:v>
      </x:c>
      <x:c r="H430" s="24" t="str">
        <x:v>Sharks &amp; rays</x:v>
      </x:c>
      <x:c r="I430" s="31" t="n">
        <x:v>0.1735403423</x:v>
      </x:c>
      <x:c r="J430" s="31" t="n">
        <x:v>0.1735403423</x:v>
      </x:c>
      <x:c r="K430" s="31" t="n">
        <x:v>0</x:v>
      </x:c>
      <x:c r="L430" s="31" t="n">
        <x:v>0.1735403423</x:v>
      </x:c>
      <x:c r="M430" s="31" t="n">
        <x:v>0</x:v>
      </x:c>
      <x:c r="N430" s="24" t="str">
        <x:v>hexanchus griseus</x:v>
      </x:c>
      <x:c r="O430" s="32" t="n">
        <x:v>4.48</x:v>
      </x:c>
      <x:c r="P430" s="24" t="str">
        <x:v>exact_2020_supplement</x:v>
      </x:c>
      <x:c r="Q430" s="32" t="str">
        <x:v>2020 supplement MeanTL</x:v>
      </x:c>
      <x:c r="R430" s="24" t="str">
        <x:v>high</x:v>
      </x:c>
      <x:c r="S430" s="24" t="str">
        <x:v>Hexanchus griseus</x:v>
      </x:c>
      <x:c r="T430" s="32" t="n">
        <x:f>IF(O430="","",(1/'Metadata'!$B$5)^(O430-1))</x:f>
        <x:v>3019.951720402019</x:v>
      </x:c>
      <x:c r="U430" s="31" t="n">
        <x:f>IF(T430="","",I430*T430)</x:f>
        <x:v>524.0834552880403</x:v>
      </x:c>
    </x:row>
    <x:row r="431" ht="18" customHeight="1">
      <x:c r="A431" s="24" t="str">
        <x:v>EEZ_036</x:v>
      </x:c>
      <x:c r="B431" s="24" t="str">
        <x:v>Australia</x:v>
      </x:c>
      <x:c r="C431" s="24" t="str">
        <x:v>EEZ</x:v>
      </x:c>
      <x:c r="D431" s="30" t="n">
        <x:v>2019</x:v>
      </x:c>
      <x:c r="E431" s="24" t="str">
        <x:v>Lethrinus xanthochilus</x:v>
      </x:c>
      <x:c r="F431" s="24" t="str">
        <x:v>Yellowlip emperor</x:v>
      </x:c>
      <x:c r="G431" s="24" t="str">
        <x:v>Medium reef assoc. fish (30 - 89 cm)</x:v>
      </x:c>
      <x:c r="H431" s="24" t="str">
        <x:v>Perch-likes</x:v>
      </x:c>
      <x:c r="I431" s="31" t="n">
        <x:v>0.15306936</x:v>
      </x:c>
      <x:c r="J431" s="31" t="n">
        <x:v>0.15306936</x:v>
      </x:c>
      <x:c r="K431" s="31" t="n">
        <x:v>0</x:v>
      </x:c>
      <x:c r="L431" s="31" t="n">
        <x:v>0.0642851368</x:v>
      </x:c>
      <x:c r="M431" s="31" t="n">
        <x:v>0.0887842232</x:v>
      </x:c>
      <x:c r="N431" s="24" t="str">
        <x:v>lethrinus xanthochilus</x:v>
      </x:c>
      <x:c r="O431" s="32" t="n">
        <x:v>3.78</x:v>
      </x:c>
      <x:c r="P431" s="24" t="str">
        <x:v>exact_2020_supplement</x:v>
      </x:c>
      <x:c r="Q431" s="32" t="str">
        <x:v>2020 supplement MeanTL</x:v>
      </x:c>
      <x:c r="R431" s="24" t="str">
        <x:v>high</x:v>
      </x:c>
      <x:c r="S431" s="24" t="str">
        <x:v>Lethrinus xanthochilus</x:v>
      </x:c>
      <x:c r="T431" s="32" t="n">
        <x:f>IF(O431="","",(1/'Metadata'!$B$5)^(O431-1))</x:f>
        <x:v>602.5595860743575</x:v>
      </x:c>
      <x:c r="U431" s="31" t="n">
        <x:f>IF(T431="","",I431*T431)</x:f>
        <x:v>92.23341020226681</x:v>
      </x:c>
    </x:row>
    <x:row r="432" ht="18" customHeight="1">
      <x:c r="A432" s="24" t="str">
        <x:v>EEZ_036</x:v>
      </x:c>
      <x:c r="B432" s="24" t="str">
        <x:v>Australia</x:v>
      </x:c>
      <x:c r="C432" s="24" t="str">
        <x:v>EEZ</x:v>
      </x:c>
      <x:c r="D432" s="30" t="n">
        <x:v>2019</x:v>
      </x:c>
      <x:c r="E432" s="24" t="str">
        <x:v>Pomadasys maculatus</x:v>
      </x:c>
      <x:c r="F432" s="24" t="str">
        <x:v>Saddle grunt</x:v>
      </x:c>
      <x:c r="G432" s="24" t="str">
        <x:v>Medium reef assoc. fish (30 - 89 cm)</x:v>
      </x:c>
      <x:c r="H432" s="24" t="str">
        <x:v>Perch-likes</x:v>
      </x:c>
      <x:c r="I432" s="31" t="n">
        <x:v>0.1522766336</x:v>
      </x:c>
      <x:c r="J432" s="31" t="n">
        <x:v>0.1522766336</x:v>
      </x:c>
      <x:c r="K432" s="31" t="n">
        <x:v>0</x:v>
      </x:c>
      <x:c r="L432" s="31" t="n">
        <x:v>0.0792824772</x:v>
      </x:c>
      <x:c r="M432" s="31" t="n">
        <x:v>0.0729941564</x:v>
      </x:c>
      <x:c r="N432" s="24" t="str">
        <x:v>pomadasys maculatus</x:v>
      </x:c>
      <x:c r="O432" s="32" t="n">
        <x:v>4.04</x:v>
      </x:c>
      <x:c r="P432" s="24" t="str">
        <x:v>exact_2020_supplement</x:v>
      </x:c>
      <x:c r="Q432" s="32" t="str">
        <x:v>2020 supplement MeanTL</x:v>
      </x:c>
      <x:c r="R432" s="24" t="str">
        <x:v>high</x:v>
      </x:c>
      <x:c r="S432" s="24" t="str">
        <x:v>Pomadasys maculatus</x:v>
      </x:c>
      <x:c r="T432" s="32" t="n">
        <x:f>IF(O432="","",(1/'Metadata'!$B$5)^(O432-1))</x:f>
        <x:v>1096.4781961431852</x:v>
      </x:c>
      <x:c r="U432" s="31" t="n">
        <x:f>IF(T432="","",I432*T432)</x:f>
        <x:v>166.96800852448473</x:v>
      </x:c>
    </x:row>
    <x:row r="433" ht="18" customHeight="1">
      <x:c r="A433" s="24" t="str">
        <x:v>EEZ_036</x:v>
      </x:c>
      <x:c r="B433" s="24" t="str">
        <x:v>Australia</x:v>
      </x:c>
      <x:c r="C433" s="24" t="str">
        <x:v>EEZ</x:v>
      </x:c>
      <x:c r="D433" s="30" t="n">
        <x:v>2019</x:v>
      </x:c>
      <x:c r="E433" s="24" t="str">
        <x:v>Monotaxis grandoculis</x:v>
      </x:c>
      <x:c r="F433" s="24" t="str">
        <x:v>Humpnose big-eye bream</x:v>
      </x:c>
      <x:c r="G433" s="24" t="str">
        <x:v>Medium reef assoc. fish (30 - 89 cm)</x:v>
      </x:c>
      <x:c r="H433" s="24" t="str">
        <x:v>Perch-likes</x:v>
      </x:c>
      <x:c r="I433" s="31" t="n">
        <x:v>0.14960866160000003</x:v>
      </x:c>
      <x:c r="J433" s="31" t="n">
        <x:v>0.14960866160000003</x:v>
      </x:c>
      <x:c r="K433" s="31" t="n">
        <x:v>0</x:v>
      </x:c>
      <x:c r="L433" s="31" t="n">
        <x:v>0.10412783970000002</x:v>
      </x:c>
      <x:c r="M433" s="31" t="n">
        <x:v>0.0454808219</x:v>
      </x:c>
      <x:c r="N433" s="24" t="str">
        <x:v>monotaxis grandoculis</x:v>
      </x:c>
      <x:c r="O433" s="32" t="n">
        <x:v>3.37</x:v>
      </x:c>
      <x:c r="P433" s="24" t="str">
        <x:v>exact_2020_supplement</x:v>
      </x:c>
      <x:c r="Q433" s="32" t="str">
        <x:v>2020 supplement MeanTL</x:v>
      </x:c>
      <x:c r="R433" s="24" t="str">
        <x:v>high</x:v>
      </x:c>
      <x:c r="S433" s="24" t="str">
        <x:v>Monotaxis grandoculis</x:v>
      </x:c>
      <x:c r="T433" s="32" t="n">
        <x:f>IF(O433="","",(1/'Metadata'!$B$5)^(O433-1))</x:f>
        <x:v>234.42288153199226</x:v>
      </x:c>
      <x:c r="U433" s="31" t="n">
        <x:f>IF(T433="","",I433*T433)</x:f>
        <x:v>35.071693554416726</x:v>
      </x:c>
    </x:row>
    <x:row r="434" ht="18" customHeight="1">
      <x:c r="A434" s="24" t="str">
        <x:v>EEZ_036</x:v>
      </x:c>
      <x:c r="B434" s="24" t="str">
        <x:v>Australia</x:v>
      </x:c>
      <x:c r="C434" s="24" t="str">
        <x:v>EEZ</x:v>
      </x:c>
      <x:c r="D434" s="30" t="n">
        <x:v>2019</x:v>
      </x:c>
      <x:c r="E434" s="24" t="str">
        <x:v>Synanceiidae</x:v>
      </x:c>
      <x:c r="F434" s="24" t="str">
        <x:v>Stonefishes</x:v>
      </x:c>
      <x:c r="G434" s="24" t="str">
        <x:v>Medium demersals (30 - 89 cm)</x:v>
      </x:c>
      <x:c r="H434" s="24" t="str">
        <x:v>Scorpionfishes</x:v>
      </x:c>
      <x:c r="I434" s="31" t="n">
        <x:v>0.148858203</x:v>
      </x:c>
      <x:c r="J434" s="31" t="n">
        <x:v>0.148858203</x:v>
      </x:c>
      <x:c r="K434" s="31" t="n">
        <x:v>0</x:v>
      </x:c>
      <x:c r="L434" s="31" t="n">
        <x:v>0.1302345472</x:v>
      </x:c>
      <x:c r="M434" s="31" t="n">
        <x:v>0.0186236558</x:v>
      </x:c>
      <x:c r="N434" s="24" t="str">
        <x:v>synanceiidae</x:v>
      </x:c>
      <x:c r="O434" s="32" t="n">
        <x:v>4.2</x:v>
      </x:c>
      <x:c r="P434" s="24" t="str">
        <x:v>exact_sea_around_us</x:v>
      </x:c>
      <x:c r="Q434" s="32" t="str">
        <x:v>Sea Around Us exploited organisms</x:v>
      </x:c>
      <x:c r="R434" s="24" t="str">
        <x:v>high</x:v>
      </x:c>
      <x:c r="S434" s="24" t="str">
        <x:v>Synanceiidae</x:v>
      </x:c>
      <x:c r="T434" s="32" t="n">
        <x:f>IF(O434="","",(1/'Metadata'!$B$5)^(O434-1))</x:f>
        <x:v>1584.893192461114</x:v>
      </x:c>
      <x:c r="U434" s="31" t="n">
        <x:f>IF(T434="","",I434*T434)</x:f>
        <x:v>235.9243525766946</x:v>
      </x:c>
    </x:row>
    <x:row r="435" ht="18" customHeight="1">
      <x:c r="A435" s="24" t="str">
        <x:v>EEZ_036</x:v>
      </x:c>
      <x:c r="B435" s="24" t="str">
        <x:v>Australia</x:v>
      </x:c>
      <x:c r="C435" s="24" t="str">
        <x:v>EEZ</x:v>
      </x:c>
      <x:c r="D435" s="30" t="n">
        <x:v>2019</x:v>
      </x:c>
      <x:c r="E435" s="24" t="str">
        <x:v>Naucrates ductor</x:v>
      </x:c>
      <x:c r="F435" s="24" t="str">
        <x:v>Pilotfish</x:v>
      </x:c>
      <x:c r="G435" s="24" t="str">
        <x:v>Medium pelagics (30 - 89 cm)</x:v>
      </x:c>
      <x:c r="H435" s="24" t="str">
        <x:v>Perch-likes</x:v>
      </x:c>
      <x:c r="I435" s="31" t="n">
        <x:v>0.1317331251</x:v>
      </x:c>
      <x:c r="J435" s="31" t="n">
        <x:v>0.1317331251</x:v>
      </x:c>
      <x:c r="K435" s="31" t="n">
        <x:v>0</x:v>
      </x:c>
      <x:c r="L435" s="31" t="n">
        <x:v>0.0900953741</x:v>
      </x:c>
      <x:c r="M435" s="31" t="n">
        <x:v>0.041637751</x:v>
      </x:c>
      <x:c r="N435" s="24" t="str">
        <x:v>naucrates ductor</x:v>
      </x:c>
      <x:c r="O435" s="32" t="n">
        <x:v>3.98</x:v>
      </x:c>
      <x:c r="P435" s="24" t="str">
        <x:v>exact_2020_supplement</x:v>
      </x:c>
      <x:c r="Q435" s="32" t="str">
        <x:v>2020 supplement MeanTL</x:v>
      </x:c>
      <x:c r="R435" s="24" t="str">
        <x:v>high</x:v>
      </x:c>
      <x:c r="S435" s="24" t="str">
        <x:v>Naucrates ductor</x:v>
      </x:c>
      <x:c r="T435" s="32" t="n">
        <x:f>IF(O435="","",(1/'Metadata'!$B$5)^(O435-1))</x:f>
        <x:v>954.992586021436</x:v>
      </x:c>
      <x:c r="U435" s="31" t="n">
        <x:f>IF(T435="","",I435*T435)</x:f>
        <x:v>125.80415780393432</x:v>
      </x:c>
    </x:row>
    <x:row r="436" ht="18" customHeight="1">
      <x:c r="A436" s="24" t="str">
        <x:v>EEZ_036</x:v>
      </x:c>
      <x:c r="B436" s="24" t="str">
        <x:v>Australia</x:v>
      </x:c>
      <x:c r="C436" s="24" t="str">
        <x:v>EEZ</x:v>
      </x:c>
      <x:c r="D436" s="30" t="n">
        <x:v>2019</x:v>
      </x:c>
      <x:c r="E436" s="24" t="str">
        <x:v>Pristipomoides zonatus</x:v>
      </x:c>
      <x:c r="F436" s="24" t="str">
        <x:v>Oblique-banded snapper</x:v>
      </x:c>
      <x:c r="G436" s="24" t="str">
        <x:v>Medium demersals (30 - 89 cm)</x:v>
      </x:c>
      <x:c r="H436" s="24" t="str">
        <x:v>Perch-likes</x:v>
      </x:c>
      <x:c r="I436" s="31" t="n">
        <x:v>0.1307977845</x:v>
      </x:c>
      <x:c r="J436" s="31" t="n">
        <x:v>0.1307977845</x:v>
      </x:c>
      <x:c r="K436" s="31" t="n">
        <x:v>0</x:v>
      </x:c>
      <x:c r="L436" s="31" t="n">
        <x:v>0.1307977845</x:v>
      </x:c>
      <x:c r="M436" s="31" t="n">
        <x:v>0</x:v>
      </x:c>
      <x:c r="N436" s="24" t="str">
        <x:v>pristipomoides zonatus</x:v>
      </x:c>
      <x:c r="O436" s="32" t="n">
        <x:v>4.04</x:v>
      </x:c>
      <x:c r="P436" s="24" t="str">
        <x:v>exact_2020_supplement</x:v>
      </x:c>
      <x:c r="Q436" s="32" t="str">
        <x:v>2020 supplement MeanTL</x:v>
      </x:c>
      <x:c r="R436" s="24" t="str">
        <x:v>high</x:v>
      </x:c>
      <x:c r="S436" s="24" t="str">
        <x:v>Pristipomoides zonatus</x:v>
      </x:c>
      <x:c r="T436" s="32" t="n">
        <x:f>IF(O436="","",(1/'Metadata'!$B$5)^(O436-1))</x:f>
        <x:v>1096.4781961431852</x:v>
      </x:c>
      <x:c r="U436" s="31" t="n">
        <x:f>IF(T436="","",I436*T436)</x:f>
        <x:v>143.41691880808506</x:v>
      </x:c>
    </x:row>
    <x:row r="437" ht="18" customHeight="1">
      <x:c r="A437" s="24" t="str">
        <x:v>EEZ_036</x:v>
      </x:c>
      <x:c r="B437" s="24" t="str">
        <x:v>Australia</x:v>
      </x:c>
      <x:c r="C437" s="24" t="str">
        <x:v>EEZ</x:v>
      </x:c>
      <x:c r="D437" s="30" t="n">
        <x:v>2019</x:v>
      </x:c>
      <x:c r="E437" s="24" t="str">
        <x:v>Epinephelus fasciatus</x:v>
      </x:c>
      <x:c r="F437" s="24" t="str">
        <x:v>Blacktip grouper</x:v>
      </x:c>
      <x:c r="G437" s="24" t="str">
        <x:v>Medium reef assoc. fish (30 - 89 cm)</x:v>
      </x:c>
      <x:c r="H437" s="24" t="str">
        <x:v>Perch-likes</x:v>
      </x:c>
      <x:c r="I437" s="31" t="n">
        <x:v>0.12802796449999998</x:v>
      </x:c>
      <x:c r="J437" s="31" t="n">
        <x:v>0.12802796449999998</x:v>
      </x:c>
      <x:c r="K437" s="31" t="n">
        <x:v>0</x:v>
      </x:c>
      <x:c r="L437" s="31" t="n">
        <x:v>0.0867814047</x:v>
      </x:c>
      <x:c r="M437" s="31" t="n">
        <x:v>0.0412465598</x:v>
      </x:c>
      <x:c r="N437" s="24" t="str">
        <x:v>epinephelus fasciatus</x:v>
      </x:c>
      <x:c r="O437" s="32" t="n">
        <x:v>3.72</x:v>
      </x:c>
      <x:c r="P437" s="24" t="str">
        <x:v>exact_2020_supplement</x:v>
      </x:c>
      <x:c r="Q437" s="32" t="str">
        <x:v>2020 supplement MeanTL</x:v>
      </x:c>
      <x:c r="R437" s="24" t="str">
        <x:v>high</x:v>
      </x:c>
      <x:c r="S437" s="24" t="str">
        <x:v>Epinephelus fasciatus</x:v>
      </x:c>
      <x:c r="T437" s="32" t="n">
        <x:f>IF(O437="","",(1/'Metadata'!$B$5)^(O437-1))</x:f>
        <x:v>524.8074602497728</x:v>
      </x:c>
      <x:c r="U437" s="31" t="n">
        <x:f>IF(T437="","",I437*T437)</x:f>
        <x:v>67.19003089019307</x:v>
      </x:c>
    </x:row>
    <x:row r="438" ht="18" customHeight="1">
      <x:c r="A438" s="24" t="str">
        <x:v>EEZ_036</x:v>
      </x:c>
      <x:c r="B438" s="24" t="str">
        <x:v>Australia</x:v>
      </x:c>
      <x:c r="C438" s="24" t="str">
        <x:v>EEZ</x:v>
      </x:c>
      <x:c r="D438" s="30" t="n">
        <x:v>2019</x:v>
      </x:c>
      <x:c r="E438" s="24" t="str">
        <x:v>Balistidae</x:v>
      </x:c>
      <x:c r="F438" s="24" t="str">
        <x:v>Triggerfishes</x:v>
      </x:c>
      <x:c r="G438" s="24" t="str">
        <x:v>Medium reef assoc. fish (30 - 89 cm)</x:v>
      </x:c>
      <x:c r="H438" s="24" t="str">
        <x:v>Other fishes &amp; inverts</x:v>
      </x:c>
      <x:c r="I438" s="31" t="n">
        <x:v>0.1257144336</x:v>
      </x:c>
      <x:c r="J438" s="31" t="n">
        <x:v>0.1257144336</x:v>
      </x:c>
      <x:c r="K438" s="31" t="n">
        <x:v>0</x:v>
      </x:c>
      <x:c r="L438" s="31" t="n">
        <x:v>0.061449328</x:v>
      </x:c>
      <x:c r="M438" s="31" t="n">
        <x:v>0.0642651056</x:v>
      </x:c>
      <x:c r="N438" s="24" t="str">
        <x:v>balistidae</x:v>
      </x:c>
      <x:c r="O438" s="32" t="n">
        <x:v>3.25</x:v>
      </x:c>
      <x:c r="P438" s="24" t="str">
        <x:v>exact_sea_around_us</x:v>
      </x:c>
      <x:c r="Q438" s="32" t="str">
        <x:v>Sea Around Us exploited organisms</x:v>
      </x:c>
      <x:c r="R438" s="24" t="str">
        <x:v>high</x:v>
      </x:c>
      <x:c r="S438" s="24" t="str">
        <x:v>Balistidae</x:v>
      </x:c>
      <x:c r="T438" s="32" t="n">
        <x:f>IF(O438="","",(1/'Metadata'!$B$5)^(O438-1))</x:f>
        <x:v>177.82794100389228</x:v>
      </x:c>
      <x:c r="U438" s="31" t="n">
        <x:f>IF(T438="","",I438*T438)</x:f>
        <x:v>22.355538881558534</x:v>
      </x:c>
    </x:row>
    <x:row r="439" ht="18" customHeight="1">
      <x:c r="A439" s="24" t="str">
        <x:v>EEZ_036</x:v>
      </x:c>
      <x:c r="B439" s="24" t="str">
        <x:v>Australia</x:v>
      </x:c>
      <x:c r="C439" s="24" t="str">
        <x:v>EEZ</x:v>
      </x:c>
      <x:c r="D439" s="30" t="n">
        <x:v>2019</x:v>
      </x:c>
      <x:c r="E439" s="24" t="str">
        <x:v>Cheilinus undulatus</x:v>
      </x:c>
      <x:c r="F439" s="24" t="str">
        <x:v>Humphead wrasse</x:v>
      </x:c>
      <x:c r="G439" s="24" t="str">
        <x:v>Large reef assoc. fish (&gt;=90 cm)</x:v>
      </x:c>
      <x:c r="H439" s="24" t="str">
        <x:v>Perch-likes</x:v>
      </x:c>
      <x:c r="I439" s="31" t="n">
        <x:v>0.1197878794</x:v>
      </x:c>
      <x:c r="J439" s="31" t="n">
        <x:v>0.1197878794</x:v>
      </x:c>
      <x:c r="K439" s="31" t="n">
        <x:v>0</x:v>
      </x:c>
      <x:c r="L439" s="31" t="n">
        <x:v>0</x:v>
      </x:c>
      <x:c r="M439" s="31" t="n">
        <x:v>0.1197878794</x:v>
      </x:c>
      <x:c r="N439" s="24" t="str">
        <x:v>cheilinus undulatus</x:v>
      </x:c>
      <x:c r="O439" s="32" t="n">
        <x:v>3.99</x:v>
      </x:c>
      <x:c r="P439" s="24" t="str">
        <x:v>exact_2020_supplement</x:v>
      </x:c>
      <x:c r="Q439" s="32" t="str">
        <x:v>2020 supplement MeanTL</x:v>
      </x:c>
      <x:c r="R439" s="24" t="str">
        <x:v>high</x:v>
      </x:c>
      <x:c r="S439" s="24" t="str">
        <x:v>Cheilinus undulatus</x:v>
      </x:c>
      <x:c r="T439" s="32" t="n">
        <x:f>IF(O439="","",(1/'Metadata'!$B$5)^(O439-1))</x:f>
        <x:v>977.2372209558112</x:v>
      </x:c>
      <x:c r="U439" s="31" t="n">
        <x:f>IF(T439="","",I439*T439)</x:f>
        <x:v>117.06117436904586</x:v>
      </x:c>
    </x:row>
    <x:row r="440" ht="18" customHeight="1">
      <x:c r="A440" s="24" t="str">
        <x:v>EEZ_036</x:v>
      </x:c>
      <x:c r="B440" s="24" t="str">
        <x:v>Australia</x:v>
      </x:c>
      <x:c r="C440" s="24" t="str">
        <x:v>EEZ</x:v>
      </x:c>
      <x:c r="D440" s="30" t="n">
        <x:v>2019</x:v>
      </x:c>
      <x:c r="E440" s="24" t="str">
        <x:v>Lutjanus gibbus</x:v>
      </x:c>
      <x:c r="F440" s="24" t="str">
        <x:v>Humpback red snapper</x:v>
      </x:c>
      <x:c r="G440" s="24" t="str">
        <x:v>Medium reef assoc. fish (30 - 89 cm)</x:v>
      </x:c>
      <x:c r="H440" s="24" t="str">
        <x:v>Perch-likes</x:v>
      </x:c>
      <x:c r="I440" s="31" t="n">
        <x:v>0.1150120765</x:v>
      </x:c>
      <x:c r="J440" s="31" t="n">
        <x:v>0.1150120765</x:v>
      </x:c>
      <x:c r="K440" s="31" t="n">
        <x:v>0</x:v>
      </x:c>
      <x:c r="L440" s="31" t="n">
        <x:v>0.11495325470000001</x:v>
      </x:c>
      <x:c r="M440" s="31" t="n">
        <x:v>0.0000588218</x:v>
      </x:c>
      <x:c r="N440" s="24" t="str">
        <x:v>lutjanus gibbus</x:v>
      </x:c>
      <x:c r="O440" s="32" t="n">
        <x:v>4.12</x:v>
      </x:c>
      <x:c r="P440" s="24" t="str">
        <x:v>exact_2020_supplement</x:v>
      </x:c>
      <x:c r="Q440" s="32" t="str">
        <x:v>2020 supplement MeanTL</x:v>
      </x:c>
      <x:c r="R440" s="24" t="str">
        <x:v>high</x:v>
      </x:c>
      <x:c r="S440" s="24" t="str">
        <x:v>Lutjanus gibbus</x:v>
      </x:c>
      <x:c r="T440" s="32" t="n">
        <x:f>IF(O440="","",(1/'Metadata'!$B$5)^(O440-1))</x:f>
        <x:v>1318.2567385564075</x:v>
      </x:c>
      <x:c r="U440" s="31" t="n">
        <x:f>IF(T440="","",I440*T440)</x:f>
        <x:v>151.61544486149006</x:v>
      </x:c>
    </x:row>
    <x:row r="441" ht="18" customHeight="1">
      <x:c r="A441" s="24" t="str">
        <x:v>EEZ_036</x:v>
      </x:c>
      <x:c r="B441" s="24" t="str">
        <x:v>Australia</x:v>
      </x:c>
      <x:c r="C441" s="24" t="str">
        <x:v>EEZ</x:v>
      </x:c>
      <x:c r="D441" s="30" t="n">
        <x:v>2019</x:v>
      </x:c>
      <x:c r="E441" s="24" t="str">
        <x:v>Holocentridae</x:v>
      </x:c>
      <x:c r="F441" s="24" t="str">
        <x:v>Squirrel-, soldierfishes</x:v>
      </x:c>
      <x:c r="G441" s="24" t="str">
        <x:v>Small reef assoc. fish (&lt;30 cm)</x:v>
      </x:c>
      <x:c r="H441" s="24" t="str">
        <x:v>Other fishes &amp; inverts</x:v>
      </x:c>
      <x:c r="I441" s="31" t="n">
        <x:v>0.1120706762</x:v>
      </x:c>
      <x:c r="J441" s="31" t="n">
        <x:v>0.1120706762</x:v>
      </x:c>
      <x:c r="K441" s="31" t="n">
        <x:v>0</x:v>
      </x:c>
      <x:c r="L441" s="31" t="n">
        <x:v>0.0989522912</x:v>
      </x:c>
      <x:c r="M441" s="31" t="n">
        <x:v>0.013118385</x:v>
      </x:c>
      <x:c r="N441" s="24" t="str">
        <x:v>holocentridae</x:v>
      </x:c>
      <x:c r="O441" s="32" t="n">
        <x:v>3.49</x:v>
      </x:c>
      <x:c r="P441" s="24" t="str">
        <x:v>exact_sea_around_us</x:v>
      </x:c>
      <x:c r="Q441" s="32" t="str">
        <x:v>Sea Around Us exploited organisms</x:v>
      </x:c>
      <x:c r="R441" s="24" t="str">
        <x:v>high</x:v>
      </x:c>
      <x:c r="S441" s="24" t="str">
        <x:v>Holocentridae</x:v>
      </x:c>
      <x:c r="T441" s="32" t="n">
        <x:f>IF(O441="","",(1/'Metadata'!$B$5)^(O441-1))</x:f>
        <x:v>309.0295432513592</x:v>
      </x:c>
      <x:c r="U441" s="31" t="n">
        <x:f>IF(T441="","",I441*T441)</x:f>
        <x:v>34.633149877956974</x:v>
      </x:c>
    </x:row>
    <x:row r="442" ht="18" customHeight="1">
      <x:c r="A442" s="24" t="str">
        <x:v>EEZ_036</x:v>
      </x:c>
      <x:c r="B442" s="24" t="str">
        <x:v>Australia</x:v>
      </x:c>
      <x:c r="C442" s="24" t="str">
        <x:v>EEZ</x:v>
      </x:c>
      <x:c r="D442" s="30" t="n">
        <x:v>2019</x:v>
      </x:c>
      <x:c r="E442" s="24" t="str">
        <x:v>Pristipomoides flavipinnis</x:v>
      </x:c>
      <x:c r="F442" s="24" t="str">
        <x:v>Golden eye jobfish</x:v>
      </x:c>
      <x:c r="G442" s="24" t="str">
        <x:v>Medium demersals (30 - 89 cm)</x:v>
      </x:c>
      <x:c r="H442" s="24" t="str">
        <x:v>Perch-likes</x:v>
      </x:c>
      <x:c r="I442" s="31" t="n">
        <x:v>0.1048244302</x:v>
      </x:c>
      <x:c r="J442" s="31" t="n">
        <x:v>0.1048244302</x:v>
      </x:c>
      <x:c r="K442" s="31" t="n">
        <x:v>0</x:v>
      </x:c>
      <x:c r="L442" s="31" t="n">
        <x:v>0.1048244302</x:v>
      </x:c>
      <x:c r="M442" s="31" t="n">
        <x:v>0</x:v>
      </x:c>
      <x:c r="N442" s="24" t="str">
        <x:v>pristipomoides flavipinnis</x:v>
      </x:c>
      <x:c r="O442" s="32" t="n">
        <x:v>3.6</x:v>
      </x:c>
      <x:c r="P442" s="24" t="str">
        <x:v>exact_2020_supplement</x:v>
      </x:c>
      <x:c r="Q442" s="32" t="str">
        <x:v>2020 supplement MeanTL</x:v>
      </x:c>
      <x:c r="R442" s="24" t="str">
        <x:v>high</x:v>
      </x:c>
      <x:c r="S442" s="24" t="str">
        <x:v>Pristipomoides flavipinnis</x:v>
      </x:c>
      <x:c r="T442" s="32" t="n">
        <x:f>IF(O442="","",(1/'Metadata'!$B$5)^(O442-1))</x:f>
        <x:v>398.1071705534973</x:v>
      </x:c>
      <x:c r="U442" s="31" t="n">
        <x:f>IF(T442="","",I442*T442)</x:f>
        <x:v>41.73135731180457</x:v>
      </x:c>
    </x:row>
    <x:row r="443" ht="18" customHeight="1">
      <x:c r="A443" s="24" t="str">
        <x:v>EEZ_036</x:v>
      </x:c>
      <x:c r="B443" s="24" t="str">
        <x:v>Australia</x:v>
      </x:c>
      <x:c r="C443" s="24" t="str">
        <x:v>EEZ</x:v>
      </x:c>
      <x:c r="D443" s="30" t="n">
        <x:v>2019</x:v>
      </x:c>
      <x:c r="E443" s="24" t="str">
        <x:v>Lutjanus fulviflamma</x:v>
      </x:c>
      <x:c r="F443" s="24" t="str">
        <x:v>Dory snapper</x:v>
      </x:c>
      <x:c r="G443" s="24" t="str">
        <x:v>Medium reef assoc. fish (30 - 89 cm)</x:v>
      </x:c>
      <x:c r="H443" s="24" t="str">
        <x:v>Perch-likes</x:v>
      </x:c>
      <x:c r="I443" s="31" t="n">
        <x:v>0.1027492508</x:v>
      </x:c>
      <x:c r="J443" s="31" t="n">
        <x:v>0.1027492508</x:v>
      </x:c>
      <x:c r="K443" s="31" t="n">
        <x:v>0</x:v>
      </x:c>
      <x:c r="L443" s="31" t="n">
        <x:v>0.0867814047</x:v>
      </x:c>
      <x:c r="M443" s="31" t="n">
        <x:v>0.0159678461</x:v>
      </x:c>
      <x:c r="N443" s="24" t="str">
        <x:v>lutjanus fulviflamma</x:v>
      </x:c>
      <x:c r="O443" s="32" t="n">
        <x:v>3.79</x:v>
      </x:c>
      <x:c r="P443" s="24" t="str">
        <x:v>exact_2020_supplement</x:v>
      </x:c>
      <x:c r="Q443" s="32" t="str">
        <x:v>2020 supplement MeanTL</x:v>
      </x:c>
      <x:c r="R443" s="24" t="str">
        <x:v>high</x:v>
      </x:c>
      <x:c r="S443" s="24" t="str">
        <x:v>Lutjanus fulviflamma</x:v>
      </x:c>
      <x:c r="T443" s="32" t="n">
        <x:f>IF(O443="","",(1/'Metadata'!$B$5)^(O443-1))</x:f>
        <x:v>616.5950018614822</x:v>
      </x:c>
      <x:c r="U443" s="31" t="n">
        <x:f>IF(T443="","",I443*T443)</x:f>
        <x:v>63.3546744882919</x:v>
      </x:c>
    </x:row>
    <x:row r="444" ht="18" customHeight="1">
      <x:c r="A444" s="24" t="str">
        <x:v>EEZ_036</x:v>
      </x:c>
      <x:c r="B444" s="24" t="str">
        <x:v>Australia</x:v>
      </x:c>
      <x:c r="C444" s="24" t="str">
        <x:v>EEZ</x:v>
      </x:c>
      <x:c r="D444" s="30" t="n">
        <x:v>2019</x:v>
      </x:c>
      <x:c r="E444" s="24" t="str">
        <x:v>Pristipomoides sieboldii</x:v>
      </x:c>
      <x:c r="F444" s="24" t="str">
        <x:v>Lavender jobfish</x:v>
      </x:c>
      <x:c r="G444" s="24" t="str">
        <x:v>Medium bathydemersals (30 - 89 cm)</x:v>
      </x:c>
      <x:c r="H444" s="24" t="str">
        <x:v>Perch-likes</x:v>
      </x:c>
      <x:c r="I444" s="31" t="n">
        <x:v>0.0977882484</x:v>
      </x:c>
      <x:c r="J444" s="31" t="n">
        <x:v>0.0977882484</x:v>
      </x:c>
      <x:c r="K444" s="31" t="n">
        <x:v>0</x:v>
      </x:c>
      <x:c r="L444" s="31" t="n">
        <x:v>0.07434704040000001</x:v>
      </x:c>
      <x:c r="M444" s="31" t="n">
        <x:v>0.023441208</x:v>
      </x:c>
      <x:c r="N444" s="24" t="str">
        <x:v>pristipomoides sieboldii</x:v>
      </x:c>
      <x:c r="O444" s="32" t="n">
        <x:v>3.67</x:v>
      </x:c>
      <x:c r="P444" s="24" t="str">
        <x:v>exact_2020_supplement</x:v>
      </x:c>
      <x:c r="Q444" s="32" t="str">
        <x:v>2020 supplement MeanTL</x:v>
      </x:c>
      <x:c r="R444" s="24" t="str">
        <x:v>high</x:v>
      </x:c>
      <x:c r="S444" s="24" t="str">
        <x:v>Pristipomoides sieboldii</x:v>
      </x:c>
      <x:c r="T444" s="32" t="n">
        <x:f>IF(O444="","",(1/'Metadata'!$B$5)^(O444-1))</x:f>
        <x:v>467.73514128719813</x:v>
      </x:c>
      <x:c r="U444" s="31" t="n">
        <x:f>IF(T444="","",I444*T444)</x:f>
        <x:v>45.739000181601625</x:v>
      </x:c>
    </x:row>
    <x:row r="445" ht="18" customHeight="1">
      <x:c r="A445" s="24" t="str">
        <x:v>EEZ_036</x:v>
      </x:c>
      <x:c r="B445" s="24" t="str">
        <x:v>Australia</x:v>
      </x:c>
      <x:c r="C445" s="24" t="str">
        <x:v>EEZ</x:v>
      </x:c>
      <x:c r="D445" s="30" t="n">
        <x:v>2019</x:v>
      </x:c>
      <x:c r="E445" s="24" t="str">
        <x:v>Kuhlia rupestris</x:v>
      </x:c>
      <x:c r="F445" s="24" t="str">
        <x:v>Rock flagtail</x:v>
      </x:c>
      <x:c r="G445" s="24" t="str">
        <x:v>Medium benthopelagics (30 - 89 cm)</x:v>
      </x:c>
      <x:c r="H445" s="24" t="str">
        <x:v>Perch-likes</x:v>
      </x:c>
      <x:c r="I445" s="31" t="n">
        <x:v>0.0890242988</x:v>
      </x:c>
      <x:c r="J445" s="31" t="n">
        <x:v>0.0890242988</x:v>
      </x:c>
      <x:c r="K445" s="31" t="n">
        <x:v>0</x:v>
      </x:c>
      <x:c r="L445" s="31" t="n">
        <x:v>0.0890242988</x:v>
      </x:c>
      <x:c r="M445" s="31" t="n">
        <x:v>0</x:v>
      </x:c>
      <x:c r="N445" s="24" t="str">
        <x:v>kuhlia rupestris</x:v>
      </x:c>
      <x:c r="O445" s="32" t="n">
        <x:v>3.22</x:v>
      </x:c>
      <x:c r="P445" s="24" t="str">
        <x:v>exact_2020_supplement</x:v>
      </x:c>
      <x:c r="Q445" s="32" t="str">
        <x:v>2020 supplement MeanTL</x:v>
      </x:c>
      <x:c r="R445" s="24" t="str">
        <x:v>high</x:v>
      </x:c>
      <x:c r="S445" s="24" t="str">
        <x:v>Kuhlia rupestris</x:v>
      </x:c>
      <x:c r="T445" s="32" t="n">
        <x:f>IF(O445="","",(1/'Metadata'!$B$5)^(O445-1))</x:f>
        <x:v>165.95869074375614</x:v>
      </x:c>
      <x:c r="U445" s="31" t="n">
        <x:f>IF(T445="","",I445*T445)</x:f>
        <x:v>14.77435607322894</x:v>
      </x:c>
    </x:row>
    <x:row r="446" ht="18" customHeight="1">
      <x:c r="A446" s="24" t="str">
        <x:v>EEZ_036</x:v>
      </x:c>
      <x:c r="B446" s="24" t="str">
        <x:v>Australia</x:v>
      </x:c>
      <x:c r="C446" s="24" t="str">
        <x:v>EEZ</x:v>
      </x:c>
      <x:c r="D446" s="30" t="n">
        <x:v>2019</x:v>
      </x:c>
      <x:c r="E446" s="24" t="str">
        <x:v>Cephalopholis boenak</x:v>
      </x:c>
      <x:c r="F446" s="24" t="str">
        <x:v>Chocolate hind</x:v>
      </x:c>
      <x:c r="G446" s="24" t="str">
        <x:v>Small reef assoc. fish (&lt;30 cm)</x:v>
      </x:c>
      <x:c r="H446" s="24" t="str">
        <x:v>Perch-likes</x:v>
      </x:c>
      <x:c r="I446" s="31" t="n">
        <x:v>0.0886008572</x:v>
      </x:c>
      <x:c r="J446" s="31" t="n">
        <x:v>0.0886008572</x:v>
      </x:c>
      <x:c r="K446" s="31" t="n">
        <x:v>0</x:v>
      </x:c>
      <x:c r="L446" s="31" t="n">
        <x:v>0.0867814047</x:v>
      </x:c>
      <x:c r="M446" s="31" t="n">
        <x:v>0.0018194525</x:v>
      </x:c>
      <x:c r="N446" s="24" t="str">
        <x:v>cephalopholis boenak</x:v>
      </x:c>
      <x:c r="O446" s="32" t="n">
        <x:v>4.07</x:v>
      </x:c>
      <x:c r="P446" s="24" t="str">
        <x:v>exact_2020_supplement</x:v>
      </x:c>
      <x:c r="Q446" s="32" t="str">
        <x:v>2020 supplement MeanTL</x:v>
      </x:c>
      <x:c r="R446" s="24" t="str">
        <x:v>high</x:v>
      </x:c>
      <x:c r="S446" s="24" t="str">
        <x:v>Cephalopholis boenak</x:v>
      </x:c>
      <x:c r="T446" s="32" t="n">
        <x:f>IF(O446="","",(1/'Metadata'!$B$5)^(O446-1))</x:f>
        <x:v>1174.8975549395302</x:v>
      </x:c>
      <x:c r="U446" s="31" t="n">
        <x:f>IF(T446="","",I446*T446)</x:f>
        <x:v>104.09693048982646</x:v>
      </x:c>
    </x:row>
    <x:row r="447" ht="18" customHeight="1">
      <x:c r="A447" s="24" t="str">
        <x:v>EEZ_036</x:v>
      </x:c>
      <x:c r="B447" s="24" t="str">
        <x:v>Australia</x:v>
      </x:c>
      <x:c r="C447" s="24" t="str">
        <x:v>EEZ</x:v>
      </x:c>
      <x:c r="D447" s="30" t="n">
        <x:v>2019</x:v>
      </x:c>
      <x:c r="E447" s="24" t="str">
        <x:v>Sphyraena qenie</x:v>
      </x:c>
      <x:c r="F447" s="24" t="str">
        <x:v>Blackfin barracuda</x:v>
      </x:c>
      <x:c r="G447" s="24" t="str">
        <x:v>Large reef assoc. fish (&gt;=90 cm)</x:v>
      </x:c>
      <x:c r="H447" s="24" t="str">
        <x:v>Perch-likes</x:v>
      </x:c>
      <x:c r="I447" s="31" t="n">
        <x:v>0.0883372379</x:v>
      </x:c>
      <x:c r="J447" s="31" t="n">
        <x:v>0.0883372379</x:v>
      </x:c>
      <x:c r="K447" s="31" t="n">
        <x:v>0</x:v>
      </x:c>
      <x:c r="L447" s="31" t="n">
        <x:v>0</x:v>
      </x:c>
      <x:c r="M447" s="31" t="n">
        <x:v>0.0883372379</x:v>
      </x:c>
      <x:c r="N447" s="24" t="str">
        <x:v>sphyraena qenie</x:v>
      </x:c>
      <x:c r="O447" s="32" t="n">
        <x:v>4.4</x:v>
      </x:c>
      <x:c r="P447" s="24" t="str">
        <x:v>exact_2020_supplement</x:v>
      </x:c>
      <x:c r="Q447" s="32" t="str">
        <x:v>2020 supplement MeanTL</x:v>
      </x:c>
      <x:c r="R447" s="24" t="str">
        <x:v>high</x:v>
      </x:c>
      <x:c r="S447" s="24" t="str">
        <x:v>Sphyraena qenie</x:v>
      </x:c>
      <x:c r="T447" s="32" t="n">
        <x:f>IF(O447="","",(1/'Metadata'!$B$5)^(O447-1))</x:f>
        <x:v>2511.886431509582</x:v>
      </x:c>
      <x:c r="U447" s="31" t="n">
        <x:f>IF(T447="","",I447*T447)</x:f>
        <x:v>221.89310927804402</x:v>
      </x:c>
    </x:row>
    <x:row r="448" ht="18" customHeight="1">
      <x:c r="A448" s="24" t="str">
        <x:v>EEZ_036</x:v>
      </x:c>
      <x:c r="B448" s="24" t="str">
        <x:v>Australia</x:v>
      </x:c>
      <x:c r="C448" s="24" t="str">
        <x:v>EEZ</x:v>
      </x:c>
      <x:c r="D448" s="30" t="n">
        <x:v>2019</x:v>
      </x:c>
      <x:c r="E448" s="24" t="str">
        <x:v>Cephalopholis argus</x:v>
      </x:c>
      <x:c r="F448" s="24" t="str">
        <x:v>Peacock hind</x:v>
      </x:c>
      <x:c r="G448" s="24" t="str">
        <x:v>Medium reef assoc. fish (30 - 89 cm)</x:v>
      </x:c>
      <x:c r="H448" s="24" t="str">
        <x:v>Perch-likes</x:v>
      </x:c>
      <x:c r="I448" s="31" t="n">
        <x:v>0.0880396681</x:v>
      </x:c>
      <x:c r="J448" s="31" t="n">
        <x:v>0.0880396681</x:v>
      </x:c>
      <x:c r="K448" s="31" t="n">
        <x:v>0</x:v>
      </x:c>
      <x:c r="L448" s="31" t="n">
        <x:v>0.0509754385</x:v>
      </x:c>
      <x:c r="M448" s="31" t="n">
        <x:v>0.0370642296</x:v>
      </x:c>
      <x:c r="N448" s="24" t="str">
        <x:v>cephalopholis argus</x:v>
      </x:c>
      <x:c r="O448" s="32" t="n">
        <x:v>4.48</x:v>
      </x:c>
      <x:c r="P448" s="24" t="str">
        <x:v>exact_2020_supplement</x:v>
      </x:c>
      <x:c r="Q448" s="32" t="str">
        <x:v>2020 supplement MeanTL</x:v>
      </x:c>
      <x:c r="R448" s="24" t="str">
        <x:v>high</x:v>
      </x:c>
      <x:c r="S448" s="24" t="str">
        <x:v>Cephalopholis argus</x:v>
      </x:c>
      <x:c r="T448" s="32" t="n">
        <x:f>IF(O448="","",(1/'Metadata'!$B$5)^(O448-1))</x:f>
        <x:v>3019.951720402019</x:v>
      </x:c>
      <x:c r="U448" s="31" t="n">
        <x:f>IF(T448="","",I448*T448)</x:f>
        <x:v>265.8755471422177</x:v>
      </x:c>
    </x:row>
    <x:row r="449" ht="18" customHeight="1">
      <x:c r="A449" s="24" t="str">
        <x:v>EEZ_036</x:v>
      </x:c>
      <x:c r="B449" s="24" t="str">
        <x:v>Australia</x:v>
      </x:c>
      <x:c r="C449" s="24" t="str">
        <x:v>EEZ</x:v>
      </x:c>
      <x:c r="D449" s="30" t="n">
        <x:v>2019</x:v>
      </x:c>
      <x:c r="E449" s="24" t="str">
        <x:v>Caranx melampygus</x:v>
      </x:c>
      <x:c r="F449" s="24" t="str">
        <x:v>Bluefin trevally</x:v>
      </x:c>
      <x:c r="G449" s="24" t="str">
        <x:v>Large reef assoc. fish (&gt;=90 cm)</x:v>
      </x:c>
      <x:c r="H449" s="24" t="str">
        <x:v>Perch-likes</x:v>
      </x:c>
      <x:c r="I449" s="31" t="n">
        <x:v>0.0868800345</x:v>
      </x:c>
      <x:c r="J449" s="31" t="n">
        <x:v>0.0868800345</x:v>
      </x:c>
      <x:c r="K449" s="31" t="n">
        <x:v>0</x:v>
      </x:c>
      <x:c r="L449" s="31" t="n">
        <x:v>0.0750516545</x:v>
      </x:c>
      <x:c r="M449" s="31" t="n">
        <x:v>0.01182838</x:v>
      </x:c>
      <x:c r="N449" s="24" t="str">
        <x:v>caranx melampygus</x:v>
      </x:c>
      <x:c r="O449" s="32" t="n">
        <x:v>4.49</x:v>
      </x:c>
      <x:c r="P449" s="24" t="str">
        <x:v>exact_2020_supplement</x:v>
      </x:c>
      <x:c r="Q449" s="32" t="str">
        <x:v>2020 supplement MeanTL</x:v>
      </x:c>
      <x:c r="R449" s="24" t="str">
        <x:v>high</x:v>
      </x:c>
      <x:c r="S449" s="24" t="str">
        <x:v>Caranx melampygus</x:v>
      </x:c>
      <x:c r="T449" s="32" t="n">
        <x:f>IF(O449="","",(1/'Metadata'!$B$5)^(O449-1))</x:f>
        <x:v>3090.295432513592</x:v>
      </x:c>
      <x:c r="U449" s="31" t="n">
        <x:f>IF(T449="","",I449*T449)</x:f>
        <x:v>268.4849737919733</x:v>
      </x:c>
    </x:row>
    <x:row r="450" ht="18" customHeight="1">
      <x:c r="A450" s="24" t="str">
        <x:v>EEZ_036</x:v>
      </x:c>
      <x:c r="B450" s="24" t="str">
        <x:v>Australia</x:v>
      </x:c>
      <x:c r="C450" s="24" t="str">
        <x:v>EEZ</x:v>
      </x:c>
      <x:c r="D450" s="30" t="n">
        <x:v>2019</x:v>
      </x:c>
      <x:c r="E450" s="24" t="str">
        <x:v>Abudefduf sordidus</x:v>
      </x:c>
      <x:c r="F450" s="24" t="str">
        <x:v>Blackspot sergeant</x:v>
      </x:c>
      <x:c r="G450" s="24" t="str">
        <x:v>Small reef assoc. fish (&lt;30 cm)</x:v>
      </x:c>
      <x:c r="H450" s="24" t="str">
        <x:v>Perch-likes</x:v>
      </x:c>
      <x:c r="I450" s="31" t="n">
        <x:v>0.0867814047</x:v>
      </x:c>
      <x:c r="J450" s="31" t="n">
        <x:v>0.0867814047</x:v>
      </x:c>
      <x:c r="K450" s="31" t="n">
        <x:v>0</x:v>
      </x:c>
      <x:c r="L450" s="31" t="n">
        <x:v>0.0867814047</x:v>
      </x:c>
      <x:c r="M450" s="31" t="n">
        <x:v>0</x:v>
      </x:c>
      <x:c r="N450" s="24" t="str">
        <x:v>abudefduf sordidus</x:v>
      </x:c>
      <x:c r="O450" s="32" t="n">
        <x:v>2.88</x:v>
      </x:c>
      <x:c r="P450" s="24" t="str">
        <x:v>exact_2020_supplement</x:v>
      </x:c>
      <x:c r="Q450" s="32" t="str">
        <x:v>2020 supplement MeanTL</x:v>
      </x:c>
      <x:c r="R450" s="24" t="str">
        <x:v>high</x:v>
      </x:c>
      <x:c r="S450" s="24" t="str">
        <x:v>Abudefduf sordidus</x:v>
      </x:c>
      <x:c r="T450" s="32" t="n">
        <x:f>IF(O450="","",(1/'Metadata'!$B$5)^(O450-1))</x:f>
        <x:v>75.85775750291836</x:v>
      </x:c>
      <x:c r="U450" s="31" t="n">
        <x:f>IF(T450="","",I450*T450)</x:f>
        <x:v>6.583042753495219</x:v>
      </x:c>
    </x:row>
    <x:row r="451" ht="18" customHeight="1">
      <x:c r="A451" s="24" t="str">
        <x:v>EEZ_036</x:v>
      </x:c>
      <x:c r="B451" s="24" t="str">
        <x:v>Australia</x:v>
      </x:c>
      <x:c r="C451" s="24" t="str">
        <x:v>EEZ</x:v>
      </x:c>
      <x:c r="D451" s="30" t="n">
        <x:v>2019</x:v>
      </x:c>
      <x:c r="E451" s="24" t="str">
        <x:v>Caesionidae</x:v>
      </x:c>
      <x:c r="F451" s="24" t="str">
        <x:v>Fusiliers</x:v>
      </x:c>
      <x:c r="G451" s="24" t="str">
        <x:v>Medium reef assoc. fish (30 - 89 cm)</x:v>
      </x:c>
      <x:c r="H451" s="24" t="str">
        <x:v>Perch-likes</x:v>
      </x:c>
      <x:c r="I451" s="31" t="n">
        <x:v>0.0854833774</x:v>
      </x:c>
      <x:c r="J451" s="31" t="n">
        <x:v>0.0854833774</x:v>
      </x:c>
      <x:c r="K451" s="31" t="n">
        <x:v>0</x:v>
      </x:c>
      <x:c r="L451" s="31" t="n">
        <x:v>0.0827534914</x:v>
      </x:c>
      <x:c r="M451" s="31" t="n">
        <x:v>0.002729886</x:v>
      </x:c>
      <x:c r="N451" s="24" t="str">
        <x:v>caesionidae</x:v>
      </x:c>
      <x:c r="O451" s="32" t="n">
        <x:v>3.39</x:v>
      </x:c>
      <x:c r="P451" s="24" t="str">
        <x:v>exact_sea_around_us</x:v>
      </x:c>
      <x:c r="Q451" s="32" t="str">
        <x:v>Sea Around Us exploited organisms</x:v>
      </x:c>
      <x:c r="R451" s="24" t="str">
        <x:v>high</x:v>
      </x:c>
      <x:c r="S451" s="24" t="str">
        <x:v>Caesionidae</x:v>
      </x:c>
      <x:c r="T451" s="32" t="n">
        <x:f>IF(O451="","",(1/'Metadata'!$B$5)^(O451-1))</x:f>
        <x:v>245.4708915685031</x:v>
      </x:c>
      <x:c r="U451" s="31" t="n">
        <x:f>IF(T451="","",I451*T451)</x:f>
        <x:v>20.98368086466483</x:v>
      </x:c>
    </x:row>
    <x:row r="452" ht="18" customHeight="1">
      <x:c r="A452" s="24" t="str">
        <x:v>EEZ_036</x:v>
      </x:c>
      <x:c r="B452" s="24" t="str">
        <x:v>Australia</x:v>
      </x:c>
      <x:c r="C452" s="24" t="str">
        <x:v>EEZ</x:v>
      </x:c>
      <x:c r="D452" s="30" t="n">
        <x:v>2019</x:v>
      </x:c>
      <x:c r="E452" s="24" t="str">
        <x:v>Pterygotrigla</x:v>
      </x:c>
      <x:c r="F452" s="24" t="str">
        <x:v>Latchets</x:v>
      </x:c>
      <x:c r="G452" s="24" t="str">
        <x:v>Medium bathydemersals (30 - 89 cm)</x:v>
      </x:c>
      <x:c r="H452" s="24" t="str">
        <x:v>Scorpionfishes</x:v>
      </x:c>
      <x:c r="I452" s="31" t="n">
        <x:v>0.08473932070000001</x:v>
      </x:c>
      <x:c r="J452" s="31" t="n">
        <x:v>0.08473932070000001</x:v>
      </x:c>
      <x:c r="K452" s="31" t="n">
        <x:v>0</x:v>
      </x:c>
      <x:c r="L452" s="31" t="n">
        <x:v>0.08473932070000001</x:v>
      </x:c>
      <x:c r="M452" s="31" t="n">
        <x:v>0</x:v>
      </x:c>
      <x:c r="N452" s="24" t="str">
        <x:v>pterygotrigla</x:v>
      </x:c>
      <x:c r="O452" s="32" t="n">
        <x:v>3.56</x:v>
      </x:c>
      <x:c r="P452" s="24" t="str">
        <x:v>exact_sea_around_us</x:v>
      </x:c>
      <x:c r="Q452" s="32" t="str">
        <x:v>Sea Around Us exploited organisms</x:v>
      </x:c>
      <x:c r="R452" s="24" t="str">
        <x:v>high</x:v>
      </x:c>
      <x:c r="S452" s="24" t="str">
        <x:v>Pterygotrigla</x:v>
      </x:c>
      <x:c r="T452" s="32" t="n">
        <x:f>IF(O452="","",(1/'Metadata'!$B$5)^(O452-1))</x:f>
        <x:v>363.0780547701014</x:v>
      </x:c>
      <x:c r="U452" s="31" t="n">
        <x:f>IF(T452="","",I452*T452)</x:f>
        <x:v>30.76698772229579</x:v>
      </x:c>
    </x:row>
    <x:row r="453" ht="18" customHeight="1">
      <x:c r="A453" s="24" t="str">
        <x:v>EEZ_036</x:v>
      </x:c>
      <x:c r="B453" s="24" t="str">
        <x:v>Australia</x:v>
      </x:c>
      <x:c r="C453" s="24" t="str">
        <x:v>EEZ</x:v>
      </x:c>
      <x:c r="D453" s="30" t="n">
        <x:v>2019</x:v>
      </x:c>
      <x:c r="E453" s="24" t="str">
        <x:v>Sarda australis</x:v>
      </x:c>
      <x:c r="F453" s="24" t="str">
        <x:v>Australian bonito</x:v>
      </x:c>
      <x:c r="G453" s="24" t="str">
        <x:v>Small pelagics (&lt;30 cm)</x:v>
      </x:c>
      <x:c r="H453" s="24" t="str">
        <x:v>Perch-likes</x:v>
      </x:c>
      <x:c r="I453" s="31" t="n">
        <x:v>0.0812282833</x:v>
      </x:c>
      <x:c r="J453" s="31" t="n">
        <x:v>0.0812282833</x:v>
      </x:c>
      <x:c r="K453" s="31" t="n">
        <x:v>0</x:v>
      </x:c>
      <x:c r="L453" s="31" t="n">
        <x:v>0.0812282833</x:v>
      </x:c>
      <x:c r="M453" s="31" t="n">
        <x:v>0</x:v>
      </x:c>
      <x:c r="N453" s="24" t="str">
        <x:v>sarda australis</x:v>
      </x:c>
      <x:c r="O453" s="32" t="n">
        <x:v>4.5</x:v>
      </x:c>
      <x:c r="P453" s="24" t="str">
        <x:v>exact_2020_supplement</x:v>
      </x:c>
      <x:c r="Q453" s="32" t="str">
        <x:v>2020 supplement MeanTL</x:v>
      </x:c>
      <x:c r="R453" s="24" t="str">
        <x:v>high</x:v>
      </x:c>
      <x:c r="S453" s="24" t="str">
        <x:v>Sarda australis</x:v>
      </x:c>
      <x:c r="T453" s="32" t="n">
        <x:f>IF(O453="","",(1/'Metadata'!$B$5)^(O453-1))</x:f>
        <x:v>3162.2776601683795</x:v>
      </x:c>
      <x:c r="U453" s="31" t="n">
        <x:f>IF(T453="","",I453*T453)</x:f>
        <x:v>256.86638565341826</x:v>
      </x:c>
    </x:row>
    <x:row r="454" ht="18" customHeight="1">
      <x:c r="A454" s="24" t="str">
        <x:v>EEZ_036</x:v>
      </x:c>
      <x:c r="B454" s="24" t="str">
        <x:v>Australia</x:v>
      </x:c>
      <x:c r="C454" s="24" t="str">
        <x:v>EEZ</x:v>
      </x:c>
      <x:c r="D454" s="30" t="n">
        <x:v>2019</x:v>
      </x:c>
      <x:c r="E454" s="24" t="str">
        <x:v>Sarda orientalis</x:v>
      </x:c>
      <x:c r="F454" s="24" t="str">
        <x:v>Striped bonito</x:v>
      </x:c>
      <x:c r="G454" s="24" t="str">
        <x:v>Large pelagics (&gt;=90 cm)</x:v>
      </x:c>
      <x:c r="H454" s="24" t="str">
        <x:v>Tuna &amp; billfishes</x:v>
      </x:c>
      <x:c r="I454" s="31" t="n">
        <x:v>0.0757002442</x:v>
      </x:c>
      <x:c r="J454" s="31" t="n">
        <x:v>0.0757002442</x:v>
      </x:c>
      <x:c r="K454" s="31" t="n">
        <x:v>0</x:v>
      </x:c>
      <x:c r="L454" s="31" t="n">
        <x:v>0</x:v>
      </x:c>
      <x:c r="M454" s="31" t="n">
        <x:v>0.0757002442</x:v>
      </x:c>
      <x:c r="N454" s="24" t="str">
        <x:v>sarda orientalis</x:v>
      </x:c>
      <x:c r="O454" s="32" t="n">
        <x:v>4.21</x:v>
      </x:c>
      <x:c r="P454" s="24" t="str">
        <x:v>exact_2020_supplement</x:v>
      </x:c>
      <x:c r="Q454" s="32" t="str">
        <x:v>2020 supplement MeanTL</x:v>
      </x:c>
      <x:c r="R454" s="24" t="str">
        <x:v>high</x:v>
      </x:c>
      <x:c r="S454" s="24" t="str">
        <x:v>Sarda orientalis</x:v>
      </x:c>
      <x:c r="T454" s="32" t="n">
        <x:f>IF(O454="","",(1/'Metadata'!$B$5)^(O454-1))</x:f>
        <x:v>1621.8100973589299</x:v>
      </x:c>
      <x:c r="U454" s="31" t="n">
        <x:f>IF(T454="","",I454*T454)</x:f>
        <x:v>122.77142041609677</x:v>
      </x:c>
    </x:row>
    <x:row r="455" ht="18" customHeight="1">
      <x:c r="A455" s="24" t="str">
        <x:v>EEZ_036</x:v>
      </x:c>
      <x:c r="B455" s="24" t="str">
        <x:v>Australia</x:v>
      </x:c>
      <x:c r="C455" s="24" t="str">
        <x:v>EEZ</x:v>
      </x:c>
      <x:c r="D455" s="30" t="n">
        <x:v>2019</x:v>
      </x:c>
      <x:c r="E455" s="24" t="str">
        <x:v>Seriola rivoliana</x:v>
      </x:c>
      <x:c r="F455" s="24" t="str">
        <x:v>Longfin yellowtail</x:v>
      </x:c>
      <x:c r="G455" s="24" t="str">
        <x:v>Large benthopelagics (&gt;=90 cm)</x:v>
      </x:c>
      <x:c r="H455" s="24" t="str">
        <x:v>Perch-likes</x:v>
      </x:c>
      <x:c r="I455" s="31" t="n">
        <x:v>0.07448665930000001</x:v>
      </x:c>
      <x:c r="J455" s="31" t="n">
        <x:v>0.07448665930000001</x:v>
      </x:c>
      <x:c r="K455" s="31" t="n">
        <x:v>0</x:v>
      </x:c>
      <x:c r="L455" s="31" t="n">
        <x:v>0.07448665930000001</x:v>
      </x:c>
      <x:c r="M455" s="31" t="n">
        <x:v>0</x:v>
      </x:c>
      <x:c r="N455" s="24" t="str">
        <x:v>seriola rivoliana</x:v>
      </x:c>
      <x:c r="O455" s="32" t="n">
        <x:v>4.45</x:v>
      </x:c>
      <x:c r="P455" s="24" t="str">
        <x:v>exact_2020_supplement</x:v>
      </x:c>
      <x:c r="Q455" s="32" t="str">
        <x:v>2020 supplement MeanTL</x:v>
      </x:c>
      <x:c r="R455" s="24" t="str">
        <x:v>high</x:v>
      </x:c>
      <x:c r="S455" s="24" t="str">
        <x:v>Seriola rivoliana</x:v>
      </x:c>
      <x:c r="T455" s="32" t="n">
        <x:f>IF(O455="","",(1/'Metadata'!$B$5)^(O455-1))</x:f>
        <x:v>2818.382931264455</x:v>
      </x:c>
      <x:c r="U455" s="31" t="n">
        <x:f>IF(T455="","",I455*T455)</x:f>
        <x:v>209.93192917803077</x:v>
      </x:c>
    </x:row>
    <x:row r="456" ht="18" customHeight="1">
      <x:c r="A456" s="24" t="str">
        <x:v>EEZ_036</x:v>
      </x:c>
      <x:c r="B456" s="24" t="str">
        <x:v>Australia</x:v>
      </x:c>
      <x:c r="C456" s="24" t="str">
        <x:v>EEZ</x:v>
      </x:c>
      <x:c r="D456" s="30" t="n">
        <x:v>2019</x:v>
      </x:c>
      <x:c r="E456" s="24" t="str">
        <x:v>Platycephalus indicus</x:v>
      </x:c>
      <x:c r="F456" s="24" t="str">
        <x:v>Bartail flathead</x:v>
      </x:c>
      <x:c r="G456" s="24" t="str">
        <x:v>Medium demersals (30 - 89 cm)</x:v>
      </x:c>
      <x:c r="H456" s="24" t="str">
        <x:v>Scorpionfishes</x:v>
      </x:c>
      <x:c r="I456" s="31" t="n">
        <x:v>0.07448665930000001</x:v>
      </x:c>
      <x:c r="J456" s="31" t="n">
        <x:v>0.07448665930000001</x:v>
      </x:c>
      <x:c r="K456" s="31" t="n">
        <x:v>0</x:v>
      </x:c>
      <x:c r="L456" s="31" t="n">
        <x:v>0.07448665930000001</x:v>
      </x:c>
      <x:c r="M456" s="31" t="n">
        <x:v>0</x:v>
      </x:c>
      <x:c r="N456" s="24" t="str">
        <x:v>platycephalus indicus</x:v>
      </x:c>
      <x:c r="O456" s="32" t="n">
        <x:v>3.6</x:v>
      </x:c>
      <x:c r="P456" s="24" t="str">
        <x:v>exact_2020_supplement</x:v>
      </x:c>
      <x:c r="Q456" s="32" t="str">
        <x:v>2020 supplement MeanTL</x:v>
      </x:c>
      <x:c r="R456" s="24" t="str">
        <x:v>high</x:v>
      </x:c>
      <x:c r="S456" s="24" t="str">
        <x:v>Platycephalus indicus</x:v>
      </x:c>
      <x:c r="T456" s="32" t="n">
        <x:f>IF(O456="","",(1/'Metadata'!$B$5)^(O456-1))</x:f>
        <x:v>398.1071705534973</x:v>
      </x:c>
      <x:c r="U456" s="31" t="n">
        <x:f>IF(T456="","",I456*T456)</x:f>
        <x:v>29.65367317790535</x:v>
      </x:c>
    </x:row>
    <x:row r="457" ht="18" customHeight="1">
      <x:c r="A457" s="24" t="str">
        <x:v>EEZ_036</x:v>
      </x:c>
      <x:c r="B457" s="24" t="str">
        <x:v>Australia</x:v>
      </x:c>
      <x:c r="C457" s="24" t="str">
        <x:v>EEZ</x:v>
      </x:c>
      <x:c r="D457" s="30" t="n">
        <x:v>2019</x:v>
      </x:c>
      <x:c r="E457" s="24" t="str">
        <x:v>Lutjanus monostigma</x:v>
      </x:c>
      <x:c r="F457" s="24" t="str">
        <x:v>One-spot snapper</x:v>
      </x:c>
      <x:c r="G457" s="24" t="str">
        <x:v>Medium reef assoc. fish (30 - 89 cm)</x:v>
      </x:c>
      <x:c r="H457" s="24" t="str">
        <x:v>Perch-likes</x:v>
      </x:c>
      <x:c r="I457" s="31" t="n">
        <x:v>0.0729913965</x:v>
      </x:c>
      <x:c r="J457" s="31" t="n">
        <x:v>0.0729913965</x:v>
      </x:c>
      <x:c r="K457" s="31" t="n">
        <x:v>0</x:v>
      </x:c>
      <x:c r="L457" s="31" t="n">
        <x:v>0.0729913965</x:v>
      </x:c>
      <x:c r="M457" s="31" t="n">
        <x:v>0</x:v>
      </x:c>
      <x:c r="N457" s="24" t="str">
        <x:v>lutjanus monostigma</x:v>
      </x:c>
      <x:c r="O457" s="32" t="n">
        <x:v>4.27</x:v>
      </x:c>
      <x:c r="P457" s="24" t="str">
        <x:v>exact_2020_supplement</x:v>
      </x:c>
      <x:c r="Q457" s="32" t="str">
        <x:v>2020 supplement MeanTL</x:v>
      </x:c>
      <x:c r="R457" s="24" t="str">
        <x:v>high</x:v>
      </x:c>
      <x:c r="S457" s="24" t="str">
        <x:v>Lutjanus monostigma</x:v>
      </x:c>
      <x:c r="T457" s="32" t="n">
        <x:f>IF(O457="","",(1/'Metadata'!$B$5)^(O457-1))</x:f>
        <x:v>1862.0871366628655</x:v>
      </x:c>
      <x:c r="U457" s="31" t="n">
        <x:f>IF(T457="","",I457*T457)</x:f>
        <x:v>135.9163405097089</x:v>
      </x:c>
    </x:row>
    <x:row r="458" ht="18" customHeight="1">
      <x:c r="A458" s="24" t="str">
        <x:v>EEZ_036</x:v>
      </x:c>
      <x:c r="B458" s="24" t="str">
        <x:v>Australia</x:v>
      </x:c>
      <x:c r="C458" s="24" t="str">
        <x:v>EEZ</x:v>
      </x:c>
      <x:c r="D458" s="30" t="n">
        <x:v>2019</x:v>
      </x:c>
      <x:c r="E458" s="24" t="str">
        <x:v>Auxis rochei</x:v>
      </x:c>
      <x:c r="F458" s="24" t="str">
        <x:v>Bullet tuna</x:v>
      </x:c>
      <x:c r="G458" s="24" t="str">
        <x:v>Medium pelagics (30 - 89 cm)</x:v>
      </x:c>
      <x:c r="H458" s="24" t="str">
        <x:v>Tuna &amp; billfishes</x:v>
      </x:c>
      <x:c r="I458" s="31" t="n">
        <x:v>0.0650536101</x:v>
      </x:c>
      <x:c r="J458" s="31" t="n">
        <x:v>0.0650536101</x:v>
      </x:c>
      <x:c r="K458" s="31" t="n">
        <x:v>0</x:v>
      </x:c>
      <x:c r="L458" s="31" t="n">
        <x:v>0.0568254724</x:v>
      </x:c>
      <x:c r="M458" s="31" t="n">
        <x:v>0.0082281377</x:v>
      </x:c>
      <x:c r="N458" s="24" t="str">
        <x:v>auxis rochei</x:v>
      </x:c>
      <x:c r="O458" s="32" t="n">
        <x:v>4.13</x:v>
      </x:c>
      <x:c r="P458" s="24" t="str">
        <x:v>exact_2020_supplement</x:v>
      </x:c>
      <x:c r="Q458" s="32" t="str">
        <x:v>2020 supplement MeanTL</x:v>
      </x:c>
      <x:c r="R458" s="24" t="str">
        <x:v>high</x:v>
      </x:c>
      <x:c r="S458" s="24" t="str">
        <x:v>Auxis rochei</x:v>
      </x:c>
      <x:c r="T458" s="32" t="n">
        <x:f>IF(O458="","",(1/'Metadata'!$B$5)^(O458-1))</x:f>
        <x:v>1348.9628825916532</x:v>
      </x:c>
      <x:c r="U458" s="31" t="n">
        <x:f>IF(T458="","",I458*T458)</x:f>
        <x:v>87.75490540348949</x:v>
      </x:c>
    </x:row>
    <x:row r="459" ht="18" customHeight="1">
      <x:c r="A459" s="24" t="str">
        <x:v>EEZ_036</x:v>
      </x:c>
      <x:c r="B459" s="24" t="str">
        <x:v>Australia</x:v>
      </x:c>
      <x:c r="C459" s="24" t="str">
        <x:v>EEZ</x:v>
      </x:c>
      <x:c r="D459" s="30" t="n">
        <x:v>2019</x:v>
      </x:c>
      <x:c r="E459" s="24" t="str">
        <x:v>Odontaspis ferox</x:v>
      </x:c>
      <x:c r="F459" s="24" t="str">
        <x:v>Smalltooth sand tiger</x:v>
      </x:c>
      <x:c r="G459" s="24" t="str">
        <x:v>Large sharks (&gt;=90 cm)</x:v>
      </x:c>
      <x:c r="H459" s="24" t="str">
        <x:v>Sharks &amp; rays</x:v>
      </x:c>
      <x:c r="I459" s="31" t="n">
        <x:v>0.0574058369</x:v>
      </x:c>
      <x:c r="J459" s="31" t="n">
        <x:v>0.0574058369</x:v>
      </x:c>
      <x:c r="K459" s="31" t="n">
        <x:v>0</x:v>
      </x:c>
      <x:c r="L459" s="31" t="n">
        <x:v>0.0574058369</x:v>
      </x:c>
      <x:c r="M459" s="31" t="n">
        <x:v>0</x:v>
      </x:c>
      <x:c r="N459" s="24" t="str">
        <x:v>odontaspis ferox</x:v>
      </x:c>
      <x:c r="O459" s="32" t="n">
        <x:v>4.16</x:v>
      </x:c>
      <x:c r="P459" s="24" t="str">
        <x:v>exact_2020_supplement</x:v>
      </x:c>
      <x:c r="Q459" s="32" t="str">
        <x:v>2020 supplement MeanTL</x:v>
      </x:c>
      <x:c r="R459" s="24" t="str">
        <x:v>high</x:v>
      </x:c>
      <x:c r="S459" s="24" t="str">
        <x:v>Odontaspis ferox</x:v>
      </x:c>
      <x:c r="T459" s="32" t="n">
        <x:f>IF(O459="","",(1/'Metadata'!$B$5)^(O459-1))</x:f>
        <x:v>1445.439770745928</x:v>
      </x:c>
      <x:c r="U459" s="31" t="n">
        <x:f>IF(T459="","",I459*T459)</x:f>
        <x:v>82.97667972821414</x:v>
      </x:c>
    </x:row>
    <x:row r="460" ht="18" customHeight="1">
      <x:c r="A460" s="24" t="str">
        <x:v>EEZ_036</x:v>
      </x:c>
      <x:c r="B460" s="24" t="str">
        <x:v>Australia</x:v>
      </x:c>
      <x:c r="C460" s="24" t="str">
        <x:v>EEZ</x:v>
      </x:c>
      <x:c r="D460" s="30" t="n">
        <x:v>2019</x:v>
      </x:c>
      <x:c r="E460" s="24" t="str">
        <x:v>Mola</x:v>
      </x:c>
      <x:c r="F460" s="24" t="str">
        <x:v>Sunfishes</x:v>
      </x:c>
      <x:c r="G460" s="24" t="str">
        <x:v>Large pelagics (&gt;=90 cm)</x:v>
      </x:c>
      <x:c r="H460" s="24" t="str">
        <x:v>Other fishes &amp; inverts</x:v>
      </x:c>
      <x:c r="I460" s="31" t="n">
        <x:v>0.057143034800000006</x:v>
      </x:c>
      <x:c r="J460" s="31" t="n">
        <x:v>0.057143034800000006</x:v>
      </x:c>
      <x:c r="K460" s="31" t="n">
        <x:v>0</x:v>
      </x:c>
      <x:c r="L460" s="31" t="n">
        <x:v>0.057143034800000006</x:v>
      </x:c>
      <x:c r="M460" s="31" t="n">
        <x:v>0</x:v>
      </x:c>
      <x:c r="N460" s="24" t="str">
        <x:v>mola</x:v>
      </x:c>
      <x:c r="O460" s="32" t="n">
        <x:v>3.68</x:v>
      </x:c>
      <x:c r="P460" s="24" t="str">
        <x:v>exact_sea_around_us</x:v>
      </x:c>
      <x:c r="Q460" s="32" t="str">
        <x:v>Sea Around Us exploited organisms</x:v>
      </x:c>
      <x:c r="R460" s="24" t="str">
        <x:v>high</x:v>
      </x:c>
      <x:c r="S460" s="24" t="str">
        <x:v>Mola</x:v>
      </x:c>
      <x:c r="T460" s="32" t="n">
        <x:f>IF(O460="","",(1/'Metadata'!$B$5)^(O460-1))</x:f>
        <x:v>478.6300923226385</x:v>
      </x:c>
      <x:c r="U460" s="31" t="n">
        <x:f>IF(T460="","",I460*T460)</x:f>
        <x:v>27.35037602191975</x:v>
      </x:c>
    </x:row>
    <x:row r="461" ht="18" customHeight="1">
      <x:c r="A461" s="24" t="str">
        <x:v>EEZ_036</x:v>
      </x:c>
      <x:c r="B461" s="24" t="str">
        <x:v>Australia</x:v>
      </x:c>
      <x:c r="C461" s="24" t="str">
        <x:v>EEZ</x:v>
      </x:c>
      <x:c r="D461" s="30" t="n">
        <x:v>2019</x:v>
      </x:c>
      <x:c r="E461" s="24" t="str">
        <x:v>Symphorichthys spilurus</x:v>
      </x:c>
      <x:c r="F461" s="24" t="str">
        <x:v>Sailfin snapper</x:v>
      </x:c>
      <x:c r="G461" s="24" t="str">
        <x:v>Medium reef assoc. fish (30 - 89 cm)</x:v>
      </x:c>
      <x:c r="H461" s="24" t="str">
        <x:v>Perch-likes</x:v>
      </x:c>
      <x:c r="I461" s="31" t="n">
        <x:v>0.053748345</x:v>
      </x:c>
      <x:c r="J461" s="31" t="n">
        <x:v>0.053748345</x:v>
      </x:c>
      <x:c r="K461" s="31" t="n">
        <x:v>0</x:v>
      </x:c>
      <x:c r="L461" s="31" t="n">
        <x:v>0</x:v>
      </x:c>
      <x:c r="M461" s="31" t="n">
        <x:v>0.053748345</x:v>
      </x:c>
      <x:c r="N461" s="24" t="str">
        <x:v>symphorichthys spilurus</x:v>
      </x:c>
      <x:c r="O461" s="32" t="n">
        <x:v>3.8</x:v>
      </x:c>
      <x:c r="P461" s="24" t="str">
        <x:v>exact_2020_supplement</x:v>
      </x:c>
      <x:c r="Q461" s="32" t="str">
        <x:v>2020 supplement MeanTL</x:v>
      </x:c>
      <x:c r="R461" s="24" t="str">
        <x:v>high</x:v>
      </x:c>
      <x:c r="S461" s="24" t="str">
        <x:v>Symphorichthys spilurus</x:v>
      </x:c>
      <x:c r="T461" s="32" t="n">
        <x:f>IF(O461="","",(1/'Metadata'!$B$5)^(O461-1))</x:f>
        <x:v>630.957344480193</x:v>
      </x:c>
      <x:c r="U461" s="31" t="n">
        <x:f>IF(T461="","",I461*T461)</x:f>
        <x:v>33.91291303140526</x:v>
      </x:c>
    </x:row>
    <x:row r="462" ht="18" customHeight="1">
      <x:c r="A462" s="24" t="str">
        <x:v>EEZ_036</x:v>
      </x:c>
      <x:c r="B462" s="24" t="str">
        <x:v>Australia</x:v>
      </x:c>
      <x:c r="C462" s="24" t="str">
        <x:v>EEZ</x:v>
      </x:c>
      <x:c r="D462" s="30" t="n">
        <x:v>2019</x:v>
      </x:c>
      <x:c r="E462" s="24" t="str">
        <x:v>Lethrinus obsoletus</x:v>
      </x:c>
      <x:c r="F462" s="24" t="str">
        <x:v>Orange-striped emperor</x:v>
      </x:c>
      <x:c r="G462" s="24" t="str">
        <x:v>Medium demersals (30 - 89 cm)</x:v>
      </x:c>
      <x:c r="H462" s="24" t="str">
        <x:v>Perch-likes</x:v>
      </x:c>
      <x:c r="I462" s="31" t="n">
        <x:v>0.053501891</x:v>
      </x:c>
      <x:c r="J462" s="31" t="n">
        <x:v>0.053501891</x:v>
      </x:c>
      <x:c r="K462" s="31" t="n">
        <x:v>0</x:v>
      </x:c>
      <x:c r="L462" s="31" t="n">
        <x:v>0.053501891</x:v>
      </x:c>
      <x:c r="M462" s="31" t="n">
        <x:v>0</x:v>
      </x:c>
      <x:c r="N462" s="24" t="str">
        <x:v>lethrinus obsoletus</x:v>
      </x:c>
      <x:c r="O462" s="32" t="n">
        <x:v>3.89</x:v>
      </x:c>
      <x:c r="P462" s="24" t="str">
        <x:v>exact_2020_supplement</x:v>
      </x:c>
      <x:c r="Q462" s="32" t="str">
        <x:v>2020 supplement MeanTL</x:v>
      </x:c>
      <x:c r="R462" s="24" t="str">
        <x:v>high</x:v>
      </x:c>
      <x:c r="S462" s="24" t="str">
        <x:v>Lethrinus obsoletus</x:v>
      </x:c>
      <x:c r="T462" s="32" t="n">
        <x:f>IF(O462="","",(1/'Metadata'!$B$5)^(O462-1))</x:f>
        <x:v>776.247116628692</x:v>
      </x:c>
      <x:c r="U462" s="31" t="n">
        <x:f>IF(T462="","",I462*T462)</x:f>
        <x:v>41.530688622932566</x:v>
      </x:c>
    </x:row>
    <x:row r="463" ht="18" customHeight="1">
      <x:c r="A463" s="24" t="str">
        <x:v>EEZ_036</x:v>
      </x:c>
      <x:c r="B463" s="24" t="str">
        <x:v>Australia</x:v>
      </x:c>
      <x:c r="C463" s="24" t="str">
        <x:v>EEZ</x:v>
      </x:c>
      <x:c r="D463" s="30" t="n">
        <x:v>2019</x:v>
      </x:c>
      <x:c r="E463" s="24" t="str">
        <x:v>Scomberoides lysan</x:v>
      </x:c>
      <x:c r="F463" s="24" t="str">
        <x:v>Doublespotted queenfish</x:v>
      </x:c>
      <x:c r="G463" s="24" t="str">
        <x:v>Medium reef assoc. fish (30 - 89 cm)</x:v>
      </x:c>
      <x:c r="H463" s="24" t="str">
        <x:v>Perch-likes</x:v>
      </x:c>
      <x:c r="I463" s="31" t="n">
        <x:v>0.053302868999999996</x:v>
      </x:c>
      <x:c r="J463" s="31" t="n">
        <x:v>0.053302868999999996</x:v>
      </x:c>
      <x:c r="K463" s="31" t="n">
        <x:v>0</x:v>
      </x:c>
      <x:c r="L463" s="31" t="n">
        <x:v>0.053302868999999996</x:v>
      </x:c>
      <x:c r="M463" s="31" t="n">
        <x:v>0</x:v>
      </x:c>
      <x:c r="N463" s="24" t="str">
        <x:v>scomberoides lysan</x:v>
      </x:c>
      <x:c r="O463" s="32" t="n">
        <x:v>4.38</x:v>
      </x:c>
      <x:c r="P463" s="24" t="str">
        <x:v>exact_2020_supplement</x:v>
      </x:c>
      <x:c r="Q463" s="32" t="str">
        <x:v>2020 supplement MeanTL</x:v>
      </x:c>
      <x:c r="R463" s="24" t="str">
        <x:v>high</x:v>
      </x:c>
      <x:c r="S463" s="24" t="str">
        <x:v>Scomberoides lysan</x:v>
      </x:c>
      <x:c r="T463" s="32" t="n">
        <x:f>IF(O463="","",(1/'Metadata'!$B$5)^(O463-1))</x:f>
        <x:v>2398.83291901949</x:v>
      </x:c>
      <x:c r="U463" s="31" t="n">
        <x:f>IF(T463="","",I463*T463)</x:f>
        <x:v>127.86467683538348</x:v>
      </x:c>
    </x:row>
    <x:row r="464" ht="18" customHeight="1">
      <x:c r="A464" s="24" t="str">
        <x:v>EEZ_036</x:v>
      </x:c>
      <x:c r="B464" s="24" t="str">
        <x:v>Australia</x:v>
      </x:c>
      <x:c r="C464" s="24" t="str">
        <x:v>EEZ</x:v>
      </x:c>
      <x:c r="D464" s="30" t="n">
        <x:v>2019</x:v>
      </x:c>
      <x:c r="E464" s="24" t="str">
        <x:v>Allocyttus niger</x:v>
      </x:c>
      <x:c r="F464" s="24" t="str">
        <x:v>Black oreo</x:v>
      </x:c>
      <x:c r="G464" s="24" t="str">
        <x:v>Medium bathypelagics (30 - 89 cm)</x:v>
      </x:c>
      <x:c r="H464" s="24" t="str">
        <x:v>Other fishes &amp; inverts</x:v>
      </x:c>
      <x:c r="I464" s="31" t="n">
        <x:v>0.0490972435</x:v>
      </x:c>
      <x:c r="J464" s="31" t="n">
        <x:v>0.0490972435</x:v>
      </x:c>
      <x:c r="K464" s="31" t="n">
        <x:v>0</x:v>
      </x:c>
      <x:c r="L464" s="31" t="n">
        <x:v>0.0490972435</x:v>
      </x:c>
      <x:c r="M464" s="31" t="n">
        <x:v>0</x:v>
      </x:c>
      <x:c r="N464" s="24" t="str">
        <x:v>allocyttus niger</x:v>
      </x:c>
      <x:c r="O464" s="32" t="n">
        <x:v>3.38</x:v>
      </x:c>
      <x:c r="P464" s="24" t="str">
        <x:v>exact_2020_supplement</x:v>
      </x:c>
      <x:c r="Q464" s="32" t="str">
        <x:v>2020 supplement MeanTL</x:v>
      </x:c>
      <x:c r="R464" s="24" t="str">
        <x:v>high</x:v>
      </x:c>
      <x:c r="S464" s="24" t="str">
        <x:v>Allocyttus niger</x:v>
      </x:c>
      <x:c r="T464" s="32" t="n">
        <x:f>IF(O464="","",(1/'Metadata'!$B$5)^(O464-1))</x:f>
        <x:v>239.88329190194898</x:v>
      </x:c>
      <x:c r="U464" s="31" t="n">
        <x:f>IF(T464="","",I464*T464)</x:f>
        <x:v>11.777608394091567</x:v>
      </x:c>
    </x:row>
    <x:row r="465" ht="18" customHeight="1">
      <x:c r="A465" s="24" t="str">
        <x:v>EEZ_036</x:v>
      </x:c>
      <x:c r="B465" s="24" t="str">
        <x:v>Australia</x:v>
      </x:c>
      <x:c r="C465" s="24" t="str">
        <x:v>EEZ</x:v>
      </x:c>
      <x:c r="D465" s="30" t="n">
        <x:v>2019</x:v>
      </x:c>
      <x:c r="E465" s="24" t="str">
        <x:v>Diastobranchus capensis</x:v>
      </x:c>
      <x:c r="F465" s="24" t="str">
        <x:v>Basketwork eel</x:v>
      </x:c>
      <x:c r="G465" s="24" t="str">
        <x:v>Large bathydemersals (&gt;=90 cm)</x:v>
      </x:c>
      <x:c r="H465" s="24" t="str">
        <x:v>Other fishes &amp; inverts</x:v>
      </x:c>
      <x:c r="I465" s="31" t="n">
        <x:v>0.0438929798</x:v>
      </x:c>
      <x:c r="J465" s="31" t="n">
        <x:v>0.0438929798</x:v>
      </x:c>
      <x:c r="K465" s="31" t="n">
        <x:v>0</x:v>
      </x:c>
      <x:c r="L465" s="31" t="n">
        <x:v>0.0438929798</x:v>
      </x:c>
      <x:c r="M465" s="31" t="n">
        <x:v>0</x:v>
      </x:c>
      <x:c r="N465" s="24" t="str">
        <x:v>diastobranchus capensis</x:v>
      </x:c>
      <x:c r="O465" s="32" t="n">
        <x:v>3.99</x:v>
      </x:c>
      <x:c r="P465" s="24" t="str">
        <x:v>exact_sea_around_us</x:v>
      </x:c>
      <x:c r="Q465" s="32" t="str">
        <x:v>Sea Around Us exploited organisms</x:v>
      </x:c>
      <x:c r="R465" s="24" t="str">
        <x:v>high</x:v>
      </x:c>
      <x:c r="S465" s="24" t="str">
        <x:v>Diastobranchus capensis</x:v>
      </x:c>
      <x:c r="T465" s="32" t="n">
        <x:f>IF(O465="","",(1/'Metadata'!$B$5)^(O465-1))</x:f>
        <x:v>977.2372209558112</x:v>
      </x:c>
      <x:c r="U465" s="31" t="n">
        <x:f>IF(T465="","",I465*T465)</x:f>
        <x:v>42.89385359922156</x:v>
      </x:c>
    </x:row>
    <x:row r="466" ht="18" customHeight="1">
      <x:c r="A466" s="24" t="str">
        <x:v>EEZ_036</x:v>
      </x:c>
      <x:c r="B466" s="24" t="str">
        <x:v>Australia</x:v>
      </x:c>
      <x:c r="C466" s="24" t="str">
        <x:v>EEZ</x:v>
      </x:c>
      <x:c r="D466" s="30" t="n">
        <x:v>2019</x:v>
      </x:c>
      <x:c r="E466" s="24" t="str">
        <x:v>Ophichthidae</x:v>
      </x:c>
      <x:c r="F466" s="24" t="str">
        <x:v>Snake eels</x:v>
      </x:c>
      <x:c r="G466" s="24" t="str">
        <x:v>Medium demersals (30 - 89 cm)</x:v>
      </x:c>
      <x:c r="H466" s="24" t="str">
        <x:v>Other fishes &amp; inverts</x:v>
      </x:c>
      <x:c r="I466" s="31" t="n">
        <x:v>0.03860754</x:v>
      </x:c>
      <x:c r="J466" s="31" t="n">
        <x:v>0.03860754</x:v>
      </x:c>
      <x:c r="K466" s="31" t="n">
        <x:v>0</x:v>
      </x:c>
      <x:c r="L466" s="31" t="n">
        <x:v>0</x:v>
      </x:c>
      <x:c r="M466" s="31" t="n">
        <x:v>0.03860754</x:v>
      </x:c>
      <x:c r="N466" s="24" t="str">
        <x:v>ophichthidae</x:v>
      </x:c>
      <x:c r="O466" s="32" t="n">
        <x:v>3.64</x:v>
      </x:c>
      <x:c r="P466" s="24" t="str">
        <x:v>exact_sea_around_us</x:v>
      </x:c>
      <x:c r="Q466" s="32" t="str">
        <x:v>Sea Around Us exploited organisms</x:v>
      </x:c>
      <x:c r="R466" s="24" t="str">
        <x:v>high</x:v>
      </x:c>
      <x:c r="S466" s="24" t="str">
        <x:v>Ophichthidae</x:v>
      </x:c>
      <x:c r="T466" s="32" t="n">
        <x:f>IF(O466="","",(1/'Metadata'!$B$5)^(O466-1))</x:f>
        <x:v>436.5158322401661</x:v>
      </x:c>
      <x:c r="U466" s="31" t="n">
        <x:f>IF(T466="","",I466*T466)</x:f>
        <x:v>16.852802453845502</x:v>
      </x:c>
    </x:row>
    <x:row r="467" ht="18" customHeight="1">
      <x:c r="A467" s="24" t="str">
        <x:v>EEZ_036</x:v>
      </x:c>
      <x:c r="B467" s="24" t="str">
        <x:v>Australia</x:v>
      </x:c>
      <x:c r="C467" s="24" t="str">
        <x:v>EEZ</x:v>
      </x:c>
      <x:c r="D467" s="30" t="n">
        <x:v>2019</x:v>
      </x:c>
      <x:c r="E467" s="24" t="str">
        <x:v>Trachinotus blochii</x:v>
      </x:c>
      <x:c r="F467" s="24" t="str">
        <x:v>Snubnose pompano</x:v>
      </x:c>
      <x:c r="G467" s="24" t="str">
        <x:v>Large reef assoc. fish (&gt;=90 cm)</x:v>
      </x:c>
      <x:c r="H467" s="24" t="str">
        <x:v>Perch-likes</x:v>
      </x:c>
      <x:c r="I467" s="31" t="n">
        <x:v>0.0361045421</x:v>
      </x:c>
      <x:c r="J467" s="31" t="n">
        <x:v>0.0361045421</x:v>
      </x:c>
      <x:c r="K467" s="31" t="n">
        <x:v>0</x:v>
      </x:c>
      <x:c r="L467" s="31" t="n">
        <x:v>0</x:v>
      </x:c>
      <x:c r="M467" s="31" t="n">
        <x:v>0.0361045421</x:v>
      </x:c>
      <x:c r="N467" s="24" t="str">
        <x:v>trachinotus blochii</x:v>
      </x:c>
      <x:c r="O467" s="32" t="n">
        <x:v>3.74</x:v>
      </x:c>
      <x:c r="P467" s="24" t="str">
        <x:v>exact_2020_supplement</x:v>
      </x:c>
      <x:c r="Q467" s="32" t="str">
        <x:v>2020 supplement MeanTL</x:v>
      </x:c>
      <x:c r="R467" s="24" t="str">
        <x:v>high</x:v>
      </x:c>
      <x:c r="S467" s="24" t="str">
        <x:v>Trachinotus blochii</x:v>
      </x:c>
      <x:c r="T467" s="32" t="n">
        <x:f>IF(O467="","",(1/'Metadata'!$B$5)^(O467-1))</x:f>
        <x:v>549.5408738576248</x:v>
      </x:c>
      <x:c r="U467" s="31" t="n">
        <x:f>IF(T467="","",I467*T467)</x:f>
        <x:v>19.8409216158634</x:v>
      </x:c>
    </x:row>
    <x:row r="468" ht="18" customHeight="1">
      <x:c r="A468" s="24" t="str">
        <x:v>EEZ_036</x:v>
      </x:c>
      <x:c r="B468" s="24" t="str">
        <x:v>Australia</x:v>
      </x:c>
      <x:c r="C468" s="24" t="str">
        <x:v>EEZ</x:v>
      </x:c>
      <x:c r="D468" s="30" t="n">
        <x:v>2019</x:v>
      </x:c>
      <x:c r="E468" s="24" t="str">
        <x:v>Macolor macularis</x:v>
      </x:c>
      <x:c r="F468" s="24" t="str">
        <x:v>Midnight snapper</x:v>
      </x:c>
      <x:c r="G468" s="24" t="str">
        <x:v>Medium reef assoc. fish (30 - 89 cm)</x:v>
      </x:c>
      <x:c r="H468" s="24" t="str">
        <x:v>Perch-likes</x:v>
      </x:c>
      <x:c r="I468" s="31" t="n">
        <x:v>0.0360458262</x:v>
      </x:c>
      <x:c r="J468" s="31" t="n">
        <x:v>0.0360458262</x:v>
      </x:c>
      <x:c r="K468" s="31" t="n">
        <x:v>0</x:v>
      </x:c>
      <x:c r="L468" s="31" t="n">
        <x:v>0.0227182919</x:v>
      </x:c>
      <x:c r="M468" s="31" t="n">
        <x:v>0.0133275343</x:v>
      </x:c>
      <x:c r="N468" s="24" t="str">
        <x:v>macolor macularis</x:v>
      </x:c>
      <x:c r="O468" s="32" t="n">
        <x:v>3.97</x:v>
      </x:c>
      <x:c r="P468" s="24" t="str">
        <x:v>exact_2020_supplement</x:v>
      </x:c>
      <x:c r="Q468" s="32" t="str">
        <x:v>2020 supplement MeanTL</x:v>
      </x:c>
      <x:c r="R468" s="24" t="str">
        <x:v>high</x:v>
      </x:c>
      <x:c r="S468" s="24" t="str">
        <x:v>Macolor macularis</x:v>
      </x:c>
      <x:c r="T468" s="32" t="n">
        <x:f>IF(O468="","",(1/'Metadata'!$B$5)^(O468-1))</x:f>
        <x:v>933.2543007969915</x:v>
      </x:c>
      <x:c r="U468" s="31" t="n">
        <x:f>IF(T468="","",I468*T468)</x:f>
        <x:v>33.63992232693088</x:v>
      </x:c>
    </x:row>
    <x:row r="469" ht="18" customHeight="1">
      <x:c r="A469" s="24" t="str">
        <x:v>EEZ_036</x:v>
      </x:c>
      <x:c r="B469" s="24" t="str">
        <x:v>Australia</x:v>
      </x:c>
      <x:c r="C469" s="24" t="str">
        <x:v>EEZ</x:v>
      </x:c>
      <x:c r="D469" s="30" t="n">
        <x:v>2019</x:v>
      </x:c>
      <x:c r="E469" s="24" t="str">
        <x:v>Lepidocybium flavobrunneum</x:v>
      </x:c>
      <x:c r="F469" s="24" t="str">
        <x:v>Escolar</x:v>
      </x:c>
      <x:c r="G469" s="24" t="str">
        <x:v>Large bathypelagics (&gt;=90 cm)</x:v>
      </x:c>
      <x:c r="H469" s="24" t="str">
        <x:v>Perch-likes</x:v>
      </x:c>
      <x:c r="I469" s="31" t="n">
        <x:v>0.034086818399999996</x:v>
      </x:c>
      <x:c r="J469" s="31" t="n">
        <x:v>0.034086818399999996</x:v>
      </x:c>
      <x:c r="K469" s="31" t="n">
        <x:v>0</x:v>
      </x:c>
      <x:c r="L469" s="31" t="n">
        <x:v>0.034086818399999996</x:v>
      </x:c>
      <x:c r="M469" s="31" t="n">
        <x:v>0</x:v>
      </x:c>
      <x:c r="N469" s="24" t="str">
        <x:v>lepidocybium flavobrunneum</x:v>
      </x:c>
      <x:c r="O469" s="32" t="n">
        <x:v>4.34</x:v>
      </x:c>
      <x:c r="P469" s="24" t="str">
        <x:v>exact_2020_supplement</x:v>
      </x:c>
      <x:c r="Q469" s="32" t="str">
        <x:v>2020 supplement MeanTL</x:v>
      </x:c>
      <x:c r="R469" s="24" t="str">
        <x:v>high</x:v>
      </x:c>
      <x:c r="S469" s="24" t="str">
        <x:v>Lepidocybium flavobrunneum</x:v>
      </x:c>
      <x:c r="T469" s="32" t="n">
        <x:f>IF(O469="","",(1/'Metadata'!$B$5)^(O469-1))</x:f>
        <x:v>2187.761623949552</x:v>
      </x:c>
      <x:c r="U469" s="31" t="n">
        <x:f>IF(T469="","",I469*T469)</x:f>
        <x:v>74.57383317805746</x:v>
      </x:c>
    </x:row>
    <x:row r="470" ht="18" customHeight="1">
      <x:c r="A470" s="24" t="str">
        <x:v>EEZ_036</x:v>
      </x:c>
      <x:c r="B470" s="24" t="str">
        <x:v>Australia</x:v>
      </x:c>
      <x:c r="C470" s="24" t="str">
        <x:v>EEZ</x:v>
      </x:c>
      <x:c r="D470" s="30" t="n">
        <x:v>2019</x:v>
      </x:c>
      <x:c r="E470" s="24" t="str">
        <x:v>Platax orbicularis</x:v>
      </x:c>
      <x:c r="F470" s="24" t="str">
        <x:v>Orbicular batfish</x:v>
      </x:c>
      <x:c r="G470" s="24" t="str">
        <x:v>Medium reef assoc. fish (30 - 89 cm)</x:v>
      </x:c>
      <x:c r="H470" s="24" t="str">
        <x:v>Perch-likes</x:v>
      </x:c>
      <x:c r="I470" s="31" t="n">
        <x:v>0.0327646501</x:v>
      </x:c>
      <x:c r="J470" s="31" t="n">
        <x:v>0.0327646501</x:v>
      </x:c>
      <x:c r="K470" s="31" t="n">
        <x:v>0</x:v>
      </x:c>
      <x:c r="L470" s="31" t="n">
        <x:v>0</x:v>
      </x:c>
      <x:c r="M470" s="31" t="n">
        <x:v>0.0327646501</x:v>
      </x:c>
      <x:c r="N470" s="24" t="str">
        <x:v>platax orbicularis</x:v>
      </x:c>
      <x:c r="O470" s="32" t="n">
        <x:v>3.33</x:v>
      </x:c>
      <x:c r="P470" s="24" t="str">
        <x:v>exact_2020_supplement</x:v>
      </x:c>
      <x:c r="Q470" s="32" t="str">
        <x:v>2020 supplement MeanTL</x:v>
      </x:c>
      <x:c r="R470" s="24" t="str">
        <x:v>high</x:v>
      </x:c>
      <x:c r="S470" s="24" t="str">
        <x:v>Platax orbicularis</x:v>
      </x:c>
      <x:c r="T470" s="32" t="n">
        <x:f>IF(O470="","",(1/'Metadata'!$B$5)^(O470-1))</x:f>
        <x:v>213.79620895022325</x:v>
      </x:c>
      <x:c r="U470" s="31" t="n">
        <x:f>IF(T470="","",I470*T470)</x:f>
        <x:v>7.004957978960553</x:v>
      </x:c>
    </x:row>
    <x:row r="471" ht="18" customHeight="1">
      <x:c r="A471" s="24" t="str">
        <x:v>EEZ_036</x:v>
      </x:c>
      <x:c r="B471" s="24" t="str">
        <x:v>Australia</x:v>
      </x:c>
      <x:c r="C471" s="24" t="str">
        <x:v>EEZ</x:v>
      </x:c>
      <x:c r="D471" s="30" t="n">
        <x:v>2019</x:v>
      </x:c>
      <x:c r="E471" s="24" t="str">
        <x:v>Scarus rubroviolaceus</x:v>
      </x:c>
      <x:c r="F471" s="24" t="str">
        <x:v>Ember parrotfish</x:v>
      </x:c>
      <x:c r="G471" s="24" t="str">
        <x:v>Medium reef assoc. fish (30 - 89 cm)</x:v>
      </x:c>
      <x:c r="H471" s="24" t="str">
        <x:v>Perch-likes</x:v>
      </x:c>
      <x:c r="I471" s="31" t="n">
        <x:v>0.0288152309</x:v>
      </x:c>
      <x:c r="J471" s="31" t="n">
        <x:v>0.0288152309</x:v>
      </x:c>
      <x:c r="K471" s="31" t="n">
        <x:v>0</x:v>
      </x:c>
      <x:c r="L471" s="31" t="n">
        <x:v>0</x:v>
      </x:c>
      <x:c r="M471" s="31" t="n">
        <x:v>0.0288152309</x:v>
      </x:c>
      <x:c r="N471" s="24" t="str">
        <x:v>scarus rubroviolaceus</x:v>
      </x:c>
      <x:c r="O471" s="32" t="n">
        <x:v>2</x:v>
      </x:c>
      <x:c r="P471" s="24" t="str">
        <x:v>exact_2020_supplement</x:v>
      </x:c>
      <x:c r="Q471" s="32" t="str">
        <x:v>2020 supplement MeanTL</x:v>
      </x:c>
      <x:c r="R471" s="24" t="str">
        <x:v>high</x:v>
      </x:c>
      <x:c r="S471" s="24" t="str">
        <x:v>Scarus rubroviolaceus</x:v>
      </x:c>
      <x:c r="T471" s="32" t="n">
        <x:f>IF(O471="","",(1/'Metadata'!$B$5)^(O471-1))</x:f>
        <x:v>10</x:v>
      </x:c>
      <x:c r="U471" s="31" t="n">
        <x:f>IF(T471="","",I471*T471)</x:f>
        <x:v>0.288152309</x:v>
      </x:c>
    </x:row>
    <x:row r="472" ht="18" customHeight="1">
      <x:c r="A472" s="24" t="str">
        <x:v>EEZ_036</x:v>
      </x:c>
      <x:c r="B472" s="24" t="str">
        <x:v>Australia</x:v>
      </x:c>
      <x:c r="C472" s="24" t="str">
        <x:v>EEZ</x:v>
      </x:c>
      <x:c r="D472" s="30" t="n">
        <x:v>2019</x:v>
      </x:c>
      <x:c r="E472" s="24" t="str">
        <x:v>Parupeneus cyclostomus</x:v>
      </x:c>
      <x:c r="F472" s="24" t="str">
        <x:v>Gold-saddle goatfish</x:v>
      </x:c>
      <x:c r="G472" s="24" t="str">
        <x:v>Medium reef assoc. fish (30 - 89 cm)</x:v>
      </x:c>
      <x:c r="H472" s="24" t="str">
        <x:v>Perch-likes</x:v>
      </x:c>
      <x:c r="I472" s="31" t="n">
        <x:v>0.0268022589</x:v>
      </x:c>
      <x:c r="J472" s="31" t="n">
        <x:v>0.0268022589</x:v>
      </x:c>
      <x:c r="K472" s="31" t="n">
        <x:v>0</x:v>
      </x:c>
      <x:c r="L472" s="31" t="n">
        <x:v>0</x:v>
      </x:c>
      <x:c r="M472" s="31" t="n">
        <x:v>0.0268022589</x:v>
      </x:c>
      <x:c r="N472" s="24" t="str">
        <x:v>parupeneus cyclostomus</x:v>
      </x:c>
      <x:c r="O472" s="32" t="n">
        <x:v>4.2</x:v>
      </x:c>
      <x:c r="P472" s="24" t="str">
        <x:v>exact_2020_supplement</x:v>
      </x:c>
      <x:c r="Q472" s="32" t="str">
        <x:v>2020 supplement MeanTL</x:v>
      </x:c>
      <x:c r="R472" s="24" t="str">
        <x:v>high</x:v>
      </x:c>
      <x:c r="S472" s="24" t="str">
        <x:v>Parupeneus cyclostomus</x:v>
      </x:c>
      <x:c r="T472" s="32" t="n">
        <x:f>IF(O472="","",(1/'Metadata'!$B$5)^(O472-1))</x:f>
        <x:v>1584.893192461114</x:v>
      </x:c>
      <x:c r="U472" s="31" t="n">
        <x:f>IF(T472="","",I472*T472)</x:f>
        <x:v>42.47871767319031</x:v>
      </x:c>
    </x:row>
    <x:row r="473" ht="18" customHeight="1">
      <x:c r="A473" s="24" t="str">
        <x:v>EEZ_036</x:v>
      </x:c>
      <x:c r="B473" s="24" t="str">
        <x:v>Australia</x:v>
      </x:c>
      <x:c r="C473" s="24" t="str">
        <x:v>EEZ</x:v>
      </x:c>
      <x:c r="D473" s="30" t="n">
        <x:v>2019</x:v>
      </x:c>
      <x:c r="E473" s="24" t="str">
        <x:v>Echinodermata</x:v>
      </x:c>
      <x:c r="F473" s="24" t="str">
        <x:v>Sea urchins, stars, cucumbers</x:v>
      </x:c>
      <x:c r="G473" s="24" t="str">
        <x:v>Other demersal invertebrates</x:v>
      </x:c>
      <x:c r="H473" s="24" t="str">
        <x:v>Other fishes &amp; inverts</x:v>
      </x:c>
      <x:c r="I473" s="31" t="n">
        <x:v>0.0266109259</x:v>
      </x:c>
      <x:c r="J473" s="31" t="n">
        <x:v>0.0266109259</x:v>
      </x:c>
      <x:c r="K473" s="31" t="n">
        <x:v>0</x:v>
      </x:c>
      <x:c r="L473" s="31" t="n">
        <x:v>0</x:v>
      </x:c>
      <x:c r="M473" s="31" t="n">
        <x:v>0.0266109259</x:v>
      </x:c>
      <x:c r="N473" s="24" t="str">
        <x:v>echinodermata</x:v>
      </x:c>
      <x:c r="O473" s="32" t="n">
        <x:v>2.3</x:v>
      </x:c>
      <x:c r="P473" s="24" t="str">
        <x:v>exact_sea_around_us</x:v>
      </x:c>
      <x:c r="Q473" s="32" t="str">
        <x:v>Sea Around Us exploited organisms</x:v>
      </x:c>
      <x:c r="R473" s="24" t="str">
        <x:v>high</x:v>
      </x:c>
      <x:c r="S473" s="24" t="str">
        <x:v>Echinodermata</x:v>
      </x:c>
      <x:c r="T473" s="32" t="n">
        <x:f>IF(O473="","",(1/'Metadata'!$B$5)^(O473-1))</x:f>
        <x:v>19.952623149688787</x:v>
      </x:c>
      <x:c r="U473" s="31" t="n">
        <x:f>IF(T473="","",I473*T473)</x:f>
        <x:v>0.5309577761469929</x:v>
      </x:c>
    </x:row>
    <x:row r="474" ht="18" customHeight="1">
      <x:c r="A474" s="24" t="str">
        <x:v>EEZ_036</x:v>
      </x:c>
      <x:c r="B474" s="24" t="str">
        <x:v>Australia</x:v>
      </x:c>
      <x:c r="C474" s="24" t="str">
        <x:v>EEZ</x:v>
      </x:c>
      <x:c r="D474" s="30" t="n">
        <x:v>2019</x:v>
      </x:c>
      <x:c r="E474" s="24" t="str">
        <x:v>Diodon</x:v>
      </x:c>
      <x:c r="F474" s="24" t="str">
        <x:v>Porcupinefishes</x:v>
      </x:c>
      <x:c r="G474" s="24" t="str">
        <x:v>Medium reef assoc. fish (30 - 89 cm)</x:v>
      </x:c>
      <x:c r="H474" s="24" t="str">
        <x:v>Other fishes &amp; inverts</x:v>
      </x:c>
      <x:c r="I474" s="31" t="n">
        <x:v>0.026122937800000003</x:v>
      </x:c>
      <x:c r="J474" s="31" t="n">
        <x:v>0.026122937800000003</x:v>
      </x:c>
      <x:c r="K474" s="31" t="n">
        <x:v>0</x:v>
      </x:c>
      <x:c r="L474" s="31" t="n">
        <x:v>0.0205955996</x:v>
      </x:c>
      <x:c r="M474" s="31" t="n">
        <x:v>0.0055273382</x:v>
      </x:c>
      <x:c r="N474" s="24" t="str">
        <x:v>diodon</x:v>
      </x:c>
      <x:c r="O474" s="32" t="n">
        <x:v>3.36</x:v>
      </x:c>
      <x:c r="P474" s="24" t="str">
        <x:v>exact_sea_around_us</x:v>
      </x:c>
      <x:c r="Q474" s="32" t="str">
        <x:v>Sea Around Us exploited organisms</x:v>
      </x:c>
      <x:c r="R474" s="24" t="str">
        <x:v>high</x:v>
      </x:c>
      <x:c r="S474" s="24" t="str">
        <x:v>Diodon</x:v>
      </x:c>
      <x:c r="T474" s="32" t="n">
        <x:f>IF(O474="","",(1/'Metadata'!$B$5)^(O474-1))</x:f>
        <x:v>229.08676527677724</x:v>
      </x:c>
      <x:c r="U474" s="31" t="n">
        <x:f>IF(T474="","",I474*T474)</x:f>
        <x:v>5.984419320128453</x:v>
      </x:c>
    </x:row>
    <x:row r="475" ht="18" customHeight="1">
      <x:c r="A475" s="24" t="str">
        <x:v>EEZ_036</x:v>
      </x:c>
      <x:c r="B475" s="24" t="str">
        <x:v>Australia</x:v>
      </x:c>
      <x:c r="C475" s="24" t="str">
        <x:v>EEZ</x:v>
      </x:c>
      <x:c r="D475" s="30" t="n">
        <x:v>2019</x:v>
      </x:c>
      <x:c r="E475" s="24" t="str">
        <x:v>Epinephelus coeruleopunctatus</x:v>
      </x:c>
      <x:c r="F475" s="24" t="str">
        <x:v>Whitespotted grouper</x:v>
      </x:c>
      <x:c r="G475" s="24" t="str">
        <x:v>Medium reef assoc. fish (30 - 89 cm)</x:v>
      </x:c>
      <x:c r="H475" s="24" t="str">
        <x:v>Perch-likes</x:v>
      </x:c>
      <x:c r="I475" s="31" t="n">
        <x:v>0.0260270868</x:v>
      </x:c>
      <x:c r="J475" s="31" t="n">
        <x:v>0.0260270868</x:v>
      </x:c>
      <x:c r="K475" s="31" t="n">
        <x:v>0</x:v>
      </x:c>
      <x:c r="L475" s="31" t="n">
        <x:v>0</x:v>
      </x:c>
      <x:c r="M475" s="31" t="n">
        <x:v>0.0260270868</x:v>
      </x:c>
      <x:c r="N475" s="24" t="str">
        <x:v>epinephelus coeruleopunctatus</x:v>
      </x:c>
      <x:c r="O475" s="32" t="n">
        <x:v>3.72</x:v>
      </x:c>
      <x:c r="P475" s="24" t="str">
        <x:v>exact_2020_supplement</x:v>
      </x:c>
      <x:c r="Q475" s="32" t="str">
        <x:v>2020 supplement MeanTL</x:v>
      </x:c>
      <x:c r="R475" s="24" t="str">
        <x:v>high</x:v>
      </x:c>
      <x:c r="S475" s="24" t="str">
        <x:v>Epinephelus coeruleopunctatus</x:v>
      </x:c>
      <x:c r="T475" s="32" t="n">
        <x:f>IF(O475="","",(1/'Metadata'!$B$5)^(O475-1))</x:f>
        <x:v>524.8074602497728</x:v>
      </x:c>
      <x:c r="U475" s="31" t="n">
        <x:f>IF(T475="","",I475*T475)</x:f>
        <x:v>13.659209321208388</x:v>
      </x:c>
    </x:row>
    <x:row r="476" ht="18" customHeight="1">
      <x:c r="A476" s="24" t="str">
        <x:v>EEZ_036</x:v>
      </x:c>
      <x:c r="B476" s="24" t="str">
        <x:v>Australia</x:v>
      </x:c>
      <x:c r="C476" s="24" t="str">
        <x:v>EEZ</x:v>
      </x:c>
      <x:c r="D476" s="30" t="n">
        <x:v>2019</x:v>
      </x:c>
      <x:c r="E476" s="24" t="str">
        <x:v>Macolor niger</x:v>
      </x:c>
      <x:c r="F476" s="24" t="str">
        <x:v>Black and white snapper</x:v>
      </x:c>
      <x:c r="G476" s="24" t="str">
        <x:v>Medium reef assoc. fish (30 - 89 cm)</x:v>
      </x:c>
      <x:c r="H476" s="24" t="str">
        <x:v>Perch-likes</x:v>
      </x:c>
      <x:c r="I476" s="31" t="n">
        <x:v>0.0259969678</x:v>
      </x:c>
      <x:c r="J476" s="31" t="n">
        <x:v>0.0259969678</x:v>
      </x:c>
      <x:c r="K476" s="31" t="n">
        <x:v>0</x:v>
      </x:c>
      <x:c r="L476" s="31" t="n">
        <x:v>0</x:v>
      </x:c>
      <x:c r="M476" s="31" t="n">
        <x:v>0.0259969678</x:v>
      </x:c>
      <x:c r="N476" s="24" t="str">
        <x:v>macolor niger</x:v>
      </x:c>
      <x:c r="O476" s="32" t="n">
        <x:v>4.01</x:v>
      </x:c>
      <x:c r="P476" s="24" t="str">
        <x:v>exact_2020_supplement</x:v>
      </x:c>
      <x:c r="Q476" s="32" t="str">
        <x:v>2020 supplement MeanTL</x:v>
      </x:c>
      <x:c r="R476" s="24" t="str">
        <x:v>high</x:v>
      </x:c>
      <x:c r="S476" s="24" t="str">
        <x:v>Macolor niger</x:v>
      </x:c>
      <x:c r="T476" s="32" t="n">
        <x:f>IF(O476="","",(1/'Metadata'!$B$5)^(O476-1))</x:f>
        <x:v>1023.2929922807537</x:v>
      </x:c>
      <x:c r="U476" s="31" t="n">
        <x:f>IF(T476="","",I476*T476)</x:f>
        <x:v>26.6025149702884</x:v>
      </x:c>
    </x:row>
    <x:row r="477" ht="18" customHeight="1">
      <x:c r="A477" s="24" t="str">
        <x:v>EEZ_036</x:v>
      </x:c>
      <x:c r="B477" s="24" t="str">
        <x:v>Australia</x:v>
      </x:c>
      <x:c r="C477" s="24" t="str">
        <x:v>EEZ</x:v>
      </x:c>
      <x:c r="D477" s="30" t="n">
        <x:v>2019</x:v>
      </x:c>
      <x:c r="E477" s="24" t="str">
        <x:v>Grammatorcynus bilineatus</x:v>
      </x:c>
      <x:c r="F477" s="24" t="str">
        <x:v>Double-lined mackerel</x:v>
      </x:c>
      <x:c r="G477" s="24" t="str">
        <x:v>Large reef assoc. fish (&gt;=90 cm)</x:v>
      </x:c>
      <x:c r="H477" s="24" t="str">
        <x:v>Perch-likes</x:v>
      </x:c>
      <x:c r="I477" s="31" t="n">
        <x:v>0.0251417304</x:v>
      </x:c>
      <x:c r="J477" s="31" t="n">
        <x:v>0.0251417304</x:v>
      </x:c>
      <x:c r="K477" s="31" t="n">
        <x:v>0</x:v>
      </x:c>
      <x:c r="L477" s="31" t="n">
        <x:v>0</x:v>
      </x:c>
      <x:c r="M477" s="31" t="n">
        <x:v>0.0251417304</x:v>
      </x:c>
      <x:c r="N477" s="24" t="str">
        <x:v>grammatorcynus bilineatus</x:v>
      </x:c>
      <x:c r="O477" s="32" t="n">
        <x:v>4.18</x:v>
      </x:c>
      <x:c r="P477" s="24" t="str">
        <x:v>exact_2020_supplement</x:v>
      </x:c>
      <x:c r="Q477" s="32" t="str">
        <x:v>2020 supplement MeanTL</x:v>
      </x:c>
      <x:c r="R477" s="24" t="str">
        <x:v>high</x:v>
      </x:c>
      <x:c r="S477" s="24" t="str">
        <x:v>Grammatorcynus bilineatus</x:v>
      </x:c>
      <x:c r="T477" s="32" t="n">
        <x:f>IF(O477="","",(1/'Metadata'!$B$5)^(O477-1))</x:f>
        <x:v>1513.5612484362073</x:v>
      </x:c>
      <x:c r="U477" s="31" t="n">
        <x:f>IF(T477="","",I477*T477)</x:f>
        <x:v>38.05354885207054</x:v>
      </x:c>
    </x:row>
    <x:row r="478" ht="18" customHeight="1">
      <x:c r="A478" s="24" t="str">
        <x:v>EEZ_036</x:v>
      </x:c>
      <x:c r="B478" s="24" t="str">
        <x:v>Australia</x:v>
      </x:c>
      <x:c r="C478" s="24" t="str">
        <x:v>EEZ</x:v>
      </x:c>
      <x:c r="D478" s="30" t="n">
        <x:v>2019</x:v>
      </x:c>
      <x:c r="E478" s="24" t="str">
        <x:v>Caesio teres</x:v>
      </x:c>
      <x:c r="F478" s="24" t="str">
        <x:v>Yellow and blueback fusilier</x:v>
      </x:c>
      <x:c r="G478" s="24" t="str">
        <x:v>Medium reef assoc. fish (30 - 89 cm)</x:v>
      </x:c>
      <x:c r="H478" s="24" t="str">
        <x:v>Perch-likes</x:v>
      </x:c>
      <x:c r="I478" s="31" t="n">
        <x:v>0.0211682534</x:v>
      </x:c>
      <x:c r="J478" s="31" t="n">
        <x:v>0.0211682534</x:v>
      </x:c>
      <x:c r="K478" s="31" t="n">
        <x:v>0</x:v>
      </x:c>
      <x:c r="L478" s="31" t="n">
        <x:v>0</x:v>
      </x:c>
      <x:c r="M478" s="31" t="n">
        <x:v>0.0211682534</x:v>
      </x:c>
      <x:c r="N478" s="24" t="str">
        <x:v>caesio teres</x:v>
      </x:c>
      <x:c r="O478" s="32" t="n">
        <x:v>3.4</x:v>
      </x:c>
      <x:c r="P478" s="24" t="str">
        <x:v>exact_2020_supplement</x:v>
      </x:c>
      <x:c r="Q478" s="32" t="str">
        <x:v>2020 supplement MeanTL</x:v>
      </x:c>
      <x:c r="R478" s="24" t="str">
        <x:v>high</x:v>
      </x:c>
      <x:c r="S478" s="24" t="str">
        <x:v>Caesio teres</x:v>
      </x:c>
      <x:c r="T478" s="32" t="n">
        <x:f>IF(O478="","",(1/'Metadata'!$B$5)^(O478-1))</x:f>
        <x:v>251.18864315095797</x:v>
      </x:c>
      <x:c r="U478" s="31" t="n">
        <x:f>IF(T478="","",I478*T478)</x:f>
        <x:v>5.3172248494216525</x:v>
      </x:c>
    </x:row>
    <x:row r="479" ht="18" customHeight="1">
      <x:c r="A479" s="24" t="str">
        <x:v>EEZ_036</x:v>
      </x:c>
      <x:c r="B479" s="24" t="str">
        <x:v>Australia</x:v>
      </x:c>
      <x:c r="C479" s="24" t="str">
        <x:v>EEZ</x:v>
      </x:c>
      <x:c r="D479" s="30" t="n">
        <x:v>2019</x:v>
      </x:c>
      <x:c r="E479" s="24" t="str">
        <x:v>Parapenaeopsis</x:v>
      </x:c>
      <x:c r="F479" s="24" t="str">
        <x:v>Leafy-legged shrimps</x:v>
      </x:c>
      <x:c r="G479" s="24" t="str">
        <x:v>Shrimps</x:v>
      </x:c>
      <x:c r="H479" s="24" t="str">
        <x:v>Crustaceans</x:v>
      </x:c>
      <x:c r="I479" s="31" t="n">
        <x:v>0.0196380255</x:v>
      </x:c>
      <x:c r="J479" s="31" t="n">
        <x:v>0.0196380255</x:v>
      </x:c>
      <x:c r="K479" s="31" t="n">
        <x:v>0</x:v>
      </x:c>
      <x:c r="L479" s="31" t="n">
        <x:v>0.0196380255</x:v>
      </x:c>
      <x:c r="M479" s="31" t="n">
        <x:v>0</x:v>
      </x:c>
      <x:c r="N479" s="24" t="str">
        <x:v>parapenaeopsis</x:v>
      </x:c>
      <x:c r="O479" s="32" t="n">
        <x:v>2.72</x:v>
      </x:c>
      <x:c r="P479" s="24" t="str">
        <x:v>exact_sea_around_us</x:v>
      </x:c>
      <x:c r="Q479" s="32" t="str">
        <x:v>Sea Around Us exploited organisms</x:v>
      </x:c>
      <x:c r="R479" s="24" t="str">
        <x:v>high</x:v>
      </x:c>
      <x:c r="S479" s="24" t="str">
        <x:v>Parapenaeopsis</x:v>
      </x:c>
      <x:c r="T479" s="32" t="n">
        <x:f>IF(O479="","",(1/'Metadata'!$B$5)^(O479-1))</x:f>
        <x:v>52.480746024977286</x:v>
      </x:c>
      <x:c r="U479" s="31" t="n">
        <x:f>IF(T479="","",I479*T479)</x:f>
        <x:v>1.0306182286975276</x:v>
      </x:c>
    </x:row>
    <x:row r="480" ht="18" customHeight="1">
      <x:c r="A480" s="24" t="str">
        <x:v>EEZ_036</x:v>
      </x:c>
      <x:c r="B480" s="24" t="str">
        <x:v>Australia</x:v>
      </x:c>
      <x:c r="C480" s="24" t="str">
        <x:v>EEZ</x:v>
      </x:c>
      <x:c r="D480" s="30" t="n">
        <x:v>2019</x:v>
      </x:c>
      <x:c r="E480" s="24" t="str">
        <x:v>Bodianus bilunulatus</x:v>
      </x:c>
      <x:c r="F480" s="24" t="str">
        <x:v>Tarry hogfish</x:v>
      </x:c>
      <x:c r="G480" s="24" t="str">
        <x:v>Medium reef assoc. fish (30 - 89 cm)</x:v>
      </x:c>
      <x:c r="H480" s="24" t="str">
        <x:v>Perch-likes</x:v>
      </x:c>
      <x:c r="I480" s="31" t="n">
        <x:v>0.0195871587</x:v>
      </x:c>
      <x:c r="J480" s="31" t="n">
        <x:v>0.0195871587</x:v>
      </x:c>
      <x:c r="K480" s="31" t="n">
        <x:v>0</x:v>
      </x:c>
      <x:c r="L480" s="31" t="n">
        <x:v>0</x:v>
      </x:c>
      <x:c r="M480" s="31" t="n">
        <x:v>0.0195871587</x:v>
      </x:c>
      <x:c r="N480" s="24" t="str">
        <x:v>bodianus bilunulatus</x:v>
      </x:c>
      <x:c r="O480" s="32" t="n">
        <x:v>3.44</x:v>
      </x:c>
      <x:c r="P480" s="24" t="str">
        <x:v>exact_2020_supplement</x:v>
      </x:c>
      <x:c r="Q480" s="32" t="str">
        <x:v>2020 supplement MeanTL</x:v>
      </x:c>
      <x:c r="R480" s="24" t="str">
        <x:v>high</x:v>
      </x:c>
      <x:c r="S480" s="24" t="str">
        <x:v>Bodianus bilunulatus</x:v>
      </x:c>
      <x:c r="T480" s="32" t="n">
        <x:f>IF(O480="","",(1/'Metadata'!$B$5)^(O480-1))</x:f>
        <x:v>275.4228703338166</x:v>
      </x:c>
      <x:c r="U480" s="31" t="n">
        <x:f>IF(T480="","",I480*T480)</x:f>
        <x:v>5.394751470837988</x:v>
      </x:c>
    </x:row>
    <x:row r="481" ht="18" customHeight="1">
      <x:c r="A481" s="24" t="str">
        <x:v>EEZ_036</x:v>
      </x:c>
      <x:c r="B481" s="24" t="str">
        <x:v>Australia</x:v>
      </x:c>
      <x:c r="C481" s="24" t="str">
        <x:v>EEZ</x:v>
      </x:c>
      <x:c r="D481" s="30" t="n">
        <x:v>2019</x:v>
      </x:c>
      <x:c r="E481" s="24" t="str">
        <x:v>Netuma thalassina</x:v>
      </x:c>
      <x:c r="F481" s="24" t="str">
        <x:v>Giant catfish</x:v>
      </x:c>
      <x:c r="G481" s="24" t="str">
        <x:v>Large demersals (&gt;=90 cm)</x:v>
      </x:c>
      <x:c r="H481" s="24" t="str">
        <x:v>Other fishes &amp; inverts</x:v>
      </x:c>
      <x:c r="I481" s="31" t="n">
        <x:v>0.0187133268</x:v>
      </x:c>
      <x:c r="J481" s="31" t="n">
        <x:v>0.0187133268</x:v>
      </x:c>
      <x:c r="K481" s="31" t="n">
        <x:v>0</x:v>
      </x:c>
      <x:c r="L481" s="31" t="n">
        <x:v>0</x:v>
      </x:c>
      <x:c r="M481" s="31" t="n">
        <x:v>0.0187133268</x:v>
      </x:c>
      <x:c r="N481" s="24" t="str">
        <x:v>netuma thalassina</x:v>
      </x:c>
      <x:c r="O481" s="32" t="n">
        <x:v>3.54</x:v>
      </x:c>
      <x:c r="P481" s="24" t="str">
        <x:v>exact_2020_supplement</x:v>
      </x:c>
      <x:c r="Q481" s="32" t="str">
        <x:v>2020 supplement MeanTL</x:v>
      </x:c>
      <x:c r="R481" s="24" t="str">
        <x:v>high</x:v>
      </x:c>
      <x:c r="S481" s="24" t="str">
        <x:v>Netuma thalassina</x:v>
      </x:c>
      <x:c r="T481" s="32" t="n">
        <x:f>IF(O481="","",(1/'Metadata'!$B$5)^(O481-1))</x:f>
        <x:v>346.73685045253166</x:v>
      </x:c>
      <x:c r="U481" s="31" t="n">
        <x:f>IF(T481="","",I481*T481)</x:f>
        <x:v>6.488599996120953</x:v>
      </x:c>
    </x:row>
    <x:row r="482" ht="18" customHeight="1">
      <x:c r="A482" s="24" t="str">
        <x:v>EEZ_036</x:v>
      </x:c>
      <x:c r="B482" s="24" t="str">
        <x:v>Australia</x:v>
      </x:c>
      <x:c r="C482" s="24" t="str">
        <x:v>EEZ</x:v>
      </x:c>
      <x:c r="D482" s="30" t="n">
        <x:v>2019</x:v>
      </x:c>
      <x:c r="E482" s="24" t="str">
        <x:v>Ablennes hians</x:v>
      </x:c>
      <x:c r="F482" s="24" t="str">
        <x:v>Flat needlefish</x:v>
      </x:c>
      <x:c r="G482" s="24" t="str">
        <x:v>Large pelagics (&gt;=90 cm)</x:v>
      </x:c>
      <x:c r="H482" s="24" t="str">
        <x:v>Other fishes &amp; inverts</x:v>
      </x:c>
      <x:c r="I482" s="31" t="n">
        <x:v>0.0167934656</x:v>
      </x:c>
      <x:c r="J482" s="31" t="n">
        <x:v>0.0167934656</x:v>
      </x:c>
      <x:c r="K482" s="31" t="n">
        <x:v>0</x:v>
      </x:c>
      <x:c r="L482" s="31" t="n">
        <x:v>0</x:v>
      </x:c>
      <x:c r="M482" s="31" t="n">
        <x:v>0.0167934656</x:v>
      </x:c>
      <x:c r="N482" s="24" t="str">
        <x:v>ablennes hians</x:v>
      </x:c>
      <x:c r="O482" s="32" t="n">
        <x:v>4.5</x:v>
      </x:c>
      <x:c r="P482" s="24" t="str">
        <x:v>exact_2020_supplement</x:v>
      </x:c>
      <x:c r="Q482" s="32" t="str">
        <x:v>2020 supplement MeanTL</x:v>
      </x:c>
      <x:c r="R482" s="24" t="str">
        <x:v>high</x:v>
      </x:c>
      <x:c r="S482" s="24" t="str">
        <x:v>Ablennes hians</x:v>
      </x:c>
      <x:c r="T482" s="32" t="n">
        <x:f>IF(O482="","",(1/'Metadata'!$B$5)^(O482-1))</x:f>
        <x:v>3162.2776601683795</x:v>
      </x:c>
      <x:c r="U482" s="31" t="n">
        <x:f>IF(T482="","",I482*T482)</x:f>
        <x:v>53.105601103686176</x:v>
      </x:c>
    </x:row>
    <x:row r="483" ht="18" customHeight="1">
      <x:c r="A483" s="24" t="str">
        <x:v>EEZ_036</x:v>
      </x:c>
      <x:c r="B483" s="24" t="str">
        <x:v>Australia</x:v>
      </x:c>
      <x:c r="C483" s="24" t="str">
        <x:v>EEZ</x:v>
      </x:c>
      <x:c r="D483" s="30" t="n">
        <x:v>2019</x:v>
      </x:c>
      <x:c r="E483" s="24" t="str">
        <x:v>Heteropriacanthus cruentatus</x:v>
      </x:c>
      <x:c r="F483" s="24" t="str">
        <x:v>Glasseye</x:v>
      </x:c>
      <x:c r="G483" s="24" t="str">
        <x:v>Medium reef assoc. fish (30 - 89 cm)</x:v>
      </x:c>
      <x:c r="H483" s="24" t="str">
        <x:v>Perch-likes</x:v>
      </x:c>
      <x:c r="I483" s="31" t="n">
        <x:v>0.0160119145</x:v>
      </x:c>
      <x:c r="J483" s="31" t="n">
        <x:v>0.0160119145</x:v>
      </x:c>
      <x:c r="K483" s="31" t="n">
        <x:v>0</x:v>
      </x:c>
      <x:c r="L483" s="31" t="n">
        <x:v>0.0160119145</x:v>
      </x:c>
      <x:c r="M483" s="31" t="n">
        <x:v>0</x:v>
      </x:c>
      <x:c r="N483" s="24" t="str">
        <x:v>heteropriacanthus cruentatus</x:v>
      </x:c>
      <x:c r="O483" s="32" t="n">
        <x:v>3.61</x:v>
      </x:c>
      <x:c r="P483" s="24" t="str">
        <x:v>exact_2020_supplement</x:v>
      </x:c>
      <x:c r="Q483" s="32" t="str">
        <x:v>2020 supplement MeanTL</x:v>
      </x:c>
      <x:c r="R483" s="24" t="str">
        <x:v>high</x:v>
      </x:c>
      <x:c r="S483" s="24" t="str">
        <x:v>Heteropriacanthus cruentatus</x:v>
      </x:c>
      <x:c r="T483" s="32" t="n">
        <x:f>IF(O483="","",(1/'Metadata'!$B$5)^(O483-1))</x:f>
        <x:v>407.3802778041126</x:v>
      </x:c>
      <x:c r="U483" s="31" t="n">
        <x:f>IF(T483="","",I483*T483)</x:f>
        <x:v>6.522938177185698</x:v>
      </x:c>
    </x:row>
    <x:row r="484" ht="18" customHeight="1">
      <x:c r="A484" s="24" t="str">
        <x:v>EEZ_036</x:v>
      </x:c>
      <x:c r="B484" s="24" t="str">
        <x:v>Australia</x:v>
      </x:c>
      <x:c r="C484" s="24" t="str">
        <x:v>EEZ</x:v>
      </x:c>
      <x:c r="D484" s="30" t="n">
        <x:v>2019</x:v>
      </x:c>
      <x:c r="E484" s="24" t="str">
        <x:v>Naso brevirostris</x:v>
      </x:c>
      <x:c r="F484" s="24" t="str">
        <x:v>Spotted unicornfish</x:v>
      </x:c>
      <x:c r="G484" s="24" t="str">
        <x:v>Medium reef assoc. fish (30 - 89 cm)</x:v>
      </x:c>
      <x:c r="H484" s="24" t="str">
        <x:v>Perch-likes</x:v>
      </x:c>
      <x:c r="I484" s="31" t="n">
        <x:v>0.0158873878</x:v>
      </x:c>
      <x:c r="J484" s="31" t="n">
        <x:v>0.0158873878</x:v>
      </x:c>
      <x:c r="K484" s="31" t="n">
        <x:v>0</x:v>
      </x:c>
      <x:c r="L484" s="31" t="n">
        <x:v>0</x:v>
      </x:c>
      <x:c r="M484" s="31" t="n">
        <x:v>0.0158873878</x:v>
      </x:c>
      <x:c r="N484" s="24" t="str">
        <x:v>naso brevirostris</x:v>
      </x:c>
      <x:c r="O484" s="32" t="n">
        <x:v>2.22</x:v>
      </x:c>
      <x:c r="P484" s="24" t="str">
        <x:v>exact_2020_supplement</x:v>
      </x:c>
      <x:c r="Q484" s="32" t="str">
        <x:v>2020 supplement MeanTL</x:v>
      </x:c>
      <x:c r="R484" s="24" t="str">
        <x:v>high</x:v>
      </x:c>
      <x:c r="S484" s="24" t="str">
        <x:v>Naso brevirostris</x:v>
      </x:c>
      <x:c r="T484" s="32" t="n">
        <x:f>IF(O484="","",(1/'Metadata'!$B$5)^(O484-1))</x:f>
        <x:v>16.595869074375614</x:v>
      </x:c>
      <x:c r="U484" s="31" t="n">
        <x:f>IF(T484="","",I484*T484)</x:f>
        <x:v>0.2636650078626324</x:v>
      </x:c>
    </x:row>
    <x:row r="485" ht="18" customHeight="1">
      <x:c r="A485" s="24" t="str">
        <x:v>EEZ_036</x:v>
      </x:c>
      <x:c r="B485" s="24" t="str">
        <x:v>Australia</x:v>
      </x:c>
      <x:c r="C485" s="24" t="str">
        <x:v>EEZ</x:v>
      </x:c>
      <x:c r="D485" s="30" t="n">
        <x:v>2019</x:v>
      </x:c>
      <x:c r="E485" s="24" t="str">
        <x:v>Caesio lunaris</x:v>
      </x:c>
      <x:c r="F485" s="24" t="str">
        <x:v>Lunar fusilier</x:v>
      </x:c>
      <x:c r="G485" s="24" t="str">
        <x:v>Medium reef assoc. fish (30 - 89 cm)</x:v>
      </x:c>
      <x:c r="H485" s="24" t="str">
        <x:v>Perch-likes</x:v>
      </x:c>
      <x:c r="I485" s="31" t="n">
        <x:v>0.0156196533</x:v>
      </x:c>
      <x:c r="J485" s="31" t="n">
        <x:v>0.0156196533</x:v>
      </x:c>
      <x:c r="K485" s="31" t="n">
        <x:v>0</x:v>
      </x:c>
      <x:c r="L485" s="31" t="n">
        <x:v>0</x:v>
      </x:c>
      <x:c r="M485" s="31" t="n">
        <x:v>0.0156196533</x:v>
      </x:c>
      <x:c r="N485" s="24" t="str">
        <x:v>caesio lunaris</x:v>
      </x:c>
      <x:c r="O485" s="32" t="n">
        <x:v>3.4</x:v>
      </x:c>
      <x:c r="P485" s="24" t="str">
        <x:v>exact_2020_supplement</x:v>
      </x:c>
      <x:c r="Q485" s="32" t="str">
        <x:v>2020 supplement MeanTL</x:v>
      </x:c>
      <x:c r="R485" s="24" t="str">
        <x:v>high</x:v>
      </x:c>
      <x:c r="S485" s="24" t="str">
        <x:v>Caesio lunaris</x:v>
      </x:c>
      <x:c r="T485" s="32" t="n">
        <x:f>IF(O485="","",(1/'Metadata'!$B$5)^(O485-1))</x:f>
        <x:v>251.18864315095797</x:v>
      </x:c>
      <x:c r="U485" s="31" t="n">
        <x:f>IF(T485="","",I485*T485)</x:f>
        <x:v>3.923479518915383</x:v>
      </x:c>
    </x:row>
    <x:row r="486" ht="18" customHeight="1">
      <x:c r="A486" s="24" t="str">
        <x:v>EEZ_036</x:v>
      </x:c>
      <x:c r="B486" s="24" t="str">
        <x:v>Australia</x:v>
      </x:c>
      <x:c r="C486" s="24" t="str">
        <x:v>EEZ</x:v>
      </x:c>
      <x:c r="D486" s="30" t="n">
        <x:v>2019</x:v>
      </x:c>
      <x:c r="E486" s="24" t="str">
        <x:v>Cookeolus japonicus</x:v>
      </x:c>
      <x:c r="F486" s="24" t="str">
        <x:v>Longfinned bullseye</x:v>
      </x:c>
      <x:c r="G486" s="24" t="str">
        <x:v>Medium benthopelagics (30 - 89 cm)</x:v>
      </x:c>
      <x:c r="H486" s="24" t="str">
        <x:v>Perch-likes</x:v>
      </x:c>
      <x:c r="I486" s="31" t="n">
        <x:v>0.0141899577</x:v>
      </x:c>
      <x:c r="J486" s="31" t="n">
        <x:v>0.0141899577</x:v>
      </x:c>
      <x:c r="K486" s="31" t="n">
        <x:v>0</x:v>
      </x:c>
      <x:c r="L486" s="31" t="n">
        <x:v>0</x:v>
      </x:c>
      <x:c r="M486" s="31" t="n">
        <x:v>0.0141899577</x:v>
      </x:c>
      <x:c r="N486" s="24" t="str">
        <x:v>cookeolus japonicus</x:v>
      </x:c>
      <x:c r="O486" s="32" t="n">
        <x:v>3.5</x:v>
      </x:c>
      <x:c r="P486" s="24" t="str">
        <x:v>exact_2020_supplement</x:v>
      </x:c>
      <x:c r="Q486" s="32" t="str">
        <x:v>2020 supplement MeanTL</x:v>
      </x:c>
      <x:c r="R486" s="24" t="str">
        <x:v>high</x:v>
      </x:c>
      <x:c r="S486" s="24" t="str">
        <x:v>Cookeolus japonicus</x:v>
      </x:c>
      <x:c r="T486" s="32" t="n">
        <x:f>IF(O486="","",(1/'Metadata'!$B$5)^(O486-1))</x:f>
        <x:v>316.22776601683796</x:v>
      </x:c>
      <x:c r="U486" s="31" t="n">
        <x:f>IF(T486="","",I486*T486)</x:f>
        <x:v>4.487258623344428</x:v>
      </x:c>
    </x:row>
    <x:row r="487" ht="18" customHeight="1">
      <x:c r="A487" s="24" t="str">
        <x:v>EEZ_036</x:v>
      </x:c>
      <x:c r="B487" s="24" t="str">
        <x:v>Australia</x:v>
      </x:c>
      <x:c r="C487" s="24" t="str">
        <x:v>EEZ</x:v>
      </x:c>
      <x:c r="D487" s="30" t="n">
        <x:v>2019</x:v>
      </x:c>
      <x:c r="E487" s="24" t="str">
        <x:v>Ariomma indica</x:v>
      </x:c>
      <x:c r="F487" s="24" t="str">
        <x:v>Indian driftfish</x:v>
      </x:c>
      <x:c r="G487" s="24" t="str">
        <x:v>Small benthopelagics (&lt;30 cm)</x:v>
      </x:c>
      <x:c r="H487" s="24" t="str">
        <x:v>Perch-likes</x:v>
      </x:c>
      <x:c r="I487" s="31" t="n">
        <x:v>0.014045753599999999</x:v>
      </x:c>
      <x:c r="J487" s="31" t="n">
        <x:v>0.014045753599999999</x:v>
      </x:c>
      <x:c r="K487" s="31" t="n">
        <x:v>0</x:v>
      </x:c>
      <x:c r="L487" s="31" t="n">
        <x:v>0.014045753599999999</x:v>
      </x:c>
      <x:c r="M487" s="31" t="n">
        <x:v>0</x:v>
      </x:c>
      <x:c r="N487" s="24" t="str">
        <x:v>ariomma indica</x:v>
      </x:c>
      <x:c r="O487" s="32" t="n">
        <x:v>3.63</x:v>
      </x:c>
      <x:c r="P487" s="24" t="str">
        <x:v>exact_sea_around_us</x:v>
      </x:c>
      <x:c r="Q487" s="32" t="str">
        <x:v>Sea Around Us exploited organisms</x:v>
      </x:c>
      <x:c r="R487" s="24" t="str">
        <x:v>high</x:v>
      </x:c>
      <x:c r="S487" s="24" t="str">
        <x:v>Ariomma indica</x:v>
      </x:c>
      <x:c r="T487" s="32" t="n">
        <x:f>IF(O487="","",(1/'Metadata'!$B$5)^(O487-1))</x:f>
        <x:v>426.57951880159254</x:v>
      </x:c>
      <x:c r="U487" s="31" t="n">
        <x:f>IF(T487="","",I487*T487)</x:f>
        <x:v>5.991630811893735</x:v>
      </x:c>
    </x:row>
    <x:row r="488" ht="18" customHeight="1">
      <x:c r="A488" s="24" t="str">
        <x:v>EEZ_036</x:v>
      </x:c>
      <x:c r="B488" s="24" t="str">
        <x:v>Australia</x:v>
      </x:c>
      <x:c r="C488" s="24" t="str">
        <x:v>EEZ</x:v>
      </x:c>
      <x:c r="D488" s="30" t="n">
        <x:v>2019</x:v>
      </x:c>
      <x:c r="E488" s="24" t="str">
        <x:v>Scomberoides tol</x:v>
      </x:c>
      <x:c r="F488" s="24" t="str">
        <x:v>Needlescaled queenfish</x:v>
      </x:c>
      <x:c r="G488" s="24" t="str">
        <x:v>Medium pelagics (30 - 89 cm)</x:v>
      </x:c>
      <x:c r="H488" s="24" t="str">
        <x:v>Perch-likes</x:v>
      </x:c>
      <x:c r="I488" s="31" t="n">
        <x:v>0.0110389841</x:v>
      </x:c>
      <x:c r="J488" s="31" t="n">
        <x:v>0.0110389841</x:v>
      </x:c>
      <x:c r="K488" s="31" t="n">
        <x:v>0</x:v>
      </x:c>
      <x:c r="L488" s="31" t="n">
        <x:v>0</x:v>
      </x:c>
      <x:c r="M488" s="31" t="n">
        <x:v>0.0110389841</x:v>
      </x:c>
      <x:c r="N488" s="24" t="str">
        <x:v>scomberoides tol</x:v>
      </x:c>
      <x:c r="O488" s="32" t="n">
        <x:v>4.11</x:v>
      </x:c>
      <x:c r="P488" s="24" t="str">
        <x:v>exact_2020_supplement</x:v>
      </x:c>
      <x:c r="Q488" s="32" t="str">
        <x:v>2020 supplement MeanTL</x:v>
      </x:c>
      <x:c r="R488" s="24" t="str">
        <x:v>high</x:v>
      </x:c>
      <x:c r="S488" s="24" t="str">
        <x:v>Scomberoides tol</x:v>
      </x:c>
      <x:c r="T488" s="32" t="n">
        <x:f>IF(O488="","",(1/'Metadata'!$B$5)^(O488-1))</x:f>
        <x:v>1288.249551693135</x:v>
      </x:c>
      <x:c r="U488" s="31" t="n">
        <x:f>IF(T488="","",I488*T488)</x:f>
        <x:v>14.220966317972644</x:v>
      </x:c>
    </x:row>
    <x:row r="489" ht="18" customHeight="1">
      <x:c r="A489" s="24" t="str">
        <x:v>EEZ_036</x:v>
      </x:c>
      <x:c r="B489" s="24" t="str">
        <x:v>Australia</x:v>
      </x:c>
      <x:c r="C489" s="24" t="str">
        <x:v>EEZ</x:v>
      </x:c>
      <x:c r="D489" s="30" t="n">
        <x:v>2019</x:v>
      </x:c>
      <x:c r="E489" s="24" t="str">
        <x:v>Decapterus macarellus</x:v>
      </x:c>
      <x:c r="F489" s="24" t="str">
        <x:v>Mackerel scad</x:v>
      </x:c>
      <x:c r="G489" s="24" t="str">
        <x:v>Medium pelagics (30 - 89 cm)</x:v>
      </x:c>
      <x:c r="H489" s="24" t="str">
        <x:v>Perch-likes</x:v>
      </x:c>
      <x:c r="I489" s="31" t="n">
        <x:v>0.0109442341</x:v>
      </x:c>
      <x:c r="J489" s="31" t="n">
        <x:v>0.0109442341</x:v>
      </x:c>
      <x:c r="K489" s="31" t="n">
        <x:v>0</x:v>
      </x:c>
      <x:c r="L489" s="31" t="n">
        <x:v>0</x:v>
      </x:c>
      <x:c r="M489" s="31" t="n">
        <x:v>0.0109442341</x:v>
      </x:c>
      <x:c r="N489" s="24" t="str">
        <x:v>decapterus macarellus</x:v>
      </x:c>
      <x:c r="O489" s="32" t="n">
        <x:v>3.96</x:v>
      </x:c>
      <x:c r="P489" s="24" t="str">
        <x:v>exact_2020_supplement</x:v>
      </x:c>
      <x:c r="Q489" s="32" t="str">
        <x:v>2020 supplement MeanTL</x:v>
      </x:c>
      <x:c r="R489" s="24" t="str">
        <x:v>high</x:v>
      </x:c>
      <x:c r="S489" s="24" t="str">
        <x:v>Decapterus macarellus</x:v>
      </x:c>
      <x:c r="T489" s="32" t="n">
        <x:f>IF(O489="","",(1/'Metadata'!$B$5)^(O489-1))</x:f>
        <x:v>912.0108393559096</x:v>
      </x:c>
      <x:c r="U489" s="31" t="n">
        <x:f>IF(T489="","",I489*T489)</x:f>
        <x:v>9.981260127648568</x:v>
      </x:c>
    </x:row>
    <x:row r="490" ht="18" customHeight="1">
      <x:c r="A490" s="24" t="str">
        <x:v>EEZ_036</x:v>
      </x:c>
      <x:c r="B490" s="24" t="str">
        <x:v>Australia</x:v>
      </x:c>
      <x:c r="C490" s="24" t="str">
        <x:v>EEZ</x:v>
      </x:c>
      <x:c r="D490" s="30" t="n">
        <x:v>2019</x:v>
      </x:c>
      <x:c r="E490" s="24" t="str">
        <x:v>Mene maculata</x:v>
      </x:c>
      <x:c r="F490" s="24" t="str">
        <x:v>Moonfish</x:v>
      </x:c>
      <x:c r="G490" s="24" t="str">
        <x:v>Medium reef assoc. fish (30 - 89 cm)</x:v>
      </x:c>
      <x:c r="H490" s="24" t="str">
        <x:v>Perch-likes</x:v>
      </x:c>
      <x:c r="I490" s="31" t="n">
        <x:v>0.0101596394</x:v>
      </x:c>
      <x:c r="J490" s="31" t="n">
        <x:v>0.0101596394</x:v>
      </x:c>
      <x:c r="K490" s="31" t="n">
        <x:v>0</x:v>
      </x:c>
      <x:c r="L490" s="31" t="n">
        <x:v>0</x:v>
      </x:c>
      <x:c r="M490" s="31" t="n">
        <x:v>0.0101596394</x:v>
      </x:c>
      <x:c r="N490" s="24" t="str">
        <x:v>mene maculata</x:v>
      </x:c>
      <x:c r="O490" s="32" t="n">
        <x:v>3.45</x:v>
      </x:c>
      <x:c r="P490" s="24" t="str">
        <x:v>exact_2020_supplement</x:v>
      </x:c>
      <x:c r="Q490" s="32" t="str">
        <x:v>2020 supplement MeanTL</x:v>
      </x:c>
      <x:c r="R490" s="24" t="str">
        <x:v>high</x:v>
      </x:c>
      <x:c r="S490" s="24" t="str">
        <x:v>Mene maculata</x:v>
      </x:c>
      <x:c r="T490" s="32" t="n">
        <x:f>IF(O490="","",(1/'Metadata'!$B$5)^(O490-1))</x:f>
        <x:v>281.8382931264455</x:v>
      </x:c>
      <x:c r="U490" s="31" t="n">
        <x:f>IF(T490="","",I490*T490)</x:f>
        <x:v>2.8633754272761847</x:v>
      </x:c>
    </x:row>
    <x:row r="491" ht="18" customHeight="1">
      <x:c r="A491" s="24" t="str">
        <x:v>EEZ_036</x:v>
      </x:c>
      <x:c r="B491" s="24" t="str">
        <x:v>Australia</x:v>
      </x:c>
      <x:c r="C491" s="24" t="str">
        <x:v>EEZ</x:v>
      </x:c>
      <x:c r="D491" s="30" t="n">
        <x:v>2019</x:v>
      </x:c>
      <x:c r="E491" s="24" t="str">
        <x:v>Lutjanus fulvus</x:v>
      </x:c>
      <x:c r="F491" s="24" t="str">
        <x:v>Blacktail snapper</x:v>
      </x:c>
      <x:c r="G491" s="24" t="str">
        <x:v>Medium reef assoc. fish (30 - 89 cm)</x:v>
      </x:c>
      <x:c r="H491" s="24" t="str">
        <x:v>Perch-likes</x:v>
      </x:c>
      <x:c r="I491" s="31" t="n">
        <x:v>0.0099911339</x:v>
      </x:c>
      <x:c r="J491" s="31" t="n">
        <x:v>0.0099911339</x:v>
      </x:c>
      <x:c r="K491" s="31" t="n">
        <x:v>0</x:v>
      </x:c>
      <x:c r="L491" s="31" t="n">
        <x:v>0</x:v>
      </x:c>
      <x:c r="M491" s="31" t="n">
        <x:v>0.0099911339</x:v>
      </x:c>
      <x:c r="N491" s="24" t="str">
        <x:v>lutjanus fulvus</x:v>
      </x:c>
      <x:c r="O491" s="32" t="n">
        <x:v>3.61</x:v>
      </x:c>
      <x:c r="P491" s="24" t="str">
        <x:v>exact_2020_supplement</x:v>
      </x:c>
      <x:c r="Q491" s="32" t="str">
        <x:v>2020 supplement MeanTL</x:v>
      </x:c>
      <x:c r="R491" s="24" t="str">
        <x:v>high</x:v>
      </x:c>
      <x:c r="S491" s="24" t="str">
        <x:v>Lutjanus fulvus</x:v>
      </x:c>
      <x:c r="T491" s="32" t="n">
        <x:f>IF(O491="","",(1/'Metadata'!$B$5)^(O491-1))</x:f>
        <x:v>407.3802778041126</x:v>
      </x:c>
      <x:c r="U491" s="31" t="n">
        <x:f>IF(T491="","",I491*T491)</x:f>
        <x:v>4.0701909037600865</x:v>
      </x:c>
    </x:row>
    <x:row r="492" ht="18" customHeight="1">
      <x:c r="A492" s="24" t="str">
        <x:v>EEZ_036</x:v>
      </x:c>
      <x:c r="B492" s="24" t="str">
        <x:v>Australia</x:v>
      </x:c>
      <x:c r="C492" s="24" t="str">
        <x:v>EEZ</x:v>
      </x:c>
      <x:c r="D492" s="30" t="n">
        <x:v>2019</x:v>
      </x:c>
      <x:c r="E492" s="24" t="str">
        <x:v>Lutjanus kasmira</x:v>
      </x:c>
      <x:c r="F492" s="24" t="str">
        <x:v>Common bluestripe snapper</x:v>
      </x:c>
      <x:c r="G492" s="24" t="str">
        <x:v>Medium reef assoc. fish (30 - 89 cm)</x:v>
      </x:c>
      <x:c r="H492" s="24" t="str">
        <x:v>Perch-likes</x:v>
      </x:c>
      <x:c r="I492" s="31" t="n">
        <x:v>0.0097186542</x:v>
      </x:c>
      <x:c r="J492" s="31" t="n">
        <x:v>0.0097186542</x:v>
      </x:c>
      <x:c r="K492" s="31" t="n">
        <x:v>0</x:v>
      </x:c>
      <x:c r="L492" s="31" t="n">
        <x:v>0</x:v>
      </x:c>
      <x:c r="M492" s="31" t="n">
        <x:v>0.0097186542</x:v>
      </x:c>
      <x:c r="N492" s="24" t="str">
        <x:v>lutjanus kasmira</x:v>
      </x:c>
      <x:c r="O492" s="32" t="n">
        <x:v>3.87</x:v>
      </x:c>
      <x:c r="P492" s="24" t="str">
        <x:v>exact_2020_supplement</x:v>
      </x:c>
      <x:c r="Q492" s="32" t="str">
        <x:v>2020 supplement MeanTL</x:v>
      </x:c>
      <x:c r="R492" s="24" t="str">
        <x:v>high</x:v>
      </x:c>
      <x:c r="S492" s="24" t="str">
        <x:v>Lutjanus kasmira</x:v>
      </x:c>
      <x:c r="T492" s="32" t="n">
        <x:f>IF(O492="","",(1/'Metadata'!$B$5)^(O492-1))</x:f>
        <x:v>741.3102413009177</x:v>
      </x:c>
      <x:c r="U492" s="31" t="n">
        <x:f>IF(T492="","",I492*T492)</x:f>
        <x:v>7.204537890122177</x:v>
      </x:c>
    </x:row>
    <x:row r="493" ht="18" customHeight="1">
      <x:c r="A493" s="24" t="str">
        <x:v>EEZ_036</x:v>
      </x:c>
      <x:c r="B493" s="24" t="str">
        <x:v>Australia</x:v>
      </x:c>
      <x:c r="C493" s="24" t="str">
        <x:v>EEZ</x:v>
      </x:c>
      <x:c r="D493" s="30" t="n">
        <x:v>2019</x:v>
      </x:c>
      <x:c r="E493" s="24" t="str">
        <x:v>Decapterus muroadsi</x:v>
      </x:c>
      <x:c r="F493" s="24" t="str">
        <x:v>Amberstripe scad</x:v>
      </x:c>
      <x:c r="G493" s="24" t="str">
        <x:v>Medium pelagics (30 - 89 cm)</x:v>
      </x:c>
      <x:c r="H493" s="24" t="str">
        <x:v>Perch-likes</x:v>
      </x:c>
      <x:c r="I493" s="31" t="n">
        <x:v>0.0091825216</x:v>
      </x:c>
      <x:c r="J493" s="31" t="n">
        <x:v>0.0091825216</x:v>
      </x:c>
      <x:c r="K493" s="31" t="n">
        <x:v>0</x:v>
      </x:c>
      <x:c r="L493" s="31" t="n">
        <x:v>0</x:v>
      </x:c>
      <x:c r="M493" s="31" t="n">
        <x:v>0.0091825216</x:v>
      </x:c>
      <x:c r="N493" s="24" t="str">
        <x:v>decapterus muroadsi</x:v>
      </x:c>
      <x:c r="O493" s="32" t="n">
        <x:v>3.4</x:v>
      </x:c>
      <x:c r="P493" s="24" t="str">
        <x:v>exact_2020_supplement</x:v>
      </x:c>
      <x:c r="Q493" s="32" t="str">
        <x:v>2020 supplement MeanTL</x:v>
      </x:c>
      <x:c r="R493" s="24" t="str">
        <x:v>high</x:v>
      </x:c>
      <x:c r="S493" s="24" t="str">
        <x:v>Decapterus muroadsi</x:v>
      </x:c>
      <x:c r="T493" s="32" t="n">
        <x:f>IF(O493="","",(1/'Metadata'!$B$5)^(O493-1))</x:f>
        <x:v>251.18864315095797</x:v>
      </x:c>
      <x:c r="U493" s="31" t="n">
        <x:f>IF(T493="","",I493*T493)</x:f>
        <x:v>2.3065451414083635</x:v>
      </x:c>
    </x:row>
    <x:row r="494" ht="18" customHeight="1">
      <x:c r="A494" s="24" t="str">
        <x:v>EEZ_036</x:v>
      </x:c>
      <x:c r="B494" s="24" t="str">
        <x:v>Australia</x:v>
      </x:c>
      <x:c r="C494" s="24" t="str">
        <x:v>EEZ</x:v>
      </x:c>
      <x:c r="D494" s="30" t="n">
        <x:v>2019</x:v>
      </x:c>
      <x:c r="E494" s="24" t="str">
        <x:v>Squalus acanthias</x:v>
      </x:c>
      <x:c r="F494" s="24" t="str">
        <x:v>Picked dogfish</x:v>
      </x:c>
      <x:c r="G494" s="24" t="str">
        <x:v>Large sharks (&gt;=90 cm)</x:v>
      </x:c>
      <x:c r="H494" s="24" t="str">
        <x:v>Sharks &amp; rays</x:v>
      </x:c>
      <x:c r="I494" s="31" t="n">
        <x:v>0.008535862500000001</x:v>
      </x:c>
      <x:c r="J494" s="31" t="n">
        <x:v>0.008535862500000001</x:v>
      </x:c>
      <x:c r="K494" s="31" t="n">
        <x:v>0</x:v>
      </x:c>
      <x:c r="L494" s="31" t="n">
        <x:v>0.008535862500000001</x:v>
      </x:c>
      <x:c r="M494" s="31" t="n">
        <x:v>0</x:v>
      </x:c>
      <x:c r="N494" s="24" t="str">
        <x:v>squalus acanthias</x:v>
      </x:c>
      <x:c r="O494" s="32" t="n">
        <x:v>4.37</x:v>
      </x:c>
      <x:c r="P494" s="24" t="str">
        <x:v>exact_2020_supplement</x:v>
      </x:c>
      <x:c r="Q494" s="32" t="str">
        <x:v>2020 supplement MeanTL</x:v>
      </x:c>
      <x:c r="R494" s="24" t="str">
        <x:v>high</x:v>
      </x:c>
      <x:c r="S494" s="24" t="str">
        <x:v>Squalus acanthias</x:v>
      </x:c>
      <x:c r="T494" s="32" t="n">
        <x:f>IF(O494="","",(1/'Metadata'!$B$5)^(O494-1))</x:f>
        <x:v>2344.228815319923</x:v>
      </x:c>
      <x:c r="U494" s="31" t="n">
        <x:f>IF(T494="","",I494*T494)</x:f>
        <x:v>20.01001483610876</x:v>
      </x:c>
    </x:row>
    <x:row r="495" ht="18" customHeight="1">
      <x:c r="A495" s="24" t="str">
        <x:v>EEZ_036</x:v>
      </x:c>
      <x:c r="B495" s="24" t="str">
        <x:v>Australia</x:v>
      </x:c>
      <x:c r="C495" s="24" t="str">
        <x:v>EEZ</x:v>
      </x:c>
      <x:c r="D495" s="30" t="n">
        <x:v>2019</x:v>
      </x:c>
      <x:c r="E495" s="24" t="str">
        <x:v>Cheilinus</x:v>
      </x:c>
      <x:c r="F495" s="24" t="str">
        <x:v>Wrasses</x:v>
      </x:c>
      <x:c r="G495" s="24" t="str">
        <x:v>Medium reef assoc. fish (30 - 89 cm)</x:v>
      </x:c>
      <x:c r="H495" s="24" t="str">
        <x:v>Perch-likes</x:v>
      </x:c>
      <x:c r="I495" s="31" t="n">
        <x:v>0.0079085703</x:v>
      </x:c>
      <x:c r="J495" s="31" t="n">
        <x:v>0.0079085703</x:v>
      </x:c>
      <x:c r="K495" s="31" t="n">
        <x:v>0</x:v>
      </x:c>
      <x:c r="L495" s="31" t="n">
        <x:v>0</x:v>
      </x:c>
      <x:c r="M495" s="31" t="n">
        <x:v>0.0079085703</x:v>
      </x:c>
      <x:c r="N495" s="24" t="str">
        <x:v>cheilinus</x:v>
      </x:c>
      <x:c r="O495" s="32" t="n">
        <x:v>3.44</x:v>
      </x:c>
      <x:c r="P495" s="24" t="str">
        <x:v>exact_sea_around_us</x:v>
      </x:c>
      <x:c r="Q495" s="32" t="str">
        <x:v>Sea Around Us exploited organisms</x:v>
      </x:c>
      <x:c r="R495" s="24" t="str">
        <x:v>high</x:v>
      </x:c>
      <x:c r="S495" s="24" t="str">
        <x:v>Cheilinus</x:v>
      </x:c>
      <x:c r="T495" s="32" t="n">
        <x:f>IF(O495="","",(1/'Metadata'!$B$5)^(O495-1))</x:f>
        <x:v>275.4228703338166</x:v>
      </x:c>
      <x:c r="U495" s="31" t="n">
        <x:f>IF(T495="","",I495*T495)</x:f>
        <x:v>2.1782011322627732</x:v>
      </x:c>
    </x:row>
    <x:row r="496" ht="18" customHeight="1">
      <x:c r="A496" s="24" t="str">
        <x:v>EEZ_036</x:v>
      </x:c>
      <x:c r="B496" s="24" t="str">
        <x:v>Australia</x:v>
      </x:c>
      <x:c r="C496" s="24" t="str">
        <x:v>EEZ</x:v>
      </x:c>
      <x:c r="D496" s="30" t="n">
        <x:v>2019</x:v>
      </x:c>
      <x:c r="E496" s="24" t="str">
        <x:v>Platax</x:v>
      </x:c>
      <x:c r="F496" s="24" t="str">
        <x:v>Spadefishes</x:v>
      </x:c>
      <x:c r="G496" s="24" t="str">
        <x:v>Medium reef assoc. fish (30 - 89 cm)</x:v>
      </x:c>
      <x:c r="H496" s="24" t="str">
        <x:v>Perch-likes</x:v>
      </x:c>
      <x:c r="I496" s="31" t="n">
        <x:v>0.0074399634</x:v>
      </x:c>
      <x:c r="J496" s="31" t="n">
        <x:v>0.0074399634</x:v>
      </x:c>
      <x:c r="K496" s="31" t="n">
        <x:v>0</x:v>
      </x:c>
      <x:c r="L496" s="31" t="n">
        <x:v>0</x:v>
      </x:c>
      <x:c r="M496" s="31" t="n">
        <x:v>0.0074399634</x:v>
      </x:c>
      <x:c r="N496" s="24" t="str">
        <x:v>platax</x:v>
      </x:c>
      <x:c r="O496" s="32" t="n">
        <x:v>3.53</x:v>
      </x:c>
      <x:c r="P496" s="24" t="str">
        <x:v>exact_sea_around_us</x:v>
      </x:c>
      <x:c r="Q496" s="32" t="str">
        <x:v>Sea Around Us exploited organisms</x:v>
      </x:c>
      <x:c r="R496" s="24" t="str">
        <x:v>high</x:v>
      </x:c>
      <x:c r="S496" s="24" t="str">
        <x:v>Platax</x:v>
      </x:c>
      <x:c r="T496" s="32" t="n">
        <x:f>IF(O496="","",(1/'Metadata'!$B$5)^(O496-1))</x:f>
        <x:v>338.84415613920237</x:v>
      </x:c>
      <x:c r="U496" s="31" t="n">
        <x:f>IF(T496="","",I496*T496)</x:f>
        <x:v>2.5209881199795507</x:v>
      </x:c>
    </x:row>
    <x:row r="497" ht="18" customHeight="1">
      <x:c r="A497" s="24" t="str">
        <x:v>EEZ_036</x:v>
      </x:c>
      <x:c r="B497" s="24" t="str">
        <x:v>Australia</x:v>
      </x:c>
      <x:c r="C497" s="24" t="str">
        <x:v>EEZ</x:v>
      </x:c>
      <x:c r="D497" s="30" t="n">
        <x:v>2019</x:v>
      </x:c>
      <x:c r="E497" s="24" t="str">
        <x:v>Gnathodentex aureolineatus</x:v>
      </x:c>
      <x:c r="F497" s="24" t="str">
        <x:v>Striped large-eye bream</x:v>
      </x:c>
      <x:c r="G497" s="24" t="str">
        <x:v>Medium reef assoc. fish (30 - 89 cm)</x:v>
      </x:c>
      <x:c r="H497" s="24" t="str">
        <x:v>Perch-likes</x:v>
      </x:c>
      <x:c r="I497" s="31" t="n">
        <x:v>0.0071627357</x:v>
      </x:c>
      <x:c r="J497" s="31" t="n">
        <x:v>0.0071627357</x:v>
      </x:c>
      <x:c r="K497" s="31" t="n">
        <x:v>0</x:v>
      </x:c>
      <x:c r="L497" s="31" t="n">
        <x:v>0</x:v>
      </x:c>
      <x:c r="M497" s="31" t="n">
        <x:v>0.0071627357</x:v>
      </x:c>
      <x:c r="N497" s="24" t="str">
        <x:v>gnathodentex aureolineatus</x:v>
      </x:c>
      <x:c r="O497" s="32" t="n">
        <x:v>3.29</x:v>
      </x:c>
      <x:c r="P497" s="24" t="str">
        <x:v>exact_2020_supplement</x:v>
      </x:c>
      <x:c r="Q497" s="32" t="str">
        <x:v>2020 supplement MeanTL</x:v>
      </x:c>
      <x:c r="R497" s="24" t="str">
        <x:v>high</x:v>
      </x:c>
      <x:c r="S497" s="24" t="str">
        <x:v>Gnathodentex aureolineatus</x:v>
      </x:c>
      <x:c r="T497" s="32" t="n">
        <x:f>IF(O497="","",(1/'Metadata'!$B$5)^(O497-1))</x:f>
        <x:v>194.98445997580455</x:v>
      </x:c>
      <x:c r="U497" s="31" t="n">
        <x:f>IF(T497="","",I497*T497)</x:f>
        <x:v>1.3966221524139164</x:v>
      </x:c>
    </x:row>
    <x:row r="498" ht="18" customHeight="1">
      <x:c r="A498" s="24" t="str">
        <x:v>EEZ_036</x:v>
      </x:c>
      <x:c r="B498" s="24" t="str">
        <x:v>Australia</x:v>
      </x:c>
      <x:c r="C498" s="24" t="str">
        <x:v>EEZ</x:v>
      </x:c>
      <x:c r="D498" s="30" t="n">
        <x:v>2019</x:v>
      </x:c>
      <x:c r="E498" s="24" t="str">
        <x:v>Lethrinus ornatus</x:v>
      </x:c>
      <x:c r="F498" s="24" t="str">
        <x:v>Ornate emperor</x:v>
      </x:c>
      <x:c r="G498" s="24" t="str">
        <x:v>Medium reef assoc. fish (30 - 89 cm)</x:v>
      </x:c>
      <x:c r="H498" s="24" t="str">
        <x:v>Perch-likes</x:v>
      </x:c>
      <x:c r="I498" s="31" t="n">
        <x:v>0.0064967337</x:v>
      </x:c>
      <x:c r="J498" s="31" t="n">
        <x:v>0.0064967337</x:v>
      </x:c>
      <x:c r="K498" s="31" t="n">
        <x:v>0</x:v>
      </x:c>
      <x:c r="L498" s="31" t="n">
        <x:v>0</x:v>
      </x:c>
      <x:c r="M498" s="31" t="n">
        <x:v>0.0064967337</x:v>
      </x:c>
      <x:c r="N498" s="24" t="str">
        <x:v>lethrinus ornatus</x:v>
      </x:c>
      <x:c r="O498" s="32" t="n">
        <x:v>3.37</x:v>
      </x:c>
      <x:c r="P498" s="24" t="str">
        <x:v>exact_2020_supplement</x:v>
      </x:c>
      <x:c r="Q498" s="32" t="str">
        <x:v>2020 supplement MeanTL</x:v>
      </x:c>
      <x:c r="R498" s="24" t="str">
        <x:v>high</x:v>
      </x:c>
      <x:c r="S498" s="24" t="str">
        <x:v>Lethrinus ornatus</x:v>
      </x:c>
      <x:c r="T498" s="32" t="n">
        <x:f>IF(O498="","",(1/'Metadata'!$B$5)^(O498-1))</x:f>
        <x:v>234.42288153199226</x:v>
      </x:c>
      <x:c r="U498" s="31" t="n">
        <x:f>IF(T498="","",I498*T498)</x:f>
        <x:v>1.5229830345000017</x:v>
      </x:c>
    </x:row>
    <x:row r="499" ht="18" customHeight="1">
      <x:c r="A499" s="24" t="str">
        <x:v>EEZ_036</x:v>
      </x:c>
      <x:c r="B499" s="24" t="str">
        <x:v>Australia</x:v>
      </x:c>
      <x:c r="C499" s="24" t="str">
        <x:v>EEZ</x:v>
      </x:c>
      <x:c r="D499" s="30" t="n">
        <x:v>2019</x:v>
      </x:c>
      <x:c r="E499" s="24" t="str">
        <x:v>Cheilinus trilobatus</x:v>
      </x:c>
      <x:c r="F499" s="24" t="str">
        <x:v>Tripletail wrasse</x:v>
      </x:c>
      <x:c r="G499" s="24" t="str">
        <x:v>Medium reef assoc. fish (30 - 89 cm)</x:v>
      </x:c>
      <x:c r="H499" s="24" t="str">
        <x:v>Perch-likes</x:v>
      </x:c>
      <x:c r="I499" s="31" t="n">
        <x:v>0.0063750027</x:v>
      </x:c>
      <x:c r="J499" s="31" t="n">
        <x:v>0.0063750027</x:v>
      </x:c>
      <x:c r="K499" s="31" t="n">
        <x:v>0</x:v>
      </x:c>
      <x:c r="L499" s="31" t="n">
        <x:v>0</x:v>
      </x:c>
      <x:c r="M499" s="31" t="n">
        <x:v>0.0063750027</x:v>
      </x:c>
      <x:c r="N499" s="24" t="str">
        <x:v>cheilinus trilobatus</x:v>
      </x:c>
      <x:c r="O499" s="32" t="n">
        <x:v>3.88</x:v>
      </x:c>
      <x:c r="P499" s="24" t="str">
        <x:v>exact_2020_supplement</x:v>
      </x:c>
      <x:c r="Q499" s="32" t="str">
        <x:v>2020 supplement MeanTL</x:v>
      </x:c>
      <x:c r="R499" s="24" t="str">
        <x:v>high</x:v>
      </x:c>
      <x:c r="S499" s="24" t="str">
        <x:v>Cheilinus trilobatus</x:v>
      </x:c>
      <x:c r="T499" s="32" t="n">
        <x:f>IF(O499="","",(1/'Metadata'!$B$5)^(O499-1))</x:f>
        <x:v>758.5775750291835</x:v>
      </x:c>
      <x:c r="U499" s="31" t="n">
        <x:f>IF(T499="","",I499*T499)</x:f>
        <x:v>4.835934088970498</x:v>
      </x:c>
    </x:row>
    <x:row r="500" ht="18" customHeight="1">
      <x:c r="A500" s="24" t="str">
        <x:v>EEZ_036</x:v>
      </x:c>
      <x:c r="B500" s="24" t="str">
        <x:v>Australia</x:v>
      </x:c>
      <x:c r="C500" s="24" t="str">
        <x:v>EEZ</x:v>
      </x:c>
      <x:c r="D500" s="30" t="n">
        <x:v>2019</x:v>
      </x:c>
      <x:c r="E500" s="24" t="str">
        <x:v>Brama australis</x:v>
      </x:c>
      <x:c r="F500" s="24" t="str">
        <x:v>Southern rays bream</x:v>
      </x:c>
      <x:c r="G500" s="24" t="str">
        <x:v>Medium pelagics (30 - 89 cm)</x:v>
      </x:c>
      <x:c r="H500" s="24" t="str">
        <x:v>Perch-likes</x:v>
      </x:c>
      <x:c r="I500" s="31" t="n">
        <x:v>0.0063222767</x:v>
      </x:c>
      <x:c r="J500" s="31" t="n">
        <x:v>0.0063222767</x:v>
      </x:c>
      <x:c r="K500" s="31" t="n">
        <x:v>0</x:v>
      </x:c>
      <x:c r="L500" s="31" t="n">
        <x:v>0</x:v>
      </x:c>
      <x:c r="M500" s="31" t="n">
        <x:v>0.0063222767</x:v>
      </x:c>
      <x:c r="N500" s="24" t="str">
        <x:v>brama australis</x:v>
      </x:c>
      <x:c r="O500" s="32" t="n">
        <x:v>4.2</x:v>
      </x:c>
      <x:c r="P500" s="24" t="str">
        <x:v>exact_sea_around_us</x:v>
      </x:c>
      <x:c r="Q500" s="32" t="str">
        <x:v>Sea Around Us exploited organisms</x:v>
      </x:c>
      <x:c r="R500" s="24" t="str">
        <x:v>high</x:v>
      </x:c>
      <x:c r="S500" s="24" t="str">
        <x:v>Brama australis</x:v>
      </x:c>
      <x:c r="T500" s="32" t="n">
        <x:f>IF(O500="","",(1/'Metadata'!$B$5)^(O500-1))</x:f>
        <x:v>1584.893192461114</x:v>
      </x:c>
      <x:c r="U500" s="31" t="n">
        <x:f>IF(T500="","",I500*T500)</x:f>
        <x:v>10.020133302685517</x:v>
      </x:c>
    </x:row>
    <x:row r="501" ht="18" customHeight="1">
      <x:c r="A501" s="24" t="str">
        <x:v>EEZ_036</x:v>
      </x:c>
      <x:c r="B501" s="24" t="str">
        <x:v>Australia</x:v>
      </x:c>
      <x:c r="C501" s="24" t="str">
        <x:v>EEZ</x:v>
      </x:c>
      <x:c r="D501" s="30" t="n">
        <x:v>2019</x:v>
      </x:c>
      <x:c r="E501" s="24" t="str">
        <x:v>Gerreidae</x:v>
      </x:c>
      <x:c r="F501" s="24" t="str">
        <x:v>Mojarras, silverbellies</x:v>
      </x:c>
      <x:c r="G501" s="24" t="str">
        <x:v>Small benthopelagics (&lt;30 cm)</x:v>
      </x:c>
      <x:c r="H501" s="24" t="str">
        <x:v>Perch-likes</x:v>
      </x:c>
      <x:c r="I501" s="31" t="n">
        <x:v>0.004311021</x:v>
      </x:c>
      <x:c r="J501" s="31" t="n">
        <x:v>0.004311021</x:v>
      </x:c>
      <x:c r="K501" s="31" t="n">
        <x:v>0</x:v>
      </x:c>
      <x:c r="L501" s="31" t="n">
        <x:v>0.004311021</x:v>
      </x:c>
      <x:c r="M501" s="31" t="n">
        <x:v>0</x:v>
      </x:c>
      <x:c r="N501" s="24" t="str">
        <x:v>gerreidae</x:v>
      </x:c>
      <x:c r="O501" s="32" t="n">
        <x:v>3.03</x:v>
      </x:c>
      <x:c r="P501" s="24" t="str">
        <x:v>exact_sea_around_us</x:v>
      </x:c>
      <x:c r="Q501" s="32" t="str">
        <x:v>Sea Around Us exploited organisms</x:v>
      </x:c>
      <x:c r="R501" s="24" t="str">
        <x:v>high</x:v>
      </x:c>
      <x:c r="S501" s="24" t="str">
        <x:v>Gerreidae</x:v>
      </x:c>
      <x:c r="T501" s="32" t="n">
        <x:f>IF(O501="","",(1/'Metadata'!$B$5)^(O501-1))</x:f>
        <x:v>107.1519305237606</x:v>
      </x:c>
      <x:c r="U501" s="31" t="n">
        <x:f>IF(T501="","",I501*T501)</x:f>
        <x:v>0.46193422267847295</x:v>
      </x:c>
    </x:row>
    <x:row r="502" ht="18" customHeight="1">
      <x:c r="A502" s="24" t="str">
        <x:v>EEZ_036</x:v>
      </x:c>
      <x:c r="B502" s="24" t="str">
        <x:v>Australia</x:v>
      </x:c>
      <x:c r="C502" s="24" t="str">
        <x:v>EEZ</x:v>
      </x:c>
      <x:c r="D502" s="30" t="n">
        <x:v>2019</x:v>
      </x:c>
      <x:c r="E502" s="24" t="str">
        <x:v>Aldrichetta forsteri</x:v>
      </x:c>
      <x:c r="F502" s="24" t="str">
        <x:v>Yellow-eye mullet</x:v>
      </x:c>
      <x:c r="G502" s="24" t="str">
        <x:v>Small pelagics (&lt;30 cm)</x:v>
      </x:c>
      <x:c r="H502" s="24" t="str">
        <x:v>Other fishes &amp; inverts</x:v>
      </x:c>
      <x:c r="I502" s="31" t="n">
        <x:v>0.0039791549</x:v>
      </x:c>
      <x:c r="J502" s="31" t="n">
        <x:v>0.0039791549</x:v>
      </x:c>
      <x:c r="K502" s="31" t="n">
        <x:v>0</x:v>
      </x:c>
      <x:c r="L502" s="31" t="n">
        <x:v>0</x:v>
      </x:c>
      <x:c r="M502" s="31" t="n">
        <x:v>0.0039791549</x:v>
      </x:c>
      <x:c r="N502" s="24" t="str">
        <x:v>aldrichetta forsteri</x:v>
      </x:c>
      <x:c r="O502" s="32" t="n">
        <x:v>2.51</x:v>
      </x:c>
      <x:c r="P502" s="24" t="str">
        <x:v>exact_2020_supplement</x:v>
      </x:c>
      <x:c r="Q502" s="32" t="str">
        <x:v>2020 supplement MeanTL</x:v>
      </x:c>
      <x:c r="R502" s="24" t="str">
        <x:v>high</x:v>
      </x:c>
      <x:c r="S502" s="24" t="str">
        <x:v>Aldrichetta forsteri</x:v>
      </x:c>
      <x:c r="T502" s="32" t="n">
        <x:f>IF(O502="","",(1/'Metadata'!$B$5)^(O502-1))</x:f>
        <x:v>32.35936569296281</x:v>
      </x:c>
      <x:c r="U502" s="31" t="n">
        <x:f>IF(T502="","",I502*T502)</x:f>
        <x:v>0.1287629285580449</x:v>
      </x:c>
    </x:row>
    <x:row r="503" ht="18" customHeight="1">
      <x:c r="A503" s="24" t="str">
        <x:v>EEZ_036</x:v>
      </x:c>
      <x:c r="B503" s="24" t="str">
        <x:v>Australia</x:v>
      </x:c>
      <x:c r="C503" s="24" t="str">
        <x:v>EEZ</x:v>
      </x:c>
      <x:c r="D503" s="30" t="n">
        <x:v>2019</x:v>
      </x:c>
      <x:c r="E503" s="24" t="str">
        <x:v>Scarus oviceps</x:v>
      </x:c>
      <x:c r="F503" s="24" t="str">
        <x:v>Darkcapped parrotfish</x:v>
      </x:c>
      <x:c r="G503" s="24" t="str">
        <x:v>Medium reef assoc. fish (30 - 89 cm)</x:v>
      </x:c>
      <x:c r="H503" s="24" t="str">
        <x:v>Perch-likes</x:v>
      </x:c>
      <x:c r="I503" s="31" t="n">
        <x:v>0.0035816475</x:v>
      </x:c>
      <x:c r="J503" s="31" t="n">
        <x:v>0.0035816475</x:v>
      </x:c>
      <x:c r="K503" s="31" t="n">
        <x:v>0</x:v>
      </x:c>
      <x:c r="L503" s="31" t="n">
        <x:v>0</x:v>
      </x:c>
      <x:c r="M503" s="31" t="n">
        <x:v>0.0035816475</x:v>
      </x:c>
      <x:c r="N503" s="24" t="str">
        <x:v>scarus oviceps</x:v>
      </x:c>
      <x:c r="O503" s="32" t="n">
        <x:v>2</x:v>
      </x:c>
      <x:c r="P503" s="24" t="str">
        <x:v>exact_2020_supplement</x:v>
      </x:c>
      <x:c r="Q503" s="32" t="str">
        <x:v>2020 supplement MeanTL</x:v>
      </x:c>
      <x:c r="R503" s="24" t="str">
        <x:v>high</x:v>
      </x:c>
      <x:c r="S503" s="24" t="str">
        <x:v>Scarus oviceps</x:v>
      </x:c>
      <x:c r="T503" s="32" t="n">
        <x:f>IF(O503="","",(1/'Metadata'!$B$5)^(O503-1))</x:f>
        <x:v>10</x:v>
      </x:c>
      <x:c r="U503" s="31" t="n">
        <x:f>IF(T503="","",I503*T503)</x:f>
        <x:v>0.035816475</x:v>
      </x:c>
    </x:row>
    <x:row r="504" ht="18" customHeight="1">
      <x:c r="A504" s="24" t="str">
        <x:v>EEZ_036</x:v>
      </x:c>
      <x:c r="B504" s="24" t="str">
        <x:v>Australia</x:v>
      </x:c>
      <x:c r="C504" s="24" t="str">
        <x:v>EEZ</x:v>
      </x:c>
      <x:c r="D504" s="30" t="n">
        <x:v>2019</x:v>
      </x:c>
      <x:c r="E504" s="24" t="str">
        <x:v>Acanthurus</x:v>
      </x:c>
      <x:c r="F504" s="24" t="str">
        <x:v>Surgeonfishes</x:v>
      </x:c>
      <x:c r="G504" s="24" t="str">
        <x:v>Small reef assoc. fish (&lt;30 cm)</x:v>
      </x:c>
      <x:c r="H504" s="24" t="str">
        <x:v>Perch-likes</x:v>
      </x:c>
      <x:c r="I504" s="31" t="n">
        <x:v>0.0035645421</x:v>
      </x:c>
      <x:c r="J504" s="31" t="n">
        <x:v>0.0035645421</x:v>
      </x:c>
      <x:c r="K504" s="31" t="n">
        <x:v>0</x:v>
      </x:c>
      <x:c r="L504" s="31" t="n">
        <x:v>0</x:v>
      </x:c>
      <x:c r="M504" s="31" t="n">
        <x:v>0.0035645421</x:v>
      </x:c>
      <x:c r="N504" s="24" t="str">
        <x:v>acanthurus</x:v>
      </x:c>
      <x:c r="O504" s="32" t="n">
        <x:v>2.03</x:v>
      </x:c>
      <x:c r="P504" s="24" t="str">
        <x:v>exact_sea_around_us</x:v>
      </x:c>
      <x:c r="Q504" s="32" t="str">
        <x:v>Sea Around Us exploited organisms</x:v>
      </x:c>
      <x:c r="R504" s="24" t="str">
        <x:v>high</x:v>
      </x:c>
      <x:c r="S504" s="24" t="str">
        <x:v>Acanthurus</x:v>
      </x:c>
      <x:c r="T504" s="32" t="n">
        <x:f>IF(O504="","",(1/'Metadata'!$B$5)^(O504-1))</x:f>
        <x:v>10.71519305237606</x:v>
      </x:c>
      <x:c r="U504" s="31" t="n">
        <x:f>IF(T504="","",I504*T504)</x:f>
        <x:v>0.03819475674482197</x:v>
      </x:c>
    </x:row>
    <x:row r="505" ht="18" customHeight="1">
      <x:c r="A505" s="24" t="str">
        <x:v>EEZ_036</x:v>
      </x:c>
      <x:c r="B505" s="24" t="str">
        <x:v>Australia</x:v>
      </x:c>
      <x:c r="C505" s="24" t="str">
        <x:v>EEZ</x:v>
      </x:c>
      <x:c r="D505" s="30" t="n">
        <x:v>2019</x:v>
      </x:c>
      <x:c r="E505" s="24" t="str">
        <x:v>Siganus canaliculatus</x:v>
      </x:c>
      <x:c r="F505" s="24" t="str">
        <x:v>White-spotted spinefoot</x:v>
      </x:c>
      <x:c r="G505" s="24" t="str">
        <x:v>Small reef assoc. fish (&lt;30 cm)</x:v>
      </x:c>
      <x:c r="H505" s="24" t="str">
        <x:v>Perch-likes</x:v>
      </x:c>
      <x:c r="I505" s="31" t="n">
        <x:v>0.0030843484</x:v>
      </x:c>
      <x:c r="J505" s="31" t="n">
        <x:v>0.0030843484</x:v>
      </x:c>
      <x:c r="K505" s="31" t="n">
        <x:v>0</x:v>
      </x:c>
      <x:c r="L505" s="31" t="n">
        <x:v>0</x:v>
      </x:c>
      <x:c r="M505" s="31" t="n">
        <x:v>0.0030843484</x:v>
      </x:c>
      <x:c r="N505" s="24" t="str">
        <x:v>siganus canaliculatus</x:v>
      </x:c>
      <x:c r="O505" s="32" t="n">
        <x:v>2.76</x:v>
      </x:c>
      <x:c r="P505" s="24" t="str">
        <x:v>exact_2020_supplement</x:v>
      </x:c>
      <x:c r="Q505" s="32" t="str">
        <x:v>2020 supplement MeanTL</x:v>
      </x:c>
      <x:c r="R505" s="24" t="str">
        <x:v>high</x:v>
      </x:c>
      <x:c r="S505" s="24" t="str">
        <x:v>Siganus canaliculatus</x:v>
      </x:c>
      <x:c r="T505" s="32" t="n">
        <x:f>IF(O505="","",(1/'Metadata'!$B$5)^(O505-1))</x:f>
        <x:v>57.543993733715666</x:v>
      </x:c>
      <x:c r="U505" s="31" t="n">
        <x:f>IF(T505="","",I505*T505)</x:f>
        <x:v>0.17748572500219595</x:v>
      </x:c>
    </x:row>
    <x:row r="506" ht="18" customHeight="1">
      <x:c r="A506" s="24" t="str">
        <x:v>EEZ_036</x:v>
      </x:c>
      <x:c r="B506" s="24" t="str">
        <x:v>Australia</x:v>
      </x:c>
      <x:c r="C506" s="24" t="str">
        <x:v>EEZ</x:v>
      </x:c>
      <x:c r="D506" s="30" t="n">
        <x:v>2019</x:v>
      </x:c>
      <x:c r="E506" s="24" t="str">
        <x:v>Thunnus</x:v>
      </x:c>
      <x:c r="F506" s="24" t="str">
        <x:v>Tunas</x:v>
      </x:c>
      <x:c r="G506" s="24" t="str">
        <x:v>Large pelagics (&gt;=90 cm)</x:v>
      </x:c>
      <x:c r="H506" s="24" t="str">
        <x:v>Tuna &amp; billfishes</x:v>
      </x:c>
      <x:c r="I506" s="31" t="n">
        <x:v>0.0028869405</x:v>
      </x:c>
      <x:c r="J506" s="31" t="n">
        <x:v>0.0028869405</x:v>
      </x:c>
      <x:c r="K506" s="31" t="n">
        <x:v>0</x:v>
      </x:c>
      <x:c r="L506" s="31" t="n">
        <x:v>0.0028869405</x:v>
      </x:c>
      <x:c r="M506" s="31" t="n">
        <x:v>0</x:v>
      </x:c>
      <x:c r="N506" s="24" t="str">
        <x:v>thunnus</x:v>
      </x:c>
      <x:c r="O506" s="32" t="n">
        <x:v>4.34</x:v>
      </x:c>
      <x:c r="P506" s="24" t="str">
        <x:v>exact_sea_around_us</x:v>
      </x:c>
      <x:c r="Q506" s="32" t="str">
        <x:v>Sea Around Us exploited organisms</x:v>
      </x:c>
      <x:c r="R506" s="24" t="str">
        <x:v>high</x:v>
      </x:c>
      <x:c r="S506" s="24" t="str">
        <x:v>Thunnus</x:v>
      </x:c>
      <x:c r="T506" s="32" t="n">
        <x:f>IF(O506="","",(1/'Metadata'!$B$5)^(O506-1))</x:f>
        <x:v>2187.761623949552</x:v>
      </x:c>
      <x:c r="U506" s="31" t="n">
        <x:f>IF(T506="","",I506*T506)</x:f>
        <x:v>6.315937636525731</x:v>
      </x:c>
    </x:row>
    <x:row r="507" ht="18" customHeight="1">
      <x:c r="A507" s="24" t="str">
        <x:v>EEZ_036</x:v>
      </x:c>
      <x:c r="B507" s="24" t="str">
        <x:v>Australia</x:v>
      </x:c>
      <x:c r="C507" s="24" t="str">
        <x:v>EEZ</x:v>
      </x:c>
      <x:c r="D507" s="30" t="n">
        <x:v>2019</x:v>
      </x:c>
      <x:c r="E507" s="24" t="str">
        <x:v>Nemipterus hexodon</x:v>
      </x:c>
      <x:c r="F507" s="24" t="str">
        <x:v>Ornate threadfin bream</x:v>
      </x:c>
      <x:c r="G507" s="24" t="str">
        <x:v>Small demersals (&lt;30 cm)</x:v>
      </x:c>
      <x:c r="H507" s="24" t="str">
        <x:v>Perch-likes</x:v>
      </x:c>
      <x:c r="I507" s="31" t="n">
        <x:v>0.0028862366</x:v>
      </x:c>
      <x:c r="J507" s="31" t="n">
        <x:v>0.0028862366</x:v>
      </x:c>
      <x:c r="K507" s="31" t="n">
        <x:v>0</x:v>
      </x:c>
      <x:c r="L507" s="31" t="n">
        <x:v>0</x:v>
      </x:c>
      <x:c r="M507" s="31" t="n">
        <x:v>0.0028862366</x:v>
      </x:c>
      <x:c r="N507" s="24" t="str">
        <x:v>nemipterus hexodon</x:v>
      </x:c>
      <x:c r="O507" s="32" t="n">
        <x:v>3.93</x:v>
      </x:c>
      <x:c r="P507" s="24" t="str">
        <x:v>exact_2020_supplement</x:v>
      </x:c>
      <x:c r="Q507" s="32" t="str">
        <x:v>2020 supplement MeanTL</x:v>
      </x:c>
      <x:c r="R507" s="24" t="str">
        <x:v>high</x:v>
      </x:c>
      <x:c r="S507" s="24" t="str">
        <x:v>Nemipterus hexodon</x:v>
      </x:c>
      <x:c r="T507" s="32" t="n">
        <x:f>IF(O507="","",(1/'Metadata'!$B$5)^(O507-1))</x:f>
        <x:v>851.1380382023768</x:v>
      </x:c>
      <x:c r="U507" s="31" t="n">
        <x:f>IF(T507="","",I507*T507)</x:f>
        <x:v>2.456585757511898</x:v>
      </x:c>
    </x:row>
    <x:row r="508" ht="18" customHeight="1">
      <x:c r="A508" s="24" t="str">
        <x:v>EEZ_036</x:v>
      </x:c>
      <x:c r="B508" s="24" t="str">
        <x:v>Australia</x:v>
      </x:c>
      <x:c r="C508" s="24" t="str">
        <x:v>EEZ</x:v>
      </x:c>
      <x:c r="D508" s="30" t="n">
        <x:v>2019</x:v>
      </x:c>
      <x:c r="E508" s="24" t="str">
        <x:v>Priacanthus macracanthus</x:v>
      </x:c>
      <x:c r="F508" s="24" t="str">
        <x:v>Red bigeye</x:v>
      </x:c>
      <x:c r="G508" s="24" t="str">
        <x:v>Medium reef assoc. fish (30 - 89 cm)</x:v>
      </x:c>
      <x:c r="H508" s="24" t="str">
        <x:v>Perch-likes</x:v>
      </x:c>
      <x:c r="I508" s="31" t="n">
        <x:v>0.0027352287</x:v>
      </x:c>
      <x:c r="J508" s="31" t="n">
        <x:v>0.0027352287</x:v>
      </x:c>
      <x:c r="K508" s="31" t="n">
        <x:v>0</x:v>
      </x:c>
      <x:c r="L508" s="31" t="n">
        <x:v>0</x:v>
      </x:c>
      <x:c r="M508" s="31" t="n">
        <x:v>0.0027352287</x:v>
      </x:c>
      <x:c r="N508" s="24" t="str">
        <x:v>priacanthus macracanthus</x:v>
      </x:c>
      <x:c r="O508" s="32" t="n">
        <x:v>4.11</x:v>
      </x:c>
      <x:c r="P508" s="24" t="str">
        <x:v>exact_2020_supplement</x:v>
      </x:c>
      <x:c r="Q508" s="32" t="str">
        <x:v>2020 supplement MeanTL</x:v>
      </x:c>
      <x:c r="R508" s="24" t="str">
        <x:v>high</x:v>
      </x:c>
      <x:c r="S508" s="24" t="str">
        <x:v>Priacanthus macracanthus</x:v>
      </x:c>
      <x:c r="T508" s="32" t="n">
        <x:f>IF(O508="","",(1/'Metadata'!$B$5)^(O508-1))</x:f>
        <x:v>1288.249551693135</x:v>
      </x:c>
      <x:c r="U508" s="31" t="n">
        <x:f>IF(T508="","",I508*T508)</x:f>
        <x:v>3.5236571465531963</x:v>
      </x:c>
    </x:row>
    <x:row r="509" ht="18" customHeight="1">
      <x:c r="A509" s="24" t="str">
        <x:v>EEZ_036</x:v>
      </x:c>
      <x:c r="B509" s="24" t="str">
        <x:v>Australia</x:v>
      </x:c>
      <x:c r="C509" s="24" t="str">
        <x:v>EEZ</x:v>
      </x:c>
      <x:c r="D509" s="30" t="n">
        <x:v>2019</x:v>
      </x:c>
      <x:c r="E509" s="24" t="str">
        <x:v>Lamniformes</x:v>
      </x:c>
      <x:c r="F509" s="24" t="str">
        <x:v>Mackerel sharks</x:v>
      </x:c>
      <x:c r="G509" s="24" t="str">
        <x:v>Large sharks (&gt;=90 cm)</x:v>
      </x:c>
      <x:c r="H509" s="24" t="str">
        <x:v>Sharks &amp; rays</x:v>
      </x:c>
      <x:c r="I509" s="31" t="n">
        <x:v>0.0023624863</x:v>
      </x:c>
      <x:c r="J509" s="31" t="n">
        <x:v>0.0023624863</x:v>
      </x:c>
      <x:c r="K509" s="31" t="n">
        <x:v>0</x:v>
      </x:c>
      <x:c r="L509" s="31" t="n">
        <x:v>0.0023624863</x:v>
      </x:c>
      <x:c r="M509" s="31" t="n">
        <x:v>0</x:v>
      </x:c>
      <x:c r="N509" s="24" t="str">
        <x:v>lamniformes</x:v>
      </x:c>
      <x:c r="O509" s="32" t="n">
        <x:v>4.34</x:v>
      </x:c>
      <x:c r="P509" s="24" t="str">
        <x:v>exact_sea_around_us</x:v>
      </x:c>
      <x:c r="Q509" s="32" t="str">
        <x:v>Sea Around Us exploited organisms</x:v>
      </x:c>
      <x:c r="R509" s="24" t="str">
        <x:v>high</x:v>
      </x:c>
      <x:c r="S509" s="24" t="str">
        <x:v>Lamniformes</x:v>
      </x:c>
      <x:c r="T509" s="32" t="n">
        <x:f>IF(O509="","",(1/'Metadata'!$B$5)^(O509-1))</x:f>
        <x:v>2187.761623949552</x:v>
      </x:c>
      <x:c r="U509" s="31" t="n">
        <x:f>IF(T509="","",I509*T509)</x:f>
        <x:v>5.168556864246568</x:v>
      </x:c>
    </x:row>
    <x:row r="510" ht="18" customHeight="1">
      <x:c r="A510" s="24" t="str">
        <x:v>EEZ_036</x:v>
      </x:c>
      <x:c r="B510" s="24" t="str">
        <x:v>Australia</x:v>
      </x:c>
      <x:c r="C510" s="24" t="str">
        <x:v>EEZ</x:v>
      </x:c>
      <x:c r="D510" s="30" t="n">
        <x:v>2019</x:v>
      </x:c>
      <x:c r="E510" s="24" t="str">
        <x:v>Gephyroberyx darwinii</x:v>
      </x:c>
      <x:c r="F510" s="24" t="str">
        <x:v>Darwin's slimehead</x:v>
      </x:c>
      <x:c r="G510" s="24" t="str">
        <x:v>Medium benthopelagics (30 - 89 cm)</x:v>
      </x:c>
      <x:c r="H510" s="24" t="str">
        <x:v>Other fishes &amp; inverts</x:v>
      </x:c>
      <x:c r="I510" s="31" t="n">
        <x:v>0.0022754917000000004</x:v>
      </x:c>
      <x:c r="J510" s="31" t="n">
        <x:v>0.0022754917000000004</x:v>
      </x:c>
      <x:c r="K510" s="31" t="n">
        <x:v>0</x:v>
      </x:c>
      <x:c r="L510" s="31" t="n">
        <x:v>0.0022754917000000004</x:v>
      </x:c>
      <x:c r="M510" s="31" t="n">
        <x:v>0</x:v>
      </x:c>
      <x:c r="N510" s="24" t="str">
        <x:v>gephyroberyx darwinii</x:v>
      </x:c>
      <x:c r="O510" s="32" t="n">
        <x:v>3.94</x:v>
      </x:c>
      <x:c r="P510" s="24" t="str">
        <x:v>exact_2020_supplement</x:v>
      </x:c>
      <x:c r="Q510" s="32" t="str">
        <x:v>2020 supplement MeanTL</x:v>
      </x:c>
      <x:c r="R510" s="24" t="str">
        <x:v>high</x:v>
      </x:c>
      <x:c r="S510" s="24" t="str">
        <x:v>Gephyroberyx darwinii</x:v>
      </x:c>
      <x:c r="T510" s="32" t="n">
        <x:f>IF(O510="","",(1/'Metadata'!$B$5)^(O510-1))</x:f>
        <x:v>870.9635899560806</x:v>
      </x:c>
      <x:c r="U510" s="31" t="n">
        <x:f>IF(T510="","",I510*T510)</x:f>
        <x:v>1.981870419947265</x:v>
      </x:c>
    </x:row>
    <x:row r="511" ht="18" customHeight="1">
      <x:c r="A511" s="24" t="str">
        <x:v>EEZ_036</x:v>
      </x:c>
      <x:c r="B511" s="24" t="str">
        <x:v>Australia</x:v>
      </x:c>
      <x:c r="C511" s="24" t="str">
        <x:v>EEZ</x:v>
      </x:c>
      <x:c r="D511" s="30" t="n">
        <x:v>2019</x:v>
      </x:c>
      <x:c r="E511" s="24" t="str">
        <x:v>Sillago sihama</x:v>
      </x:c>
      <x:c r="F511" s="24" t="str">
        <x:v>Silver sillago</x:v>
      </x:c>
      <x:c r="G511" s="24" t="str">
        <x:v>Medium demersals (30 - 89 cm)</x:v>
      </x:c>
      <x:c r="H511" s="24" t="str">
        <x:v>Perch-likes</x:v>
      </x:c>
      <x:c r="I511" s="31" t="n">
        <x:v>0.0022538661</x:v>
      </x:c>
      <x:c r="J511" s="31" t="n">
        <x:v>0.0022538661</x:v>
      </x:c>
      <x:c r="K511" s="31" t="n">
        <x:v>0</x:v>
      </x:c>
      <x:c r="L511" s="31" t="n">
        <x:v>0</x:v>
      </x:c>
      <x:c r="M511" s="31" t="n">
        <x:v>0.0022538661</x:v>
      </x:c>
      <x:c r="N511" s="24" t="str">
        <x:v>sillago sihama</x:v>
      </x:c>
      <x:c r="O511" s="32" t="n">
        <x:v>3.33</x:v>
      </x:c>
      <x:c r="P511" s="24" t="str">
        <x:v>exact_2020_supplement</x:v>
      </x:c>
      <x:c r="Q511" s="32" t="str">
        <x:v>2020 supplement MeanTL</x:v>
      </x:c>
      <x:c r="R511" s="24" t="str">
        <x:v>high</x:v>
      </x:c>
      <x:c r="S511" s="24" t="str">
        <x:v>Sillago sihama</x:v>
      </x:c>
      <x:c r="T511" s="32" t="n">
        <x:f>IF(O511="","",(1/'Metadata'!$B$5)^(O511-1))</x:f>
        <x:v>213.79620895022325</x:v>
      </x:c>
      <x:c r="U511" s="31" t="n">
        <x:f>IF(T511="","",I511*T511)</x:f>
        <x:v>0.4818680276614247</x:v>
      </x:c>
    </x:row>
    <x:row r="512" ht="18" customHeight="1">
      <x:c r="A512" s="24" t="str">
        <x:v>EEZ_036</x:v>
      </x:c>
      <x:c r="B512" s="24" t="str">
        <x:v>Australia</x:v>
      </x:c>
      <x:c r="C512" s="24" t="str">
        <x:v>EEZ</x:v>
      </x:c>
      <x:c r="D512" s="30" t="n">
        <x:v>2019</x:v>
      </x:c>
      <x:c r="E512" s="24" t="str">
        <x:v>Cephalopholis urodeta</x:v>
      </x:c>
      <x:c r="F512" s="24" t="str">
        <x:v>Darkfin hind</x:v>
      </x:c>
      <x:c r="G512" s="24" t="str">
        <x:v>Small reef assoc. fish (&lt;30 cm)</x:v>
      </x:c>
      <x:c r="H512" s="24" t="str">
        <x:v>Perch-likes</x:v>
      </x:c>
      <x:c r="I512" s="31" t="n">
        <x:v>0.0018583359</x:v>
      </x:c>
      <x:c r="J512" s="31" t="n">
        <x:v>0.0018583359</x:v>
      </x:c>
      <x:c r="K512" s="31" t="n">
        <x:v>0</x:v>
      </x:c>
      <x:c r="L512" s="31" t="n">
        <x:v>0</x:v>
      </x:c>
      <x:c r="M512" s="31" t="n">
        <x:v>0.0018583359</x:v>
      </x:c>
      <x:c r="N512" s="24" t="str">
        <x:v>cephalopholis urodeta</x:v>
      </x:c>
      <x:c r="O512" s="32" t="n">
        <x:v>4.02</x:v>
      </x:c>
      <x:c r="P512" s="24" t="str">
        <x:v>exact_2020_supplement</x:v>
      </x:c>
      <x:c r="Q512" s="32" t="str">
        <x:v>2020 supplement MeanTL</x:v>
      </x:c>
      <x:c r="R512" s="24" t="str">
        <x:v>high</x:v>
      </x:c>
      <x:c r="S512" s="24" t="str">
        <x:v>Cephalopholis urodeta</x:v>
      </x:c>
      <x:c r="T512" s="32" t="n">
        <x:f>IF(O512="","",(1/'Metadata'!$B$5)^(O512-1))</x:f>
        <x:v>1047.1285480508984</x:v>
      </x:c>
      <x:c r="U512" s="31" t="n">
        <x:f>IF(T512="","",I512*T512)</x:f>
        <x:v>1.9459165727578593</x:v>
      </x:c>
    </x:row>
    <x:row r="513" ht="18" customHeight="1">
      <x:c r="A513" s="24" t="str">
        <x:v>EEZ_036</x:v>
      </x:c>
      <x:c r="B513" s="24" t="str">
        <x:v>Australia</x:v>
      </x:c>
      <x:c r="C513" s="24" t="str">
        <x:v>EEZ</x:v>
      </x:c>
      <x:c r="D513" s="30" t="n">
        <x:v>2019</x:v>
      </x:c>
      <x:c r="E513" s="24" t="str">
        <x:v>Rhombosolea</x:v>
      </x:c>
      <x:c r="F513" s="24" t="str">
        <x:v>Rhombosolid flounders</x:v>
      </x:c>
      <x:c r="G513" s="24" t="str">
        <x:v>Small to medium flatfishes (&lt;90 cm)</x:v>
      </x:c>
      <x:c r="H513" s="24" t="str">
        <x:v>Flatfishes</x:v>
      </x:c>
      <x:c r="I513" s="31" t="n">
        <x:v>0.0017227013</x:v>
      </x:c>
      <x:c r="J513" s="31" t="n">
        <x:v>0.0017227013</x:v>
      </x:c>
      <x:c r="K513" s="31" t="n">
        <x:v>0</x:v>
      </x:c>
      <x:c r="L513" s="31" t="n">
        <x:v>0.0017227013</x:v>
      </x:c>
      <x:c r="M513" s="31" t="n">
        <x:v>0</x:v>
      </x:c>
      <x:c r="N513" s="24" t="str">
        <x:v>rhombosolea</x:v>
      </x:c>
      <x:c r="O513" s="32" t="n">
        <x:v>3.1</x:v>
      </x:c>
      <x:c r="P513" s="24" t="str">
        <x:v>exact_sea_around_us</x:v>
      </x:c>
      <x:c r="Q513" s="32" t="str">
        <x:v>Sea Around Us exploited organisms</x:v>
      </x:c>
      <x:c r="R513" s="24" t="str">
        <x:v>high</x:v>
      </x:c>
      <x:c r="S513" s="24" t="str">
        <x:v>Rhombosolea</x:v>
      </x:c>
      <x:c r="T513" s="32" t="n">
        <x:f>IF(O513="","",(1/'Metadata'!$B$5)^(O513-1))</x:f>
        <x:v>125.89254117941675</x:v>
      </x:c>
      <x:c r="U513" s="31" t="n">
        <x:f>IF(T513="","",I513*T513)</x:f>
        <x:v>0.21687524435008476</x:v>
      </x:c>
    </x:row>
    <x:row r="514" ht="18" customHeight="1">
      <x:c r="A514" s="24" t="str">
        <x:v>EEZ_036</x:v>
      </x:c>
      <x:c r="B514" s="24" t="str">
        <x:v>Australia</x:v>
      </x:c>
      <x:c r="C514" s="24" t="str">
        <x:v>EEZ</x:v>
      </x:c>
      <x:c r="D514" s="30" t="n">
        <x:v>2019</x:v>
      </x:c>
      <x:c r="E514" s="24" t="str">
        <x:v>Selaroides leptolepis</x:v>
      </x:c>
      <x:c r="F514" s="24" t="str">
        <x:v>Yellowstripe scad</x:v>
      </x:c>
      <x:c r="G514" s="24" t="str">
        <x:v>Small pelagics (&lt;30 cm)</x:v>
      </x:c>
      <x:c r="H514" s="24" t="str">
        <x:v>Perch-likes</x:v>
      </x:c>
      <x:c r="I514" s="31" t="n">
        <x:v>0.0016869058</x:v>
      </x:c>
      <x:c r="J514" s="31" t="n">
        <x:v>0.0016869058</x:v>
      </x:c>
      <x:c r="K514" s="31" t="n">
        <x:v>0</x:v>
      </x:c>
      <x:c r="L514" s="31" t="n">
        <x:v>0.0016869058</x:v>
      </x:c>
      <x:c r="M514" s="31" t="n">
        <x:v>0</x:v>
      </x:c>
      <x:c r="N514" s="24" t="str">
        <x:v>selaroides leptolepis</x:v>
      </x:c>
      <x:c r="O514" s="32" t="n">
        <x:v>3.84</x:v>
      </x:c>
      <x:c r="P514" s="24" t="str">
        <x:v>exact_2020_supplement</x:v>
      </x:c>
      <x:c r="Q514" s="32" t="str">
        <x:v>2020 supplement MeanTL</x:v>
      </x:c>
      <x:c r="R514" s="24" t="str">
        <x:v>high</x:v>
      </x:c>
      <x:c r="S514" s="24" t="str">
        <x:v>Selaroides leptolepis</x:v>
      </x:c>
      <x:c r="T514" s="32" t="n">
        <x:f>IF(O514="","",(1/'Metadata'!$B$5)^(O514-1))</x:f>
        <x:v>691.8309709189363</x:v>
      </x:c>
      <x:c r="U514" s="31" t="n">
        <x:f>IF(T514="","",I514*T514)</x:f>
        <x:v>1.1670536774627849</x:v>
      </x:c>
    </x:row>
    <x:row r="515" ht="18" customHeight="1">
      <x:c r="A515" s="24" t="str">
        <x:v>EEZ_036</x:v>
      </x:c>
      <x:c r="B515" s="24" t="str">
        <x:v>Australia</x:v>
      </x:c>
      <x:c r="C515" s="24" t="str">
        <x:v>EEZ</x:v>
      </x:c>
      <x:c r="D515" s="30" t="n">
        <x:v>2019</x:v>
      </x:c>
      <x:c r="E515" s="24" t="str">
        <x:v>Chaetodontidae</x:v>
      </x:c>
      <x:c r="F515" s="24" t="str">
        <x:v>Butterflyfishes</x:v>
      </x:c>
      <x:c r="G515" s="24" t="str">
        <x:v>Small reef assoc. fish (&lt;30 cm)</x:v>
      </x:c>
      <x:c r="H515" s="24" t="str">
        <x:v>Perch-likes</x:v>
      </x:c>
      <x:c r="I515" s="31" t="n">
        <x:v>0.001533196</x:v>
      </x:c>
      <x:c r="J515" s="31" t="n">
        <x:v>0.001533196</x:v>
      </x:c>
      <x:c r="K515" s="31" t="n">
        <x:v>0</x:v>
      </x:c>
      <x:c r="L515" s="31" t="n">
        <x:v>0</x:v>
      </x:c>
      <x:c r="M515" s="31" t="n">
        <x:v>0.001533196</x:v>
      </x:c>
      <x:c r="N515" s="24" t="str">
        <x:v>chaetodontidae</x:v>
      </x:c>
      <x:c r="O515" s="32" t="n">
        <x:v>3.24</x:v>
      </x:c>
      <x:c r="P515" s="24" t="str">
        <x:v>exact_sea_around_us</x:v>
      </x:c>
      <x:c r="Q515" s="32" t="str">
        <x:v>Sea Around Us exploited organisms</x:v>
      </x:c>
      <x:c r="R515" s="24" t="str">
        <x:v>high</x:v>
      </x:c>
      <x:c r="S515" s="24" t="str">
        <x:v>Chaetodontidae</x:v>
      </x:c>
      <x:c r="T515" s="32" t="n">
        <x:f>IF(O515="","",(1/'Metadata'!$B$5)^(O515-1))</x:f>
        <x:v>173.78008287493762</x:v>
      </x:c>
      <x:c r="U515" s="31" t="n">
        <x:f>IF(T515="","",I515*T515)</x:f>
        <x:v>0.26643892794352286</x:v>
      </x:c>
    </x:row>
    <x:row r="516" ht="18" customHeight="1">
      <x:c r="A516" s="24" t="str">
        <x:v>EEZ_036</x:v>
      </x:c>
      <x:c r="B516" s="24" t="str">
        <x:v>Australia</x:v>
      </x:c>
      <x:c r="C516" s="24" t="str">
        <x:v>EEZ</x:v>
      </x:c>
      <x:c r="D516" s="30" t="n">
        <x:v>2019</x:v>
      </x:c>
      <x:c r="E516" s="24" t="str">
        <x:v>Cypselurus poecilopterus</x:v>
      </x:c>
      <x:c r="F516" s="24" t="str">
        <x:v>Yellowing flyingfish</x:v>
      </x:c>
      <x:c r="G516" s="24" t="str">
        <x:v>Small pelagics (&lt;30 cm)</x:v>
      </x:c>
      <x:c r="H516" s="24" t="str">
        <x:v>Other fishes &amp; inverts</x:v>
      </x:c>
      <x:c r="I516" s="31" t="n">
        <x:v>0.0015213262</x:v>
      </x:c>
      <x:c r="J516" s="31" t="n">
        <x:v>0.0015213262</x:v>
      </x:c>
      <x:c r="K516" s="31" t="n">
        <x:v>0</x:v>
      </x:c>
      <x:c r="L516" s="31" t="n">
        <x:v>0</x:v>
      </x:c>
      <x:c r="M516" s="31" t="n">
        <x:v>0.0015213262</x:v>
      </x:c>
      <x:c r="N516" s="24" t="str">
        <x:v>cypselurus poecilopterus</x:v>
      </x:c>
      <x:c r="O516" s="32" t="n">
        <x:v>3.4</x:v>
      </x:c>
      <x:c r="P516" s="24" t="str">
        <x:v>exact_2020_supplement</x:v>
      </x:c>
      <x:c r="Q516" s="32" t="str">
        <x:v>2020 supplement MeanTL</x:v>
      </x:c>
      <x:c r="R516" s="24" t="str">
        <x:v>high</x:v>
      </x:c>
      <x:c r="S516" s="24" t="str">
        <x:v>Cypselurus poecilopterus</x:v>
      </x:c>
      <x:c r="T516" s="32" t="n">
        <x:f>IF(O516="","",(1/'Metadata'!$B$5)^(O516-1))</x:f>
        <x:v>251.18864315095797</x:v>
      </x:c>
      <x:c r="U516" s="31" t="n">
        <x:f>IF(T516="","",I516*T516)</x:f>
        <x:v>0.3821398639680029</x:v>
      </x:c>
    </x:row>
    <x:row r="517" ht="18" customHeight="1">
      <x:c r="A517" s="24" t="str">
        <x:v>EEZ_036</x:v>
      </x:c>
      <x:c r="B517" s="24" t="str">
        <x:v>Australia</x:v>
      </x:c>
      <x:c r="C517" s="24" t="str">
        <x:v>EEZ</x:v>
      </x:c>
      <x:c r="D517" s="30" t="n">
        <x:v>2019</x:v>
      </x:c>
      <x:c r="E517" s="24" t="str">
        <x:v>Alepes</x:v>
      </x:c>
      <x:c r="F517" s="24" t="str">
        <x:v>Crevalles</x:v>
      </x:c>
      <x:c r="G517" s="24" t="str">
        <x:v>Medium reef assoc. fish (30 - 89 cm)</x:v>
      </x:c>
      <x:c r="H517" s="24" t="str">
        <x:v>Perch-likes</x:v>
      </x:c>
      <x:c r="I517" s="31" t="n">
        <x:v>0.001208418</x:v>
      </x:c>
      <x:c r="J517" s="31" t="n">
        <x:v>0.001208418</x:v>
      </x:c>
      <x:c r="K517" s="31" t="n">
        <x:v>0</x:v>
      </x:c>
      <x:c r="L517" s="31" t="n">
        <x:v>0</x:v>
      </x:c>
      <x:c r="M517" s="31" t="n">
        <x:v>0.001208418</x:v>
      </x:c>
      <x:c r="N517" s="24" t="str">
        <x:v>alepes</x:v>
      </x:c>
      <x:c r="O517" s="32" t="n">
        <x:v>3.32</x:v>
      </x:c>
      <x:c r="P517" s="24" t="str">
        <x:v>exact_sea_around_us</x:v>
      </x:c>
      <x:c r="Q517" s="32" t="str">
        <x:v>Sea Around Us exploited organisms</x:v>
      </x:c>
      <x:c r="R517" s="24" t="str">
        <x:v>high</x:v>
      </x:c>
      <x:c r="S517" s="24" t="str">
        <x:v>Alepes</x:v>
      </x:c>
      <x:c r="T517" s="32" t="n">
        <x:f>IF(O517="","",(1/'Metadata'!$B$5)^(O517-1))</x:f>
        <x:v>208.92961308540387</x:v>
      </x:c>
      <x:c r="U517" s="31" t="n">
        <x:f>IF(T517="","",I517*T517)</x:f>
        <x:v>0.25247430518543756</x:v>
      </x:c>
    </x:row>
    <x:row r="518" ht="18" customHeight="1">
      <x:c r="A518" s="24" t="str">
        <x:v>EEZ_036</x:v>
      </x:c>
      <x:c r="B518" s="24" t="str">
        <x:v>Australia</x:v>
      </x:c>
      <x:c r="C518" s="24" t="str">
        <x:v>EEZ</x:v>
      </x:c>
      <x:c r="D518" s="30" t="n">
        <x:v>2019</x:v>
      </x:c>
      <x:c r="E518" s="24" t="str">
        <x:v>Epinephelus hexagonatus</x:v>
      </x:c>
      <x:c r="F518" s="24" t="str">
        <x:v>Starspotted grouper</x:v>
      </x:c>
      <x:c r="G518" s="24" t="str">
        <x:v>Small reef assoc. fish (&lt;30 cm)</x:v>
      </x:c>
      <x:c r="H518" s="24" t="str">
        <x:v>Perch-likes</x:v>
      </x:c>
      <x:c r="I518" s="31" t="n">
        <x:v>0.0011879509</x:v>
      </x:c>
      <x:c r="J518" s="31" t="n">
        <x:v>0.0011879509</x:v>
      </x:c>
      <x:c r="K518" s="31" t="n">
        <x:v>0</x:v>
      </x:c>
      <x:c r="L518" s="31" t="n">
        <x:v>0</x:v>
      </x:c>
      <x:c r="M518" s="31" t="n">
        <x:v>0.0011879509</x:v>
      </x:c>
      <x:c r="N518" s="24" t="str">
        <x:v>epinephelus hexagonatus</x:v>
      </x:c>
      <x:c r="O518" s="32" t="n">
        <x:v>4.05</x:v>
      </x:c>
      <x:c r="P518" s="24" t="str">
        <x:v>exact_2020_supplement</x:v>
      </x:c>
      <x:c r="Q518" s="32" t="str">
        <x:v>2020 supplement MeanTL</x:v>
      </x:c>
      <x:c r="R518" s="24" t="str">
        <x:v>high</x:v>
      </x:c>
      <x:c r="S518" s="24" t="str">
        <x:v>Epinephelus hexagonatus</x:v>
      </x:c>
      <x:c r="T518" s="32" t="n">
        <x:f>IF(O518="","",(1/'Metadata'!$B$5)^(O518-1))</x:f>
        <x:v>1122.018454301963</x:v>
      </x:c>
      <x:c r="U518" s="31" t="n">
        <x:f>IF(T518="","",I518*T518)</x:f>
        <x:v>1.3329028326046257</x:v>
      </x:c>
    </x:row>
    <x:row r="519" ht="18" customHeight="1">
      <x:c r="A519" s="24" t="str">
        <x:v>EEZ_036</x:v>
      </x:c>
      <x:c r="B519" s="24" t="str">
        <x:v>Australia</x:v>
      </x:c>
      <x:c r="C519" s="24" t="str">
        <x:v>EEZ</x:v>
      </x:c>
      <x:c r="D519" s="30" t="n">
        <x:v>2019</x:v>
      </x:c>
      <x:c r="E519" s="24" t="str">
        <x:v>Terapon theraps</x:v>
      </x:c>
      <x:c r="F519" s="24" t="str">
        <x:v>Largescaled terapon</x:v>
      </x:c>
      <x:c r="G519" s="24" t="str">
        <x:v>Small pelagics (&lt;30 cm)</x:v>
      </x:c>
      <x:c r="H519" s="24" t="str">
        <x:v>Perch-likes</x:v>
      </x:c>
      <x:c r="I519" s="31" t="n">
        <x:v>0.0010213424</x:v>
      </x:c>
      <x:c r="J519" s="31" t="n">
        <x:v>0.0010213424</x:v>
      </x:c>
      <x:c r="K519" s="31" t="n">
        <x:v>0</x:v>
      </x:c>
      <x:c r="L519" s="31" t="n">
        <x:v>0</x:v>
      </x:c>
      <x:c r="M519" s="31" t="n">
        <x:v>0.0010213424</x:v>
      </x:c>
      <x:c r="N519" s="24" t="str">
        <x:v>terapon theraps</x:v>
      </x:c>
      <x:c r="O519" s="32" t="n">
        <x:v>3.49</x:v>
      </x:c>
      <x:c r="P519" s="24" t="str">
        <x:v>exact_2020_supplement</x:v>
      </x:c>
      <x:c r="Q519" s="32" t="str">
        <x:v>2020 supplement MeanTL</x:v>
      </x:c>
      <x:c r="R519" s="24" t="str">
        <x:v>high</x:v>
      </x:c>
      <x:c r="S519" s="24" t="str">
        <x:v>Terapon theraps</x:v>
      </x:c>
      <x:c r="T519" s="32" t="n">
        <x:f>IF(O519="","",(1/'Metadata'!$B$5)^(O519-1))</x:f>
        <x:v>309.0295432513592</x:v>
      </x:c>
      <x:c r="U519" s="31" t="n">
        <x:f>IF(T519="","",I519*T519)</x:f>
        <x:v>0.31562497537524703</x:v>
      </x:c>
    </x:row>
    <x:row r="520" ht="18" customHeight="1">
      <x:c r="A520" s="24" t="str">
        <x:v>EEZ_036</x:v>
      </x:c>
      <x:c r="B520" s="24" t="str">
        <x:v>Australia</x:v>
      </x:c>
      <x:c r="C520" s="24" t="str">
        <x:v>EEZ</x:v>
      </x:c>
      <x:c r="D520" s="30" t="n">
        <x:v>2019</x:v>
      </x:c>
      <x:c r="E520" s="24" t="str">
        <x:v>Pinctada</x:v>
      </x:c>
      <x:c r="F520" s="24" t="str">
        <x:v>Mother of pearl oysters</x:v>
      </x:c>
      <x:c r="G520" s="24" t="str">
        <x:v>Other demersal invertebrates</x:v>
      </x:c>
      <x:c r="H520" s="24" t="str">
        <x:v>Molluscs</x:v>
      </x:c>
      <x:c r="I520" s="31" t="n">
        <x:v>0.0008622042</x:v>
      </x:c>
      <x:c r="J520" s="31" t="n">
        <x:v>0.0008622042</x:v>
      </x:c>
      <x:c r="K520" s="31" t="n">
        <x:v>0</x:v>
      </x:c>
      <x:c r="L520" s="31" t="n">
        <x:v>0.0008622042</x:v>
      </x:c>
      <x:c r="M520" s="31" t="n">
        <x:v>0</x:v>
      </x:c>
      <x:c r="N520" s="24" t="str">
        <x:v>pinctada</x:v>
      </x:c>
      <x:c r="O520" s="32" t="n">
        <x:v>2.1</x:v>
      </x:c>
      <x:c r="P520" s="24" t="str">
        <x:v>exact_sea_around_us</x:v>
      </x:c>
      <x:c r="Q520" s="32" t="str">
        <x:v>Sea Around Us exploited organisms</x:v>
      </x:c>
      <x:c r="R520" s="24" t="str">
        <x:v>high</x:v>
      </x:c>
      <x:c r="S520" s="24" t="str">
        <x:v>Pinctada</x:v>
      </x:c>
      <x:c r="T520" s="32" t="n">
        <x:f>IF(O520="","",(1/'Metadata'!$B$5)^(O520-1))</x:f>
        <x:v>12.589254117941675</x:v>
      </x:c>
      <x:c r="U520" s="31" t="n">
        <x:f>IF(T520="","",I520*T520)</x:f>
        <x:v>0.010854507775356606</x:v>
      </x:c>
    </x:row>
    <x:row r="521" ht="18" customHeight="1">
      <x:c r="A521" s="24" t="str">
        <x:v>EEZ_036</x:v>
      </x:c>
      <x:c r="B521" s="24" t="str">
        <x:v>Australia</x:v>
      </x:c>
      <x:c r="C521" s="24" t="str">
        <x:v>EEZ</x:v>
      </x:c>
      <x:c r="D521" s="30" t="n">
        <x:v>2019</x:v>
      </x:c>
      <x:c r="E521" s="24" t="str">
        <x:v>Abudefduf vaigiensis</x:v>
      </x:c>
      <x:c r="F521" s="24" t="str">
        <x:v>Indo-Pacific sergeant</x:v>
      </x:c>
      <x:c r="G521" s="24" t="str">
        <x:v>Small reef assoc. fish (&lt;30 cm)</x:v>
      </x:c>
      <x:c r="H521" s="24" t="str">
        <x:v>Perch-likes</x:v>
      </x:c>
      <x:c r="I521" s="31" t="n">
        <x:v>0.0005685611</x:v>
      </x:c>
      <x:c r="J521" s="31" t="n">
        <x:v>0.0005685611</x:v>
      </x:c>
      <x:c r="K521" s="31" t="n">
        <x:v>0</x:v>
      </x:c>
      <x:c r="L521" s="31" t="n">
        <x:v>0</x:v>
      </x:c>
      <x:c r="M521" s="31" t="n">
        <x:v>0.0005685611</x:v>
      </x:c>
      <x:c r="N521" s="24" t="str">
        <x:v>abudefduf vaigiensis</x:v>
      </x:c>
      <x:c r="O521" s="32" t="n">
        <x:v>2.57</x:v>
      </x:c>
      <x:c r="P521" s="24" t="str">
        <x:v>exact_2020_supplement</x:v>
      </x:c>
      <x:c r="Q521" s="32" t="str">
        <x:v>2020 supplement MeanTL</x:v>
      </x:c>
      <x:c r="R521" s="24" t="str">
        <x:v>high</x:v>
      </x:c>
      <x:c r="S521" s="24" t="str">
        <x:v>Abudefduf vaigiensis</x:v>
      </x:c>
      <x:c r="T521" s="32" t="n">
        <x:f>IF(O521="","",(1/'Metadata'!$B$5)^(O521-1))</x:f>
        <x:v>37.15352290971724</x:v>
      </x:c>
      <x:c r="U521" s="31" t="n">
        <x:f>IF(T521="","",I521*T521)</x:f>
        <x:v>0.021124047854424035</x:v>
      </x:c>
    </x:row>
    <x:row r="522" ht="18" customHeight="1">
      <x:c r="A522" s="24" t="str">
        <x:v>EEZ_036</x:v>
      </x:c>
      <x:c r="B522" s="24" t="str">
        <x:v>Australia</x:v>
      </x:c>
      <x:c r="C522" s="24" t="str">
        <x:v>EEZ</x:v>
      </x:c>
      <x:c r="D522" s="30" t="n">
        <x:v>2019</x:v>
      </x:c>
      <x:c r="E522" s="24" t="str">
        <x:v>Elops hawaiensis</x:v>
      </x:c>
      <x:c r="F522" s="24" t="str">
        <x:v>Hawaiian ladyfish</x:v>
      </x:c>
      <x:c r="G522" s="24" t="str">
        <x:v>Large pelagics (&gt;=90 cm)</x:v>
      </x:c>
      <x:c r="H522" s="24" t="str">
        <x:v>Other fishes &amp; inverts</x:v>
      </x:c>
      <x:c r="I522" s="31" t="n">
        <x:v>0.0004778059</x:v>
      </x:c>
      <x:c r="J522" s="31" t="n">
        <x:v>0.0004778059</x:v>
      </x:c>
      <x:c r="K522" s="31" t="n">
        <x:v>0</x:v>
      </x:c>
      <x:c r="L522" s="31" t="n">
        <x:v>0</x:v>
      </x:c>
      <x:c r="M522" s="31" t="n">
        <x:v>0.0004778059</x:v>
      </x:c>
      <x:c r="N522" s="24" t="str">
        <x:v>elops hawaiensis</x:v>
      </x:c>
      <x:c r="O522" s="32" t="n">
        <x:v>4.03</x:v>
      </x:c>
      <x:c r="P522" s="24" t="str">
        <x:v>exact_2020_supplement</x:v>
      </x:c>
      <x:c r="Q522" s="32" t="str">
        <x:v>2020 supplement MeanTL</x:v>
      </x:c>
      <x:c r="R522" s="24" t="str">
        <x:v>high</x:v>
      </x:c>
      <x:c r="S522" s="24" t="str">
        <x:v>Elops hawaiensis</x:v>
      </x:c>
      <x:c r="T522" s="32" t="n">
        <x:f>IF(O522="","",(1/'Metadata'!$B$5)^(O522-1))</x:f>
        <x:v>1071.519305237607</x:v>
      </x:c>
      <x:c r="U522" s="31" t="n">
        <x:f>IF(T522="","",I522*T522)</x:f>
        <x:v>0.5119782460064296</x:v>
      </x:c>
    </x:row>
    <x:row r="523" ht="18" customHeight="1">
      <x:c r="A523" s="24" t="str">
        <x:v>EEZ_036</x:v>
      </x:c>
      <x:c r="B523" s="24" t="str">
        <x:v>Australia</x:v>
      </x:c>
      <x:c r="C523" s="24" t="str">
        <x:v>EEZ</x:v>
      </x:c>
      <x:c r="D523" s="30" t="n">
        <x:v>2019</x:v>
      </x:c>
      <x:c r="E523" s="24" t="str">
        <x:v>Sargocentron</x:v>
      </x:c>
      <x:c r="F523" s="24" t="str">
        <x:v>Squirrelfishes</x:v>
      </x:c>
      <x:c r="G523" s="24" t="str">
        <x:v>Small reef assoc. fish (&lt;30 cm)</x:v>
      </x:c>
      <x:c r="H523" s="24" t="str">
        <x:v>Other fishes &amp; inverts</x:v>
      </x:c>
      <x:c r="I523" s="31" t="n">
        <x:v>0.0003970575</x:v>
      </x:c>
      <x:c r="J523" s="31" t="n">
        <x:v>0.0003970575</x:v>
      </x:c>
      <x:c r="K523" s="31" t="n">
        <x:v>0</x:v>
      </x:c>
      <x:c r="L523" s="31" t="n">
        <x:v>0</x:v>
      </x:c>
      <x:c r="M523" s="31" t="n">
        <x:v>0.0003970575</x:v>
      </x:c>
      <x:c r="N523" s="24" t="str">
        <x:v>sargocentron</x:v>
      </x:c>
      <x:c r="O523" s="32" t="n">
        <x:v>3.49</x:v>
      </x:c>
      <x:c r="P523" s="24" t="str">
        <x:v>exact_sea_around_us</x:v>
      </x:c>
      <x:c r="Q523" s="32" t="str">
        <x:v>Sea Around Us exploited organisms</x:v>
      </x:c>
      <x:c r="R523" s="24" t="str">
        <x:v>high</x:v>
      </x:c>
      <x:c r="S523" s="24" t="str">
        <x:v>Sargocentron</x:v>
      </x:c>
      <x:c r="T523" s="32" t="n">
        <x:f>IF(O523="","",(1/'Metadata'!$B$5)^(O523-1))</x:f>
        <x:v>309.0295432513592</x:v>
      </x:c>
      <x:c r="U523" s="31" t="n">
        <x:f>IF(T523="","",I523*T523)</x:f>
        <x:v>0.12270249786952656</x:v>
      </x:c>
    </x:row>
    <x:row r="524" ht="18" customHeight="1">
      <x:c r="A524" s="24" t="str">
        <x:v>EEZ_036</x:v>
      </x:c>
      <x:c r="B524" s="24" t="str">
        <x:v>Australia</x:v>
      </x:c>
      <x:c r="C524" s="24" t="str">
        <x:v>EEZ</x:v>
      </x:c>
      <x:c r="D524" s="30" t="n">
        <x:v>2019</x:v>
      </x:c>
      <x:c r="E524" s="24" t="str">
        <x:v>Exocoetidae</x:v>
      </x:c>
      <x:c r="F524" s="24" t="str">
        <x:v>Flyingfishes</x:v>
      </x:c>
      <x:c r="G524" s="24" t="str">
        <x:v>Small pelagics (&lt;30 cm)</x:v>
      </x:c>
      <x:c r="H524" s="24" t="str">
        <x:v>Other fishes &amp; inverts</x:v>
      </x:c>
      <x:c r="I524" s="31" t="n">
        <x:v>0.0003690106</x:v>
      </x:c>
      <x:c r="J524" s="31" t="n">
        <x:v>0.0003690106</x:v>
      </x:c>
      <x:c r="K524" s="31" t="n">
        <x:v>0</x:v>
      </x:c>
      <x:c r="L524" s="31" t="n">
        <x:v>0</x:v>
      </x:c>
      <x:c r="M524" s="31" t="n">
        <x:v>0.0003690106</x:v>
      </x:c>
      <x:c r="N524" s="24" t="str">
        <x:v>exocoetidae</x:v>
      </x:c>
      <x:c r="O524" s="32" t="n">
        <x:v>3.57</x:v>
      </x:c>
      <x:c r="P524" s="24" t="str">
        <x:v>exact_sea_around_us</x:v>
      </x:c>
      <x:c r="Q524" s="32" t="str">
        <x:v>Sea Around Us exploited organisms</x:v>
      </x:c>
      <x:c r="R524" s="24" t="str">
        <x:v>high</x:v>
      </x:c>
      <x:c r="S524" s="24" t="str">
        <x:v>Exocoetidae</x:v>
      </x:c>
      <x:c r="T524" s="32" t="n">
        <x:f>IF(O524="","",(1/'Metadata'!$B$5)^(O524-1))</x:f>
        <x:v>371.5352290971724</x:v>
      </x:c>
      <x:c r="U524" s="31" t="n">
        <x:f>IF(T524="","",I524*T524)</x:f>
        <x:v>0.13710043781028505</x:v>
      </x:c>
    </x:row>
    <x:row r="525" ht="18" customHeight="1">
      <x:c r="A525" s="24" t="str">
        <x:v>EEZ_036</x:v>
      </x:c>
      <x:c r="B525" s="24" t="str">
        <x:v>Australia</x:v>
      </x:c>
      <x:c r="C525" s="24" t="str">
        <x:v>EEZ</x:v>
      </x:c>
      <x:c r="D525" s="30" t="n">
        <x:v>2019</x:v>
      </x:c>
      <x:c r="E525" s="24" t="str">
        <x:v>Pomacanthidae</x:v>
      </x:c>
      <x:c r="F525" s="24" t="str">
        <x:v>Angelfishes</x:v>
      </x:c>
      <x:c r="G525" s="24" t="str">
        <x:v>Medium reef assoc. fish (30 - 89 cm)</x:v>
      </x:c>
      <x:c r="H525" s="24" t="str">
        <x:v>Perch-likes</x:v>
      </x:c>
      <x:c r="I525" s="31" t="n">
        <x:v>0.0001793146</x:v>
      </x:c>
      <x:c r="J525" s="31" t="n">
        <x:v>0.0001793146</x:v>
      </x:c>
      <x:c r="K525" s="31" t="n">
        <x:v>0</x:v>
      </x:c>
      <x:c r="L525" s="31" t="n">
        <x:v>0</x:v>
      </x:c>
      <x:c r="M525" s="31" t="n">
        <x:v>0.0001793146</x:v>
      </x:c>
      <x:c r="N525" s="24" t="str">
        <x:v>pomacanthidae</x:v>
      </x:c>
      <x:c r="O525" s="32" t="n">
        <x:v>2.86</x:v>
      </x:c>
      <x:c r="P525" s="24" t="str">
        <x:v>exact_sea_around_us</x:v>
      </x:c>
      <x:c r="Q525" s="32" t="str">
        <x:v>Sea Around Us exploited organisms</x:v>
      </x:c>
      <x:c r="R525" s="24" t="str">
        <x:v>high</x:v>
      </x:c>
      <x:c r="S525" s="24" t="str">
        <x:v>Pomacanthidae</x:v>
      </x:c>
      <x:c r="T525" s="32" t="n">
        <x:f>IF(O525="","",(1/'Metadata'!$B$5)^(O525-1))</x:f>
        <x:v>72.44359600749898</x:v>
      </x:c>
      <x:c r="U525" s="31" t="n">
        <x:f>IF(T525="","",I525*T525)</x:f>
        <x:v>0.012990194440646278</x:v>
      </x:c>
    </x:row>
    <x:row r="526" ht="18" customHeight="1">
      <x:c r="A526" s="24" t="str">
        <x:v>EEZ_036</x:v>
      </x:c>
      <x:c r="B526" s="24" t="str">
        <x:v>Australia</x:v>
      </x:c>
      <x:c r="C526" s="24" t="str">
        <x:v>EEZ</x:v>
      </x:c>
      <x:c r="D526" s="30" t="n">
        <x:v>2019</x:v>
      </x:c>
      <x:c r="E526" s="24" t="str">
        <x:v>Chirocentrus dorab</x:v>
      </x:c>
      <x:c r="F526" s="24" t="str">
        <x:v>Dorab wolf-herring</x:v>
      </x:c>
      <x:c r="G526" s="24" t="str">
        <x:v>Large benthopelagics (&gt;=90 cm)</x:v>
      </x:c>
      <x:c r="H526" s="24" t="str">
        <x:v>Herring-likes</x:v>
      </x:c>
      <x:c r="I526" s="31" t="n">
        <x:v>0.0001654549</x:v>
      </x:c>
      <x:c r="J526" s="31" t="n">
        <x:v>0.0001654549</x:v>
      </x:c>
      <x:c r="K526" s="31" t="n">
        <x:v>0</x:v>
      </x:c>
      <x:c r="L526" s="31" t="n">
        <x:v>0</x:v>
      </x:c>
      <x:c r="M526" s="31" t="n">
        <x:v>0.0001654549</x:v>
      </x:c>
      <x:c r="N526" s="24" t="str">
        <x:v>chirocentrus dorab</x:v>
      </x:c>
      <x:c r="O526" s="32" t="n">
        <x:v>4.2</x:v>
      </x:c>
      <x:c r="P526" s="24" t="str">
        <x:v>exact_2020_supplement</x:v>
      </x:c>
      <x:c r="Q526" s="32" t="str">
        <x:v>2020 supplement MeanTL</x:v>
      </x:c>
      <x:c r="R526" s="24" t="str">
        <x:v>high</x:v>
      </x:c>
      <x:c r="S526" s="24" t="str">
        <x:v>Chirocentrus dorab</x:v>
      </x:c>
      <x:c r="T526" s="32" t="n">
        <x:f>IF(O526="","",(1/'Metadata'!$B$5)^(O526-1))</x:f>
        <x:v>1584.893192461114</x:v>
      </x:c>
      <x:c r="U526" s="31" t="n">
        <x:f>IF(T526="","",I526*T526)</x:f>
        <x:v>0.26222834466933437</x:v>
      </x:c>
    </x:row>
    <x:row r="527" ht="18" customHeight="1">
      <x:c r="A527" s="24" t="str">
        <x:v>EEZ_036</x:v>
      </x:c>
      <x:c r="B527" s="24" t="str">
        <x:v>Australia</x:v>
      </x:c>
      <x:c r="C527" s="24" t="str">
        <x:v>EEZ</x:v>
      </x:c>
      <x:c r="D527" s="30" t="n">
        <x:v>2019</x:v>
      </x:c>
      <x:c r="E527" s="24" t="str">
        <x:v>Gymnothorax</x:v>
      </x:c>
      <x:c r="F527" s="24" t="str">
        <x:v>Morays</x:v>
      </x:c>
      <x:c r="G527" s="24" t="str">
        <x:v>Large reef assoc. fish (&gt;=90 cm)</x:v>
      </x:c>
      <x:c r="H527" s="24" t="str">
        <x:v>Other fishes &amp; inverts</x:v>
      </x:c>
      <x:c r="I527" s="31" t="n">
        <x:v>0.0000444058</x:v>
      </x:c>
      <x:c r="J527" s="31" t="n">
        <x:v>0.0000444058</x:v>
      </x:c>
      <x:c r="K527" s="31" t="n">
        <x:v>0</x:v>
      </x:c>
      <x:c r="L527" s="31" t="n">
        <x:v>0</x:v>
      </x:c>
      <x:c r="M527" s="31" t="n">
        <x:v>0.0000444058</x:v>
      </x:c>
      <x:c r="N527" s="24" t="str">
        <x:v>gymnothorax</x:v>
      </x:c>
      <x:c r="O527" s="32" t="n">
        <x:v>4.22</x:v>
      </x:c>
      <x:c r="P527" s="24" t="str">
        <x:v>exact_sea_around_us</x:v>
      </x:c>
      <x:c r="Q527" s="32" t="str">
        <x:v>Sea Around Us exploited organisms</x:v>
      </x:c>
      <x:c r="R527" s="24" t="str">
        <x:v>high</x:v>
      </x:c>
      <x:c r="S527" s="24" t="str">
        <x:v>Gymnothorax</x:v>
      </x:c>
      <x:c r="T527" s="32" t="n">
        <x:f>IF(O527="","",(1/'Metadata'!$B$5)^(O527-1))</x:f>
        <x:v>1659.5869074375596</x:v>
      </x:c>
      <x:c r="U527" s="31" t="n">
        <x:f>IF(T527="","",I527*T527)</x:f>
        <x:v>0.07369528429429079</x:v>
      </x:c>
    </x:row>
    <x:row r="528" ht="18" customHeight="1">
      <x:c r="A528" s="24" t="str">
        <x:v>EEZ_036</x:v>
      </x:c>
      <x:c r="B528" s="24" t="str">
        <x:v>Australia</x:v>
      </x:c>
      <x:c r="C528" s="24" t="str">
        <x:v>EEZ</x:v>
      </x:c>
      <x:c r="D528" s="30" t="n">
        <x:v>2019</x:v>
      </x:c>
      <x:c r="E528" s="24" t="str">
        <x:v>Scarus</x:v>
      </x:c>
      <x:c r="F528" s="24" t="str">
        <x:v>Parrots</x:v>
      </x:c>
      <x:c r="G528" s="24" t="str">
        <x:v>Medium reef assoc. fish (30 - 89 cm)</x:v>
      </x:c>
      <x:c r="H528" s="24" t="str">
        <x:v>Perch-likes</x:v>
      </x:c>
      <x:c r="I528" s="31" t="n">
        <x:v>0.0000412163</x:v>
      </x:c>
      <x:c r="J528" s="31" t="n">
        <x:v>0.0000412163</x:v>
      </x:c>
      <x:c r="K528" s="31" t="n">
        <x:v>0</x:v>
      </x:c>
      <x:c r="L528" s="31" t="n">
        <x:v>0</x:v>
      </x:c>
      <x:c r="M528" s="31" t="n">
        <x:v>0.0000412163</x:v>
      </x:c>
      <x:c r="N528" s="24" t="str">
        <x:v>scarus</x:v>
      </x:c>
      <x:c r="O528" s="32" t="n">
        <x:v>2</x:v>
      </x:c>
      <x:c r="P528" s="24" t="str">
        <x:v>exact_sea_around_us</x:v>
      </x:c>
      <x:c r="Q528" s="32" t="str">
        <x:v>Sea Around Us exploited organisms</x:v>
      </x:c>
      <x:c r="R528" s="24" t="str">
        <x:v>high</x:v>
      </x:c>
      <x:c r="S528" s="24" t="str">
        <x:v>Scarus</x:v>
      </x:c>
      <x:c r="T528" s="32" t="n">
        <x:f>IF(O528="","",(1/'Metadata'!$B$5)^(O528-1))</x:f>
        <x:v>10</x:v>
      </x:c>
      <x:c r="U528" s="31" t="n">
        <x:f>IF(T528="","",I528*T528)</x:f>
        <x:v>0.000412163</x:v>
      </x:c>
    </x:row>
    <x:row r="529" ht="18" customHeight="1">
      <x:c r="A529" s="24" t="str">
        <x:v>EEZ_036</x:v>
      </x:c>
      <x:c r="B529" s="24" t="str">
        <x:v>Australia</x:v>
      </x:c>
      <x:c r="C529" s="24" t="str">
        <x:v>EEZ</x:v>
      </x:c>
      <x:c r="D529" s="30" t="n">
        <x:v>2019</x:v>
      </x:c>
      <x:c r="E529" s="24" t="str">
        <x:v>Saurida tumbil</x:v>
      </x:c>
      <x:c r="F529" s="24" t="str">
        <x:v>Greater lizardfish</x:v>
      </x:c>
      <x:c r="G529" s="24" t="str">
        <x:v>Medium demersals (30 - 89 cm)</x:v>
      </x:c>
      <x:c r="H529" s="24" t="str">
        <x:v>Other fishes &amp; inverts</x:v>
      </x:c>
      <x:c r="I529" s="31" t="n">
        <x:v>0.0000273039</x:v>
      </x:c>
      <x:c r="J529" s="31" t="n">
        <x:v>0.0000273039</x:v>
      </x:c>
      <x:c r="K529" s="31" t="n">
        <x:v>0</x:v>
      </x:c>
      <x:c r="L529" s="31" t="n">
        <x:v>0</x:v>
      </x:c>
      <x:c r="M529" s="31" t="n">
        <x:v>0.0000273039</x:v>
      </x:c>
      <x:c r="N529" s="24" t="str">
        <x:v>saurida tumbil</x:v>
      </x:c>
      <x:c r="O529" s="32" t="n">
        <x:v>4.4</x:v>
      </x:c>
      <x:c r="P529" s="24" t="str">
        <x:v>exact_2020_supplement</x:v>
      </x:c>
      <x:c r="Q529" s="32" t="str">
        <x:v>2020 supplement MeanTL</x:v>
      </x:c>
      <x:c r="R529" s="24" t="str">
        <x:v>high</x:v>
      </x:c>
      <x:c r="S529" s="24" t="str">
        <x:v>Saurida tumbil</x:v>
      </x:c>
      <x:c r="T529" s="32" t="n">
        <x:f>IF(O529="","",(1/'Metadata'!$B$5)^(O529-1))</x:f>
        <x:v>2511.886431509582</x:v>
      </x:c>
      <x:c r="U529" s="31" t="n">
        <x:f>IF(T529="","",I529*T529)</x:f>
        <x:v>0.06858429593729448</x:v>
      </x:c>
    </x:row>
    <x:row r="530" ht="18" customHeight="1">
      <x:c r="A530" s="24" t="str">
        <x:v>EEZ_036</x:v>
      </x:c>
      <x:c r="B530" s="24" t="str">
        <x:v>Australia</x:v>
      </x:c>
      <x:c r="C530" s="24" t="str">
        <x:v>EEZ</x:v>
      </x:c>
      <x:c r="D530" s="30" t="n">
        <x:v>2019</x:v>
      </x:c>
      <x:c r="E530" s="24" t="str">
        <x:v>Sepioteuthis lessoniana</x:v>
      </x:c>
      <x:c r="F530" s="24" t="str">
        <x:v>Bigfin reef squid</x:v>
      </x:c>
      <x:c r="G530" s="24" t="str">
        <x:v>Cephalopods</x:v>
      </x:c>
      <x:c r="H530" s="24" t="str">
        <x:v>Other fishes &amp; inverts</x:v>
      </x:c>
      <x:c r="I530" s="31" t="n">
        <x:v>0.0000032477</x:v>
      </x:c>
      <x:c r="J530" s="31" t="n">
        <x:v>0.0000032477</x:v>
      </x:c>
      <x:c r="K530" s="31" t="n">
        <x:v>0</x:v>
      </x:c>
      <x:c r="L530" s="31" t="n">
        <x:v>0</x:v>
      </x:c>
      <x:c r="M530" s="31" t="n">
        <x:v>0.0000032477</x:v>
      </x:c>
      <x:c r="N530" s="24" t="str">
        <x:v>sepioteuthis lessoniana</x:v>
      </x:c>
      <x:c r="O530" s="32" t="n">
        <x:v>3.98</x:v>
      </x:c>
      <x:c r="P530" s="24" t="str">
        <x:v>exact_2020_supplement</x:v>
      </x:c>
      <x:c r="Q530" s="32" t="str">
        <x:v>2020 supplement MeanTL</x:v>
      </x:c>
      <x:c r="R530" s="24" t="str">
        <x:v>high</x:v>
      </x:c>
      <x:c r="S530" s="24" t="str">
        <x:v>Sepioteuthis lessoniana</x:v>
      </x:c>
      <x:c r="T530" s="32" t="n">
        <x:f>IF(O530="","",(1/'Metadata'!$B$5)^(O530-1))</x:f>
        <x:v>954.992586021436</x:v>
      </x:c>
      <x:c r="U530" s="31" t="n">
        <x:f>IF(T530="","",I530*T530)</x:f>
        <x:v>0.0031015294216218173</x:v>
      </x:c>
    </x:row>
  </x:sheetData>
  <x:conditionalFormatting sqref="R2:R5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718936e2d3b4bc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343.020688264</x:v>
      </x:c>
      <x:c r="C2" s="32" t="n">
        <x:v>3.200223458009218</x:v>
      </x:c>
      <x:c r="D2" s="32" t="n">
        <x:f>IF(C2="","",(1/'Metadata'!$B$5)^(C2-1))</x:f>
        <x:v>158.57088790986657</x:v>
      </x:c>
      <x:c r="E2" s="31" t="n">
        <x:f>IF(B2=0,"",B2*D2)</x:f>
        <x:v>54393.095109476024</x:v>
      </x:c>
    </x:row>
    <x:row r="3" ht="18" customHeight="1">
      <x:c r="A3" s="24" t="str">
        <x:v>Cod-likes</x:v>
      </x:c>
      <x:c r="B3" s="31" t="n">
        <x:v>2413.9171680922</x:v>
      </x:c>
      <x:c r="C3" s="32" t="n">
        <x:v>4.334266339439726</x:v>
      </x:c>
      <x:c r="D3" s="32" t="n">
        <x:f>IF(C3="","",(1/'Metadata'!$B$5)^(C3-1))</x:f>
        <x:v>2159.068093237039</x:v>
      </x:c>
      <x:c r="E3" s="31" t="n">
        <x:f>IF(B3=0,"",B3*D3)</x:f>
        <x:v>5211811.53734498</x:v>
      </x:c>
    </x:row>
    <x:row r="4" ht="18" customHeight="1">
      <x:c r="A4" s="24" t="str">
        <x:v>Crustaceans</x:v>
      </x:c>
      <x:c r="B4" s="31" t="n">
        <x:v>36196.5074032869</x:v>
      </x:c>
      <x:c r="C4" s="32" t="n">
        <x:v>2.9775924870266106</x:v>
      </x:c>
      <x:c r="D4" s="32" t="n">
        <x:f>IF(C4="","",(1/'Metadata'!$B$5)^(C4-1))</x:f>
        <x:v>94.97132278837559</x:v>
      </x:c>
      <x:c r="E4" s="31" t="n">
        <x:f>IF(B4=0,"",B4*D4)</x:f>
        <x:v>3437630.188409387</x:v>
      </x:c>
    </x:row>
    <x:row r="5" ht="18" customHeight="1">
      <x:c r="A5" s="24" t="str">
        <x:v>Flatfishes</x:v>
      </x:c>
      <x:c r="B5" s="31" t="n">
        <x:v>194.4130665186</x:v>
      </x:c>
      <x:c r="C5" s="32" t="n">
        <x:v>3.7065692163964754</x:v>
      </x:c>
      <x:c r="D5" s="32" t="n">
        <x:f>IF(C5="","",(1/'Metadata'!$B$5)^(C5-1))</x:f>
        <x:v>508.8259081476797</x:v>
      </x:c>
      <x:c r="E5" s="31" t="n">
        <x:f>IF(B5=0,"",B5*D5)</x:f>
        <x:v>98922.40512710191</x:v>
      </x:c>
    </x:row>
    <x:row r="6" ht="18" customHeight="1">
      <x:c r="A6" s="24" t="str">
        <x:v>Herring-likes</x:v>
      </x:c>
      <x:c r="B6" s="31" t="n">
        <x:v>37432.296731388305</x:v>
      </x:c>
      <x:c r="C6" s="32" t="n">
        <x:v>2.8357252486860083</x:v>
      </x:c>
      <x:c r="D6" s="32" t="n">
        <x:f>IF(C6="","",(1/'Metadata'!$B$5)^(C6-1))</x:f>
        <x:v>68.50546975081642</x:v>
      </x:c>
      <x:c r="E6" s="31" t="n">
        <x:f>IF(B6=0,"",B6*D6)</x:f>
        <x:v>2564317.0714357058</x:v>
      </x:c>
    </x:row>
    <x:row r="7" ht="18" customHeight="1">
      <x:c r="A7" s="24" t="str">
        <x:v>Molluscs</x:v>
      </x:c>
      <x:c r="B7" s="31" t="n">
        <x:v>6303.2453657001</x:v>
      </x:c>
      <x:c r="C7" s="32" t="n">
        <x:v>2.012134631716994</x:v>
      </x:c>
      <x:c r="D7" s="32" t="n">
        <x:f>IF(C7="","",(1/'Metadata'!$B$5)^(C7-1))</x:f>
        <x:v>10.283350335926734</x:v>
      </x:c>
      <x:c r="E7" s="31" t="n">
        <x:f>IF(B7=0,"",B7*D7)</x:f>
        <x:v>64818.48034880075</x:v>
      </x:c>
    </x:row>
    <x:row r="8" ht="18" customHeight="1">
      <x:c r="A8" s="24" t="str">
        <x:v>Other fishes &amp; inverts</x:v>
      </x:c>
      <x:c r="B8" s="31" t="n">
        <x:v>32455.537807257602</x:v>
      </x:c>
      <x:c r="C8" s="32" t="n">
        <x:v>3.4717389270780448</x:v>
      </x:c>
      <x:c r="D8" s="32" t="n">
        <x:f>IF(C8="","",(1/'Metadata'!$B$5)^(C8-1))</x:f>
        <x:v>296.30496386169483</x:v>
      </x:c>
      <x:c r="E8" s="31" t="n">
        <x:f>IF(B8=0,"",B8*D8)</x:f>
        <x:v>9616736.957091333</x:v>
      </x:c>
    </x:row>
    <x:row r="9" ht="18" customHeight="1">
      <x:c r="A9" s="24" t="str">
        <x:v>Perch-likes</x:v>
      </x:c>
      <x:c r="B9" s="31" t="n">
        <x:v>78758.3402441443</x:v>
      </x:c>
      <x:c r="C9" s="32" t="n">
        <x:v>3.749978639551373</x:v>
      </x:c>
      <x:c r="D9" s="32" t="n">
        <x:f>IF(C9="","",(1/'Metadata'!$B$5)^(C9-1))</x:f>
        <x:v>562.3136675338607</x:v>
      </x:c>
      <x:c r="E9" s="31" t="n">
        <x:f>IF(B9=0,"",B9*D9)</x:f>
        <x:v>44286891.15156444</x:v>
      </x:c>
    </x:row>
    <x:row r="10" ht="18" customHeight="1">
      <x:c r="A10" s="24" t="str">
        <x:v>Scorpionfishes</x:v>
      </x:c>
      <x:c r="B10" s="31" t="n">
        <x:v>6616.788501606</x:v>
      </x:c>
      <x:c r="C10" s="32" t="n">
        <x:v>3.840420282542166</x:v>
      </x:c>
      <x:c r="D10" s="32" t="n">
        <x:f>IF(C10="","",(1/'Metadata'!$B$5)^(C10-1))</x:f>
        <x:v>692.5008049334059</x:v>
      </x:c>
      <x:c r="E10" s="31" t="n">
        <x:f>IF(B10=0,"",B10*D10)</x:f>
        <x:v>4582131.363436259</x:v>
      </x:c>
    </x:row>
    <x:row r="11" ht="18" customHeight="1">
      <x:c r="A11" s="24" t="str">
        <x:v>Sharks &amp; rays</x:v>
      </x:c>
      <x:c r="B11" s="31" t="n">
        <x:v>10731.3688560147</x:v>
      </x:c>
      <x:c r="C11" s="32" t="n">
        <x:v>4.135224784652136</x:v>
      </x:c>
      <x:c r="D11" s="32" t="n">
        <x:f>IF(C11="","",(1/'Metadata'!$B$5)^(C11-1))</x:f>
        <x:v>1365.2896082425991</x:v>
      </x:c>
      <x:c r="E11" s="31" t="n">
        <x:f>IF(B11=0,"",B11*D11)</x:f>
        <x:v>14651426.38133514</x:v>
      </x:c>
    </x:row>
    <x:row r="12" ht="18" customHeight="1">
      <x:c r="A12" s="24" t="str">
        <x:v>Tuna &amp; billfishes</x:v>
      </x:c>
      <x:c r="B12" s="31" t="n">
        <x:v>17359.3177119627</x:v>
      </x:c>
      <x:c r="C12" s="32" t="n">
        <x:v>4.11850350540575</x:v>
      </x:c>
      <x:c r="D12" s="32" t="n">
        <x:f>IF(C12="","",(1/'Metadata'!$B$5)^(C12-1))</x:f>
        <x:v>1313.7220986186514</x:v>
      </x:c>
      <x:c r="E12" s="31" t="n">
        <x:f>IF(B12=0,"",B12*D12)</x:f>
        <x:v>22805319.295147564</x:v>
      </x:c>
    </x:row>
  </x:sheetData>
  <x:pageMargins left="0.7" right="0.7" top="0.75" bottom="0.75" header="0.3" footer="0.3"/>
  <x:tableParts count="1">
    <x:tablePart xmlns:r="http://schemas.openxmlformats.org/officeDocument/2006/relationships" r:id="Rf3173d3cc8e24e3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4666.396637667101</x:v>
      </x:c>
      <x:c r="C2" s="32" t="n">
        <x:v>3.8461073925773483</x:v>
      </x:c>
      <x:c r="D2" s="32" t="n">
        <x:f>IF(C2="","",(1/'Metadata'!$B$5)^(C2-1))</x:f>
        <x:v>701.6287761182981</x:v>
      </x:c>
      <x:c r="E2" s="31" t="n">
        <x:f>IF(B2=0,"",B2*D2)</x:f>
        <x:v>3274078.161768909</x:v>
      </x:c>
    </x:row>
    <x:row r="3" ht="18" customHeight="1">
      <x:c r="A3" s="24" t="str">
        <x:v>Jellyfish</x:v>
      </x:c>
      <x:c r="B3" s="31" t="n">
        <x:v>0.92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265.3308982876477</x:v>
      </x:c>
    </x:row>
    <x:row r="4" ht="18" customHeight="1">
      <x:c r="A4" s="24" t="str">
        <x:v>Large bathydemersals (&gt;=90 cm)</x:v>
      </x:c>
      <x:c r="B4" s="31" t="n">
        <x:v>1993.1105344302</x:v>
      </x:c>
      <x:c r="C4" s="32" t="n">
        <x:v>4.122133409073063</x:v>
      </x:c>
      <x:c r="D4" s="32" t="n">
        <x:f>IF(C4="","",(1/'Metadata'!$B$5)^(C4-1))</x:f>
        <x:v>1324.7484165238864</x:v>
      </x:c>
      <x:c r="E4" s="31" t="n">
        <x:f>IF(B4=0,"",B4*D4)</x:f>
        <x:v>2640370.0244434844</x:v>
      </x:c>
    </x:row>
    <x:row r="5" ht="18" customHeight="1">
      <x:c r="A5" s="24" t="str">
        <x:v>Large bathypelagics (&gt;=90 cm)</x:v>
      </x:c>
      <x:c r="B5" s="31" t="n">
        <x:v>75.290650177</x:v>
      </x:c>
      <x:c r="C5" s="32" t="n">
        <x:v>4.2044576385714425</x:v>
      </x:c>
      <x:c r="D5" s="32" t="n">
        <x:f>IF(C5="","",(1/'Metadata'!$B$5)^(C5-1))</x:f>
        <x:v>1601.2444540715198</x:v>
      </x:c>
      <x:c r="E5" s="31" t="n">
        <x:f>IF(B5=0,"",B5*D5)</x:f>
        <x:v>120558.73603936016</x:v>
      </x:c>
    </x:row>
    <x:row r="6" ht="18" customHeight="1">
      <x:c r="A6" s="24" t="str">
        <x:v>Large benthopelagics (&gt;=90 cm)</x:v>
      </x:c>
      <x:c r="B6" s="31" t="n">
        <x:v>5975.8497873758</x:v>
      </x:c>
      <x:c r="C6" s="32" t="n">
        <x:v>2.911492647855504</x:v>
      </x:c>
      <x:c r="D6" s="32" t="n">
        <x:f>IF(C6="","",(1/'Metadata'!$B$5)^(C6-1))</x:f>
        <x:v>81.56289792832305</x:v>
      </x:c>
      <x:c r="E6" s="31" t="n">
        <x:f>IF(B6=0,"",B6*D6)</x:f>
        <x:v>487407.6262427234</x:v>
      </x:c>
    </x:row>
    <x:row r="7" ht="18" customHeight="1">
      <x:c r="A7" s="24" t="str">
        <x:v>Large demersals (&gt;=90 cm)</x:v>
      </x:c>
      <x:c r="B7" s="31" t="n">
        <x:v>9897.300784830999</x:v>
      </x:c>
      <x:c r="C7" s="32" t="n">
        <x:v>4.135629444873259</x:v>
      </x:c>
      <x:c r="D7" s="32" t="n">
        <x:f>IF(C7="","",(1/'Metadata'!$B$5)^(C7-1))</x:f>
        <x:v>1366.5623296048643</x:v>
      </x:c>
      <x:c r="E7" s="31" t="n">
        <x:f>IF(B7=0,"",B7*D7)</x:f>
        <x:v>13525278.417318702</x:v>
      </x:c>
    </x:row>
    <x:row r="8" ht="18" customHeight="1">
      <x:c r="A8" s="24" t="str">
        <x:v>Large pelagics (&gt;=90 cm)</x:v>
      </x:c>
      <x:c r="B8" s="31" t="n">
        <x:v>22377.3970524731</x:v>
      </x:c>
      <x:c r="C8" s="32" t="n">
        <x:v>4.195046818632903</x:v>
      </x:c>
      <x:c r="D8" s="32" t="n">
        <x:f>IF(C8="","",(1/'Metadata'!$B$5)^(C8-1))</x:f>
        <x:v>1566.9199810666762</x:v>
      </x:c>
      <x:c r="E8" s="31" t="n">
        <x:f>IF(B8=0,"",B8*D8)</x:f>
        <x:v>35063590.565782644</x:v>
      </x:c>
    </x:row>
    <x:row r="9" ht="18" customHeight="1">
      <x:c r="A9" s="24" t="str">
        <x:v>Large rays (&gt;=90 cm)</x:v>
      </x:c>
      <x:c r="B9" s="31" t="n">
        <x:v>659.0726634714001</x:v>
      </x:c>
      <x:c r="C9" s="32" t="n">
        <x:v>3.659863887184146</x:v>
      </x:c>
      <x:c r="D9" s="32" t="n">
        <x:f>IF(C9="","",(1/'Metadata'!$B$5)^(C9-1))</x:f>
        <x:v>456.94495543930617</x:v>
      </x:c>
      <x:c r="E9" s="31" t="n">
        <x:f>IF(B9=0,"",B9*D9)</x:f>
        <x:v>301159.92884120374</x:v>
      </x:c>
    </x:row>
    <x:row r="10" ht="18" customHeight="1">
      <x:c r="A10" s="24" t="str">
        <x:v>Large reef assoc. fish (&gt;=90 cm)</x:v>
      </x:c>
      <x:c r="B10" s="31" t="n">
        <x:v>2070.2582092126</x:v>
      </x:c>
      <x:c r="C10" s="32" t="n">
        <x:v>4.023162931621592</x:v>
      </x:c>
      <x:c r="D10" s="32" t="n">
        <x:f>IF(C10="","",(1/'Metadata'!$B$5)^(C10-1))</x:f>
        <x:v>1054.7825385264152</x:v>
      </x:c>
      <x:c r="E10" s="31" t="n">
        <x:f>IF(B10=0,"",B10*D10)</x:f>
        <x:v>2183672.2093184167</x:v>
      </x:c>
    </x:row>
    <x:row r="11" ht="18" customHeight="1">
      <x:c r="A11" s="24" t="str">
        <x:v>Large sharks (&gt;=90 cm)</x:v>
      </x:c>
      <x:c r="B11" s="31" t="n">
        <x:v>9780.926953599599</x:v>
      </x:c>
      <x:c r="C11" s="32" t="n">
        <x:v>4.183225474597988</x:v>
      </x:c>
      <x:c r="D11" s="32" t="n">
        <x:f>IF(C11="","",(1/'Metadata'!$B$5)^(C11-1))</x:f>
        <x:v>1524.8442084784804</x:v>
      </x:c>
      <x:c r="E11" s="31" t="n">
        <x:f>IF(B11=0,"",B11*D11)</x:f>
        <x:v>14914389.818747414</x:v>
      </x:c>
    </x:row>
    <x:row r="12" ht="18" customHeight="1">
      <x:c r="A12" s="24" t="str">
        <x:v>Lobsters, crabs</x:v>
      </x:c>
      <x:c r="B12" s="31" t="n">
        <x:v>20615.3643552343</x:v>
      </x:c>
      <x:c r="C12" s="32" t="n">
        <x:v>2.872583339314804</x:v>
      </x:c>
      <x:c r="D12" s="32" t="n">
        <x:f>IF(C12="","",(1/'Metadata'!$B$5)^(C12-1))</x:f>
        <x:v>74.57329613690975</x:v>
      </x:c>
      <x:c r="E12" s="31" t="n">
        <x:f>IF(B12=0,"",B12*D12)</x:f>
        <x:v>1537355.6710331808</x:v>
      </x:c>
    </x:row>
    <x:row r="13" ht="18" customHeight="1">
      <x:c r="A13" s="24" t="str">
        <x:v>Medium bathydemersals (30 - 89 cm)</x:v>
      </x:c>
      <x:c r="B13" s="31" t="n">
        <x:v>1623.9639433182</x:v>
      </x:c>
      <x:c r="C13" s="32" t="n">
        <x:v>3.8216385220546725</x:v>
      </x:c>
      <x:c r="D13" s="32" t="n">
        <x:f>IF(C13="","",(1/'Metadata'!$B$5)^(C13-1))</x:f>
        <x:v>663.1908445074496</x:v>
      </x:c>
      <x:c r="E13" s="31" t="n">
        <x:f>IF(B13=0,"",B13*D13)</x:f>
        <x:v>1076998.0190188452</x:v>
      </x:c>
    </x:row>
    <x:row r="14" ht="18" customHeight="1">
      <x:c r="A14" s="24" t="str">
        <x:v>Medium bathypelagics (30 - 89 cm)</x:v>
      </x:c>
      <x:c r="B14" s="31" t="n">
        <x:v>902.1833698214001</x:v>
      </x:c>
      <x:c r="C14" s="32" t="n">
        <x:v>3.950485610234912</x:v>
      </x:c>
      <x:c r="D14" s="32" t="n">
        <x:f>IF(C14="","",(1/'Metadata'!$B$5)^(C14-1))</x:f>
        <x:v>892.2480556556012</x:v>
      </x:c>
      <x:c r="E14" s="31" t="n">
        <x:f>IF(B14=0,"",B14*D14)</x:f>
        <x:v>804971.3575679625</x:v>
      </x:c>
    </x:row>
    <x:row r="15" ht="18" customHeight="1">
      <x:c r="A15" s="24" t="str">
        <x:v>Medium benthopelagics (30 - 89 cm)</x:v>
      </x:c>
      <x:c r="B15" s="31" t="n">
        <x:v>20103.2095380974</x:v>
      </x:c>
      <x:c r="C15" s="32" t="n">
        <x:v>3.7629579410842076</x:v>
      </x:c>
      <x:c r="D15" s="32" t="n">
        <x:f>IF(C15="","",(1/'Metadata'!$B$5)^(C15-1))</x:f>
        <x:v>579.3725848165558</x:v>
      </x:c>
      <x:c r="E15" s="31" t="n">
        <x:f>IF(B15=0,"",B15*D15)</x:f>
        <x:v>11647248.473196328</x:v>
      </x:c>
    </x:row>
    <x:row r="16" ht="18" customHeight="1">
      <x:c r="A16" s="24" t="str">
        <x:v>Medium demersals (30 - 89 cm)</x:v>
      </x:c>
      <x:c r="B16" s="31" t="n">
        <x:v>39093.4816637818</x:v>
      </x:c>
      <x:c r="C16" s="32" t="n">
        <x:v>3.4545345116131156</x:v>
      </x:c>
      <x:c r="D16" s="32" t="n">
        <x:f>IF(C16="","",(1/'Metadata'!$B$5)^(C16-1))</x:f>
        <x:v>284.7964107286477</x:v>
      </x:c>
      <x:c r="E16" s="31" t="n">
        <x:f>IF(B16=0,"",B16*D16)</x:f>
        <x:v>11133683.26073126</x:v>
      </x:c>
    </x:row>
    <x:row r="17" ht="18" customHeight="1">
      <x:c r="A17" s="24" t="str">
        <x:v>Medium pelagics (30 - 89 cm)</x:v>
      </x:c>
      <x:c r="B17" s="31" t="n">
        <x:v>47660.05075680129</x:v>
      </x:c>
      <x:c r="C17" s="32" t="n">
        <x:v>3.1282709390553856</x:v>
      </x:c>
      <x:c r="D17" s="32" t="n">
        <x:f>IF(C17="","",(1/'Metadata'!$B$5)^(C17-1))</x:f>
        <x:v>134.3602920152884</x:v>
      </x:c>
      <x:c r="E17" s="31" t="n">
        <x:f>IF(B17=0,"",B17*D17)</x:f>
        <x:v>6403618.337147288</x:v>
      </x:c>
    </x:row>
    <x:row r="18" ht="18" customHeight="1">
      <x:c r="A18" s="24" t="str">
        <x:v>Medium reef assoc. fish (30 - 89 cm)</x:v>
      </x:c>
      <x:c r="B18" s="31" t="n">
        <x:v>14379.273094728402</x:v>
      </x:c>
      <x:c r="C18" s="32" t="n">
        <x:v>3.563782837430848</x:v>
      </x:c>
      <x:c r="D18" s="32" t="n">
        <x:f>IF(C18="","",(1/'Metadata'!$B$5)^(C18-1))</x:f>
        <x:v>366.25438873081254</x:v>
      </x:c>
      <x:c r="E18" s="31" t="n">
        <x:f>IF(B18=0,"",B18*D18)</x:f>
        <x:v>5266471.87770317</x:v>
      </x:c>
    </x:row>
    <x:row r="19" ht="18" customHeight="1">
      <x:c r="A19" s="24" t="str">
        <x:v>Other demersal invertebrates</x:v>
      </x:c>
      <x:c r="B19" s="31" t="n">
        <x:v>6505.5091501904</x:v>
      </x:c>
      <x:c r="C19" s="32" t="n">
        <x:v>2.0228820638952754</x:v>
      </x:c>
      <x:c r="D19" s="32" t="n">
        <x:f>IF(C19="","",(1/'Metadata'!$B$5)^(C19-1))</x:f>
        <x:v>10.54100608155994</x:v>
      </x:c>
      <x:c r="E19" s="31" t="n">
        <x:f>IF(B19=0,"",B19*D19)</x:f>
        <x:v>68574.61151580085</x:v>
      </x:c>
    </x:row>
    <x:row r="20" ht="18" customHeight="1">
      <x:c r="A20" s="24" t="str">
        <x:v>Shrimps</x:v>
      </x:c>
      <x:c r="B20" s="31" t="n">
        <x:v>15581.143048052601</x:v>
      </x:c>
      <x:c r="C20" s="32" t="n">
        <x:v>3.1165297802685252</x:v>
      </x:c>
      <x:c r="D20" s="32" t="n">
        <x:f>IF(C20="","",(1/'Metadata'!$B$5)^(C20-1))</x:f>
        <x:v>130.77652114017636</x:v>
      </x:c>
      <x:c r="E20" s="31" t="n">
        <x:f>IF(B20=0,"",B20*D20)</x:f>
        <x:v>2037647.683211763</x:v>
      </x:c>
    </x:row>
    <x:row r="21" ht="18" customHeight="1">
      <x:c r="A21" s="24" t="str">
        <x:v>Small benthopelagics (&lt;30 cm)</x:v>
      </x:c>
      <x:c r="B21" s="31" t="n">
        <x:v>436.5280404373</x:v>
      </x:c>
      <x:c r="C21" s="32" t="n">
        <x:v>3.254749439693205</x:v>
      </x:c>
      <x:c r="D21" s="32" t="n">
        <x:f>IF(C21="","",(1/'Metadata'!$B$5)^(C21-1))</x:f>
        <x:v>179.78333802943985</x:v>
      </x:c>
      <x:c r="E21" s="31" t="n">
        <x:f>IF(B21=0,"",B21*D21)</x:f>
        <x:v>78480.46825326809</x:v>
      </x:c>
    </x:row>
    <x:row r="22" ht="18" customHeight="1">
      <x:c r="A22" s="24" t="str">
        <x:v>Small demersals (&lt;30 cm)</x:v>
      </x:c>
      <x:c r="B22" s="31" t="n">
        <x:v>1445.0597983049004</x:v>
      </x:c>
      <x:c r="C22" s="32" t="n">
        <x:v>3.5851845014473867</x:v>
      </x:c>
      <x:c r="D22" s="32" t="n">
        <x:f>IF(C22="","",(1/'Metadata'!$B$5)^(C22-1))</x:f>
        <x:v>384.75520299134956</x:v>
      </x:c>
      <x:c r="E22" s="31" t="n">
        <x:f>IF(B22=0,"",B22*D22)</x:f>
        <x:v>555994.2760314406</x:v>
      </x:c>
    </x:row>
    <x:row r="23" ht="18" customHeight="1">
      <x:c r="A23" s="24" t="str">
        <x:v>Small pelagics (&lt;30 cm)</x:v>
      </x:c>
      <x:c r="B23" s="31" t="n">
        <x:v>1751.2008374189</x:v>
      </x:c>
      <x:c r="C23" s="32" t="n">
        <x:v>3.0151744135927077</x:v>
      </x:c>
      <x:c r="D23" s="32" t="n">
        <x:f>IF(C23="","",(1/'Metadata'!$B$5)^(C23-1))</x:f>
        <x:v>103.55579654744751</x:v>
      </x:c>
      <x:c r="E23" s="31" t="n">
        <x:f>IF(B23=0,"",B23*D23)</x:f>
        <x:v>181346.9976334713</x:v>
      </x:c>
    </x:row>
    <x:row r="24" ht="18" customHeight="1">
      <x:c r="A24" s="24" t="str">
        <x:v>Small reef assoc. fish (&lt;30 cm)</x:v>
      </x:c>
      <x:c r="B24" s="31" t="n">
        <x:v>725.4803693483999</x:v>
      </x:c>
      <x:c r="C24" s="32" t="n">
        <x:v>3.379850560893435</x:v>
      </x:c>
      <x:c r="D24" s="32" t="n">
        <x:f>IF(C24="","",(1/'Metadata'!$B$5)^(C24-1))</x:f>
        <x:v>239.80076315831843</x:v>
      </x:c>
      <x:c r="E24" s="31" t="n">
        <x:f>IF(B24=0,"",B24*D24)</x:f>
        <x:v>173970.74622612502</x:v>
      </x:c>
    </x:row>
    <x:row r="25" ht="18" customHeight="1">
      <x:c r="A25" s="24" t="str">
        <x:v>Small to medium flatfishes (&lt;90 cm)</x:v>
      </x:c>
      <x:c r="B25" s="31" t="n">
        <x:v>194.4130665186</x:v>
      </x:c>
      <x:c r="C25" s="32" t="n">
        <x:v>3.7065692163964754</x:v>
      </x:c>
      <x:c r="D25" s="32" t="n">
        <x:f>IF(C25="","",(1/'Metadata'!$B$5)^(C25-1))</x:f>
        <x:v>508.8259081476797</x:v>
      </x:c>
      <x:c r="E25" s="31" t="n">
        <x:f>IF(B25=0,"",B25*D25)</x:f>
        <x:v>98922.40512710191</x:v>
      </x:c>
    </x:row>
    <x:row r="26" ht="18" customHeight="1">
      <x:c r="A26" s="24" t="str">
        <x:v>Small to medium rays (&lt;90 cm)</x:v>
      </x:c>
      <x:c r="B26" s="31" t="n">
        <x:v>286.9279815809</x:v>
      </x:c>
      <x:c r="C26" s="32" t="n">
        <x:v>3.5880761066873768</x:v>
      </x:c>
      <x:c r="D26" s="32" t="n">
        <x:f>IF(C26="","",(1/'Metadata'!$B$5)^(C26-1))</x:f>
        <x:v>387.32551472043315</x:v>
      </x:c>
      <x:c r="E26" s="31" t="n">
        <x:f>IF(B26=0,"",B26*D26)</x:f>
        <x:v>111134.52815351705</x:v>
      </x:c>
    </x:row>
    <x:row r="27" ht="18" customHeight="1">
      <x:c r="A27" s="24" t="str">
        <x:v>Small to medium sharks (&lt;90 cm)</x:v>
      </x:c>
      <x:c r="B27" s="31" t="n">
        <x:v>4.4412573628</x:v>
      </x:c>
      <x:c r="C27" s="32" t="n">
        <x:v>4.314992910993796</x:v>
      </x:c>
      <x:c r="D27" s="32" t="n">
        <x:f>IF(C27="","",(1/'Metadata'!$B$5)^(C27-1))</x:f>
        <x:v>2065.346442802762</x:v>
      </x:c>
      <x:c r="E27" s="31" t="n">
        <x:f>IF(B27=0,"",B27*D27)</x:f>
        <x:v>9172.735095830556</x:v>
      </x:c>
    </x:row>
  </x:sheetData>
  <x:pageMargins left="0.7" right="0.7" top="0.75" bottom="0.75" header="0.3" footer="0.3"/>
  <x:tableParts count="1">
    <x:tablePart xmlns:r="http://schemas.openxmlformats.org/officeDocument/2006/relationships" r:id="R6b34370c889543c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EEZ_036</x:v>
      </x:c>
      <x:c r="B2" s="24" t="str">
        <x:v>raw_filtered_tonnes</x:v>
      </x:c>
      <x:c r="C2" s="24" t="n">
        <x:v>228804.7535442354</x:v>
      </x:c>
      <x:c r="D2" s="24" t="str">
        <x:v>tonnes</x:v>
      </x:c>
    </x:row>
    <x:row r="3" ht="18" customHeight="1">
      <x:c r="A3" s="24" t="str">
        <x:v>EEZ_036</x:v>
      </x:c>
      <x:c r="B3" s="24" t="str">
        <x:v>species_catch_tonnes</x:v>
      </x:c>
      <x:c r="C3" s="24" t="n">
        <x:v>228804.7535442354</x:v>
      </x:c>
      <x:c r="D3" s="24" t="str">
        <x:v>tonnes</x:v>
      </x:c>
    </x:row>
    <x:row r="4" ht="18" customHeight="1">
      <x:c r="A4" s="24" t="str">
        <x:v>EEZ_036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EEZ_036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EEZ_036</x:v>
      </x:c>
      <x:c r="B6" s="24" t="str">
        <x:v>matched_catch_tonnes</x:v>
      </x:c>
      <x:c r="C6" s="24" t="n">
        <x:v>228804.7535442354</x:v>
      </x:c>
      <x:c r="D6" s="24" t="str">
        <x:v>tonnes</x:v>
      </x:c>
    </x:row>
    <x:row r="7" ht="18" customHeight="1">
      <x:c r="A7" s="24" t="str">
        <x:v>EEZ_036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EEZ_036</x:v>
      </x:c>
      <x:c r="B8" s="24" t="str">
        <x:v>taxa_count</x:v>
      </x:c>
      <x:c r="C8" s="24" t="n">
        <x:v>529</x:v>
      </x:c>
      <x:c r="D8" s="24" t="str">
        <x:v>count</x:v>
      </x:c>
    </x:row>
    <x:row r="9" ht="18" customHeight="1">
      <x:c r="A9" s="24" t="str">
        <x:v>EEZ_036</x:v>
      </x:c>
      <x:c r="B9" s="24" t="str">
        <x:v>matched_taxa_count</x:v>
      </x:c>
      <x:c r="C9" s="24" t="n">
        <x:v>529</x:v>
      </x:c>
      <x:c r="D9" s="24" t="str">
        <x:v>count</x:v>
      </x:c>
    </x:row>
    <x:row r="10" ht="18" customHeight="1">
      <x:c r="A10" s="24" t="str">
        <x:v>EEZ_036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EEZ_036</x:v>
      </x:c>
      <x:c r="B11" s="24" t="str">
        <x:v>species_ppr</x:v>
      </x:c>
      <x:c r="C11" s="24" t="n">
        <x:v>159135782.88848543</x:v>
      </x:c>
      <x:c r="D11" s="24" t="str">
        <x:v>tonnes_primary_production_equivalent</x:v>
      </x:c>
    </x:row>
    <x:row r="12" ht="18" customHeight="1">
      <x:c r="A12" s="24" t="str">
        <x:v>EEZ_036</x:v>
      </x:c>
      <x:c r="B12" s="24" t="str">
        <x:v>commercial_ppr</x:v>
      </x:c>
      <x:c r="C12" s="24" t="n">
        <x:v>107374397.92635019</x:v>
      </x:c>
      <x:c r="D12" s="24" t="str">
        <x:v>tonnes_primary_production_equivalent</x:v>
      </x:c>
    </x:row>
    <x:row r="13" ht="18" customHeight="1">
      <x:c r="A13" s="24" t="str">
        <x:v>EEZ_036</x:v>
      </x:c>
      <x:c r="B13" s="24" t="str">
        <x:v>functional_ppr</x:v>
      </x:c>
      <x:c r="C13" s="24" t="n">
        <x:v>113696362.2670475</x:v>
      </x:c>
      <x:c r="D13" s="24" t="str">
        <x:v>tonnes_primary_production_equivalent</x:v>
      </x:c>
    </x:row>
    <x:row r="14" ht="18" customHeight="1">
      <x:c r="A14" s="24" t="str">
        <x:v>EEZ_036</x:v>
      </x:c>
      <x:c r="B14" s="24" t="str">
        <x:v>commercial_ppr_difference</x:v>
      </x:c>
      <x:c r="C14" s="24" t="n">
        <x:v>-51761384.96213524</x:v>
      </x:c>
      <x:c r="D14" s="24" t="str">
        <x:v>tonnes_primary_production_equivalent</x:v>
      </x:c>
    </x:row>
    <x:row r="15" ht="18" customHeight="1">
      <x:c r="A15" s="24" t="str">
        <x:v>EEZ_036</x:v>
      </x:c>
      <x:c r="B15" s="24" t="str">
        <x:v>functional_ppr_difference</x:v>
      </x:c>
      <x:c r="C15" s="24" t="n">
        <x:v>-45439420.62143794</x:v>
      </x:c>
      <x:c r="D15" s="24" t="str">
        <x:v>tonnes_primary_production_equivalent</x:v>
      </x:c>
    </x:row>
    <x:row r="16" ht="18" customHeight="1">
      <x:c r="A16" s="24" t="str">
        <x:v>EEZ_036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EEZ_036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9c2a1b4ca3b4c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EEZ_036 - Australia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EEZ_036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raw_data/SAU_downloads/EEZ_036-catch.zip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