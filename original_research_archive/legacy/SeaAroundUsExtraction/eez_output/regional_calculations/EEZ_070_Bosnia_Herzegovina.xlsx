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ff3a79f58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6b566eeacec45f9"/>
    <x:sheet xmlns:r="http://schemas.openxmlformats.org/officeDocument/2006/relationships" name="Commercial" sheetId="2" r:id="Rc6dad65b2cd2455e"/>
    <x:sheet xmlns:r="http://schemas.openxmlformats.org/officeDocument/2006/relationships" name="Functional" sheetId="3" r:id="R54887d0e1ce14000"/>
    <x:sheet xmlns:r="http://schemas.openxmlformats.org/officeDocument/2006/relationships" name="Missing TL" sheetId="4" r:id="R1d8c625d6caf4316"/>
    <x:sheet xmlns:r="http://schemas.openxmlformats.org/officeDocument/2006/relationships" name="Validation" sheetId="5" r:id="R908bb43910584455"/>
    <x:sheet xmlns:r="http://schemas.openxmlformats.org/officeDocument/2006/relationships" name="Metadata" sheetId="6" r:id="R78b68ccb129d48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cda57d1f5438c" /><Relationship Type="http://schemas.openxmlformats.org/officeDocument/2006/relationships/theme" Target="/xl/theme/theme1.xml" Id="Rcf06ed785e504a0e" /><Relationship Type="http://schemas.microsoft.com/office/2022/11/relationships/FeaturePropertyBag" Target="/xl/featurePropertyBag/featurePropertyBag.xml" Id="Rf3cfcff196e84040" /><Relationship Type="http://schemas.openxmlformats.org/officeDocument/2006/relationships/sharedStrings" Target="/xl/sharedStrings.xml" Id="R39540c7cc01b423c" /><Relationship Type="http://schemas.openxmlformats.org/officeDocument/2006/relationships/worksheet" Target="/xl/worksheets/sheet1.xml" Id="Ra6b566eeacec45f9" /><Relationship Type="http://schemas.openxmlformats.org/officeDocument/2006/relationships/worksheet" Target="/xl/worksheets/sheet2.xml" Id="Rc6dad65b2cd2455e" /><Relationship Type="http://schemas.openxmlformats.org/officeDocument/2006/relationships/worksheet" Target="/xl/worksheets/sheet3.xml" Id="R54887d0e1ce14000" /><Relationship Type="http://schemas.openxmlformats.org/officeDocument/2006/relationships/worksheet" Target="/xl/worksheets/sheet4.xml" Id="R1d8c625d6caf4316" /><Relationship Type="http://schemas.openxmlformats.org/officeDocument/2006/relationships/worksheet" Target="/xl/worksheets/sheet5.xml" Id="R908bb43910584455" /><Relationship Type="http://schemas.openxmlformats.org/officeDocument/2006/relationships/worksheet" Target="/xl/worksheets/sheet6.xml" Id="R78b68ccb129d48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70SpeciesTable" displayName="EEZ070SpeciesTable" ref="A1:U46" headerRowCount="1" totalsRowCount="0" totalsRowShown="0">
  <x:autoFilter ref="A1:U4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70CommercialTable" displayName="EEZ070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70FunctionalTable" displayName="EEZ070FunctionalTable" ref="A1:E17" headerRowCount="1" totalsRowCount="0" totalsRowShown="0">
  <x:autoFilter ref="A1:E1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70ValidationTable" displayName="EEZ07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7f398fdafa4c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6d93871e1642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499d5fc09848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5f60451b4447c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EEZ_070</x:v>
      </x:c>
      <x:c r="B2" s="24" t="str">
        <x:v>Bosnia &amp; Herzegovina</x:v>
      </x:c>
      <x:c r="C2" s="24" t="str">
        <x:v>EEZ</x:v>
      </x:c>
      <x:c r="D2" s="30" t="n">
        <x:v>2019</x:v>
      </x:c>
      <x:c r="E2" s="24" t="str">
        <x:v>Clupeidae</x:v>
      </x:c>
      <x:c r="F2" s="24" t="str">
        <x:v>Herrings, sardines, menhadens</x:v>
      </x:c>
      <x:c r="G2" s="24" t="str">
        <x:v>Small pelagics (&lt;30 cm)</x:v>
      </x:c>
      <x:c r="H2" s="24" t="str">
        <x:v>Herring-likes</x:v>
      </x:c>
      <x:c r="I2" s="31" t="n">
        <x:v>36.604280837</x:v>
      </x:c>
      <x:c r="J2" s="31" t="n">
        <x:v>36.604280837</x:v>
      </x:c>
      <x:c r="K2" s="31" t="n">
        <x:v>0</x:v>
      </x:c>
      <x:c r="L2" s="31" t="n">
        <x:v>0</x:v>
      </x:c>
      <x:c r="M2" s="31" t="n">
        <x:v>36.604280837</x:v>
      </x:c>
      <x:c r="N2" s="24" t="str">
        <x:v>clupeidae</x:v>
      </x:c>
      <x:c r="O2" s="32" t="n">
        <x:v>3.16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Clupeidae</x:v>
      </x:c>
      <x:c r="T2" s="32" t="n">
        <x:f>IF(O2="","",(1/'Metadata'!$B$5)^(O2-1))</x:f>
        <x:v>144.5439770745928</x:v>
      </x:c>
      <x:c r="U2" s="31" t="n">
        <x:f>IF(T2="","",I2*T2)</x:f>
        <x:v>5290.928330135283</x:v>
      </x:c>
    </x:row>
    <x:row r="3" ht="18" customHeight="1">
      <x:c r="A3" s="24" t="str">
        <x:v>EEZ_070</x:v>
      </x:c>
      <x:c r="B3" s="24" t="str">
        <x:v>Bosnia &amp; Herzegovina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7.107523683</x:v>
      </x:c>
      <x:c r="J3" s="31" t="n">
        <x:v>6.573203375</x:v>
      </x:c>
      <x:c r="K3" s="31" t="n">
        <x:v>0.534320308</x:v>
      </x:c>
      <x:c r="L3" s="31" t="n">
        <x:v>0.26932824099999997</x:v>
      </x:c>
      <x:c r="M3" s="31" t="n">
        <x:v>6.838195442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1354.3107179949957</x:v>
      </x:c>
    </x:row>
    <x:row r="4" ht="18" customHeight="1">
      <x:c r="A4" s="24" t="str">
        <x:v>EEZ_070</x:v>
      </x:c>
      <x:c r="B4" s="24" t="str">
        <x:v>Bosnia &amp; Herzegovina</x:v>
      </x:c>
      <x:c r="C4" s="24" t="str">
        <x:v>EEZ</x:v>
      </x:c>
      <x:c r="D4" s="30" t="n">
        <x:v>2019</x:v>
      </x:c>
      <x:c r="E4" s="24" t="str">
        <x:v>Engraulidae</x:v>
      </x:c>
      <x:c r="F4" s="24" t="str">
        <x:v>Anchovies, round herrings</x:v>
      </x:c>
      <x:c r="G4" s="24" t="str">
        <x:v>Small pelagics (&lt;30 cm)</x:v>
      </x:c>
      <x:c r="H4" s="24" t="str">
        <x:v>Anchovies</x:v>
      </x:c>
      <x:c r="I4" s="31" t="n">
        <x:v>6.135280699</x:v>
      </x:c>
      <x:c r="J4" s="31" t="n">
        <x:v>6.135280699</x:v>
      </x:c>
      <x:c r="K4" s="31" t="n">
        <x:v>0</x:v>
      </x:c>
      <x:c r="L4" s="31" t="n">
        <x:v>0</x:v>
      </x:c>
      <x:c r="M4" s="31" t="n">
        <x:v>6.135280699</x:v>
      </x:c>
      <x:c r="N4" s="24" t="str">
        <x:v>engraulidae</x:v>
      </x:c>
      <x:c r="O4" s="32" t="n">
        <x:v>3.2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Engraulidae</x:v>
      </x:c>
      <x:c r="T4" s="32" t="n">
        <x:f>IF(O4="","",(1/'Metadata'!$B$5)^(O4-1))</x:f>
        <x:v>158.48931924611142</x:v>
      </x:c>
      <x:c r="U4" s="31" t="n">
        <x:f>IF(T4="","",I4*T4)</x:f>
        <x:v>972.3764613683167</x:v>
      </x:c>
    </x:row>
    <x:row r="5" ht="18" customHeight="1">
      <x:c r="A5" s="24" t="str">
        <x:v>EEZ_070</x:v>
      </x:c>
      <x:c r="B5" s="24" t="str">
        <x:v>Bosnia &amp; Herzegovina</x:v>
      </x:c>
      <x:c r="C5" s="24" t="str">
        <x:v>EEZ</x:v>
      </x:c>
      <x:c r="D5" s="30" t="n">
        <x:v>2019</x:v>
      </x:c>
      <x:c r="E5" s="24" t="str">
        <x:v>Sardina pilchardus</x:v>
      </x:c>
      <x:c r="F5" s="24" t="str">
        <x:v>European pilchard</x:v>
      </x:c>
      <x:c r="G5" s="24" t="str">
        <x:v>Small pelagics (&lt;30 cm)</x:v>
      </x:c>
      <x:c r="H5" s="24" t="str">
        <x:v>Herring-likes</x:v>
      </x:c>
      <x:c r="I5" s="31" t="n">
        <x:v>5.52013599</x:v>
      </x:c>
      <x:c r="J5" s="31" t="n">
        <x:v>5.52013599</x:v>
      </x:c>
      <x:c r="K5" s="31" t="n">
        <x:v>0</x:v>
      </x:c>
      <x:c r="L5" s="31" t="n">
        <x:v>3.4599147660000003</x:v>
      </x:c>
      <x:c r="M5" s="31" t="n">
        <x:v>2.0602212239999997</x:v>
      </x:c>
      <x:c r="N5" s="24" t="str">
        <x:v>sardina pilchardus</x:v>
      </x:c>
      <x:c r="O5" s="32" t="n">
        <x:v>3.06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Sardina pilchardus</x:v>
      </x:c>
      <x:c r="T5" s="32" t="n">
        <x:f>IF(O5="","",(1/'Metadata'!$B$5)^(O5-1))</x:f>
        <x:v>114.81536214968828</x:v>
      </x:c>
      <x:c r="U5" s="31" t="n">
        <x:f>IF(T5="","",I5*T5)</x:f>
        <x:v>633.796412807378</x:v>
      </x:c>
    </x:row>
    <x:row r="6" ht="18" customHeight="1">
      <x:c r="A6" s="24" t="str">
        <x:v>EEZ_070</x:v>
      </x:c>
      <x:c r="B6" s="24" t="str">
        <x:v>Bosnia &amp; Herzegovina</x:v>
      </x:c>
      <x:c r="C6" s="24" t="str">
        <x:v>EEZ</x:v>
      </x:c>
      <x:c r="D6" s="30" t="n">
        <x:v>2019</x:v>
      </x:c>
      <x:c r="E6" s="24" t="str">
        <x:v>Cephalopoda</x:v>
      </x:c>
      <x:c r="F6" s="24" t="str">
        <x:v>Squids, cuttlefishes, octopuses</x:v>
      </x:c>
      <x:c r="G6" s="24" t="str">
        <x:v>Cephalopods</x:v>
      </x:c>
      <x:c r="H6" s="24" t="str">
        <x:v>Other fishes &amp; inverts</x:v>
      </x:c>
      <x:c r="I6" s="31" t="n">
        <x:v>1.080227878</x:v>
      </x:c>
      <x:c r="J6" s="31" t="n">
        <x:v>0.9975441150000001</x:v>
      </x:c>
      <x:c r="K6" s="31" t="n">
        <x:v>0.082683763</x:v>
      </x:c>
      <x:c r="L6" s="31" t="n">
        <x:v>0.036586508999999996</x:v>
      </x:c>
      <x:c r="M6" s="31" t="n">
        <x:v>1.043641369</x:v>
      </x:c>
      <x:c r="N6" s="24" t="str">
        <x:v>cephalopoda</x:v>
      </x:c>
      <x:c r="O6" s="32" t="n">
        <x:v>3.81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Cephalopoda</x:v>
      </x:c>
      <x:c r="T6" s="32" t="n">
        <x:f>IF(O6="","",(1/'Metadata'!$B$5)^(O6-1))</x:f>
        <x:v>645.6542290346556</x:v>
      </x:c>
      <x:c r="U6" s="31" t="n">
        <x:f>IF(T6="","",I6*T6)</x:f>
        <x:v>697.453697751832</x:v>
      </x:c>
    </x:row>
    <x:row r="7" ht="18" customHeight="1">
      <x:c r="A7" s="24" t="str">
        <x:v>EEZ_070</x:v>
      </x:c>
      <x:c r="B7" s="24" t="str">
        <x:v>Bosnia &amp; Herzegovina</x:v>
      </x:c>
      <x:c r="C7" s="24" t="str">
        <x:v>EEZ</x:v>
      </x:c>
      <x:c r="D7" s="30" t="n">
        <x:v>2019</x:v>
      </x:c>
      <x:c r="E7" s="24" t="str">
        <x:v>Mullidae</x:v>
      </x:c>
      <x:c r="F7" s="24" t="str">
        <x:v>Goatfishes</x:v>
      </x:c>
      <x:c r="G7" s="24" t="str">
        <x:v>Medium reef assoc. fish (30 - 89 cm)</x:v>
      </x:c>
      <x:c r="H7" s="24" t="str">
        <x:v>Perch-likes</x:v>
      </x:c>
      <x:c r="I7" s="31" t="n">
        <x:v>0.8588198170000001</x:v>
      </x:c>
      <x:c r="J7" s="31" t="n">
        <x:v>0.77517866</x:v>
      </x:c>
      <x:c r="K7" s="31" t="n">
        <x:v>0.083641157</x:v>
      </x:c>
      <x:c r="L7" s="31" t="n">
        <x:v>0</x:v>
      </x:c>
      <x:c r="M7" s="31" t="n">
        <x:v>0.8588198170000001</x:v>
      </x:c>
      <x:c r="N7" s="24" t="str">
        <x:v>mullidae</x:v>
      </x:c>
      <x:c r="O7" s="32" t="n">
        <x:v>3.46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Mullidae</x:v>
      </x:c>
      <x:c r="T7" s="32" t="n">
        <x:f>IF(O7="","",(1/'Metadata'!$B$5)^(O7-1))</x:f>
        <x:v>288.40315031266056</x:v>
      </x:c>
      <x:c r="U7" s="31" t="n">
        <x:f>IF(T7="","",I7*T7)</x:f>
        <x:v>247.68634077374267</x:v>
      </x:c>
    </x:row>
    <x:row r="8" ht="18" customHeight="1">
      <x:c r="A8" s="24" t="str">
        <x:v>EEZ_070</x:v>
      </x:c>
      <x:c r="B8" s="24" t="str">
        <x:v>Bosnia &amp; Herzegovina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0.751751038</x:v>
      </x:c>
      <x:c r="J8" s="31" t="n">
        <x:v>0.751751038</x:v>
      </x:c>
      <x:c r="K8" s="31" t="n">
        <x:v>0</x:v>
      </x:c>
      <x:c r="L8" s="31" t="n">
        <x:v>0</x:v>
      </x:c>
      <x:c r="M8" s="31" t="n">
        <x:v>0.751751038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1367.9620093095457</x:v>
      </x:c>
    </x:row>
    <x:row r="9" ht="18" customHeight="1">
      <x:c r="A9" s="24" t="str">
        <x:v>EEZ_070</x:v>
      </x:c>
      <x:c r="B9" s="24" t="str">
        <x:v>Bosnia &amp; Herzegovina</x:v>
      </x:c>
      <x:c r="C9" s="24" t="str">
        <x:v>EEZ</x:v>
      </x:c>
      <x:c r="D9" s="30" t="n">
        <x:v>2019</x:v>
      </x:c>
      <x:c r="E9" s="24" t="str">
        <x:v>Thunnus thynnus</x:v>
      </x:c>
      <x:c r="F9" s="24" t="str">
        <x:v>Atlantic bluefin tuna</x:v>
      </x:c>
      <x:c r="G9" s="24" t="str">
        <x:v>Large pelagics (&gt;=90 cm)</x:v>
      </x:c>
      <x:c r="H9" s="24" t="str">
        <x:v>Tuna &amp; billfishes</x:v>
      </x:c>
      <x:c r="I9" s="31" t="n">
        <x:v>0.418445326</x:v>
      </x:c>
      <x:c r="J9" s="31" t="n">
        <x:v>0.418445326</x:v>
      </x:c>
      <x:c r="K9" s="31" t="n">
        <x:v>0</x:v>
      </x:c>
      <x:c r="L9" s="31" t="n">
        <x:v>0.23565257799999997</x:v>
      </x:c>
      <x:c r="M9" s="31" t="n">
        <x:v>0.182792748</x:v>
      </x:c>
      <x:c r="N9" s="24" t="str">
        <x:v>thunnus thynnus</x:v>
      </x:c>
      <x:c r="O9" s="32" t="n">
        <x:v>4.45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thynnus</x:v>
      </x:c>
      <x:c r="T9" s="32" t="n">
        <x:f>IF(O9="","",(1/'Metadata'!$B$5)^(O9-1))</x:f>
        <x:v>2818.382931264455</x:v>
      </x:c>
      <x:c r="U9" s="31" t="n">
        <x:f>IF(T9="","",I9*T9)</x:f>
        <x:v>1179.3391644657904</x:v>
      </x:c>
    </x:row>
    <x:row r="10" ht="18" customHeight="1">
      <x:c r="A10" s="24" t="str">
        <x:v>EEZ_070</x:v>
      </x:c>
      <x:c r="B10" s="24" t="str">
        <x:v>Bosnia &amp; Herzegovina</x:v>
      </x:c>
      <x:c r="C10" s="24" t="str">
        <x:v>EEZ</x:v>
      </x:c>
      <x:c r="D10" s="30" t="n">
        <x:v>2019</x:v>
      </x:c>
      <x:c r="E10" s="24" t="str">
        <x:v>Carangidae</x:v>
      </x:c>
      <x:c r="F10" s="24" t="str">
        <x:v>Jacks, pompanos</x:v>
      </x:c>
      <x:c r="G10" s="24" t="str">
        <x:v>Medium pelagics (30 - 89 cm)</x:v>
      </x:c>
      <x:c r="H10" s="24" t="str">
        <x:v>Perch-likes</x:v>
      </x:c>
      <x:c r="I10" s="31" t="n">
        <x:v>0.317650989</x:v>
      </x:c>
      <x:c r="J10" s="31" t="n">
        <x:v>0.317650989</x:v>
      </x:c>
      <x:c r="K10" s="31" t="n">
        <x:v>0</x:v>
      </x:c>
      <x:c r="L10" s="31" t="n">
        <x:v>0</x:v>
      </x:c>
      <x:c r="M10" s="31" t="n">
        <x:v>0.317650989</x:v>
      </x:c>
      <x:c r="N10" s="24" t="str">
        <x:v>carangidae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Carangidae</x:v>
      </x:c>
      <x:c r="T10" s="32" t="n">
        <x:f>IF(O10="","",(1/'Metadata'!$B$5)^(O10-1))</x:f>
        <x:v>1122.018454301963</x:v>
      </x:c>
      <x:c r="U10" s="31" t="n">
        <x:f>IF(T10="","",I10*T10)</x:f>
        <x:v>356.41027168526983</x:v>
      </x:c>
    </x:row>
    <x:row r="11" ht="18" customHeight="1">
      <x:c r="A11" s="24" t="str">
        <x:v>EEZ_070</x:v>
      </x:c>
      <x:c r="B11" s="24" t="str">
        <x:v>Bosnia &amp; Herzegovina</x:v>
      </x:c>
      <x:c r="C11" s="24" t="str">
        <x:v>EEZ</x:v>
      </x:c>
      <x:c r="D11" s="30" t="n">
        <x:v>2019</x:v>
      </x:c>
      <x:c r="E11" s="24" t="str">
        <x:v>Sparidae</x:v>
      </x:c>
      <x:c r="F11" s="24" t="str">
        <x:v>Porgies, seabreams</x:v>
      </x:c>
      <x:c r="G11" s="24" t="str">
        <x:v>Medium benthopelagics (30 - 89 cm)</x:v>
      </x:c>
      <x:c r="H11" s="24" t="str">
        <x:v>Perch-likes</x:v>
      </x:c>
      <x:c r="I11" s="31" t="n">
        <x:v>0.261665906</x:v>
      </x:c>
      <x:c r="J11" s="31" t="n">
        <x:v>0.255720925</x:v>
      </x:c>
      <x:c r="K11" s="31" t="n">
        <x:v>0.005944981</x:v>
      </x:c>
      <x:c r="L11" s="31" t="n">
        <x:v>0.106295718</x:v>
      </x:c>
      <x:c r="M11" s="31" t="n">
        <x:v>0.15537018800000002</x:v>
      </x:c>
      <x:c r="N11" s="24" t="str">
        <x:v>sparidae</x:v>
      </x:c>
      <x:c r="O11" s="32" t="n">
        <x:v>3.31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Sparidae</x:v>
      </x:c>
      <x:c r="T11" s="32" t="n">
        <x:f>IF(O11="","",(1/'Metadata'!$B$5)^(O11-1))</x:f>
        <x:v>204.17379446695296</x:v>
      </x:c>
      <x:c r="U11" s="31" t="n">
        <x:f>IF(T11="","",I11*T11)</x:f>
        <x:v>53.425320910653035</x:v>
      </x:c>
    </x:row>
    <x:row r="12" ht="18" customHeight="1">
      <x:c r="A12" s="24" t="str">
        <x:v>EEZ_070</x:v>
      </x:c>
      <x:c r="B12" s="24" t="str">
        <x:v>Bosnia &amp; Herzegovina</x:v>
      </x:c>
      <x:c r="C12" s="24" t="str">
        <x:v>EEZ</x:v>
      </x:c>
      <x:c r="D12" s="30" t="n">
        <x:v>2019</x:v>
      </x:c>
      <x:c r="E12" s="24" t="str">
        <x:v>Nephropidae</x:v>
      </x:c>
      <x:c r="F12" s="24" t="str">
        <x:v>Clawed lobsters</x:v>
      </x:c>
      <x:c r="G12" s="24" t="str">
        <x:v>Lobsters, crabs</x:v>
      </x:c>
      <x:c r="H12" s="24" t="str">
        <x:v>Crustaceans</x:v>
      </x:c>
      <x:c r="I12" s="31" t="n">
        <x:v>0.2249457</x:v>
      </x:c>
      <x:c r="J12" s="31" t="n">
        <x:v>0.206714309</x:v>
      </x:c>
      <x:c r="K12" s="31" t="n">
        <x:v>0.018231391</x:v>
      </x:c>
      <x:c r="L12" s="31" t="n">
        <x:v>0</x:v>
      </x:c>
      <x:c r="M12" s="31" t="n">
        <x:v>0.2249457</x:v>
      </x:c>
      <x:c r="N12" s="24" t="str">
        <x:v>nephropidae</x:v>
      </x:c>
      <x:c r="O12" s="32" t="n">
        <x:v>2.88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Nephropidae</x:v>
      </x:c>
      <x:c r="T12" s="32" t="n">
        <x:f>IF(O12="","",(1/'Metadata'!$B$5)^(O12-1))</x:f>
        <x:v>75.85775750291836</x:v>
      </x:c>
      <x:c r="U12" s="31" t="n">
        <x:f>IF(T12="","",I12*T12)</x:f>
        <x:v>17.063876361924223</x:v>
      </x:c>
    </x:row>
    <x:row r="13" ht="18" customHeight="1">
      <x:c r="A13" s="24" t="str">
        <x:v>EEZ_070</x:v>
      </x:c>
      <x:c r="B13" s="24" t="str">
        <x:v>Bosnia &amp; Herzegovina</x:v>
      </x:c>
      <x:c r="C13" s="24" t="str">
        <x:v>EEZ</x:v>
      </x:c>
      <x:c r="D13" s="30" t="n">
        <x:v>2019</x:v>
      </x:c>
      <x:c r="E13" s="24" t="str">
        <x:v>Soleidae</x:v>
      </x:c>
      <x:c r="F13" s="24" t="str">
        <x:v>Soles</x:v>
      </x:c>
      <x:c r="G13" s="24" t="str">
        <x:v>Small to medium flatfishes (&lt;90 cm)</x:v>
      </x:c>
      <x:c r="H13" s="24" t="str">
        <x:v>Flatfishes</x:v>
      </x:c>
      <x:c r="I13" s="31" t="n">
        <x:v>0.18967682400000002</x:v>
      </x:c>
      <x:c r="J13" s="31" t="n">
        <x:v>0.174329067</x:v>
      </x:c>
      <x:c r="K13" s="31" t="n">
        <x:v>0.015347757</x:v>
      </x:c>
      <x:c r="L13" s="31" t="n">
        <x:v>0</x:v>
      </x:c>
      <x:c r="M13" s="31" t="n">
        <x:v>0.18967682400000002</x:v>
      </x:c>
      <x:c r="N13" s="24" t="str">
        <x:v>soleidae</x:v>
      </x:c>
      <x:c r="O13" s="32" t="n">
        <x:v>3.15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Soleidae</x:v>
      </x:c>
      <x:c r="T13" s="32" t="n">
        <x:f>IF(O13="","",(1/'Metadata'!$B$5)^(O13-1))</x:f>
        <x:v>141.2537544622754</x:v>
      </x:c>
      <x:c r="U13" s="31" t="n">
        <x:f>IF(T13="","",I13*T13)</x:f>
        <x:v>26.79256352448023</x:v>
      </x:c>
    </x:row>
    <x:row r="14" ht="18" customHeight="1">
      <x:c r="A14" s="24" t="str">
        <x:v>EEZ_070</x:v>
      </x:c>
      <x:c r="B14" s="24" t="str">
        <x:v>Bosnia &amp; Herzegovina</x:v>
      </x:c>
      <x:c r="C14" s="24" t="str">
        <x:v>EEZ</x:v>
      </x:c>
      <x:c r="D14" s="30" t="n">
        <x:v>2019</x:v>
      </x:c>
      <x:c r="E14" s="24" t="str">
        <x:v>Trachurus mediterraneus</x:v>
      </x:c>
      <x:c r="F14" s="24" t="str">
        <x:v>Mediterranean horse mackerel</x:v>
      </x:c>
      <x:c r="G14" s="24" t="str">
        <x:v>Medium pelagics (30 - 89 cm)</x:v>
      </x:c>
      <x:c r="H14" s="24" t="str">
        <x:v>Perch-likes</x:v>
      </x:c>
      <x:c r="I14" s="31" t="n">
        <x:v>0.178570287</x:v>
      </x:c>
      <x:c r="J14" s="31" t="n">
        <x:v>0.178570287</x:v>
      </x:c>
      <x:c r="K14" s="31" t="n">
        <x:v>0</x:v>
      </x:c>
      <x:c r="L14" s="31" t="n">
        <x:v>0.111924412</x:v>
      </x:c>
      <x:c r="M14" s="31" t="n">
        <x:v>0.066645875</x:v>
      </x:c>
      <x:c r="N14" s="24" t="str">
        <x:v>trachurus mediterraneus</x:v>
      </x:c>
      <x:c r="O14" s="32" t="n">
        <x:v>3.77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Trachurus mediterraneus</x:v>
      </x:c>
      <x:c r="T14" s="32" t="n">
        <x:f>IF(O14="","",(1/'Metadata'!$B$5)^(O14-1))</x:f>
        <x:v>588.843655355589</x:v>
      </x:c>
      <x:c r="U14" s="31" t="n">
        <x:f>IF(T14="","",I14*T14)</x:f>
        <x:v>105.14998053497662</x:v>
      </x:c>
    </x:row>
    <x:row r="15" ht="18" customHeight="1">
      <x:c r="A15" s="24" t="str">
        <x:v>EEZ_070</x:v>
      </x:c>
      <x:c r="B15" s="24" t="str">
        <x:v>Bosnia &amp; Herzegovina</x:v>
      </x:c>
      <x:c r="C15" s="24" t="str">
        <x:v>EEZ</x:v>
      </x:c>
      <x:c r="D15" s="30" t="n">
        <x:v>2019</x:v>
      </x:c>
      <x:c r="E15" s="24" t="str">
        <x:v>Engraulis encrasicolus</x:v>
      </x:c>
      <x:c r="F15" s="24" t="str">
        <x:v>European anchovy</x:v>
      </x:c>
      <x:c r="G15" s="24" t="str">
        <x:v>Small pelagics (&lt;30 cm)</x:v>
      </x:c>
      <x:c r="H15" s="24" t="str">
        <x:v>Anchovies</x:v>
      </x:c>
      <x:c r="I15" s="31" t="n">
        <x:v>0.142994388</x:v>
      </x:c>
      <x:c r="J15" s="31" t="n">
        <x:v>0.142994388</x:v>
      </x:c>
      <x:c r="K15" s="31" t="n">
        <x:v>0</x:v>
      </x:c>
      <x:c r="L15" s="31" t="n">
        <x:v>0.089626125</x:v>
      </x:c>
      <x:c r="M15" s="31" t="n">
        <x:v>0.053368263</x:v>
      </x:c>
      <x:c r="N15" s="24" t="str">
        <x:v>engraulis encrasicolus</x:v>
      </x:c>
      <x:c r="O15" s="32" t="n">
        <x:v>3.11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Engraulis encrasicolus</x:v>
      </x:c>
      <x:c r="T15" s="32" t="n">
        <x:f>IF(O15="","",(1/'Metadata'!$B$5)^(O15-1))</x:f>
        <x:v>128.82495516931337</x:v>
      </x:c>
      <x:c r="U15" s="31" t="n">
        <x:f>IF(T15="","",I15*T15)</x:f>
        <x:v>18.4212456235634</x:v>
      </x:c>
    </x:row>
    <x:row r="16" ht="18" customHeight="1">
      <x:c r="A16" s="24" t="str">
        <x:v>EEZ_070</x:v>
      </x:c>
      <x:c r="B16" s="24" t="str">
        <x:v>Bosnia &amp; Herzegovina</x:v>
      </x:c>
      <x:c r="C16" s="24" t="str">
        <x:v>EEZ</x:v>
      </x:c>
      <x:c r="D16" s="30" t="n">
        <x:v>2019</x:v>
      </x:c>
      <x:c r="E16" s="24" t="str">
        <x:v>Boops boops</x:v>
      </x:c>
      <x:c r="F16" s="24" t="str">
        <x:v>Bogue</x:v>
      </x:c>
      <x:c r="G16" s="24" t="str">
        <x:v>Medium demersals (30 - 89 cm)</x:v>
      </x:c>
      <x:c r="H16" s="24" t="str">
        <x:v>Perch-likes</x:v>
      </x:c>
      <x:c r="I16" s="31" t="n">
        <x:v>0.110872461</x:v>
      </x:c>
      <x:c r="J16" s="31" t="n">
        <x:v>0.110872461</x:v>
      </x:c>
      <x:c r="K16" s="31" t="n">
        <x:v>0</x:v>
      </x:c>
      <x:c r="L16" s="31" t="n">
        <x:v>0.06949272000000001</x:v>
      </x:c>
      <x:c r="M16" s="31" t="n">
        <x:v>0.041379741</x:v>
      </x:c>
      <x:c r="N16" s="24" t="str">
        <x:v>boops boops</x:v>
      </x:c>
      <x:c r="O16" s="32" t="n">
        <x:v>2.79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Boops boops</x:v>
      </x:c>
      <x:c r="T16" s="32" t="n">
        <x:f>IF(O16="","",(1/'Metadata'!$B$5)^(O16-1))</x:f>
        <x:v>61.65950018614822</x:v>
      </x:c>
      <x:c r="U16" s="31" t="n">
        <x:f>IF(T16="","",I16*T16)</x:f>
        <x:v>6.836340529668211</x:v>
      </x:c>
    </x:row>
    <x:row r="17" ht="18" customHeight="1">
      <x:c r="A17" s="24" t="str">
        <x:v>EEZ_070</x:v>
      </x:c>
      <x:c r="B17" s="24" t="str">
        <x:v>Bosnia &amp; Herzegovina</x:v>
      </x:c>
      <x:c r="C17" s="24" t="str">
        <x:v>EEZ</x:v>
      </x:c>
      <x:c r="D17" s="30" t="n">
        <x:v>2019</x:v>
      </x:c>
      <x:c r="E17" s="24" t="str">
        <x:v>Nephrops norvegicus</x:v>
      </x:c>
      <x:c r="F17" s="24" t="str">
        <x:v>Norway lobster</x:v>
      </x:c>
      <x:c r="G17" s="24" t="str">
        <x:v>Lobsters, crabs</x:v>
      </x:c>
      <x:c r="H17" s="24" t="str">
        <x:v>Crustaceans</x:v>
      </x:c>
      <x:c r="I17" s="31" t="n">
        <x:v>0.104655313</x:v>
      </x:c>
      <x:c r="J17" s="31" t="n">
        <x:v>0.104655313</x:v>
      </x:c>
      <x:c r="K17" s="31" t="n">
        <x:v>0</x:v>
      </x:c>
      <x:c r="L17" s="31" t="n">
        <x:v>0.06559593200000001</x:v>
      </x:c>
      <x:c r="M17" s="31" t="n">
        <x:v>0.039059381</x:v>
      </x:c>
      <x:c r="N17" s="24" t="str">
        <x:v>nephrops norvegicus</x:v>
      </x:c>
      <x:c r="O17" s="32" t="n">
        <x:v>2.87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Nephrops norvegicus</x:v>
      </x:c>
      <x:c r="T17" s="32" t="n">
        <x:f>IF(O17="","",(1/'Metadata'!$B$5)^(O17-1))</x:f>
        <x:v>74.13102413009177</x:v>
      </x:c>
      <x:c r="U17" s="31" t="n">
        <x:f>IF(T17="","",I17*T17)</x:f>
        <x:v>7.758205533345308</x:v>
      </x:c>
    </x:row>
    <x:row r="18" ht="18" customHeight="1">
      <x:c r="A18" s="24" t="str">
        <x:v>EEZ_070</x:v>
      </x:c>
      <x:c r="B18" s="24" t="str">
        <x:v>Bosnia &amp; Herzegovina</x:v>
      </x:c>
      <x:c r="C18" s="24" t="str">
        <x:v>EEZ</x:v>
      </x:c>
      <x:c r="D18" s="30" t="n">
        <x:v>2019</x:v>
      </x:c>
      <x:c r="E18" s="24" t="str">
        <x:v>Mollusca</x:v>
      </x:c>
      <x:c r="F18" s="24" t="str">
        <x:v>Clams, seasnails, squids, octopuses</x:v>
      </x:c>
      <x:c r="G18" s="24" t="str">
        <x:v>Other demersal invertebrates</x:v>
      </x:c>
      <x:c r="H18" s="24" t="str">
        <x:v>Molluscs</x:v>
      </x:c>
      <x:c r="I18" s="31" t="n">
        <x:v>0.094984194</x:v>
      </x:c>
      <x:c r="J18" s="31" t="n">
        <x:v>0.094984194</x:v>
      </x:c>
      <x:c r="K18" s="31" t="n">
        <x:v>0</x:v>
      </x:c>
      <x:c r="L18" s="31" t="n">
        <x:v>0.059534261</x:v>
      </x:c>
      <x:c r="M18" s="31" t="n">
        <x:v>0.035449932999999996</x:v>
      </x:c>
      <x:c r="N18" s="24" t="str">
        <x:v>mollusca</x:v>
      </x:c>
      <x:c r="O18" s="32" t="n">
        <x:v>2.1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Mollusca</x:v>
      </x:c>
      <x:c r="T18" s="32" t="n">
        <x:f>IF(O18="","",(1/'Metadata'!$B$5)^(O18-1))</x:f>
        <x:v>12.589254117941675</x:v>
      </x:c>
      <x:c r="U18" s="31" t="n">
        <x:f>IF(T18="","",I18*T18)</x:f>
        <x:v>1.1957801554538707</x:v>
      </x:c>
    </x:row>
    <x:row r="19" ht="18" customHeight="1">
      <x:c r="A19" s="24" t="str">
        <x:v>EEZ_070</x:v>
      </x:c>
      <x:c r="B19" s="24" t="str">
        <x:v>Bosnia &amp; Herzegovina</x:v>
      </x:c>
      <x:c r="C19" s="24" t="str">
        <x:v>EEZ</x:v>
      </x:c>
      <x:c r="D19" s="30" t="n">
        <x:v>2019</x:v>
      </x:c>
      <x:c r="E19" s="24" t="str">
        <x:v>Mullus</x:v>
      </x:c>
      <x:c r="F19" s="24" t="str">
        <x:v>Atlantic goatfishes</x:v>
      </x:c>
      <x:c r="G19" s="24" t="str">
        <x:v>Medium demersals (30 - 89 cm)</x:v>
      </x:c>
      <x:c r="H19" s="24" t="str">
        <x:v>Perch-likes</x:v>
      </x:c>
      <x:c r="I19" s="31" t="n">
        <x:v>0.08738545800000001</x:v>
      </x:c>
      <x:c r="J19" s="31" t="n">
        <x:v>0.08738545800000001</x:v>
      </x:c>
      <x:c r="K19" s="31" t="n">
        <x:v>0</x:v>
      </x:c>
      <x:c r="L19" s="31" t="n">
        <x:v>0.054771519000000005</x:v>
      </x:c>
      <x:c r="M19" s="31" t="n">
        <x:v>0.032613939</x:v>
      </x:c>
      <x:c r="N19" s="24" t="str">
        <x:v>mullus</x:v>
      </x:c>
      <x:c r="O19" s="32" t="n">
        <x:v>3.29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Mullus</x:v>
      </x:c>
      <x:c r="T19" s="32" t="n">
        <x:f>IF(O19="","",(1/'Metadata'!$B$5)^(O19-1))</x:f>
        <x:v>194.98445997580455</x:v>
      </x:c>
      <x:c r="U19" s="31" t="n">
        <x:f>IF(T19="","",I19*T19)</x:f>
        <x:v>17.03880633786835</x:v>
      </x:c>
    </x:row>
    <x:row r="20" ht="18" customHeight="1">
      <x:c r="A20" s="24" t="str">
        <x:v>EEZ_070</x:v>
      </x:c>
      <x:c r="B20" s="24" t="str">
        <x:v>Bosnia &amp; Herzegovina</x:v>
      </x:c>
      <x:c r="C20" s="24" t="str">
        <x:v>EEZ</x:v>
      </x:c>
      <x:c r="D20" s="30" t="n">
        <x:v>2019</x:v>
      </x:c>
      <x:c r="E20" s="24" t="str">
        <x:v>Mugilidae</x:v>
      </x:c>
      <x:c r="F20" s="24" t="str">
        <x:v>Mullets, grey mullets</x:v>
      </x:c>
      <x:c r="G20" s="24" t="str">
        <x:v>Medium reef assoc. fish (30 - 89 cm)</x:v>
      </x:c>
      <x:c r="H20" s="24" t="str">
        <x:v>Perch-likes</x:v>
      </x:c>
      <x:c r="I20" s="31" t="n">
        <x:v>0.084087601</x:v>
      </x:c>
      <x:c r="J20" s="31" t="n">
        <x:v>0.077173342</x:v>
      </x:c>
      <x:c r="K20" s="31" t="n">
        <x:v>0.006914259</x:v>
      </x:c>
      <x:c r="L20" s="31" t="n">
        <x:v>0</x:v>
      </x:c>
      <x:c r="M20" s="31" t="n">
        <x:v>0.084087601</x:v>
      </x:c>
      <x:c r="N20" s="24" t="str">
        <x:v>mugilidae</x:v>
      </x:c>
      <x:c r="O20" s="32" t="n">
        <x:v>2.53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Mugilidae</x:v>
      </x:c>
      <x:c r="T20" s="32" t="n">
        <x:f>IF(O20="","",(1/'Metadata'!$B$5)^(O20-1))</x:f>
        <x:v>33.88441561392024</x:v>
      </x:c>
      <x:c r="U20" s="31" t="n">
        <x:f>IF(T20="","",I20*T20)</x:f>
        <x:v>2.8492592202614953</x:v>
      </x:c>
    </x:row>
    <x:row r="21" ht="18" customHeight="1">
      <x:c r="A21" s="24" t="str">
        <x:v>EEZ_070</x:v>
      </x:c>
      <x:c r="B21" s="24" t="str">
        <x:v>Bosnia &amp; Herzegovina</x:v>
      </x:c>
      <x:c r="C21" s="24" t="str">
        <x:v>EEZ</x:v>
      </x:c>
      <x:c r="D21" s="30" t="n">
        <x:v>2019</x:v>
      </x:c>
      <x:c r="E21" s="24" t="str">
        <x:v>Sardinella</x:v>
      </x:c>
      <x:c r="F21" s="24" t="str">
        <x:v>Sardinellas</x:v>
      </x:c>
      <x:c r="G21" s="24" t="str">
        <x:v>Small pelagics (&lt;30 cm)</x:v>
      </x:c>
      <x:c r="H21" s="24" t="str">
        <x:v>Herring-likes</x:v>
      </x:c>
      <x:c r="I21" s="31" t="n">
        <x:v>0.080609762</x:v>
      </x:c>
      <x:c r="J21" s="31" t="n">
        <x:v>0.080609762</x:v>
      </x:c>
      <x:c r="K21" s="31" t="n">
        <x:v>0</x:v>
      </x:c>
      <x:c r="L21" s="31" t="n">
        <x:v>0.046835644</x:v>
      </x:c>
      <x:c r="M21" s="31" t="n">
        <x:v>0.033774118000000006</x:v>
      </x:c>
      <x:c r="N21" s="24" t="str">
        <x:v>sardinella</x:v>
      </x:c>
      <x:c r="O21" s="32" t="n">
        <x:v>2.77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Sardinella</x:v>
      </x:c>
      <x:c r="T21" s="32" t="n">
        <x:f>IF(O21="","",(1/'Metadata'!$B$5)^(O21-1))</x:f>
        <x:v>58.8843655355589</x:v>
      </x:c>
      <x:c r="U21" s="31" t="n">
        <x:f>IF(T21="","",I21*T21)</x:f>
        <x:v>4.746654691342406</x:v>
      </x:c>
    </x:row>
    <x:row r="22" ht="18" customHeight="1">
      <x:c r="A22" s="24" t="str">
        <x:v>EEZ_070</x:v>
      </x:c>
      <x:c r="B22" s="24" t="str">
        <x:v>Bosnia &amp; Herzegovina</x:v>
      </x:c>
      <x:c r="C22" s="24" t="str">
        <x:v>EEZ</x:v>
      </x:c>
      <x:c r="D22" s="30" t="n">
        <x:v>2019</x:v>
      </x:c>
      <x:c r="E22" s="24" t="str">
        <x:v>Loliginidae</x:v>
      </x:c>
      <x:c r="F22" s="24" t="str">
        <x:v>Common pencil squids</x:v>
      </x:c>
      <x:c r="G22" s="24" t="str">
        <x:v>Cephalopods</x:v>
      </x:c>
      <x:c r="H22" s="24" t="str">
        <x:v>Other fishes &amp; inverts</x:v>
      </x:c>
      <x:c r="I22" s="31" t="n">
        <x:v>0.07391497300000001</x:v>
      </x:c>
      <x:c r="J22" s="31" t="n">
        <x:v>0.07391497300000001</x:v>
      </x:c>
      <x:c r="K22" s="31" t="n">
        <x:v>0</x:v>
      </x:c>
      <x:c r="L22" s="31" t="n">
        <x:v>0.046328479</x:v>
      </x:c>
      <x:c r="M22" s="31" t="n">
        <x:v>0.027586494</x:v>
      </x:c>
      <x:c r="N22" s="24" t="str">
        <x:v>loliginidae</x:v>
      </x:c>
      <x:c r="O22" s="32" t="n">
        <x:v>3.9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Loliginidae</x:v>
      </x:c>
      <x:c r="T22" s="32" t="n">
        <x:f>IF(O22="","",(1/'Metadata'!$B$5)^(O22-1))</x:f>
        <x:v>794.3282347242813</x:v>
      </x:c>
      <x:c r="U22" s="31" t="n">
        <x:f>IF(T22="","",I22*T22)</x:f>
        <x:v>58.71275002278292</x:v>
      </x:c>
    </x:row>
    <x:row r="23" ht="18" customHeight="1">
      <x:c r="A23" s="24" t="str">
        <x:v>EEZ_070</x:v>
      </x:c>
      <x:c r="B23" s="24" t="str">
        <x:v>Bosnia &amp; Herzegovina</x:v>
      </x:c>
      <x:c r="C23" s="24" t="str">
        <x:v>EEZ</x:v>
      </x:c>
      <x:c r="D23" s="30" t="n">
        <x:v>2019</x:v>
      </x:c>
      <x:c r="E23" s="24" t="str">
        <x:v>Squalidae</x:v>
      </x:c>
      <x:c r="F23" s="24" t="str">
        <x:v>Dogfish sharks</x:v>
      </x:c>
      <x:c r="G23" s="24" t="str">
        <x:v>Large sharks (&gt;=90 cm)</x:v>
      </x:c>
      <x:c r="H23" s="24" t="str">
        <x:v>Sharks &amp; rays</x:v>
      </x:c>
      <x:c r="I23" s="31" t="n">
        <x:v>0.07115179699999999</x:v>
      </x:c>
      <x:c r="J23" s="31" t="n">
        <x:v>0.07115179699999999</x:v>
      </x:c>
      <x:c r="K23" s="31" t="n">
        <x:v>0</x:v>
      </x:c>
      <x:c r="L23" s="31" t="n">
        <x:v>0.044596574</x:v>
      </x:c>
      <x:c r="M23" s="31" t="n">
        <x:v>0.026555223</x:v>
      </x:c>
      <x:c r="N23" s="24" t="str">
        <x:v>squalidae</x:v>
      </x:c>
      <x:c r="O23" s="32" t="n">
        <x:v>4.23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Squalidae</x:v>
      </x:c>
      <x:c r="T23" s="32" t="n">
        <x:f>IF(O23="","",(1/'Metadata'!$B$5)^(O23-1))</x:f>
        <x:v>1698.243652461746</x:v>
      </x:c>
      <x:c r="U23" s="31" t="n">
        <x:f>IF(T23="","",I23*T23)</x:f>
        <x:v>120.83308761649668</x:v>
      </x:c>
    </x:row>
    <x:row r="24" ht="18" customHeight="1">
      <x:c r="A24" s="24" t="str">
        <x:v>EEZ_070</x:v>
      </x:c>
      <x:c r="B24" s="24" t="str">
        <x:v>Bosnia &amp; Herzegovina</x:v>
      </x:c>
      <x:c r="C24" s="24" t="str">
        <x:v>EEZ</x:v>
      </x:c>
      <x:c r="D24" s="30" t="n">
        <x:v>2019</x:v>
      </x:c>
      <x:c r="E24" s="24" t="str">
        <x:v>Scorpaenidae</x:v>
      </x:c>
      <x:c r="F24" s="24" t="str">
        <x:v>Scorpionfishes, rockfishes</x:v>
      </x:c>
      <x:c r="G24" s="24" t="str">
        <x:v>Large reef assoc. fish (&gt;=90 cm)</x:v>
      </x:c>
      <x:c r="H24" s="24" t="str">
        <x:v>Scorpionfishes</x:v>
      </x:c>
      <x:c r="I24" s="31" t="n">
        <x:v>0.057494260000000005</x:v>
      </x:c>
      <x:c r="J24" s="31" t="n">
        <x:v>0.055553042000000004</x:v>
      </x:c>
      <x:c r="K24" s="31" t="n">
        <x:v>0.001941218</x:v>
      </x:c>
      <x:c r="L24" s="31" t="n">
        <x:v>0.020999358</x:v>
      </x:c>
      <x:c r="M24" s="31" t="n">
        <x:v>0.036494902</x:v>
      </x:c>
      <x:c r="N24" s="24" t="str">
        <x:v>scorpaenidae</x:v>
      </x:c>
      <x:c r="O24" s="32" t="n">
        <x:v>3.92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Scorpaenidae</x:v>
      </x:c>
      <x:c r="T24" s="32" t="n">
        <x:f>IF(O24="","",(1/'Metadata'!$B$5)^(O24-1))</x:f>
        <x:v>831.7637711026708</x:v>
      </x:c>
      <x:c r="U24" s="31" t="n">
        <x:f>IF(T24="","",I24*T24)</x:f>
        <x:v>47.82164251435745</x:v>
      </x:c>
    </x:row>
    <x:row r="25" ht="18" customHeight="1">
      <x:c r="A25" s="24" t="str">
        <x:v>EEZ_070</x:v>
      </x:c>
      <x:c r="B25" s="24" t="str">
        <x:v>Bosnia &amp; Herzegovina</x:v>
      </x:c>
      <x:c r="C25" s="24" t="str">
        <x:v>EEZ</x:v>
      </x:c>
      <x:c r="D25" s="30" t="n">
        <x:v>2019</x:v>
      </x:c>
      <x:c r="E25" s="24" t="str">
        <x:v>Myliobatidae</x:v>
      </x:c>
      <x:c r="F25" s="24" t="str">
        <x:v>Eagle/manta rays</x:v>
      </x:c>
      <x:c r="G25" s="24" t="str">
        <x:v>Large rays (&gt;=90 cm)</x:v>
      </x:c>
      <x:c r="H25" s="24" t="str">
        <x:v>Sharks &amp; rays</x:v>
      </x:c>
      <x:c r="I25" s="31" t="n">
        <x:v>0.046628604</x:v>
      </x:c>
      <x:c r="J25" s="31" t="n">
        <x:v>0.046628604</x:v>
      </x:c>
      <x:c r="K25" s="31" t="n">
        <x:v>0</x:v>
      </x:c>
      <x:c r="L25" s="31" t="n">
        <x:v>0.029225908999999998</x:v>
      </x:c>
      <x:c r="M25" s="31" t="n">
        <x:v>0.017402695</x:v>
      </x:c>
      <x:c r="N25" s="24" t="str">
        <x:v>myliobatidae</x:v>
      </x:c>
      <x:c r="O25" s="32" t="n">
        <x:v>3.36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Myliobatidae</x:v>
      </x:c>
      <x:c r="T25" s="32" t="n">
        <x:f>IF(O25="","",(1/'Metadata'!$B$5)^(O25-1))</x:f>
        <x:v>229.08676527677724</x:v>
      </x:c>
      <x:c r="U25" s="31" t="n">
        <x:f>IF(T25="","",I25*T25)</x:f>
        <x:v>10.681996059731796</x:v>
      </x:c>
    </x:row>
    <x:row r="26" ht="18" customHeight="1">
      <x:c r="A26" s="24" t="str">
        <x:v>EEZ_070</x:v>
      </x:c>
      <x:c r="B26" s="24" t="str">
        <x:v>Bosnia &amp; Herzegovina</x:v>
      </x:c>
      <x:c r="C26" s="24" t="str">
        <x:v>EEZ</x:v>
      </x:c>
      <x:c r="D26" s="30" t="n">
        <x:v>2019</x:v>
      </x:c>
      <x:c r="E26" s="24" t="str">
        <x:v>Octopus vulgaris</x:v>
      </x:c>
      <x:c r="F26" s="24" t="str">
        <x:v>Common octopus</x:v>
      </x:c>
      <x:c r="G26" s="24" t="str">
        <x:v>Cephalopods</x:v>
      </x:c>
      <x:c r="H26" s="24" t="str">
        <x:v>Other fishes &amp; inverts</x:v>
      </x:c>
      <x:c r="I26" s="31" t="n">
        <x:v>0.041793046</x:v>
      </x:c>
      <x:c r="J26" s="31" t="n">
        <x:v>0.041793046</x:v>
      </x:c>
      <x:c r="K26" s="31" t="n">
        <x:v>0</x:v>
      </x:c>
      <x:c r="L26" s="31" t="n">
        <x:v>0.026195075</x:v>
      </x:c>
      <x:c r="M26" s="31" t="n">
        <x:v>0.015597971</x:v>
      </x:c>
      <x:c r="N26" s="24" t="str">
        <x:v>octopus vulgaris</x:v>
      </x:c>
      <x:c r="O26" s="32" t="n">
        <x:v>3.6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Octopus vulgaris</x:v>
      </x:c>
      <x:c r="T26" s="32" t="n">
        <x:f>IF(O26="","",(1/'Metadata'!$B$5)^(O26-1))</x:f>
        <x:v>398.1071705534973</x:v>
      </x:c>
      <x:c r="U26" s="31" t="n">
        <x:f>IF(T26="","",I26*T26)</x:f>
        <x:v>16.63811129187216</x:v>
      </x:c>
    </x:row>
    <x:row r="27" ht="18" customHeight="1">
      <x:c r="A27" s="24" t="str">
        <x:v>EEZ_070</x:v>
      </x:c>
      <x:c r="B27" s="24" t="str">
        <x:v>Bosnia &amp; Herzegovina</x:v>
      </x:c>
      <x:c r="C27" s="24" t="str">
        <x:v>EEZ</x:v>
      </x:c>
      <x:c r="D27" s="30" t="n">
        <x:v>2019</x:v>
      </x:c>
      <x:c r="E27" s="24" t="str">
        <x:v>Sarpa salpa</x:v>
      </x:c>
      <x:c r="F27" s="24" t="str">
        <x:v>Salema</x:v>
      </x:c>
      <x:c r="G27" s="24" t="str">
        <x:v>Medium benthopelagics (30 - 89 cm)</x:v>
      </x:c>
      <x:c r="H27" s="24" t="str">
        <x:v>Perch-likes</x:v>
      </x:c>
      <x:c r="I27" s="31" t="n">
        <x:v>0.040756854</x:v>
      </x:c>
      <x:c r="J27" s="31" t="n">
        <x:v>0.040756854</x:v>
      </x:c>
      <x:c r="K27" s="31" t="n">
        <x:v>0</x:v>
      </x:c>
      <x:c r="L27" s="31" t="n">
        <x:v>0.02554561</x:v>
      </x:c>
      <x:c r="M27" s="31" t="n">
        <x:v>0.015211244</x:v>
      </x:c>
      <x:c r="N27" s="24" t="str">
        <x:v>sarpa salpa</x:v>
      </x:c>
      <x:c r="O27" s="32" t="n">
        <x:v>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Sarpa salpa</x:v>
      </x:c>
      <x:c r="T27" s="32" t="n">
        <x:f>IF(O27="","",(1/'Metadata'!$B$5)^(O27-1))</x:f>
        <x:v>10</x:v>
      </x:c>
      <x:c r="U27" s="31" t="n">
        <x:f>IF(T27="","",I27*T27)</x:f>
        <x:v>0.40756854000000003</x:v>
      </x:c>
    </x:row>
    <x:row r="28" ht="18" customHeight="1">
      <x:c r="A28" s="24" t="str">
        <x:v>EEZ_070</x:v>
      </x:c>
      <x:c r="B28" s="24" t="str">
        <x:v>Bosnia &amp; Herzegovina</x:v>
      </x:c>
      <x:c r="C28" s="24" t="str">
        <x:v>EEZ</x:v>
      </x:c>
      <x:c r="D28" s="30" t="n">
        <x:v>2019</x:v>
      </x:c>
      <x:c r="E28" s="24" t="str">
        <x:v>Oblada melanurus</x:v>
      </x:c>
      <x:c r="F28" s="24" t="str">
        <x:v>Saddled seabream</x:v>
      </x:c>
      <x:c r="G28" s="24" t="str">
        <x:v>Small benthopelagics (&lt;30 cm)</x:v>
      </x:c>
      <x:c r="H28" s="24" t="str">
        <x:v>Perch-likes</x:v>
      </x:c>
      <x:c r="I28" s="31" t="n">
        <x:v>0.037302883</x:v>
      </x:c>
      <x:c r="J28" s="31" t="n">
        <x:v>0.037302883</x:v>
      </x:c>
      <x:c r="K28" s="31" t="n">
        <x:v>0</x:v>
      </x:c>
      <x:c r="L28" s="31" t="n">
        <x:v>0.023380727</x:v>
      </x:c>
      <x:c r="M28" s="31" t="n">
        <x:v>0.013922156</x:v>
      </x:c>
      <x:c r="N28" s="24" t="str">
        <x:v>oblada melanurus</x:v>
      </x:c>
      <x:c r="O28" s="32" t="n">
        <x:v>3.38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Oblada melanurus</x:v>
      </x:c>
      <x:c r="T28" s="32" t="n">
        <x:f>IF(O28="","",(1/'Metadata'!$B$5)^(O28-1))</x:f>
        <x:v>239.88329190194898</x:v>
      </x:c>
      <x:c r="U28" s="31" t="n">
        <x:f>IF(T28="","",I28*T28)</x:f>
        <x:v>8.94833837147325</x:v>
      </x:c>
    </x:row>
    <x:row r="29" ht="18" customHeight="1">
      <x:c r="A29" s="24" t="str">
        <x:v>EEZ_070</x:v>
      </x:c>
      <x:c r="B29" s="24" t="str">
        <x:v>Bosnia &amp; Herzegovina</x:v>
      </x:c>
      <x:c r="C29" s="24" t="str">
        <x:v>EEZ</x:v>
      </x:c>
      <x:c r="D29" s="30" t="n">
        <x:v>2019</x:v>
      </x:c>
      <x:c r="E29" s="24" t="str">
        <x:v>Atherinidae</x:v>
      </x:c>
      <x:c r="F29" s="24" t="str">
        <x:v>Silversides</x:v>
      </x:c>
      <x:c r="G29" s="24" t="str">
        <x:v>Small pelagics (&lt;30 cm)</x:v>
      </x:c>
      <x:c r="H29" s="24" t="str">
        <x:v>Other fishes &amp; inverts</x:v>
      </x:c>
      <x:c r="I29" s="31" t="n">
        <x:v>0.035230501</x:v>
      </x:c>
      <x:c r="J29" s="31" t="n">
        <x:v>0.035230501</x:v>
      </x:c>
      <x:c r="K29" s="31" t="n">
        <x:v>0</x:v>
      </x:c>
      <x:c r="L29" s="31" t="n">
        <x:v>0.022081798</x:v>
      </x:c>
      <x:c r="M29" s="31" t="n">
        <x:v>0.013148703</x:v>
      </x:c>
      <x:c r="N29" s="24" t="str">
        <x:v>atherinidae</x:v>
      </x:c>
      <x:c r="O29" s="32" t="n">
        <x:v>3.2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Atherinidae</x:v>
      </x:c>
      <x:c r="T29" s="32" t="n">
        <x:f>IF(O29="","",(1/'Metadata'!$B$5)^(O29-1))</x:f>
        <x:v>158.48931924611142</x:v>
      </x:c>
      <x:c r="U29" s="31" t="n">
        <x:f>IF(T29="","",I29*T29)</x:f>
        <x:v>5.5836581201894475</x:v>
      </x:c>
    </x:row>
    <x:row r="30" ht="18" customHeight="1">
      <x:c r="A30" s="24" t="str">
        <x:v>EEZ_070</x:v>
      </x:c>
      <x:c r="B30" s="24" t="str">
        <x:v>Bosnia &amp; Herzegovina</x:v>
      </x:c>
      <x:c r="C30" s="24" t="str">
        <x:v>EEZ</x:v>
      </x:c>
      <x:c r="D30" s="30" t="n">
        <x:v>2019</x:v>
      </x:c>
      <x:c r="E30" s="24" t="str">
        <x:v>Pleuronectiformes</x:v>
      </x:c>
      <x:c r="F30" s="24" t="str">
        <x:v>Flatfishes</x:v>
      </x:c>
      <x:c r="G30" s="24" t="str">
        <x:v>Small to medium flatfishes (&lt;90 cm)</x:v>
      </x:c>
      <x:c r="H30" s="24" t="str">
        <x:v>Flatfishes</x:v>
      </x:c>
      <x:c r="I30" s="31" t="n">
        <x:v>0.034194309</x:v>
      </x:c>
      <x:c r="J30" s="31" t="n">
        <x:v>0.034194309</x:v>
      </x:c>
      <x:c r="K30" s="31" t="n">
        <x:v>0</x:v>
      </x:c>
      <x:c r="L30" s="31" t="n">
        <x:v>0.021432332999999998</x:v>
      </x:c>
      <x:c r="M30" s="31" t="n">
        <x:v>0.012761976</x:v>
      </x:c>
      <x:c r="N30" s="24" t="str">
        <x:v>pleuronectiformes</x:v>
      </x:c>
      <x:c r="O30" s="32" t="n">
        <x:v>3.57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Pleuronectiformes</x:v>
      </x:c>
      <x:c r="T30" s="32" t="n">
        <x:f>IF(O30="","",(1/'Metadata'!$B$5)^(O30-1))</x:f>
        <x:v>371.5352290971724</x:v>
      </x:c>
      <x:c r="U30" s="31" t="n">
        <x:f>IF(T30="","",I30*T30)</x:f>
        <x:v>12.704390428134504</x:v>
      </x:c>
    </x:row>
    <x:row r="31" ht="18" customHeight="1">
      <x:c r="A31" s="24" t="str">
        <x:v>EEZ_070</x:v>
      </x:c>
      <x:c r="B31" s="24" t="str">
        <x:v>Bosnia &amp; Herzegovina</x:v>
      </x:c>
      <x:c r="C31" s="24" t="str">
        <x:v>EEZ</x:v>
      </x:c>
      <x:c r="D31" s="30" t="n">
        <x:v>2019</x:v>
      </x:c>
      <x:c r="E31" s="24" t="str">
        <x:v>Sarda sarda</x:v>
      </x:c>
      <x:c r="F31" s="24" t="str">
        <x:v>Atlantic bonito</x:v>
      </x:c>
      <x:c r="G31" s="24" t="str">
        <x:v>Medium pelagics (30 - 89 cm)</x:v>
      </x:c>
      <x:c r="H31" s="24" t="str">
        <x:v>Tuna &amp; billfishes</x:v>
      </x:c>
      <x:c r="I31" s="31" t="n">
        <x:v>0.032467325</x:v>
      </x:c>
      <x:c r="J31" s="31" t="n">
        <x:v>0.032467325</x:v>
      </x:c>
      <x:c r="K31" s="31" t="n">
        <x:v>0</x:v>
      </x:c>
      <x:c r="L31" s="31" t="n">
        <x:v>0.020349893</x:v>
      </x:c>
      <x:c r="M31" s="31" t="n">
        <x:v>0.012117432000000001</x:v>
      </x:c>
      <x:c r="N31" s="24" t="str">
        <x:v>sarda sarda</x:v>
      </x:c>
      <x:c r="O31" s="32" t="n">
        <x:v>4.5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Sarda sarda</x:v>
      </x:c>
      <x:c r="T31" s="32" t="n">
        <x:f>IF(O31="","",(1/'Metadata'!$B$5)^(O31-1))</x:f>
        <x:v>3162.2776601683795</x:v>
      </x:c>
      <x:c r="U31" s="31" t="n">
        <x:f>IF(T31="","",I31*T31)</x:f>
        <x:v>102.67069653292633</x:v>
      </x:c>
    </x:row>
    <x:row r="32" ht="18" customHeight="1">
      <x:c r="A32" s="24" t="str">
        <x:v>EEZ_070</x:v>
      </x:c>
      <x:c r="B32" s="24" t="str">
        <x:v>Bosnia &amp; Herzegovina</x:v>
      </x:c>
      <x:c r="C32" s="24" t="str">
        <x:v>EEZ</x:v>
      </x:c>
      <x:c r="D32" s="30" t="n">
        <x:v>2019</x:v>
      </x:c>
      <x:c r="E32" s="24" t="str">
        <x:v>Mugil cephalus</x:v>
      </x:c>
      <x:c r="F32" s="24" t="str">
        <x:v>Flathead grey mullet</x:v>
      </x:c>
      <x:c r="G32" s="24" t="str">
        <x:v>Large benthopelagics (&gt;=90 cm)</x:v>
      </x:c>
      <x:c r="H32" s="24" t="str">
        <x:v>Perch-likes</x:v>
      </x:c>
      <x:c r="I32" s="31" t="n">
        <x:v>0.032121927</x:v>
      </x:c>
      <x:c r="J32" s="31" t="n">
        <x:v>0.032121927</x:v>
      </x:c>
      <x:c r="K32" s="31" t="n">
        <x:v>0</x:v>
      </x:c>
      <x:c r="L32" s="31" t="n">
        <x:v>0.020133404</x:v>
      </x:c>
      <x:c r="M32" s="31" t="n">
        <x:v>0.011988523000000001</x:v>
      </x:c>
      <x:c r="N32" s="24" t="str">
        <x:v>mugil cephalus</x:v>
      </x:c>
      <x:c r="O32" s="32" t="n">
        <x:v>2.14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Mugil cephalus</x:v>
      </x:c>
      <x:c r="T32" s="32" t="n">
        <x:f>IF(O32="","",(1/'Metadata'!$B$5)^(O32-1))</x:f>
        <x:v>13.803842646028853</x:v>
      </x:c>
      <x:c r="U32" s="31" t="n">
        <x:f>IF(T32="","",I32*T32)</x:f>
        <x:v>0.4434060257952257</x:v>
      </x:c>
    </x:row>
    <x:row r="33" ht="18" customHeight="1">
      <x:c r="A33" s="24" t="str">
        <x:v>EEZ_070</x:v>
      </x:c>
      <x:c r="B33" s="24" t="str">
        <x:v>Bosnia &amp; Herzegovina</x:v>
      </x:c>
      <x:c r="C33" s="24" t="str">
        <x:v>EEZ</x:v>
      </x:c>
      <x:c r="D33" s="30" t="n">
        <x:v>2019</x:v>
      </x:c>
      <x:c r="E33" s="24" t="str">
        <x:v>Scomber</x:v>
      </x:c>
      <x:c r="F33" s="24" t="str">
        <x:v>Chub mackerels</x:v>
      </x:c>
      <x:c r="G33" s="24" t="str">
        <x:v>Medium pelagics (30 - 89 cm)</x:v>
      </x:c>
      <x:c r="H33" s="24" t="str">
        <x:v>Perch-likes</x:v>
      </x:c>
      <x:c r="I33" s="31" t="n">
        <x:v>0.03177653</x:v>
      </x:c>
      <x:c r="J33" s="31" t="n">
        <x:v>0.03177653</x:v>
      </x:c>
      <x:c r="K33" s="31" t="n">
        <x:v>0</x:v>
      </x:c>
      <x:c r="L33" s="31" t="n">
        <x:v>0.019916916</x:v>
      </x:c>
      <x:c r="M33" s="31" t="n">
        <x:v>0.011859614000000001</x:v>
      </x:c>
      <x:c r="N33" s="24" t="str">
        <x:v>scomber</x:v>
      </x:c>
      <x:c r="O33" s="32" t="n">
        <x:v>3.65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Scomber</x:v>
      </x:c>
      <x:c r="T33" s="32" t="n">
        <x:f>IF(O33="","",(1/'Metadata'!$B$5)^(O33-1))</x:f>
        <x:v>446.683592150963</x:v>
      </x:c>
      <x:c r="U33" s="31" t="n">
        <x:f>IF(T33="","",I33*T33)</x:f>
        <x:v>14.19405456649284</x:v>
      </x:c>
    </x:row>
    <x:row r="34" ht="18" customHeight="1">
      <x:c r="A34" s="24" t="str">
        <x:v>EEZ_070</x:v>
      </x:c>
      <x:c r="B34" s="24" t="str">
        <x:v>Bosnia &amp; Herzegovina</x:v>
      </x:c>
      <x:c r="C34" s="24" t="str">
        <x:v>EEZ</x:v>
      </x:c>
      <x:c r="D34" s="30" t="n">
        <x:v>2019</x:v>
      </x:c>
      <x:c r="E34" s="24" t="str">
        <x:v>Conger conger</x:v>
      </x:c>
      <x:c r="F34" s="24" t="str">
        <x:v>European conger</x:v>
      </x:c>
      <x:c r="G34" s="24" t="str">
        <x:v>Large demersals (&gt;=90 cm)</x:v>
      </x:c>
      <x:c r="H34" s="24" t="str">
        <x:v>Other fishes &amp; inverts</x:v>
      </x:c>
      <x:c r="I34" s="31" t="n">
        <x:v>0.030740341</x:v>
      </x:c>
      <x:c r="J34" s="31" t="n">
        <x:v>0.030740341</x:v>
      </x:c>
      <x:c r="K34" s="31" t="n">
        <x:v>0</x:v>
      </x:c>
      <x:c r="L34" s="31" t="n">
        <x:v>0.019267453</x:v>
      </x:c>
      <x:c r="M34" s="31" t="n">
        <x:v>0.011472888</x:v>
      </x:c>
      <x:c r="N34" s="24" t="str">
        <x:v>conger conger</x:v>
      </x:c>
      <x:c r="O34" s="32" t="n">
        <x:v>4.31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Conger conger</x:v>
      </x:c>
      <x:c r="T34" s="32" t="n">
        <x:f>IF(O34="","",(1/'Metadata'!$B$5)^(O34-1))</x:f>
        <x:v>2041.7379446695275</x:v>
      </x:c>
      <x:c r="U34" s="31" t="n">
        <x:f>IF(T34="","",I34*T34)</x:f>
        <x:v>62.76372065178041</x:v>
      </x:c>
    </x:row>
    <x:row r="35" ht="18" customHeight="1">
      <x:c r="A35" s="24" t="str">
        <x:v>EEZ_070</x:v>
      </x:c>
      <x:c r="B35" s="24" t="str">
        <x:v>Bosnia &amp; Herzegovina</x:v>
      </x:c>
      <x:c r="C35" s="24" t="str">
        <x:v>EEZ</x:v>
      </x:c>
      <x:c r="D35" s="30" t="n">
        <x:v>2019</x:v>
      </x:c>
      <x:c r="E35" s="24" t="str">
        <x:v>Dentex dentex</x:v>
      </x:c>
      <x:c r="F35" s="24" t="str">
        <x:v>Common dentex</x:v>
      </x:c>
      <x:c r="G35" s="24" t="str">
        <x:v>Large benthopelagics (&gt;=90 cm)</x:v>
      </x:c>
      <x:c r="H35" s="24" t="str">
        <x:v>Perch-likes</x:v>
      </x:c>
      <x:c r="I35" s="31" t="n">
        <x:v>0.024177795000000002</x:v>
      </x:c>
      <x:c r="J35" s="31" t="n">
        <x:v>0.024177795000000002</x:v>
      </x:c>
      <x:c r="K35" s="31" t="n">
        <x:v>0</x:v>
      </x:c>
      <x:c r="L35" s="31" t="n">
        <x:v>0.015154176</x:v>
      </x:c>
      <x:c r="M35" s="31" t="n">
        <x:v>0.009023619</x:v>
      </x:c>
      <x:c r="N35" s="24" t="str">
        <x:v>dentex dentex</x:v>
      </x:c>
      <x:c r="O35" s="32" t="n">
        <x:v>4.53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Dentex dentex</x:v>
      </x:c>
      <x:c r="T35" s="32" t="n">
        <x:f>IF(O35="","",(1/'Metadata'!$B$5)^(O35-1))</x:f>
        <x:v>3388.4415613920273</x:v>
      </x:c>
      <x:c r="U35" s="31" t="n">
        <x:f>IF(T35="","",I35*T35)</x:f>
        <x:v>81.92504544081636</x:v>
      </x:c>
    </x:row>
    <x:row r="36" ht="18" customHeight="1">
      <x:c r="A36" s="24" t="str">
        <x:v>EEZ_070</x:v>
      </x:c>
      <x:c r="B36" s="24" t="str">
        <x:v>Bosnia &amp; Herzegovina</x:v>
      </x:c>
      <x:c r="C36" s="24" t="str">
        <x:v>EEZ</x:v>
      </x:c>
      <x:c r="D36" s="30" t="n">
        <x:v>2019</x:v>
      </x:c>
      <x:c r="E36" s="24" t="str">
        <x:v>Auxis</x:v>
      </x:c>
      <x:c r="F36" s="24" t="str">
        <x:v>Bullet and frigate tunas</x:v>
      </x:c>
      <x:c r="G36" s="24" t="str">
        <x:v>Medium pelagics (30 - 89 cm)</x:v>
      </x:c>
      <x:c r="H36" s="24" t="str">
        <x:v>Tuna &amp; billfishes</x:v>
      </x:c>
      <x:c r="I36" s="31" t="n">
        <x:v>0.012779691999999999</x:v>
      </x:c>
      <x:c r="J36" s="31" t="n">
        <x:v>0.012779691999999999</x:v>
      </x:c>
      <x:c r="K36" s="31" t="n">
        <x:v>0</x:v>
      </x:c>
      <x:c r="L36" s="31" t="n">
        <x:v>0.008010065</x:v>
      </x:c>
      <x:c r="M36" s="31" t="n">
        <x:v>0.004769627</x:v>
      </x:c>
      <x:c r="N36" s="24" t="str">
        <x:v>auxis</x:v>
      </x:c>
      <x:c r="O36" s="32" t="n">
        <x:v>4.24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Auxis</x:v>
      </x:c>
      <x:c r="T36" s="32" t="n">
        <x:f>IF(O36="","",(1/'Metadata'!$B$5)^(O36-1))</x:f>
        <x:v>1737.8008287493763</x:v>
      </x:c>
      <x:c r="U36" s="31" t="n">
        <x:f>IF(T36="","",I36*T36)</x:f>
        <x:v>22.20855934876177</x:v>
      </x:c>
    </x:row>
    <x:row r="37" ht="18" customHeight="1">
      <x:c r="A37" s="24" t="str">
        <x:v>EEZ_070</x:v>
      </x:c>
      <x:c r="B37" s="24" t="str">
        <x:v>Bosnia &amp; Herzegovina</x:v>
      </x:c>
      <x:c r="C37" s="24" t="str">
        <x:v>EEZ</x:v>
      </x:c>
      <x:c r="D37" s="30" t="n">
        <x:v>2019</x:v>
      </x:c>
      <x:c r="E37" s="24" t="str">
        <x:v>Maja squinado</x:v>
      </x:c>
      <x:c r="F37" s="24" t="str">
        <x:v>Spinous spider crab</x:v>
      </x:c>
      <x:c r="G37" s="24" t="str">
        <x:v>Lobsters, crabs</x:v>
      </x:c>
      <x:c r="H37" s="24" t="str">
        <x:v>Crustaceans</x:v>
      </x:c>
      <x:c r="I37" s="31" t="n">
        <x:v>0.010016516</x:v>
      </x:c>
      <x:c r="J37" s="31" t="n">
        <x:v>0.010016516</x:v>
      </x:c>
      <x:c r="K37" s="31" t="n">
        <x:v>0</x:v>
      </x:c>
      <x:c r="L37" s="31" t="n">
        <x:v>0.006278159</x:v>
      </x:c>
      <x:c r="M37" s="31" t="n">
        <x:v>0.003738357</x:v>
      </x:c>
      <x:c r="N37" s="24" t="str">
        <x:v>maja squinado</x:v>
      </x:c>
      <x:c r="O37" s="32" t="n">
        <x:v>2.94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Maja squinado</x:v>
      </x:c>
      <x:c r="T37" s="32" t="n">
        <x:f>IF(O37="","",(1/'Metadata'!$B$5)^(O37-1))</x:f>
        <x:v>87.09635899560806</x:v>
      </x:c>
      <x:c r="U37" s="31" t="n">
        <x:f>IF(T37="","",I37*T37)</x:f>
        <x:v>0.872402073421252</x:v>
      </x:c>
    </x:row>
    <x:row r="38" ht="18" customHeight="1">
      <x:c r="A38" s="24" t="str">
        <x:v>EEZ_070</x:v>
      </x:c>
      <x:c r="B38" s="24" t="str">
        <x:v>Bosnia &amp; Herzegovina</x:v>
      </x:c>
      <x:c r="C38" s="24" t="str">
        <x:v>EEZ</x:v>
      </x:c>
      <x:c r="D38" s="30" t="n">
        <x:v>2019</x:v>
      </x:c>
      <x:c r="E38" s="24" t="str">
        <x:v>Palinuridae</x:v>
      </x:c>
      <x:c r="F38" s="24" t="str">
        <x:v>Spiny lobsters</x:v>
      </x:c>
      <x:c r="G38" s="24" t="str">
        <x:v>Lobsters, crabs</x:v>
      </x:c>
      <x:c r="H38" s="24" t="str">
        <x:v>Crustaceans</x:v>
      </x:c>
      <x:c r="I38" s="31" t="n">
        <x:v>0.009932744</x:v>
      </x:c>
      <x:c r="J38" s="31" t="n">
        <x:v>0.00895762</x:v>
      </x:c>
      <x:c r="K38" s="31" t="n">
        <x:v>0.000975124</x:v>
      </x:c>
      <x:c r="L38" s="31" t="n">
        <x:v>0</x:v>
      </x:c>
      <x:c r="M38" s="31" t="n">
        <x:v>0.009932744</x:v>
      </x:c>
      <x:c r="N38" s="24" t="str">
        <x:v>palinuridae</x:v>
      </x:c>
      <x:c r="O38" s="32" t="n">
        <x:v>3.14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Palinuridae</x:v>
      </x:c>
      <x:c r="T38" s="32" t="n">
        <x:f>IF(O38="","",(1/'Metadata'!$B$5)^(O38-1))</x:f>
        <x:v>138.03842646028852</x:v>
      </x:c>
      <x:c r="U38" s="31" t="n">
        <x:f>IF(T38="","",I38*T38)</x:f>
        <x:v>1.371100352192872</x:v>
      </x:c>
    </x:row>
    <x:row r="39" ht="18" customHeight="1">
      <x:c r="A39" s="24" t="str">
        <x:v>EEZ_070</x:v>
      </x:c>
      <x:c r="B39" s="24" t="str">
        <x:v>Bosnia &amp; Herzegovina</x:v>
      </x:c>
      <x:c r="C39" s="24" t="str">
        <x:v>EEZ</x:v>
      </x:c>
      <x:c r="D39" s="30" t="n">
        <x:v>2019</x:v>
      </x:c>
      <x:c r="E39" s="24" t="str">
        <x:v>Belone belone</x:v>
      </x:c>
      <x:c r="F39" s="24" t="str">
        <x:v>Garfish</x:v>
      </x:c>
      <x:c r="G39" s="24" t="str">
        <x:v>Medium pelagics (30 - 89 cm)</x:v>
      </x:c>
      <x:c r="H39" s="24" t="str">
        <x:v>Other fishes &amp; inverts</x:v>
      </x:c>
      <x:c r="I39" s="31" t="n">
        <x:v>0.008980324</x:v>
      </x:c>
      <x:c r="J39" s="31" t="n">
        <x:v>0.008980324</x:v>
      </x:c>
      <x:c r="K39" s="31" t="n">
        <x:v>0</x:v>
      </x:c>
      <x:c r="L39" s="31" t="n">
        <x:v>0.005628694</x:v>
      </x:c>
      <x:c r="M39" s="31" t="n">
        <x:v>0.00335163</x:v>
      </x:c>
      <x:c r="N39" s="24" t="str">
        <x:v>belone belone</x:v>
      </x:c>
      <x:c r="O39" s="32" t="n">
        <x:v>4.16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Belone belone</x:v>
      </x:c>
      <x:c r="T39" s="32" t="n">
        <x:f>IF(O39="","",(1/'Metadata'!$B$5)^(O39-1))</x:f>
        <x:v>1445.439770745928</x:v>
      </x:c>
      <x:c r="U39" s="31" t="n">
        <x:f>IF(T39="","",I39*T39)</x:f>
        <x:v>12.980517463784153</x:v>
      </x:c>
    </x:row>
    <x:row r="40" ht="18" customHeight="1">
      <x:c r="A40" s="24" t="str">
        <x:v>EEZ_070</x:v>
      </x:c>
      <x:c r="B40" s="24" t="str">
        <x:v>Bosnia &amp; Herzegovina</x:v>
      </x:c>
      <x:c r="C40" s="24" t="str">
        <x:v>EEZ</x:v>
      </x:c>
      <x:c r="D40" s="30" t="n">
        <x:v>2019</x:v>
      </x:c>
      <x:c r="E40" s="24" t="str">
        <x:v>Spondyliosoma cantharus</x:v>
      </x:c>
      <x:c r="F40" s="24" t="str">
        <x:v>Black seabream</x:v>
      </x:c>
      <x:c r="G40" s="24" t="str">
        <x:v>Medium benthopelagics (30 - 89 cm)</x:v>
      </x:c>
      <x:c r="H40" s="24" t="str">
        <x:v>Perch-likes</x:v>
      </x:c>
      <x:c r="I40" s="31" t="n">
        <x:v>0.008289529</x:v>
      </x:c>
      <x:c r="J40" s="31" t="n">
        <x:v>0.008289529</x:v>
      </x:c>
      <x:c r="K40" s="31" t="n">
        <x:v>0</x:v>
      </x:c>
      <x:c r="L40" s="31" t="n">
        <x:v>0.005195717</x:v>
      </x:c>
      <x:c r="M40" s="31" t="n">
        <x:v>0.003093812</x:v>
      </x:c>
      <x:c r="N40" s="24" t="str">
        <x:v>spondyliosoma cantharus</x:v>
      </x:c>
      <x:c r="O40" s="32" t="n">
        <x:v>3.34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Spondyliosoma cantharus</x:v>
      </x:c>
      <x:c r="T40" s="32" t="n">
        <x:f>IF(O40="","",(1/'Metadata'!$B$5)^(O40-1))</x:f>
        <x:v>218.77616239495518</x:v>
      </x:c>
      <x:c r="U40" s="31" t="n">
        <x:f>IF(T40="","",I40*T40)</x:f>
        <x:v>1.8135513426816905</x:v>
      </x:c>
    </x:row>
    <x:row r="41" ht="18" customHeight="1">
      <x:c r="A41" s="24" t="str">
        <x:v>EEZ_070</x:v>
      </x:c>
      <x:c r="B41" s="24" t="str">
        <x:v>Bosnia &amp; Herzegovina</x:v>
      </x:c>
      <x:c r="C41" s="24" t="str">
        <x:v>EEZ</x:v>
      </x:c>
      <x:c r="D41" s="30" t="n">
        <x:v>2019</x:v>
      </x:c>
      <x:c r="E41" s="24" t="str">
        <x:v>Homarus gammarus</x:v>
      </x:c>
      <x:c r="F41" s="24" t="str">
        <x:v>European lobster</x:v>
      </x:c>
      <x:c r="G41" s="24" t="str">
        <x:v>Lobsters, crabs</x:v>
      </x:c>
      <x:c r="H41" s="24" t="str">
        <x:v>Crustaceans</x:v>
      </x:c>
      <x:c r="I41" s="31" t="n">
        <x:v>0.006562545</x:v>
      </x:c>
      <x:c r="J41" s="31" t="n">
        <x:v>0.006562545</x:v>
      </x:c>
      <x:c r="K41" s="31" t="n">
        <x:v>0</x:v>
      </x:c>
      <x:c r="L41" s="31" t="n">
        <x:v>0.004113276999999999</x:v>
      </x:c>
      <x:c r="M41" s="31" t="n">
        <x:v>0.002449268</x:v>
      </x:c>
      <x:c r="N41" s="24" t="str">
        <x:v>homarus gammarus</x:v>
      </x:c>
      <x:c r="O41" s="32" t="n">
        <x:v>3.7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Homarus gammarus</x:v>
      </x:c>
      <x:c r="T41" s="32" t="n">
        <x:f>IF(O41="","",(1/'Metadata'!$B$5)^(O41-1))</x:f>
        <x:v>501.18723362727246</x:v>
      </x:c>
      <x:c r="U41" s="31" t="n">
        <x:f>IF(T41="","",I41*T41)</x:f>
        <x:v>3.289063774104489</x:v>
      </x:c>
    </x:row>
    <x:row r="42" ht="18" customHeight="1">
      <x:c r="A42" s="24" t="str">
        <x:v>EEZ_070</x:v>
      </x:c>
      <x:c r="B42" s="24" t="str">
        <x:v>Bosnia &amp; Herzegovina</x:v>
      </x:c>
      <x:c r="C42" s="24" t="str">
        <x:v>EEZ</x:v>
      </x:c>
      <x:c r="D42" s="30" t="n">
        <x:v>2019</x:v>
      </x:c>
      <x:c r="E42" s="24" t="str">
        <x:v>Dicentrarchus labrax</x:v>
      </x:c>
      <x:c r="F42" s="24" t="str">
        <x:v>European seabass</x:v>
      </x:c>
      <x:c r="G42" s="24" t="str">
        <x:v>Large demersals (&gt;=90 cm)</x:v>
      </x:c>
      <x:c r="H42" s="24" t="str">
        <x:v>Perch-likes</x:v>
      </x:c>
      <x:c r="I42" s="31" t="n">
        <x:v>0.006562545</x:v>
      </x:c>
      <x:c r="J42" s="31" t="n">
        <x:v>0.006562545</x:v>
      </x:c>
      <x:c r="K42" s="31" t="n">
        <x:v>0</x:v>
      </x:c>
      <x:c r="L42" s="31" t="n">
        <x:v>0.004113276999999999</x:v>
      </x:c>
      <x:c r="M42" s="31" t="n">
        <x:v>0.002449268</x:v>
      </x:c>
      <x:c r="N42" s="24" t="str">
        <x:v>dicentrarchus labrax</x:v>
      </x:c>
      <x:c r="O42" s="32" t="n">
        <x:v>3.79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Dicentrarchus labrax</x:v>
      </x:c>
      <x:c r="T42" s="32" t="n">
        <x:f>IF(O42="","",(1/'Metadata'!$B$5)^(O42-1))</x:f>
        <x:v>616.5950018614822</x:v>
      </x:c>
      <x:c r="U42" s="31" t="n">
        <x:f>IF(T42="","",I42*T42)</x:f>
        <x:v>4.04643244649106</x:v>
      </x:c>
    </x:row>
    <x:row r="43" ht="18" customHeight="1">
      <x:c r="A43" s="24" t="str">
        <x:v>EEZ_070</x:v>
      </x:c>
      <x:c r="B43" s="24" t="str">
        <x:v>Bosnia &amp; Herzegovina</x:v>
      </x:c>
      <x:c r="C43" s="24" t="str">
        <x:v>EEZ</x:v>
      </x:c>
      <x:c r="D43" s="30" t="n">
        <x:v>2019</x:v>
      </x:c>
      <x:c r="E43" s="24" t="str">
        <x:v>Seriola dumerili</x:v>
      </x:c>
      <x:c r="F43" s="24" t="str">
        <x:v>Greater amberjack</x:v>
      </x:c>
      <x:c r="G43" s="24" t="str">
        <x:v>Large reef assoc. fish (&gt;=90 cm)</x:v>
      </x:c>
      <x:c r="H43" s="24" t="str">
        <x:v>Perch-likes</x:v>
      </x:c>
      <x:c r="I43" s="31" t="n">
        <x:v>0.004835558</x:v>
      </x:c>
      <x:c r="J43" s="31" t="n">
        <x:v>0.004835558</x:v>
      </x:c>
      <x:c r="K43" s="31" t="n">
        <x:v>0</x:v>
      </x:c>
      <x:c r="L43" s="31" t="n">
        <x:v>0.003030834</x:v>
      </x:c>
      <x:c r="M43" s="31" t="n">
        <x:v>0.001804724</x:v>
      </x:c>
      <x:c r="N43" s="24" t="str">
        <x:v>seriola dumerili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Seriola dumerili</x:v>
      </x:c>
      <x:c r="T43" s="32" t="n">
        <x:f>IF(O43="","",(1/'Metadata'!$B$5)^(O43-1))</x:f>
        <x:v>3162.2776601683795</x:v>
      </x:c>
      <x:c r="U43" s="31" t="n">
        <x:f>IF(T43="","",I43*T43)</x:f>
        <x:v>15.29137703784849</x:v>
      </x:c>
    </x:row>
    <x:row r="44" ht="18" customHeight="1">
      <x:c r="A44" s="24" t="str">
        <x:v>EEZ_070</x:v>
      </x:c>
      <x:c r="B44" s="24" t="str">
        <x:v>Bosnia &amp; Herzegovina</x:v>
      </x:c>
      <x:c r="C44" s="24" t="str">
        <x:v>EEZ</x:v>
      </x:c>
      <x:c r="D44" s="30" t="n">
        <x:v>2019</x:v>
      </x:c>
      <x:c r="E44" s="24" t="str">
        <x:v>Sparus aurata</x:v>
      </x:c>
      <x:c r="F44" s="24" t="str">
        <x:v>Gilthead seabream</x:v>
      </x:c>
      <x:c r="G44" s="24" t="str">
        <x:v>Medium demersals (30 - 89 cm)</x:v>
      </x:c>
      <x:c r="H44" s="24" t="str">
        <x:v>Perch-likes</x:v>
      </x:c>
      <x:c r="I44" s="31" t="n">
        <x:v>0.003108574</x:v>
      </x:c>
      <x:c r="J44" s="31" t="n">
        <x:v>0.003108574</x:v>
      </x:c>
      <x:c r="K44" s="31" t="n">
        <x:v>0</x:v>
      </x:c>
      <x:c r="L44" s="31" t="n">
        <x:v>0.001948394</x:v>
      </x:c>
      <x:c r="M44" s="31" t="n">
        <x:v>0.0011601799999999998</x:v>
      </x:c>
      <x:c r="N44" s="24" t="str">
        <x:v>sparus aurata</x:v>
      </x:c>
      <x:c r="O44" s="32" t="n">
        <x:v>3.7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Sparus aurata</x:v>
      </x:c>
      <x:c r="T44" s="32" t="n">
        <x:f>IF(O44="","",(1/'Metadata'!$B$5)^(O44-1))</x:f>
        <x:v>501.18723362727246</x:v>
      </x:c>
      <x:c r="U44" s="31" t="n">
        <x:f>IF(T44="","",I44*T44)</x:f>
        <x:v>1.5579776035856647</x:v>
      </x:c>
    </x:row>
    <x:row r="45" ht="18" customHeight="1">
      <x:c r="A45" s="24" t="str">
        <x:v>EEZ_070</x:v>
      </x:c>
      <x:c r="B45" s="24" t="str">
        <x:v>Bosnia &amp; Herzegovina</x:v>
      </x:c>
      <x:c r="C45" s="24" t="str">
        <x:v>EEZ</x:v>
      </x:c>
      <x:c r="D45" s="30" t="n">
        <x:v>2019</x:v>
      </x:c>
      <x:c r="E45" s="24" t="str">
        <x:v>Belonidae</x:v>
      </x:c>
      <x:c r="F45" s="24" t="str">
        <x:v>Needlefishes, garfishes</x:v>
      </x:c>
      <x:c r="G45" s="24" t="str">
        <x:v>Medium pelagics (30 - 89 cm)</x:v>
      </x:c>
      <x:c r="H45" s="24" t="str">
        <x:v>Other fishes &amp; inverts</x:v>
      </x:c>
      <x:c r="I45" s="31" t="n">
        <x:v>0.002756191</x:v>
      </x:c>
      <x:c r="J45" s="31" t="n">
        <x:v>0.002756191</x:v>
      </x:c>
      <x:c r="K45" s="31" t="n">
        <x:v>0</x:v>
      </x:c>
      <x:c r="L45" s="31" t="n">
        <x:v>0</x:v>
      </x:c>
      <x:c r="M45" s="31" t="n">
        <x:v>0.002756191</x:v>
      </x:c>
      <x:c r="N45" s="24" t="str">
        <x:v>belonidae</x:v>
      </x:c>
      <x:c r="O45" s="32" t="n">
        <x:v>4.38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Belonidae</x:v>
      </x:c>
      <x:c r="T45" s="32" t="n">
        <x:f>IF(O45="","",(1/'Metadata'!$B$5)^(O45-1))</x:f>
        <x:v>2398.83291901949</x:v>
      </x:c>
      <x:c r="U45" s="31" t="n">
        <x:f>IF(T45="","",I45*T45)</x:f>
        <x:v>6.6116417019052465</x:v>
      </x:c>
    </x:row>
    <x:row r="46" ht="18" customHeight="1">
      <x:c r="A46" s="24" t="str">
        <x:v>EEZ_070</x:v>
      </x:c>
      <x:c r="B46" s="24" t="str">
        <x:v>Bosnia &amp; Herzegovina</x:v>
      </x:c>
      <x:c r="C46" s="24" t="str">
        <x:v>EEZ</x:v>
      </x:c>
      <x:c r="D46" s="30" t="n">
        <x:v>2019</x:v>
      </x:c>
      <x:c r="E46" s="24" t="str">
        <x:v>Euthynnus alletteratus</x:v>
      </x:c>
      <x:c r="F46" s="24" t="str">
        <x:v>Little tunny </x:v>
      </x:c>
      <x:c r="G46" s="24" t="str">
        <x:v>Large pelagics (&gt;=90 cm)</x:v>
      </x:c>
      <x:c r="H46" s="24" t="str">
        <x:v>Tuna &amp; billfishes</x:v>
      </x:c>
      <x:c r="I46" s="31" t="n">
        <x:v>0.002417779</x:v>
      </x:c>
      <x:c r="J46" s="31" t="n">
        <x:v>0.002417779</x:v>
      </x:c>
      <x:c r="K46" s="31" t="n">
        <x:v>0</x:v>
      </x:c>
      <x:c r="L46" s="31" t="n">
        <x:v>0.001515417</x:v>
      </x:c>
      <x:c r="M46" s="31" t="n">
        <x:v>0.000902362</x:v>
      </x:c>
      <x:c r="N46" s="24" t="str">
        <x:v>euthynnus alletteratus</x:v>
      </x:c>
      <x:c r="O46" s="32" t="n">
        <x:v>4.49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Euthynnus alletteratus</x:v>
      </x:c>
      <x:c r="T46" s="32" t="n">
        <x:f>IF(O46="","",(1/'Metadata'!$B$5)^(O46-1))</x:f>
        <x:v>3090.295432513592</x:v>
      </x:c>
      <x:c r="U46" s="31" t="n">
        <x:f>IF(T46="","",I46*T46)</x:f>
        <x:v>7.47165140052728</x:v>
      </x:c>
    </x:row>
  </x:sheetData>
  <x:conditionalFormatting sqref="R2:R4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37f398fdafa4c2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6.278275087</x:v>
      </x:c>
      <x:c r="C2" s="32" t="n">
        <x:v>3.1979501543430864</x:v>
      </x:c>
      <x:c r="D2" s="32" t="n">
        <x:f>IF(C2="","",(1/'Metadata'!$B$5)^(C2-1))</x:f>
        <x:v>157.74302115445678</x:v>
      </x:c>
      <x:c r="E2" s="31" t="n">
        <x:f>IF(B2=0,"",B2*D2)</x:f>
        <x:v>990.35407986214</x:v>
      </x:c>
    </x:row>
    <x:row r="3" ht="18" customHeight="1">
      <x:c r="A3" s="24" t="str">
        <x:v>Crustaceans</x:v>
      </x:c>
      <x:c r="B3" s="31" t="n">
        <x:v>0.35611281799999994</x:v>
      </x:c>
      <x:c r="C3" s="32" t="n">
        <x:v>2.90111195607118</x:v>
      </x:c>
      <x:c r="D3" s="32" t="n">
        <x:f>IF(C3="","",(1/'Metadata'!$B$5)^(C3-1))</x:f>
        <x:v>79.63646175035365</x:v>
      </x:c>
      <x:c r="E3" s="31" t="n">
        <x:f>IF(B3=0,"",B3*D3)</x:f>
        <x:v>28.359564809467646</x:v>
      </x:c>
    </x:row>
    <x:row r="4" ht="18" customHeight="1">
      <x:c r="A4" s="24" t="str">
        <x:v>Flatfishes</x:v>
      </x:c>
      <x:c r="B4" s="31" t="n">
        <x:v>0.22387113300000003</x:v>
      </x:c>
      <x:c r="C4" s="32" t="n">
        <x:v>3.2141512355235187</x:v>
      </x:c>
      <x:c r="D4" s="32" t="n">
        <x:f>IF(C4="","",(1/'Metadata'!$B$5)^(C4-1))</x:f>
        <x:v>163.73866136588535</x:v>
      </x:c>
      <x:c r="E4" s="31" t="n">
        <x:f>IF(B4=0,"",B4*D4)</x:f>
        <x:v>36.65635963588409</x:v>
      </x:c>
    </x:row>
    <x:row r="5" ht="18" customHeight="1">
      <x:c r="A5" s="24" t="str">
        <x:v>Herring-likes</x:v>
      </x:c>
      <x:c r="B5" s="31" t="n">
        <x:v>42.205026589</x:v>
      </x:c>
      <x:c r="C5" s="32" t="n">
        <x:v>3.1461757839448428</x:v>
      </x:c>
      <x:c r="D5" s="32" t="n">
        <x:f>IF(C5="","",(1/'Metadata'!$B$5)^(C5-1))</x:f>
        <x:v>140.01539306874176</x:v>
      </x:c>
      <x:c r="E5" s="31" t="n">
        <x:f>IF(B5=0,"",B5*D5)</x:f>
        <x:v>5909.353387335532</x:v>
      </x:c>
    </x:row>
    <x:row r="6" ht="18" customHeight="1">
      <x:c r="A6" s="24" t="str">
        <x:v>Molluscs</x:v>
      </x:c>
      <x:c r="B6" s="31" t="n">
        <x:v>0.094984194</x:v>
      </x:c>
      <x:c r="C6" s="32" t="n">
        <x:v>2.1</x:v>
      </x:c>
      <x:c r="D6" s="32" t="n">
        <x:f>IF(C6="","",(1/'Metadata'!$B$5)^(C6-1))</x:f>
        <x:v>12.589254117941675</x:v>
      </x:c>
      <x:c r="E6" s="31" t="n">
        <x:f>IF(B6=0,"",B6*D6)</x:f>
        <x:v>1.1957801554538707</x:v>
      </x:c>
    </x:row>
    <x:row r="7" ht="18" customHeight="1">
      <x:c r="A7" s="24" t="str">
        <x:v>Other fishes &amp; inverts</x:v>
      </x:c>
      <x:c r="B7" s="31" t="n">
        <x:v>8.381166937</x:v>
      </x:c>
      <x:c r="C7" s="32" t="n">
        <x:v>3.3601201604427606</x:v>
      </x:c>
      <x:c r="D7" s="32" t="n">
        <x:f>IF(C7="","",(1/'Metadata'!$B$5)^(C7-1))</x:f>
        <x:v>229.1501576907915</x:v>
      </x:c>
      <x:c r="E7" s="31" t="n">
        <x:f>IF(B7=0,"",B7*D7)</x:f>
        <x:v>1920.545725246398</x:v>
      </x:c>
    </x:row>
    <x:row r="8" ht="18" customHeight="1">
      <x:c r="A8" s="24" t="str">
        <x:v>Perch-likes</x:v>
      </x:c>
      <x:c r="B8" s="31" t="n">
        <x:v>2.8397357519999997</x:v>
      </x:c>
      <x:c r="C8" s="32" t="n">
        <x:v>3.6612665458740197</x:v>
      </x:c>
      <x:c r="D8" s="32" t="n">
        <x:f>IF(C8="","",(1/'Metadata'!$B$5)^(C8-1))</x:f>
        <x:v>458.4231551080772</x:v>
      </x:c>
      <x:c r="E8" s="31" t="n">
        <x:f>IF(B8=0,"",B8*D8)</x:f>
        <x:v>1301.800623105048</x:v>
      </x:c>
    </x:row>
    <x:row r="9" ht="18" customHeight="1">
      <x:c r="A9" s="24" t="str">
        <x:v>Scorpionfishes</x:v>
      </x:c>
      <x:c r="B9" s="31" t="n">
        <x:v>0.057494260000000005</x:v>
      </x:c>
      <x:c r="C9" s="32" t="n">
        <x:v>3.92</x:v>
      </x:c>
      <x:c r="D9" s="32" t="n">
        <x:f>IF(C9="","",(1/'Metadata'!$B$5)^(C9-1))</x:f>
        <x:v>831.7637711026708</x:v>
      </x:c>
      <x:c r="E9" s="31" t="n">
        <x:f>IF(B9=0,"",B9*D9)</x:f>
        <x:v>47.82164251435745</x:v>
      </x:c>
    </x:row>
    <x:row r="10" ht="18" customHeight="1">
      <x:c r="A10" s="24" t="str">
        <x:v>Sharks &amp; rays</x:v>
      </x:c>
      <x:c r="B10" s="31" t="n">
        <x:v>0.11778040099999998</x:v>
      </x:c>
      <x:c r="C10" s="32" t="n">
        <x:v>3.8855718512114765</x:v>
      </x:c>
      <x:c r="D10" s="32" t="n">
        <x:f>IF(C10="","",(1/'Metadata'!$B$5)^(C10-1))</x:f>
        <x:v>768.3725674327959</x:v>
      </x:c>
      <x:c r="E10" s="31" t="n">
        <x:f>IF(B10=0,"",B10*D10)</x:f>
        <x:v>90.49922910963423</x:v>
      </x:c>
    </x:row>
    <x:row r="11" ht="18" customHeight="1">
      <x:c r="A11" s="24" t="str">
        <x:v>Tuna &amp; billfishes</x:v>
      </x:c>
      <x:c r="B11" s="31" t="n">
        <x:v>0.466110122</x:v>
      </x:c>
      <x:c r="C11" s="32" t="n">
        <x:v>4.447932553136017</x:v>
      </x:c>
      <x:c r="D11" s="32" t="n">
        <x:f>IF(C11="","",(1/'Metadata'!$B$5)^(C11-1))</x:f>
        <x:v>2804.99798192411</x:v>
      </x:c>
      <x:c r="E11" s="31" t="n">
        <x:f>IF(B11=0,"",B11*D11)</x:f>
        <x:v>1307.4379515644007</x:v>
      </x:c>
    </x:row>
  </x:sheetData>
  <x:pageMargins left="0.7" right="0.7" top="0.75" bottom="0.75" header="0.3" footer="0.3"/>
  <x:tableParts count="1">
    <x:tablePart xmlns:r="http://schemas.openxmlformats.org/officeDocument/2006/relationships" r:id="R976d93871e16428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1.195935897</x:v>
      </x:c>
      <x:c r="C2" s="32" t="n">
        <x:v>3.808223824458043</x:v>
      </x:c>
      <x:c r="D2" s="32" t="n">
        <x:f>IF(C2="","",(1/'Metadata'!$B$5)^(C2-1))</x:f>
        <x:v>643.0190277769087</x:v>
      </x:c>
      <x:c r="E2" s="31" t="n">
        <x:f>IF(B2=0,"",B2*D2)</x:f>
        <x:v>769.0095377724452</x:v>
      </x:c>
    </x:row>
    <x:row r="3" ht="18" customHeight="1">
      <x:c r="A3" s="24" t="str">
        <x:v>Large benthopelagics (&gt;=90 cm)</x:v>
      </x:c>
      <x:c r="B3" s="31" t="n">
        <x:v>0.056299722</x:v>
      </x:c>
      <x:c r="C3" s="32" t="n">
        <x:v>3.1663803798178614</x:v>
      </x:c>
      <x:c r="D3" s="32" t="n">
        <x:f>IF(C3="","",(1/'Metadata'!$B$5)^(C3-1))</x:f>
        <x:v>146.6832013435746</x:v>
      </x:c>
      <x:c r="E3" s="31" t="n">
        <x:f>IF(B3=0,"",B3*D3)</x:f>
        <x:v>8.258223457713278</x:v>
      </x:c>
    </x:row>
    <x:row r="4" ht="18" customHeight="1">
      <x:c r="A4" s="24" t="str">
        <x:v>Large demersals (&gt;=90 cm)</x:v>
      </x:c>
      <x:c r="B4" s="31" t="n">
        <x:v>0.037302886</x:v>
      </x:c>
      <x:c r="C4" s="32" t="n">
        <x:v>4.218518515162606</x:v>
      </x:c>
      <x:c r="D4" s="32" t="n">
        <x:f>IF(C4="","",(1/'Metadata'!$B$5)^(C4-1))</x:f>
        <x:v>1653.9352950574246</x:v>
      </x:c>
      <x:c r="E4" s="31" t="n">
        <x:f>IF(B4=0,"",B4*D4)</x:f>
        <x:v>61.696559762903476</x:v>
      </x:c>
    </x:row>
    <x:row r="5" ht="18" customHeight="1">
      <x:c r="A5" s="24" t="str">
        <x:v>Large pelagics (&gt;=90 cm)</x:v>
      </x:c>
      <x:c r="B5" s="31" t="n">
        <x:v>0.420863105</x:v>
      </x:c>
      <x:c r="C5" s="32" t="n">
        <x:v>4.4502297924404655</x:v>
      </x:c>
      <x:c r="D5" s="32" t="n">
        <x:f>IF(C5="","",(1/'Metadata'!$B$5)^(C5-1))</x:f>
        <x:v>2819.874579186612</x:v>
      </x:c>
      <x:c r="E5" s="31" t="n">
        <x:f>IF(B5=0,"",B5*D5)</x:f>
        <x:v>1186.781171107046</x:v>
      </x:c>
    </x:row>
    <x:row r="6" ht="18" customHeight="1">
      <x:c r="A6" s="24" t="str">
        <x:v>Large rays (&gt;=90 cm)</x:v>
      </x:c>
      <x:c r="B6" s="31" t="n">
        <x:v>0.046628604</x:v>
      </x:c>
      <x:c r="C6" s="32" t="n">
        <x:v>3.36</x:v>
      </x:c>
      <x:c r="D6" s="32" t="n">
        <x:f>IF(C6="","",(1/'Metadata'!$B$5)^(C6-1))</x:f>
        <x:v>229.08676527677724</x:v>
      </x:c>
      <x:c r="E6" s="31" t="n">
        <x:f>IF(B6=0,"",B6*D6)</x:f>
        <x:v>10.681996059731796</x:v>
      </x:c>
    </x:row>
    <x:row r="7" ht="18" customHeight="1">
      <x:c r="A7" s="24" t="str">
        <x:v>Large reef assoc. fish (&gt;=90 cm)</x:v>
      </x:c>
      <x:c r="B7" s="31" t="n">
        <x:v>0.06232981800000001</x:v>
      </x:c>
      <x:c r="C7" s="32" t="n">
        <x:v>3.9649964997491245</x:v>
      </x:c>
      <x:c r="D7" s="32" t="n">
        <x:f>IF(C7="","",(1/'Metadata'!$B$5)^(C7-1))</x:f>
        <x:v>922.5639916045386</x:v>
      </x:c>
      <x:c r="E7" s="31" t="n">
        <x:f>IF(B7=0,"",B7*D7)</x:f>
        <x:v>57.503245690064425</x:v>
      </x:c>
    </x:row>
    <x:row r="8" ht="18" customHeight="1">
      <x:c r="A8" s="24" t="str">
        <x:v>Large sharks (&gt;=90 cm)</x:v>
      </x:c>
      <x:c r="B8" s="31" t="n">
        <x:v>0.07115179699999999</x:v>
      </x:c>
      <x:c r="C8" s="32" t="n">
        <x:v>4.23</x:v>
      </x:c>
      <x:c r="D8" s="32" t="n">
        <x:f>IF(C8="","",(1/'Metadata'!$B$5)^(C8-1))</x:f>
        <x:v>1698.243652461746</x:v>
      </x:c>
      <x:c r="E8" s="31" t="n">
        <x:f>IF(B8=0,"",B8*D8)</x:f>
        <x:v>120.83308761649668</x:v>
      </x:c>
    </x:row>
    <x:row r="9" ht="18" customHeight="1">
      <x:c r="A9" s="24" t="str">
        <x:v>Lobsters, crabs</x:v>
      </x:c>
      <x:c r="B9" s="31" t="n">
        <x:v>0.35611281799999994</x:v>
      </x:c>
      <x:c r="C9" s="32" t="n">
        <x:v>2.90111195607118</x:v>
      </x:c>
      <x:c r="D9" s="32" t="n">
        <x:f>IF(C9="","",(1/'Metadata'!$B$5)^(C9-1))</x:f>
        <x:v>79.63646175035365</x:v>
      </x:c>
      <x:c r="E9" s="31" t="n">
        <x:f>IF(B9=0,"",B9*D9)</x:f>
        <x:v>28.359564809467646</x:v>
      </x:c>
    </x:row>
    <x:row r="10" ht="18" customHeight="1">
      <x:c r="A10" s="24" t="str">
        <x:v>Medium benthopelagics (30 - 89 cm)</x:v>
      </x:c>
      <x:c r="B10" s="31" t="n">
        <x:v>0.31071228900000003</x:v>
      </x:c>
      <x:c r="C10" s="32" t="n">
        <x:v>3.138964624987845</x:v>
      </x:c>
      <x:c r="D10" s="32" t="n">
        <x:f>IF(C10="","",(1/'Metadata'!$B$5)^(C10-1))</x:f>
        <x:v>137.70972942759954</x:v>
      </x:c>
      <x:c r="E10" s="31" t="n">
        <x:f>IF(B10=0,"",B10*D10)</x:f>
        <x:v>42.788105248020116</x:v>
      </x:c>
    </x:row>
    <x:row r="11" ht="18" customHeight="1">
      <x:c r="A11" s="24" t="str">
        <x:v>Medium demersals (30 - 89 cm)</x:v>
      </x:c>
      <x:c r="B11" s="31" t="n">
        <x:v>7.308890175999999</x:v>
      </x:c>
      <x:c r="C11" s="32" t="n">
        <x:v>3.2728651205621837</x:v>
      </x:c>
      <x:c r="D11" s="32" t="n">
        <x:f>IF(C11="","",(1/'Metadata'!$B$5)^(C11-1))</x:f>
        <x:v>187.44122788467268</x:v>
      </x:c>
      <x:c r="E11" s="31" t="n">
        <x:f>IF(B11=0,"",B11*D11)</x:f>
        <x:v>1369.9873490636612</x:v>
      </x:c>
    </x:row>
    <x:row r="12" ht="18" customHeight="1">
      <x:c r="A12" s="24" t="str">
        <x:v>Medium pelagics (30 - 89 cm)</x:v>
      </x:c>
      <x:c r="B12" s="31" t="n">
        <x:v>1.3367323759999998</x:v>
      </x:c>
      <x:c r="C12" s="32" t="n">
        <x:v>4.135352344319967</x:v>
      </x:c>
      <x:c r="D12" s="32" t="n">
        <x:f>IF(C12="","",(1/'Metadata'!$B$5)^(C12-1))</x:f>
        <x:v>1365.6906758935934</x:v>
      </x:c>
      <x:c r="E12" s="31" t="n">
        <x:f>IF(B12=0,"",B12*D12)</x:f>
        <x:v>1825.5629420682887</x:v>
      </x:c>
    </x:row>
    <x:row r="13" ht="18" customHeight="1">
      <x:c r="A13" s="24" t="str">
        <x:v>Medium reef assoc. fish (30 - 89 cm)</x:v>
      </x:c>
      <x:c r="B13" s="31" t="n">
        <x:v>0.9429074180000001</x:v>
      </x:c>
      <x:c r="C13" s="32" t="n">
        <x:v>3.3770634704562266</x:v>
      </x:c>
      <x:c r="D13" s="32" t="n">
        <x:f>IF(C13="","",(1/'Metadata'!$B$5)^(C13-1))</x:f>
        <x:v>238.2667661563723</x:v>
      </x:c>
      <x:c r="E13" s="31" t="n">
        <x:f>IF(B13=0,"",B13*D13)</x:f>
        <x:v>224.66350127171484</x:v>
      </x:c>
    </x:row>
    <x:row r="14" ht="18" customHeight="1">
      <x:c r="A14" s="24" t="str">
        <x:v>Other demersal invertebrates</x:v>
      </x:c>
      <x:c r="B14" s="31" t="n">
        <x:v>0.094984194</x:v>
      </x:c>
      <x:c r="C14" s="32" t="n">
        <x:v>2.1</x:v>
      </x:c>
      <x:c r="D14" s="32" t="n">
        <x:f>IF(C14="","",(1/'Metadata'!$B$5)^(C14-1))</x:f>
        <x:v>12.589254117941675</x:v>
      </x:c>
      <x:c r="E14" s="31" t="n">
        <x:f>IF(B14=0,"",B14*D14)</x:f>
        <x:v>1.1957801554538707</x:v>
      </x:c>
    </x:row>
    <x:row r="15" ht="18" customHeight="1">
      <x:c r="A15" s="24" t="str">
        <x:v>Small benthopelagics (&lt;30 cm)</x:v>
      </x:c>
      <x:c r="B15" s="31" t="n">
        <x:v>0.037302883</x:v>
      </x:c>
      <x:c r="C15" s="32" t="n">
        <x:v>3.3800000000000003</x:v>
      </x:c>
      <x:c r="D15" s="32" t="n">
        <x:f>IF(C15="","",(1/'Metadata'!$B$5)^(C15-1))</x:f>
        <x:v>239.88329190194924</x:v>
      </x:c>
      <x:c r="E15" s="31" t="n">
        <x:f>IF(B15=0,"",B15*D15)</x:f>
        <x:v>8.94833837147326</x:v>
      </x:c>
    </x:row>
    <x:row r="16" ht="18" customHeight="1">
      <x:c r="A16" s="24" t="str">
        <x:v>Small pelagics (&lt;30 cm)</x:v>
      </x:c>
      <x:c r="B16" s="31" t="n">
        <x:v>48.518532177</x:v>
      </x:c>
      <x:c r="C16" s="32" t="n">
        <x:v>3.1529144460445373</x:v>
      </x:c>
      <x:c r="D16" s="32" t="n">
        <x:f>IF(C16="","",(1/'Metadata'!$B$5)^(C16-1))</x:f>
        <x:v>142.20486226864855</x:v>
      </x:c>
      <x:c r="E16" s="31" t="n">
        <x:f>IF(B16=0,"",B16*D16)</x:f>
        <x:v>6899.571185707277</x:v>
      </x:c>
    </x:row>
    <x:row r="17" ht="18" customHeight="1">
      <x:c r="A17" s="24" t="str">
        <x:v>Small to medium flatfishes (&lt;90 cm)</x:v>
      </x:c>
      <x:c r="B17" s="31" t="n">
        <x:v>0.22387113300000003</x:v>
      </x:c>
      <x:c r="C17" s="32" t="n">
        <x:v>3.2141512355235187</x:v>
      </x:c>
      <x:c r="D17" s="32" t="n">
        <x:f>IF(C17="","",(1/'Metadata'!$B$5)^(C17-1))</x:f>
        <x:v>163.73866136588535</x:v>
      </x:c>
      <x:c r="E17" s="31" t="n">
        <x:f>IF(B17=0,"",B17*D17)</x:f>
        <x:v>36.65635963588409</x:v>
      </x:c>
    </x:row>
  </x:sheetData>
  <x:pageMargins left="0.7" right="0.7" top="0.75" bottom="0.75" header="0.3" footer="0.3"/>
  <x:tableParts count="1">
    <x:tablePart xmlns:r="http://schemas.openxmlformats.org/officeDocument/2006/relationships" r:id="R99499d5fc09848e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EEZ_070</x:v>
      </x:c>
      <x:c r="B2" s="24" t="str">
        <x:v>raw_filtered_tonnes</x:v>
      </x:c>
      <x:c r="C2" s="24" t="n">
        <x:v>61.020557292999996</x:v>
      </x:c>
      <x:c r="D2" s="24" t="str">
        <x:v>tonnes</x:v>
      </x:c>
    </x:row>
    <x:row r="3" ht="18" customHeight="1">
      <x:c r="A3" s="24" t="str">
        <x:v>EEZ_070</x:v>
      </x:c>
      <x:c r="B3" s="24" t="str">
        <x:v>species_catch_tonnes</x:v>
      </x:c>
      <x:c r="C3" s="24" t="n">
        <x:v>61.02055729300001</x:v>
      </x:c>
      <x:c r="D3" s="24" t="str">
        <x:v>tonnes</x:v>
      </x:c>
    </x:row>
    <x:row r="4" ht="18" customHeight="1">
      <x:c r="A4" s="24" t="str">
        <x:v>EEZ_070</x:v>
      </x:c>
      <x:c r="B4" s="24" t="str">
        <x:v>catch_difference_tonnes</x:v>
      </x:c>
      <x:c r="C4" s="24" t="n">
        <x:v>1.4210854715202004e-14</x:v>
      </x:c>
      <x:c r="D4" s="24" t="str">
        <x:v>tonnes</x:v>
      </x:c>
    </x:row>
    <x:row r="5" ht="18" customHeight="1">
      <x:c r="A5" s="24" t="str">
        <x:v>EEZ_070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EEZ_070</x:v>
      </x:c>
      <x:c r="B6" s="24" t="str">
        <x:v>matched_catch_tonnes</x:v>
      </x:c>
      <x:c r="C6" s="24" t="n">
        <x:v>61.02055729300001</x:v>
      </x:c>
      <x:c r="D6" s="24" t="str">
        <x:v>tonnes</x:v>
      </x:c>
    </x:row>
    <x:row r="7" ht="18" customHeight="1">
      <x:c r="A7" s="24" t="str">
        <x:v>EEZ_070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EEZ_070</x:v>
      </x:c>
      <x:c r="B8" s="24" t="str">
        <x:v>taxa_count</x:v>
      </x:c>
      <x:c r="C8" s="24" t="n">
        <x:v>45</x:v>
      </x:c>
      <x:c r="D8" s="24" t="str">
        <x:v>count</x:v>
      </x:c>
    </x:row>
    <x:row r="9" ht="18" customHeight="1">
      <x:c r="A9" s="24" t="str">
        <x:v>EEZ_070</x:v>
      </x:c>
      <x:c r="B9" s="24" t="str">
        <x:v>matched_taxa_count</x:v>
      </x:c>
      <x:c r="C9" s="24" t="n">
        <x:v>45</x:v>
      </x:c>
      <x:c r="D9" s="24" t="str">
        <x:v>count</x:v>
      </x:c>
    </x:row>
    <x:row r="10" ht="18" customHeight="1">
      <x:c r="A10" s="24" t="str">
        <x:v>EEZ_070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EEZ_070</x:v>
      </x:c>
      <x:c r="B11" s="24" t="str">
        <x:v>species_ppr</x:v>
      </x:c>
      <x:c r="C11" s="24" t="n">
        <x:v>12983.384180443847</x:v>
      </x:c>
      <x:c r="D11" s="24" t="str">
        <x:v>tonnes_primary_production_equivalent</x:v>
      </x:c>
    </x:row>
    <x:row r="12" ht="18" customHeight="1">
      <x:c r="A12" s="24" t="str">
        <x:v>EEZ_070</x:v>
      </x:c>
      <x:c r="B12" s="24" t="str">
        <x:v>commercial_ppr</x:v>
      </x:c>
      <x:c r="C12" s="24" t="n">
        <x:v>11634.024343338317</x:v>
      </x:c>
      <x:c r="D12" s="24" t="str">
        <x:v>tonnes_primary_production_equivalent</x:v>
      </x:c>
    </x:row>
    <x:row r="13" ht="18" customHeight="1">
      <x:c r="A13" s="24" t="str">
        <x:v>EEZ_070</x:v>
      </x:c>
      <x:c r="B13" s="24" t="str">
        <x:v>functional_ppr</x:v>
      </x:c>
      <x:c r="C13" s="24" t="n">
        <x:v>12652.496947797641</x:v>
      </x:c>
      <x:c r="D13" s="24" t="str">
        <x:v>tonnes_primary_production_equivalent</x:v>
      </x:c>
    </x:row>
    <x:row r="14" ht="18" customHeight="1">
      <x:c r="A14" s="24" t="str">
        <x:v>EEZ_070</x:v>
      </x:c>
      <x:c r="B14" s="24" t="str">
        <x:v>commercial_ppr_difference</x:v>
      </x:c>
      <x:c r="C14" s="24" t="n">
        <x:v>-1349.3598371055305</x:v>
      </x:c>
      <x:c r="D14" s="24" t="str">
        <x:v>tonnes_primary_production_equivalent</x:v>
      </x:c>
    </x:row>
    <x:row r="15" ht="18" customHeight="1">
      <x:c r="A15" s="24" t="str">
        <x:v>EEZ_070</x:v>
      </x:c>
      <x:c r="B15" s="24" t="str">
        <x:v>functional_ppr_difference</x:v>
      </x:c>
      <x:c r="C15" s="24" t="n">
        <x:v>-330.88723264620603</x:v>
      </x:c>
      <x:c r="D15" s="24" t="str">
        <x:v>tonnes_primary_production_equivalent</x:v>
      </x:c>
    </x:row>
    <x:row r="16" ht="18" customHeight="1">
      <x:c r="A16" s="24" t="str">
        <x:v>EEZ_070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EEZ_070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b5f60451b4447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EEZ_070 - Bosnia &amp; Herzegovina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EEZ_070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raw_data/SAU_downloads/EEZ_070-catch.zip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