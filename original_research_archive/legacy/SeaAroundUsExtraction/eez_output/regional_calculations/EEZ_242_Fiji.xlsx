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575b7ba11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5ce4804ff77451f"/>
    <x:sheet xmlns:r="http://schemas.openxmlformats.org/officeDocument/2006/relationships" name="Commercial" sheetId="2" r:id="Rc6d8875332b544e1"/>
    <x:sheet xmlns:r="http://schemas.openxmlformats.org/officeDocument/2006/relationships" name="Functional" sheetId="3" r:id="Rf2bbb7e00086454b"/>
    <x:sheet xmlns:r="http://schemas.openxmlformats.org/officeDocument/2006/relationships" name="Missing TL" sheetId="4" r:id="Rae2662eddf734791"/>
    <x:sheet xmlns:r="http://schemas.openxmlformats.org/officeDocument/2006/relationships" name="Validation" sheetId="5" r:id="Rbfe2bb1c36a344c8"/>
    <x:sheet xmlns:r="http://schemas.openxmlformats.org/officeDocument/2006/relationships" name="Metadata" sheetId="6" r:id="R9f8e39ad777f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5c716df994fe9" /><Relationship Type="http://schemas.openxmlformats.org/officeDocument/2006/relationships/theme" Target="/xl/theme/theme1.xml" Id="Rc40ed4c263f24ff1" /><Relationship Type="http://schemas.microsoft.com/office/2022/11/relationships/FeaturePropertyBag" Target="/xl/featurePropertyBag/featurePropertyBag.xml" Id="Rc83bdc24c46c49b9" /><Relationship Type="http://schemas.openxmlformats.org/officeDocument/2006/relationships/sharedStrings" Target="/xl/sharedStrings.xml" Id="R4a175e58e5454cb1" /><Relationship Type="http://schemas.openxmlformats.org/officeDocument/2006/relationships/worksheet" Target="/xl/worksheets/sheet1.xml" Id="R05ce4804ff77451f" /><Relationship Type="http://schemas.openxmlformats.org/officeDocument/2006/relationships/worksheet" Target="/xl/worksheets/sheet2.xml" Id="Rc6d8875332b544e1" /><Relationship Type="http://schemas.openxmlformats.org/officeDocument/2006/relationships/worksheet" Target="/xl/worksheets/sheet3.xml" Id="Rf2bbb7e00086454b" /><Relationship Type="http://schemas.openxmlformats.org/officeDocument/2006/relationships/worksheet" Target="/xl/worksheets/sheet4.xml" Id="Rae2662eddf734791" /><Relationship Type="http://schemas.openxmlformats.org/officeDocument/2006/relationships/worksheet" Target="/xl/worksheets/sheet5.xml" Id="Rbfe2bb1c36a344c8" /><Relationship Type="http://schemas.openxmlformats.org/officeDocument/2006/relationships/worksheet" Target="/xl/worksheets/sheet6.xml" Id="R9f8e39ad777f49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42SpeciesTable" displayName="EEZ242SpeciesTable" ref="A1:U58" headerRowCount="1" totalsRowCount="0" totalsRowShown="0">
  <x:autoFilter ref="A1:U5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42CommercialTable" displayName="EEZ242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42FunctionalTable" displayName="EEZ242FunctionalTable" ref="A1:E14" headerRowCount="1" totalsRowCount="0" totalsRowShown="0">
  <x:autoFilter ref="A1:E1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42ValidationTable" displayName="EEZ24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ce0b4fc24049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48815cdfb445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600f19f1304c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8c37e6fd034d9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EEZ_242</x:v>
      </x:c>
      <x:c r="B2" s="24" t="str">
        <x:v>Fiji</x:v>
      </x:c>
      <x:c r="C2" s="24" t="str">
        <x:v>EEZ</x:v>
      </x:c>
      <x:c r="D2" s="30" t="n">
        <x:v>2019</x:v>
      </x:c>
      <x:c r="E2" s="24" t="str">
        <x:v>Prionace glauca</x:v>
      </x:c>
      <x:c r="F2" s="24" t="str">
        <x:v>Blue shark</x:v>
      </x:c>
      <x:c r="G2" s="24" t="str">
        <x:v>Large sharks (&gt;=90 cm)</x:v>
      </x:c>
      <x:c r="H2" s="24" t="str">
        <x:v>Sharks &amp; rays</x:v>
      </x:c>
      <x:c r="I2" s="31" t="n">
        <x:v>9367.4746132225</x:v>
      </x:c>
      <x:c r="J2" s="31" t="n">
        <x:v>6305.8069423617</x:v>
      </x:c>
      <x:c r="K2" s="31" t="n">
        <x:v>3061.6676708608</x:v>
      </x:c>
      <x:c r="L2" s="31" t="n">
        <x:v>6305.8069423617</x:v>
      </x:c>
      <x:c r="M2" s="31" t="n">
        <x:v>3061.6676708608</x:v>
      </x:c>
      <x:c r="N2" s="24" t="str">
        <x:v>prionace glauca</x:v>
      </x:c>
      <x:c r="O2" s="32" t="n">
        <x:v>4.35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Prionace glauca</x:v>
      </x:c>
      <x:c r="T2" s="32" t="n">
        <x:f>IF(O2="","",(1/'Metadata'!$B$5)^(O2-1))</x:f>
        <x:v>2238.7211385683377</x:v>
      </x:c>
      <x:c r="U2" s="31" t="n">
        <x:f>IF(T2="","",I2*T2)</x:f>
        <x:v>20971163.43162347</x:v>
      </x:c>
    </x:row>
    <x:row r="3" ht="18" customHeight="1">
      <x:c r="A3" s="24" t="str">
        <x:v>EEZ_242</x:v>
      </x:c>
      <x:c r="B3" s="24" t="str">
        <x:v>Fiji</x:v>
      </x:c>
      <x:c r="C3" s="24" t="str">
        <x:v>EEZ</x:v>
      </x:c>
      <x:c r="D3" s="30" t="n">
        <x:v>2019</x:v>
      </x:c>
      <x:c r="E3" s="24" t="str">
        <x:v>Thunnus alalunga</x:v>
      </x:c>
      <x:c r="F3" s="24" t="str">
        <x:v>Albacore</x:v>
      </x:c>
      <x:c r="G3" s="24" t="str">
        <x:v>Large pelagics (&gt;=90 cm)</x:v>
      </x:c>
      <x:c r="H3" s="24" t="str">
        <x:v>Tuna &amp; billfishes</x:v>
      </x:c>
      <x:c r="I3" s="31" t="n">
        <x:v>8620.4030268707</x:v>
      </x:c>
      <x:c r="J3" s="31" t="n">
        <x:v>8620.3973143818</x:v>
      </x:c>
      <x:c r="K3" s="31" t="n">
        <x:v>0.0057124889</x:v>
      </x:c>
      <x:c r="L3" s="31" t="n">
        <x:v>8620.3973143818</x:v>
      </x:c>
      <x:c r="M3" s="31" t="n">
        <x:v>0.0057124889</x:v>
      </x:c>
      <x:c r="N3" s="24" t="str">
        <x:v>thunnus alalunga</x:v>
      </x:c>
      <x:c r="O3" s="32" t="n">
        <x:v>4.3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alalunga</x:v>
      </x:c>
      <x:c r="T3" s="32" t="n">
        <x:f>IF(O3="","",(1/'Metadata'!$B$5)^(O3-1))</x:f>
        <x:v>1995.2623149688789</x:v>
      </x:c>
      <x:c r="U3" s="31" t="n">
        <x:f>IF(T3="","",I3*T3)</x:f>
        <x:v>17199965.299358763</x:v>
      </x:c>
    </x:row>
    <x:row r="4" ht="18" customHeight="1">
      <x:c r="A4" s="24" t="str">
        <x:v>EEZ_242</x:v>
      </x:c>
      <x:c r="B4" s="24" t="str">
        <x:v>Fiji</x:v>
      </x:c>
      <x:c r="C4" s="24" t="str">
        <x:v>EEZ</x:v>
      </x:c>
      <x:c r="D4" s="30" t="n">
        <x:v>2019</x:v>
      </x:c>
      <x:c r="E4" s="24" t="str">
        <x:v>Lethrinidae</x:v>
      </x:c>
      <x:c r="F4" s="24" t="str">
        <x:v>Emperors, scavengers</x:v>
      </x:c>
      <x:c r="G4" s="24" t="str">
        <x:v>Medium reef assoc. fish (30 - 89 cm)</x:v>
      </x:c>
      <x:c r="H4" s="24" t="str">
        <x:v>Perch-likes</x:v>
      </x:c>
      <x:c r="I4" s="31" t="n">
        <x:v>4615.825240568</x:v>
      </x:c>
      <x:c r="J4" s="31" t="n">
        <x:v>4615.825240568</x:v>
      </x:c>
      <x:c r="K4" s="31" t="n">
        <x:v>0</x:v>
      </x:c>
      <x:c r="L4" s="31" t="n">
        <x:v>4454.977076</x:v>
      </x:c>
      <x:c r="M4" s="31" t="n">
        <x:v>160.84816456800002</x:v>
      </x:c>
      <x:c r="N4" s="24" t="str">
        <x:v>lethrinidae</x:v>
      </x:c>
      <x:c r="O4" s="32" t="n">
        <x:v>3.59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Lethrinidae</x:v>
      </x:c>
      <x:c r="T4" s="32" t="n">
        <x:f>IF(O4="","",(1/'Metadata'!$B$5)^(O4-1))</x:f>
        <x:v>389.04514499428046</x:v>
      </x:c>
      <x:c r="U4" s="31" t="n">
        <x:f>IF(T4="","",I4*T4)</x:f>
        <x:v>1795764.3999850368</x:v>
      </x:c>
    </x:row>
    <x:row r="5" ht="18" customHeight="1">
      <x:c r="A5" s="24" t="str">
        <x:v>EEZ_242</x:v>
      </x:c>
      <x:c r="B5" s="24" t="str">
        <x:v>Fiji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4159.9591693579005</x:v>
      </x:c>
      <x:c r="J5" s="31" t="n">
        <x:v>4121.4078698817</x:v>
      </x:c>
      <x:c r="K5" s="31" t="n">
        <x:v>38.5512994762</x:v>
      </x:c>
      <x:c r="L5" s="31" t="n">
        <x:v>4121.4078698817</x:v>
      </x:c>
      <x:c r="M5" s="31" t="n">
        <x:v>38.5512994762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10692741.505408216</x:v>
      </x:c>
    </x:row>
    <x:row r="6" ht="18" customHeight="1">
      <x:c r="A6" s="24" t="str">
        <x:v>EEZ_242</x:v>
      </x:c>
      <x:c r="B6" s="24" t="str">
        <x:v>Fiji</x:v>
      </x:c>
      <x:c r="C6" s="24" t="str">
        <x:v>EEZ</x:v>
      </x:c>
      <x:c r="D6" s="30" t="n">
        <x:v>2019</x:v>
      </x:c>
      <x:c r="E6" s="24" t="str">
        <x:v>Miscellaneous aquatic invertebrates</x:v>
      </x:c>
      <x:c r="F6" s="24" t="str">
        <x:v>Aquatic invertebrates</x:v>
      </x:c>
      <x:c r="G6" s="24" t="str">
        <x:v>Other demersal invertebrates</x:v>
      </x:c>
      <x:c r="H6" s="24" t="str">
        <x:v>Other fishes &amp; inverts</x:v>
      </x:c>
      <x:c r="I6" s="31" t="n">
        <x:v>2807.280341304</x:v>
      </x:c>
      <x:c r="J6" s="31" t="n">
        <x:v>2807.280341304</x:v>
      </x:c>
      <x:c r="K6" s="31" t="n">
        <x:v>0</x:v>
      </x:c>
      <x:c r="L6" s="31" t="n">
        <x:v>2693.0333811</x:v>
      </x:c>
      <x:c r="M6" s="31" t="n">
        <x:v>114.246960204</x:v>
      </x:c>
      <x:c r="N6" s="24" t="str">
        <x:v>miscellaneous aquatic invertebrates</x:v>
      </x:c>
      <x:c r="O6" s="32" t="n">
        <x:v>2.43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Miscellaneous aquatic invertebrates</x:v>
      </x:c>
      <x:c r="T6" s="32" t="n">
        <x:f>IF(O6="","",(1/'Metadata'!$B$5)^(O6-1))</x:f>
        <x:v>26.915348039269166</x:v>
      </x:c>
      <x:c r="U6" s="31" t="n">
        <x:f>IF(T6="","",I6*T6)</x:f>
        <x:v>75558.9274299955</x:v>
      </x:c>
    </x:row>
    <x:row r="7" ht="18" customHeight="1">
      <x:c r="A7" s="24" t="str">
        <x:v>EEZ_242</x:v>
      </x:c>
      <x:c r="B7" s="24" t="str">
        <x:v>Fiji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2452.3761837306</x:v>
      </x:c>
      <x:c r="J7" s="31" t="n">
        <x:v>950.0779895929</x:v>
      </x:c>
      <x:c r="K7" s="31" t="n">
        <x:v>1502.2981941377</x:v>
      </x:c>
      <x:c r="L7" s="31" t="n">
        <x:v>940.0379157129</x:v>
      </x:c>
      <x:c r="M7" s="31" t="n">
        <x:v>1512.3382680176999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467290.64837672753</x:v>
      </x:c>
    </x:row>
    <x:row r="8" ht="18" customHeight="1">
      <x:c r="A8" s="24" t="str">
        <x:v>EEZ_242</x:v>
      </x:c>
      <x:c r="B8" s="24" t="str">
        <x:v>Fiji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2342.2039934493</x:v>
      </x:c>
      <x:c r="J8" s="31" t="n">
        <x:v>1973.0946525</x:v>
      </x:c>
      <x:c r="K8" s="31" t="n">
        <x:v>369.1093409493</x:v>
      </x:c>
      <x:c r="L8" s="31" t="n">
        <x:v>1888.3473927999999</x:v>
      </x:c>
      <x:c r="M8" s="31" t="n">
        <x:v>453.8566006493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4262110.617919421</x:v>
      </x:c>
    </x:row>
    <x:row r="9" ht="18" customHeight="1">
      <x:c r="A9" s="24" t="str">
        <x:v>EEZ_242</x:v>
      </x:c>
      <x:c r="B9" s="24" t="str">
        <x:v>Fiji</x:v>
      </x:c>
      <x:c r="C9" s="24" t="str">
        <x:v>EEZ</x:v>
      </x:c>
      <x:c r="D9" s="30" t="n">
        <x:v>2019</x:v>
      </x:c>
      <x:c r="E9" s="24" t="str">
        <x:v>Bivalvia</x:v>
      </x:c>
      <x:c r="F9" s="24" t="str">
        <x:v>Clams</x:v>
      </x:c>
      <x:c r="G9" s="24" t="str">
        <x:v>Other demersal invertebrates</x:v>
      </x:c>
      <x:c r="H9" s="24" t="str">
        <x:v>Molluscs</x:v>
      </x:c>
      <x:c r="I9" s="31" t="n">
        <x:v>2297.52414276</x:v>
      </x:c>
      <x:c r="J9" s="31" t="n">
        <x:v>2297.52414276</x:v>
      </x:c>
      <x:c r="K9" s="31" t="n">
        <x:v>0</x:v>
      </x:c>
      <x:c r="L9" s="31" t="n">
        <x:v>2200.915531</x:v>
      </x:c>
      <x:c r="M9" s="31" t="n">
        <x:v>96.60861176</x:v>
      </x:c>
      <x:c r="N9" s="24" t="str">
        <x:v>bivalvia</x:v>
      </x:c>
      <x:c r="O9" s="32" t="n">
        <x:v>2.23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Bivalvia</x:v>
      </x:c>
      <x:c r="T9" s="32" t="n">
        <x:f>IF(O9="","",(1/'Metadata'!$B$5)^(O9-1))</x:f>
        <x:v>16.982436524617444</x:v>
      </x:c>
      <x:c r="U9" s="31" t="n">
        <x:f>IF(T9="","",I9*T9)</x:f>
        <x:v>39017.5579181978</x:v>
      </x:c>
    </x:row>
    <x:row r="10" ht="18" customHeight="1">
      <x:c r="A10" s="24" t="str">
        <x:v>EEZ_242</x:v>
      </x:c>
      <x:c r="B10" s="24" t="str">
        <x:v>Fiji</x:v>
      </x:c>
      <x:c r="C10" s="24" t="str">
        <x:v>EEZ</x:v>
      </x:c>
      <x:c r="D10" s="30" t="n">
        <x:v>2019</x:v>
      </x:c>
      <x:c r="E10" s="24" t="str">
        <x:v>Balistidae</x:v>
      </x:c>
      <x:c r="F10" s="24" t="str">
        <x:v>Triggerfishes</x:v>
      </x:c>
      <x:c r="G10" s="24" t="str">
        <x:v>Medium reef assoc. fish (30 - 89 cm)</x:v>
      </x:c>
      <x:c r="H10" s="24" t="str">
        <x:v>Other fishes &amp; inverts</x:v>
      </x:c>
      <x:c r="I10" s="31" t="n">
        <x:v>1663.7870235799999</x:v>
      </x:c>
      <x:c r="J10" s="31" t="n">
        <x:v>1663.7870235799999</x:v>
      </x:c>
      <x:c r="K10" s="31" t="n">
        <x:v>0</x:v>
      </x:c>
      <x:c r="L10" s="31" t="n">
        <x:v>1606.3578009999999</x:v>
      </x:c>
      <x:c r="M10" s="31" t="n">
        <x:v>57.42922258</x:v>
      </x:c>
      <x:c r="N10" s="24" t="str">
        <x:v>balistidae</x:v>
      </x:c>
      <x:c r="O10" s="32" t="n">
        <x:v>3.25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Balistidae</x:v>
      </x:c>
      <x:c r="T10" s="32" t="n">
        <x:f>IF(O10="","",(1/'Metadata'!$B$5)^(O10-1))</x:f>
        <x:v>177.82794100389228</x:v>
      </x:c>
      <x:c r="U10" s="31" t="n">
        <x:f>IF(T10="","",I10*T10)</x:f>
        <x:v>295867.82067222573</x:v>
      </x:c>
    </x:row>
    <x:row r="11" ht="18" customHeight="1">
      <x:c r="A11" s="24" t="str">
        <x:v>EEZ_242</x:v>
      </x:c>
      <x:c r="B11" s="24" t="str">
        <x:v>Fiji</x:v>
      </x:c>
      <x:c r="C11" s="24" t="str">
        <x:v>EEZ</x:v>
      </x:c>
      <x:c r="D11" s="30" t="n">
        <x:v>2019</x:v>
      </x:c>
      <x:c r="E11" s="24" t="str">
        <x:v>Serranidae</x:v>
      </x:c>
      <x:c r="F11" s="24" t="str">
        <x:v>Basses, groupers, hinds</x:v>
      </x:c>
      <x:c r="G11" s="24" t="str">
        <x:v>Medium reef assoc. fish (30 - 89 cm)</x:v>
      </x:c>
      <x:c r="H11" s="24" t="str">
        <x:v>Perch-likes</x:v>
      </x:c>
      <x:c r="I11" s="31" t="n">
        <x:v>1438.126878082</x:v>
      </x:c>
      <x:c r="J11" s="31" t="n">
        <x:v>1438.126878082</x:v>
      </x:c>
      <x:c r="K11" s="31" t="n">
        <x:v>0</x:v>
      </x:c>
      <x:c r="L11" s="31" t="n">
        <x:v>1376.3235791000002</x:v>
      </x:c>
      <x:c r="M11" s="31" t="n">
        <x:v>61.803298982</x:v>
      </x:c>
      <x:c r="N11" s="24" t="str">
        <x:v>serranidae</x:v>
      </x:c>
      <x:c r="O11" s="32" t="n">
        <x:v>3.98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Serranidae</x:v>
      </x:c>
      <x:c r="T11" s="32" t="n">
        <x:f>IF(O11="","",(1/'Metadata'!$B$5)^(O11-1))</x:f>
        <x:v>954.992586021436</x:v>
      </x:c>
      <x:c r="U11" s="31" t="n">
        <x:f>IF(T11="","",I11*T11)</x:f>
        <x:v>1373400.5063264635</x:v>
      </x:c>
    </x:row>
    <x:row r="12" ht="18" customHeight="1">
      <x:c r="A12" s="24" t="str">
        <x:v>EEZ_242</x:v>
      </x:c>
      <x:c r="B12" s="24" t="str">
        <x:v>Fiji</x:v>
      </x:c>
      <x:c r="C12" s="24" t="str">
        <x:v>EEZ</x:v>
      </x:c>
      <x:c r="D12" s="30" t="n">
        <x:v>2019</x:v>
      </x:c>
      <x:c r="E12" s="24" t="str">
        <x:v>Sphyraena</x:v>
      </x:c>
      <x:c r="F12" s="24" t="str">
        <x:v>Barracudas, sennets</x:v>
      </x:c>
      <x:c r="G12" s="24" t="str">
        <x:v>Large pelagics (&gt;=90 cm)</x:v>
      </x:c>
      <x:c r="H12" s="24" t="str">
        <x:v>Perch-likes</x:v>
      </x:c>
      <x:c r="I12" s="31" t="n">
        <x:v>1359.92215779</x:v>
      </x:c>
      <x:c r="J12" s="31" t="n">
        <x:v>1359.92215779</x:v>
      </x:c>
      <x:c r="K12" s="31" t="n">
        <x:v>0</x:v>
      </x:c>
      <x:c r="L12" s="31" t="n">
        <x:v>1325.1294975</x:v>
      </x:c>
      <x:c r="M12" s="31" t="n">
        <x:v>34.79266029</x:v>
      </x:c>
      <x:c r="N12" s="24" t="str">
        <x:v>sphyraena</x:v>
      </x:c>
      <x:c r="O12" s="32" t="n">
        <x:v>4.4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Sphyraena</x:v>
      </x:c>
      <x:c r="T12" s="32" t="n">
        <x:f>IF(O12="","",(1/'Metadata'!$B$5)^(O12-1))</x:f>
        <x:v>2511.886431509582</x:v>
      </x:c>
      <x:c r="U12" s="31" t="n">
        <x:f>IF(T12="","",I12*T12)</x:f>
        <x:v>3415970.0160619337</x:v>
      </x:c>
    </x:row>
    <x:row r="13" ht="18" customHeight="1">
      <x:c r="A13" s="24" t="str">
        <x:v>EEZ_242</x:v>
      </x:c>
      <x:c r="B13" s="24" t="str">
        <x:v>Fiji</x:v>
      </x:c>
      <x:c r="C13" s="24" t="str">
        <x:v>EEZ</x:v>
      </x:c>
      <x:c r="D13" s="30" t="n">
        <x:v>2019</x:v>
      </x:c>
      <x:c r="E13" s="24" t="str">
        <x:v>Mullidae</x:v>
      </x:c>
      <x:c r="F13" s="24" t="str">
        <x:v>Goatfishes</x:v>
      </x:c>
      <x:c r="G13" s="24" t="str">
        <x:v>Medium reef assoc. fish (30 - 89 cm)</x:v>
      </x:c>
      <x:c r="H13" s="24" t="str">
        <x:v>Perch-likes</x:v>
      </x:c>
      <x:c r="I13" s="31" t="n">
        <x:v>1328.41785908</x:v>
      </x:c>
      <x:c r="J13" s="31" t="n">
        <x:v>1328.41785908</x:v>
      </x:c>
      <x:c r="K13" s="31" t="n">
        <x:v>0</x:v>
      </x:c>
      <x:c r="L13" s="31" t="n">
        <x:v>1275.40626901</x:v>
      </x:c>
      <x:c r="M13" s="31" t="n">
        <x:v>53.01159007</x:v>
      </x:c>
      <x:c r="N13" s="24" t="str">
        <x:v>mullidae</x:v>
      </x:c>
      <x:c r="O13" s="32" t="n">
        <x:v>3.46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Mullidae</x:v>
      </x:c>
      <x:c r="T13" s="32" t="n">
        <x:f>IF(O13="","",(1/'Metadata'!$B$5)^(O13-1))</x:f>
        <x:v>288.40315031266056</x:v>
      </x:c>
      <x:c r="U13" s="31" t="n">
        <x:f>IF(T13="","",I13*T13)</x:f>
        <x:v>383119.89549027197</x:v>
      </x:c>
    </x:row>
    <x:row r="14" ht="18" customHeight="1">
      <x:c r="A14" s="24" t="str">
        <x:v>EEZ_242</x:v>
      </x:c>
      <x:c r="B14" s="24" t="str">
        <x:v>Fiji</x:v>
      </x:c>
      <x:c r="C14" s="24" t="str">
        <x:v>EEZ</x:v>
      </x:c>
      <x:c r="D14" s="30" t="n">
        <x:v>2019</x:v>
      </x:c>
      <x:c r="E14" s="24" t="str">
        <x:v>Mugilidae</x:v>
      </x:c>
      <x:c r="F14" s="24" t="str">
        <x:v>Mullets, grey mullets</x:v>
      </x:c>
      <x:c r="G14" s="24" t="str">
        <x:v>Medium reef assoc. fish (30 - 89 cm)</x:v>
      </x:c>
      <x:c r="H14" s="24" t="str">
        <x:v>Perch-likes</x:v>
      </x:c>
      <x:c r="I14" s="31" t="n">
        <x:v>1279.674186472</x:v>
      </x:c>
      <x:c r="J14" s="31" t="n">
        <x:v>1279.674186472</x:v>
      </x:c>
      <x:c r="K14" s="31" t="n">
        <x:v>0</x:v>
      </x:c>
      <x:c r="L14" s="31" t="n">
        <x:v>1248.91745059</x:v>
      </x:c>
      <x:c r="M14" s="31" t="n">
        <x:v>30.756735882</x:v>
      </x:c>
      <x:c r="N14" s="24" t="str">
        <x:v>mugilidae</x:v>
      </x:c>
      <x:c r="O14" s="32" t="n">
        <x:v>2.53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Mugilidae</x:v>
      </x:c>
      <x:c r="T14" s="32" t="n">
        <x:f>IF(O14="","",(1/'Metadata'!$B$5)^(O14-1))</x:f>
        <x:v>33.88441561392024</x:v>
      </x:c>
      <x:c r="U14" s="31" t="n">
        <x:f>IF(T14="","",I14*T14)</x:f>
        <x:v>43361.011984822515</x:v>
      </x:c>
    </x:row>
    <x:row r="15" ht="18" customHeight="1">
      <x:c r="A15" s="24" t="str">
        <x:v>EEZ_242</x:v>
      </x:c>
      <x:c r="B15" s="24" t="str">
        <x:v>Fiji</x:v>
      </x:c>
      <x:c r="C15" s="24" t="str">
        <x:v>EEZ</x:v>
      </x:c>
      <x:c r="D15" s="30" t="n">
        <x:v>2019</x:v>
      </x:c>
      <x:c r="E15" s="24" t="str">
        <x:v>Carangidae</x:v>
      </x:c>
      <x:c r="F15" s="24" t="str">
        <x:v>Jacks, pompanos</x:v>
      </x:c>
      <x:c r="G15" s="24" t="str">
        <x:v>Medium pelagics (30 - 89 cm)</x:v>
      </x:c>
      <x:c r="H15" s="24" t="str">
        <x:v>Perch-likes</x:v>
      </x:c>
      <x:c r="I15" s="31" t="n">
        <x:v>1219.3926518526</x:v>
      </x:c>
      <x:c r="J15" s="31" t="n">
        <x:v>1217.292071159</x:v>
      </x:c>
      <x:c r="K15" s="31" t="n">
        <x:v>2.1005806936</x:v>
      </x:c>
      <x:c r="L15" s="31" t="n">
        <x:v>1181.62161439</x:v>
      </x:c>
      <x:c r="M15" s="31" t="n">
        <x:v>37.7710374626</x:v>
      </x:c>
      <x:c r="N15" s="24" t="str">
        <x:v>carangidae</x:v>
      </x:c>
      <x:c r="O15" s="32" t="n">
        <x:v>4.05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Carangidae</x:v>
      </x:c>
      <x:c r="T15" s="32" t="n">
        <x:f>IF(O15="","",(1/'Metadata'!$B$5)^(O15-1))</x:f>
        <x:v>1122.018454301963</x:v>
      </x:c>
      <x:c r="U15" s="31" t="n">
        <x:f>IF(T15="","",I15*T15)</x:f>
        <x:v>1368181.058418826</x:v>
      </x:c>
    </x:row>
    <x:row r="16" ht="18" customHeight="1">
      <x:c r="A16" s="24" t="str">
        <x:v>EEZ_242</x:v>
      </x:c>
      <x:c r="B16" s="24" t="str">
        <x:v>Fiji</x:v>
      </x:c>
      <x:c r="C16" s="24" t="str">
        <x:v>EEZ</x:v>
      </x:c>
      <x:c r="D16" s="30" t="n">
        <x:v>2019</x:v>
      </x:c>
      <x:c r="E16" s="24" t="str">
        <x:v>Acanthuridae</x:v>
      </x:c>
      <x:c r="F16" s="24" t="str">
        <x:v>Surgeons, tangs, unicornfishes</x:v>
      </x:c>
      <x:c r="G16" s="24" t="str">
        <x:v>Small reef assoc. fish (&lt;30 cm)</x:v>
      </x:c>
      <x:c r="H16" s="24" t="str">
        <x:v>Perch-likes</x:v>
      </x:c>
      <x:c r="I16" s="31" t="n">
        <x:v>1102.342803138</x:v>
      </x:c>
      <x:c r="J16" s="31" t="n">
        <x:v>1102.342803138</x:v>
      </x:c>
      <x:c r="K16" s="31" t="n">
        <x:v>0</x:v>
      </x:c>
      <x:c r="L16" s="31" t="n">
        <x:v>1066.600140138</x:v>
      </x:c>
      <x:c r="M16" s="31" t="n">
        <x:v>35.742663</x:v>
      </x:c>
      <x:c r="N16" s="24" t="str">
        <x:v>acanthuridae</x:v>
      </x:c>
      <x:c r="O16" s="32" t="n">
        <x:v>2.28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Acanthuridae</x:v>
      </x:c>
      <x:c r="T16" s="32" t="n">
        <x:f>IF(O16="","",(1/'Metadata'!$B$5)^(O16-1))</x:f>
        <x:v>19.054607179632463</x:v>
      </x:c>
      <x:c r="U16" s="31" t="n">
        <x:f>IF(T16="","",I16*T16)</x:f>
        <x:v>21004.709091089506</x:v>
      </x:c>
    </x:row>
    <x:row r="17" ht="18" customHeight="1">
      <x:c r="A17" s="24" t="str">
        <x:v>EEZ_242</x:v>
      </x:c>
      <x:c r="B17" s="24" t="str">
        <x:v>Fiji</x:v>
      </x:c>
      <x:c r="C17" s="24" t="str">
        <x:v>EEZ</x:v>
      </x:c>
      <x:c r="D17" s="30" t="n">
        <x:v>2019</x:v>
      </x:c>
      <x:c r="E17" s="24" t="str">
        <x:v>Siganus</x:v>
      </x:c>
      <x:c r="F17" s="24" t="str">
        <x:v>Spinefoots</x:v>
      </x:c>
      <x:c r="G17" s="24" t="str">
        <x:v>Medium reef assoc. fish (30 - 89 cm)</x:v>
      </x:c>
      <x:c r="H17" s="24" t="str">
        <x:v>Perch-likes</x:v>
      </x:c>
      <x:c r="I17" s="31" t="n">
        <x:v>1035.58802314</x:v>
      </x:c>
      <x:c r="J17" s="31" t="n">
        <x:v>1035.58802314</x:v>
      </x:c>
      <x:c r="K17" s="31" t="n">
        <x:v>0</x:v>
      </x:c>
      <x:c r="L17" s="31" t="n">
        <x:v>1035.58802314</x:v>
      </x:c>
      <x:c r="M17" s="31" t="n">
        <x:v>0</x:v>
      </x:c>
      <x:c r="N17" s="24" t="str">
        <x:v>siganus</x:v>
      </x:c>
      <x:c r="O17" s="32" t="n">
        <x:v>2.11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Siganus</x:v>
      </x:c>
      <x:c r="T17" s="32" t="n">
        <x:f>IF(O17="","",(1/'Metadata'!$B$5)^(O17-1))</x:f>
        <x:v>12.882495516931336</x:v>
      </x:c>
      <x:c r="U17" s="31" t="n">
        <x:f>IF(T17="","",I17*T17)</x:f>
        <x:v>13340.958065488832</x:v>
      </x:c>
    </x:row>
    <x:row r="18" ht="18" customHeight="1">
      <x:c r="A18" s="24" t="str">
        <x:v>EEZ_242</x:v>
      </x:c>
      <x:c r="B18" s="24" t="str">
        <x:v>Fiji</x:v>
      </x:c>
      <x:c r="C18" s="24" t="str">
        <x:v>EEZ</x:v>
      </x:c>
      <x:c r="D18" s="30" t="n">
        <x:v>2019</x:v>
      </x:c>
      <x:c r="E18" s="24" t="str">
        <x:v>Katsuwonus pelamis</x:v>
      </x:c>
      <x:c r="F18" s="24" t="str">
        <x:v>Skipjack tuna</x:v>
      </x:c>
      <x:c r="G18" s="24" t="str">
        <x:v>Large pelagics (&gt;=90 cm)</x:v>
      </x:c>
      <x:c r="H18" s="24" t="str">
        <x:v>Tuna &amp; billfishes</x:v>
      </x:c>
      <x:c r="I18" s="31" t="n">
        <x:v>879.3384838922</x:v>
      </x:c>
      <x:c r="J18" s="31" t="n">
        <x:v>874.06017205</x:v>
      </x:c>
      <x:c r="K18" s="31" t="n">
        <x:v>5.2783118422</x:v>
      </x:c>
      <x:c r="L18" s="31" t="n">
        <x:v>874.06017205</x:v>
      </x:c>
      <x:c r="M18" s="31" t="n">
        <x:v>5.2783118422</x:v>
      </x:c>
      <x:c r="N18" s="24" t="str">
        <x:v>katsuwonus pelamis</x:v>
      </x:c>
      <x:c r="O18" s="32" t="n">
        <x:v>4.43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Katsuwonus pelamis</x:v>
      </x:c>
      <x:c r="T18" s="32" t="n">
        <x:f>IF(O18="","",(1/'Metadata'!$B$5)^(O18-1))</x:f>
        <x:v>2691.534803926914</x:v>
      </x:c>
      <x:c r="U18" s="31" t="n">
        <x:f>IF(T18="","",I18*T18)</x:f>
        <x:v>2366770.1338281822</x:v>
      </x:c>
    </x:row>
    <x:row r="19" ht="18" customHeight="1">
      <x:c r="A19" s="24" t="str">
        <x:v>EEZ_242</x:v>
      </x:c>
      <x:c r="B19" s="24" t="str">
        <x:v>Fiji</x:v>
      </x:c>
      <x:c r="C19" s="24" t="str">
        <x:v>EEZ</x:v>
      </x:c>
      <x:c r="D19" s="30" t="n">
        <x:v>2019</x:v>
      </x:c>
      <x:c r="E19" s="24" t="str">
        <x:v>Scaridae</x:v>
      </x:c>
      <x:c r="F19" s="24" t="str">
        <x:v>Parrotfishes</x:v>
      </x:c>
      <x:c r="G19" s="24" t="str">
        <x:v>Medium reef assoc. fish (30 - 89 cm)</x:v>
      </x:c>
      <x:c r="H19" s="24" t="str">
        <x:v>Perch-likes</x:v>
      </x:c>
      <x:c r="I19" s="31" t="n">
        <x:v>726.9736384</x:v>
      </x:c>
      <x:c r="J19" s="31" t="n">
        <x:v>726.9736384</x:v>
      </x:c>
      <x:c r="K19" s="31" t="n">
        <x:v>0</x:v>
      </x:c>
      <x:c r="L19" s="31" t="n">
        <x:v>695.6486079</x:v>
      </x:c>
      <x:c r="M19" s="31" t="n">
        <x:v>31.3250305</x:v>
      </x:c>
      <x:c r="N19" s="24" t="str">
        <x:v>scaridae</x:v>
      </x:c>
      <x:c r="O19" s="32" t="n">
        <x:v>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Scaridae</x:v>
      </x:c>
      <x:c r="T19" s="32" t="n">
        <x:f>IF(O19="","",(1/'Metadata'!$B$5)^(O19-1))</x:f>
        <x:v>10</x:v>
      </x:c>
      <x:c r="U19" s="31" t="n">
        <x:f>IF(T19="","",I19*T19)</x:f>
        <x:v>7269.736384</x:v>
      </x:c>
    </x:row>
    <x:row r="20" ht="18" customHeight="1">
      <x:c r="A20" s="24" t="str">
        <x:v>EEZ_242</x:v>
      </x:c>
      <x:c r="B20" s="24" t="str">
        <x:v>Fiji</x:v>
      </x:c>
      <x:c r="C20" s="24" t="str">
        <x:v>EEZ</x:v>
      </x:c>
      <x:c r="D20" s="30" t="n">
        <x:v>2019</x:v>
      </x:c>
      <x:c r="E20" s="24" t="str">
        <x:v>Thunnus obesus</x:v>
      </x:c>
      <x:c r="F20" s="24" t="str">
        <x:v>Bigeye tuna</x:v>
      </x:c>
      <x:c r="G20" s="24" t="str">
        <x:v>Large pelagics (&gt;=90 cm)</x:v>
      </x:c>
      <x:c r="H20" s="24" t="str">
        <x:v>Tuna &amp; billfishes</x:v>
      </x:c>
      <x:c r="I20" s="31" t="n">
        <x:v>724.2965937533</x:v>
      </x:c>
      <x:c r="J20" s="31" t="n">
        <x:v>684.5307431514</x:v>
      </x:c>
      <x:c r="K20" s="31" t="n">
        <x:v>39.7658506019</x:v>
      </x:c>
      <x:c r="L20" s="31" t="n">
        <x:v>684.5307431514</x:v>
      </x:c>
      <x:c r="M20" s="31" t="n">
        <x:v>39.7658506019</x:v>
      </x:c>
      <x:c r="N20" s="24" t="str">
        <x:v>thunnus obesus</x:v>
      </x:c>
      <x:c r="O20" s="32" t="n">
        <x:v>4.49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Thunnus obesus</x:v>
      </x:c>
      <x:c r="T20" s="32" t="n">
        <x:f>IF(O20="","",(1/'Metadata'!$B$5)^(O20-1))</x:f>
        <x:v>3090.295432513592</x:v>
      </x:c>
      <x:c r="U20" s="31" t="n">
        <x:f>IF(T20="","",I20*T20)</x:f>
        <x:v>2238290.455460976</x:v>
      </x:c>
    </x:row>
    <x:row r="21" ht="18" customHeight="1">
      <x:c r="A21" s="24" t="str">
        <x:v>EEZ_242</x:v>
      </x:c>
      <x:c r="B21" s="24" t="str">
        <x:v>Fiji</x:v>
      </x:c>
      <x:c r="C21" s="24" t="str">
        <x:v>EEZ</x:v>
      </x:c>
      <x:c r="D21" s="30" t="n">
        <x:v>2019</x:v>
      </x:c>
      <x:c r="E21" s="24" t="str">
        <x:v>Epinephelus</x:v>
      </x:c>
      <x:c r="F21" s="24" t="str">
        <x:v>Seabasses, hinds</x:v>
      </x:c>
      <x:c r="G21" s="24" t="str">
        <x:v>Medium reef assoc. fish (30 - 89 cm)</x:v>
      </x:c>
      <x:c r="H21" s="24" t="str">
        <x:v>Perch-likes</x:v>
      </x:c>
      <x:c r="I21" s="31" t="n">
        <x:v>670</x:v>
      </x:c>
      <x:c r="J21" s="31" t="n">
        <x:v>670</x:v>
      </x:c>
      <x:c r="K21" s="31" t="n">
        <x:v>0</x:v>
      </x:c>
      <x:c r="L21" s="31" t="n">
        <x:v>670</x:v>
      </x:c>
      <x:c r="M21" s="31" t="n">
        <x:v>0</x:v>
      </x:c>
      <x:c r="N21" s="24" t="str">
        <x:v>epinephelus</x:v>
      </x:c>
      <x:c r="O21" s="32" t="n">
        <x:v>3.84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Epinephelus</x:v>
      </x:c>
      <x:c r="T21" s="32" t="n">
        <x:f>IF(O21="","",(1/'Metadata'!$B$5)^(O21-1))</x:f>
        <x:v>691.8309709189363</x:v>
      </x:c>
      <x:c r="U21" s="31" t="n">
        <x:f>IF(T21="","",I21*T21)</x:f>
        <x:v>463526.7505156873</x:v>
      </x:c>
    </x:row>
    <x:row r="22" ht="18" customHeight="1">
      <x:c r="A22" s="24" t="str">
        <x:v>EEZ_242</x:v>
      </x:c>
      <x:c r="B22" s="24" t="str">
        <x:v>Fiji</x:v>
      </x:c>
      <x:c r="C22" s="24" t="str">
        <x:v>EEZ</x:v>
      </x:c>
      <x:c r="D22" s="30" t="n">
        <x:v>2019</x:v>
      </x:c>
      <x:c r="E22" s="24" t="str">
        <x:v>Carcharhinus falciformis</x:v>
      </x:c>
      <x:c r="F22" s="24" t="str">
        <x:v>Silky shark</x:v>
      </x:c>
      <x:c r="G22" s="24" t="str">
        <x:v>Large sharks (&gt;=90 cm)</x:v>
      </x:c>
      <x:c r="H22" s="24" t="str">
        <x:v>Sharks &amp; rays</x:v>
      </x:c>
      <x:c r="I22" s="31" t="n">
        <x:v>631.6111736288</x:v>
      </x:c>
      <x:c r="J22" s="31" t="n">
        <x:v>157.6180095478</x:v>
      </x:c>
      <x:c r="K22" s="31" t="n">
        <x:v>473.993164081</x:v>
      </x:c>
      <x:c r="L22" s="31" t="n">
        <x:v>157.6180095478</x:v>
      </x:c>
      <x:c r="M22" s="31" t="n">
        <x:v>473.993164081</x:v>
      </x:c>
      <x:c r="N22" s="24" t="str">
        <x:v>carcharhinus falciformis</x:v>
      </x:c>
      <x:c r="O22" s="32" t="n">
        <x:v>4.51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Carcharhinus falciformis</x:v>
      </x:c>
      <x:c r="T22" s="32" t="n">
        <x:f>IF(O22="","",(1/'Metadata'!$B$5)^(O22-1))</x:f>
        <x:v>3235.936569296281</x:v>
      </x:c>
      <x:c r="U22" s="31" t="n">
        <x:f>IF(T22="","",I22*T22)</x:f>
        <x:v>2043853.6943215767</x:v>
      </x:c>
    </x:row>
    <x:row r="23" ht="18" customHeight="1">
      <x:c r="A23" s="24" t="str">
        <x:v>EEZ_242</x:v>
      </x:c>
      <x:c r="B23" s="24" t="str">
        <x:v>Fiji</x:v>
      </x:c>
      <x:c r="C23" s="24" t="str">
        <x:v>EEZ</x:v>
      </x:c>
      <x:c r="D23" s="30" t="n">
        <x:v>2019</x:v>
      </x:c>
      <x:c r="E23" s="24" t="str">
        <x:v>Xiphias gladius</x:v>
      </x:c>
      <x:c r="F23" s="24" t="str">
        <x:v>Swordfish</x:v>
      </x:c>
      <x:c r="G23" s="24" t="str">
        <x:v>Large pelagics (&gt;=90 cm)</x:v>
      </x:c>
      <x:c r="H23" s="24" t="str">
        <x:v>Tuna &amp; billfishes</x:v>
      </x:c>
      <x:c r="I23" s="31" t="n">
        <x:v>618.1037703361</x:v>
      </x:c>
      <x:c r="J23" s="31" t="n">
        <x:v>142.6772401134</x:v>
      </x:c>
      <x:c r="K23" s="31" t="n">
        <x:v>475.4265302227</x:v>
      </x:c>
      <x:c r="L23" s="31" t="n">
        <x:v>142.6772401134</x:v>
      </x:c>
      <x:c r="M23" s="31" t="n">
        <x:v>475.4265302227</x:v>
      </x:c>
      <x:c r="N23" s="24" t="str">
        <x:v>xiphias gladius</x:v>
      </x:c>
      <x:c r="O23" s="32" t="n">
        <x:v>4.53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Xiphias gladius</x:v>
      </x:c>
      <x:c r="T23" s="32" t="n">
        <x:f>IF(O23="","",(1/'Metadata'!$B$5)^(O23-1))</x:f>
        <x:v>3388.4415613920273</x:v>
      </x:c>
      <x:c r="U23" s="31" t="n">
        <x:f>IF(T23="","",I23*T23)</x:f>
        <x:v>2094408.5046599535</x:v>
      </x:c>
    </x:row>
    <x:row r="24" ht="18" customHeight="1">
      <x:c r="A24" s="24" t="str">
        <x:v>EEZ_242</x:v>
      </x:c>
      <x:c r="B24" s="24" t="str">
        <x:v>Fiji</x:v>
      </x:c>
      <x:c r="C24" s="24" t="str">
        <x:v>EEZ</x:v>
      </x:c>
      <x:c r="D24" s="30" t="n">
        <x:v>2019</x:v>
      </x:c>
      <x:c r="E24" s="24" t="str">
        <x:v>Isurus</x:v>
      </x:c>
      <x:c r="F24" s="24" t="str">
        <x:v>Mako sharks</x:v>
      </x:c>
      <x:c r="G24" s="24" t="str">
        <x:v>Large sharks (&gt;=90 cm)</x:v>
      </x:c>
      <x:c r="H24" s="24" t="str">
        <x:v>Sharks &amp; rays</x:v>
      </x:c>
      <x:c r="I24" s="31" t="n">
        <x:v>567.767469269</x:v>
      </x:c>
      <x:c r="J24" s="31" t="n">
        <x:v>208.20219631679998</x:v>
      </x:c>
      <x:c r="K24" s="31" t="n">
        <x:v>359.56527295219996</x:v>
      </x:c>
      <x:c r="L24" s="31" t="n">
        <x:v>208.20219631679998</x:v>
      </x:c>
      <x:c r="M24" s="31" t="n">
        <x:v>359.56527295219996</x:v>
      </x:c>
      <x:c r="N24" s="24" t="str">
        <x:v>isurus</x:v>
      </x:c>
      <x:c r="O24" s="32" t="n">
        <x:v>4.5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Isurus</x:v>
      </x:c>
      <x:c r="T24" s="32" t="n">
        <x:f>IF(O24="","",(1/'Metadata'!$B$5)^(O24-1))</x:f>
        <x:v>3162.2776601683795</x:v>
      </x:c>
      <x:c r="U24" s="31" t="n">
        <x:f>IF(T24="","",I24*T24)</x:f>
        <x:v>1795438.3842396957</x:v>
      </x:c>
    </x:row>
    <x:row r="25" ht="18" customHeight="1">
      <x:c r="A25" s="24" t="str">
        <x:v>EEZ_242</x:v>
      </x:c>
      <x:c r="B25" s="24" t="str">
        <x:v>Fiji</x:v>
      </x:c>
      <x:c r="C25" s="24" t="str">
        <x:v>EEZ</x:v>
      </x:c>
      <x:c r="D25" s="30" t="n">
        <x:v>2019</x:v>
      </x:c>
      <x:c r="E25" s="24" t="str">
        <x:v>Gastropoda</x:v>
      </x:c>
      <x:c r="F25" s="24" t="str">
        <x:v>Sea snails</x:v>
      </x:c>
      <x:c r="G25" s="24" t="str">
        <x:v>Other demersal invertebrates</x:v>
      </x:c>
      <x:c r="H25" s="24" t="str">
        <x:v>Molluscs</x:v>
      </x:c>
      <x:c r="I25" s="31" t="n">
        <x:v>551.43510907</x:v>
      </x:c>
      <x:c r="J25" s="31" t="n">
        <x:v>551.43510907</x:v>
      </x:c>
      <x:c r="K25" s="31" t="n">
        <x:v>0</x:v>
      </x:c>
      <x:c r="L25" s="31" t="n">
        <x:v>527.7334267</x:v>
      </x:c>
      <x:c r="M25" s="31" t="n">
        <x:v>23.70168237</x:v>
      </x:c>
      <x:c r="N25" s="24" t="str">
        <x:v>gastropoda</x:v>
      </x:c>
      <x:c r="O25" s="32" t="n">
        <x:v>3.06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Gastropoda</x:v>
      </x:c>
      <x:c r="T25" s="32" t="n">
        <x:f>IF(O25="","",(1/'Metadata'!$B$5)^(O25-1))</x:f>
        <x:v>114.81536214968828</x:v>
      </x:c>
      <x:c r="U25" s="31" t="n">
        <x:f>IF(T25="","",I25*T25)</x:f>
        <x:v>63313.2217499249</x:v>
      </x:c>
    </x:row>
    <x:row r="26" ht="18" customHeight="1">
      <x:c r="A26" s="24" t="str">
        <x:v>EEZ_242</x:v>
      </x:c>
      <x:c r="B26" s="24" t="str">
        <x:v>Fiji</x:v>
      </x:c>
      <x:c r="C26" s="24" t="str">
        <x:v>EEZ</x:v>
      </x:c>
      <x:c r="D26" s="30" t="n">
        <x:v>2019</x:v>
      </x:c>
      <x:c r="E26" s="24" t="str">
        <x:v>Carcharhinus longimanus</x:v>
      </x:c>
      <x:c r="F26" s="24" t="str">
        <x:v>Oceanic whitetip shark</x:v>
      </x:c>
      <x:c r="G26" s="24" t="str">
        <x:v>Large sharks (&gt;=90 cm)</x:v>
      </x:c>
      <x:c r="H26" s="24" t="str">
        <x:v>Sharks &amp; rays</x:v>
      </x:c>
      <x:c r="I26" s="31" t="n">
        <x:v>508.21298744029997</x:v>
      </x:c>
      <x:c r="J26" s="31" t="n">
        <x:v>392.0399445856</x:v>
      </x:c>
      <x:c r="K26" s="31" t="n">
        <x:v>116.17304285469999</x:v>
      </x:c>
      <x:c r="L26" s="31" t="n">
        <x:v>392.0399445856</x:v>
      </x:c>
      <x:c r="M26" s="31" t="n">
        <x:v>116.17304285469999</x:v>
      </x:c>
      <x:c r="N26" s="24" t="str">
        <x:v>carcharhinus longimanus</x:v>
      </x:c>
      <x:c r="O26" s="32" t="n">
        <x:v>4.16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Carcharhinus longimanus</x:v>
      </x:c>
      <x:c r="T26" s="32" t="n">
        <x:f>IF(O26="","",(1/'Metadata'!$B$5)^(O26-1))</x:f>
        <x:v>1445.439770745928</x:v>
      </x:c>
      <x:c r="U26" s="31" t="n">
        <x:f>IF(T26="","",I26*T26)</x:f>
        <x:v>734591.2640558104</x:v>
      </x:c>
    </x:row>
    <x:row r="27" ht="18" customHeight="1">
      <x:c r="A27" s="24" t="str">
        <x:v>EEZ_242</x:v>
      </x:c>
      <x:c r="B27" s="24" t="str">
        <x:v>Fiji</x:v>
      </x:c>
      <x:c r="C27" s="24" t="str">
        <x:v>EEZ</x:v>
      </x:c>
      <x:c r="D27" s="30" t="n">
        <x:v>2019</x:v>
      </x:c>
      <x:c r="E27" s="24" t="str">
        <x:v>Acanthocybium solandri</x:v>
      </x:c>
      <x:c r="F27" s="24" t="str">
        <x:v>Wahoo</x:v>
      </x:c>
      <x:c r="G27" s="24" t="str">
        <x:v>Large pelagics (&gt;=90 cm)</x:v>
      </x:c>
      <x:c r="H27" s="24" t="str">
        <x:v>Perch-likes</x:v>
      </x:c>
      <x:c r="I27" s="31" t="n">
        <x:v>453.8636328248</x:v>
      </x:c>
      <x:c r="J27" s="31" t="n">
        <x:v>439.99999998</x:v>
      </x:c>
      <x:c r="K27" s="31" t="n">
        <x:v>13.8636328448</x:v>
      </x:c>
      <x:c r="L27" s="31" t="n">
        <x:v>439.99999998</x:v>
      </x:c>
      <x:c r="M27" s="31" t="n">
        <x:v>13.8636328448</x:v>
      </x:c>
      <x:c r="N27" s="24" t="str">
        <x:v>acanthocybium solandri</x:v>
      </x:c>
      <x:c r="O27" s="32" t="n">
        <x:v>4.26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Acanthocybium solandri</x:v>
      </x:c>
      <x:c r="T27" s="32" t="n">
        <x:f>IF(O27="","",(1/'Metadata'!$B$5)^(O27-1))</x:f>
        <x:v>1819.7008586099826</x:v>
      </x:c>
      <x:c r="U27" s="31" t="n">
        <x:f>IF(T27="","",I27*T27)</x:f>
        <x:v>825896.0423431344</x:v>
      </x:c>
    </x:row>
    <x:row r="28" ht="18" customHeight="1">
      <x:c r="A28" s="24" t="str">
        <x:v>EEZ_242</x:v>
      </x:c>
      <x:c r="B28" s="24" t="str">
        <x:v>Fiji</x:v>
      </x:c>
      <x:c r="C28" s="24" t="str">
        <x:v>EEZ</x:v>
      </x:c>
      <x:c r="D28" s="30" t="n">
        <x:v>2019</x:v>
      </x:c>
      <x:c r="E28" s="24" t="str">
        <x:v>Marine pelagic fishes not identified</x:v>
      </x:c>
      <x:c r="F28" s="24" t="str">
        <x:v>Pelagic fishes</x:v>
      </x:c>
      <x:c r="G28" s="24" t="str">
        <x:v>Medium pelagics (30 - 89 cm)</x:v>
      </x:c>
      <x:c r="H28" s="24" t="str">
        <x:v>Other fishes &amp; inverts</x:v>
      </x:c>
      <x:c r="I28" s="31" t="n">
        <x:v>439.4869900324</x:v>
      </x:c>
      <x:c r="J28" s="31" t="n">
        <x:v>366.8922824862</x:v>
      </x:c>
      <x:c r="K28" s="31" t="n">
        <x:v>72.5947075462</x:v>
      </x:c>
      <x:c r="L28" s="31" t="n">
        <x:v>366.8922824862</x:v>
      </x:c>
      <x:c r="M28" s="31" t="n">
        <x:v>72.5947075462</x:v>
      </x:c>
      <x:c r="N28" s="24" t="str">
        <x:v>marine pelagic fishes not identified</x:v>
      </x:c>
      <x:c r="O28" s="32" t="n">
        <x:v>3.35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Marine pelagic fishes not identified</x:v>
      </x:c>
      <x:c r="T28" s="32" t="n">
        <x:f>IF(O28="","",(1/'Metadata'!$B$5)^(O28-1))</x:f>
        <x:v>223.872113856834</x:v>
      </x:c>
      <x:c r="U28" s="31" t="n">
        <x:f>IF(T28="","",I28*T28)</x:f>
        <x:v>98388.88147113072</x:v>
      </x:c>
    </x:row>
    <x:row r="29" ht="18" customHeight="1">
      <x:c r="A29" s="24" t="str">
        <x:v>EEZ_242</x:v>
      </x:c>
      <x:c r="B29" s="24" t="str">
        <x:v>Fiji</x:v>
      </x:c>
      <x:c r="C29" s="24" t="str">
        <x:v>EEZ</x:v>
      </x:c>
      <x:c r="D29" s="30" t="n">
        <x:v>2019</x:v>
      </x:c>
      <x:c r="E29" s="24" t="str">
        <x:v>Holocentridae</x:v>
      </x:c>
      <x:c r="F29" s="24" t="str">
        <x:v>Squirrel-, soldierfishes</x:v>
      </x:c>
      <x:c r="G29" s="24" t="str">
        <x:v>Small reef assoc. fish (&lt;30 cm)</x:v>
      </x:c>
      <x:c r="H29" s="24" t="str">
        <x:v>Other fishes &amp; inverts</x:v>
      </x:c>
      <x:c r="I29" s="31" t="n">
        <x:v>388.27790816</x:v>
      </x:c>
      <x:c r="J29" s="31" t="n">
        <x:v>388.27790816</x:v>
      </x:c>
      <x:c r="K29" s="31" t="n">
        <x:v>0</x:v>
      </x:c>
      <x:c r="L29" s="31" t="n">
        <x:v>371.812187</x:v>
      </x:c>
      <x:c r="M29" s="31" t="n">
        <x:v>16.46572116</x:v>
      </x:c>
      <x:c r="N29" s="24" t="str">
        <x:v>holocentridae</x:v>
      </x:c>
      <x:c r="O29" s="32" t="n">
        <x:v>3.49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Holocentridae</x:v>
      </x:c>
      <x:c r="T29" s="32" t="n">
        <x:f>IF(O29="","",(1/'Metadata'!$B$5)^(O29-1))</x:f>
        <x:v>309.0295432513592</x:v>
      </x:c>
      <x:c r="U29" s="31" t="n">
        <x:f>IF(T29="","",I29*T29)</x:f>
        <x:v>119989.344613278</x:v>
      </x:c>
    </x:row>
    <x:row r="30" ht="18" customHeight="1">
      <x:c r="A30" s="24" t="str">
        <x:v>EEZ_242</x:v>
      </x:c>
      <x:c r="B30" s="24" t="str">
        <x:v>Fiji</x:v>
      </x:c>
      <x:c r="C30" s="24" t="str">
        <x:v>EEZ</x:v>
      </x:c>
      <x:c r="D30" s="30" t="n">
        <x:v>2019</x:v>
      </x:c>
      <x:c r="E30" s="24" t="str">
        <x:v>Lutjanidae</x:v>
      </x:c>
      <x:c r="F30" s="24" t="str">
        <x:v>Snappers</x:v>
      </x:c>
      <x:c r="G30" s="24" t="str">
        <x:v>Medium reef assoc. fish (30 - 89 cm)</x:v>
      </x:c>
      <x:c r="H30" s="24" t="str">
        <x:v>Perch-likes</x:v>
      </x:c>
      <x:c r="I30" s="31" t="n">
        <x:v>372.588236415</x:v>
      </x:c>
      <x:c r="J30" s="31" t="n">
        <x:v>372.588236415</x:v>
      </x:c>
      <x:c r="K30" s="31" t="n">
        <x:v>0</x:v>
      </x:c>
      <x:c r="L30" s="31" t="n">
        <x:v>370.981824595</x:v>
      </x:c>
      <x:c r="M30" s="31" t="n">
        <x:v>1.60641182</x:v>
      </x:c>
      <x:c r="N30" s="24" t="str">
        <x:v>lutjanidae</x:v>
      </x:c>
      <x:c r="O30" s="32" t="n">
        <x:v>4.02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Lutjanidae</x:v>
      </x:c>
      <x:c r="T30" s="32" t="n">
        <x:f>IF(O30="","",(1/'Metadata'!$B$5)^(O30-1))</x:f>
        <x:v>1047.1285480508984</x:v>
      </x:c>
      <x:c r="U30" s="31" t="n">
        <x:f>IF(T30="","",I30*T30)</x:f>
        <x:v>390147.7790180838</x:v>
      </x:c>
    </x:row>
    <x:row r="31" ht="18" customHeight="1">
      <x:c r="A31" s="24" t="str">
        <x:v>EEZ_242</x:v>
      </x:c>
      <x:c r="B31" s="24" t="str">
        <x:v>Fiji</x:v>
      </x:c>
      <x:c r="C31" s="24" t="str">
        <x:v>EEZ</x:v>
      </x:c>
      <x:c r="D31" s="30" t="n">
        <x:v>2019</x:v>
      </x:c>
      <x:c r="E31" s="24" t="str">
        <x:v>Miscellaneous marine crustaceans</x:v>
      </x:c>
      <x:c r="F31" s="24" t="str">
        <x:v>Marine crabs, shrimps, lobsters nei</x:v>
      </x:c>
      <x:c r="G31" s="24" t="str">
        <x:v>Shrimps</x:v>
      </x:c>
      <x:c r="H31" s="24" t="str">
        <x:v>Crustaceans</x:v>
      </x:c>
      <x:c r="I31" s="31" t="n">
        <x:v>285.677135663</x:v>
      </x:c>
      <x:c r="J31" s="31" t="n">
        <x:v>285.677135663</x:v>
      </x:c>
      <x:c r="K31" s="31" t="n">
        <x:v>0</x:v>
      </x:c>
      <x:c r="L31" s="31" t="n">
        <x:v>277.915181203</x:v>
      </x:c>
      <x:c r="M31" s="31" t="n">
        <x:v>7.76195446</x:v>
      </x:c>
      <x:c r="N31" s="24" t="str">
        <x:v>miscellaneous marine crustaceans</x:v>
      </x:c>
      <x:c r="O31" s="32" t="n">
        <x:v>2.7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Miscellaneous marine crustaceans</x:v>
      </x:c>
      <x:c r="T31" s="32" t="n">
        <x:f>IF(O31="","",(1/'Metadata'!$B$5)^(O31-1))</x:f>
        <x:v>50.11872336272725</x:v>
      </x:c>
      <x:c r="U31" s="31" t="n">
        <x:f>IF(T31="","",I31*T31)</x:f>
        <x:v>14317.7733333502</x:v>
      </x:c>
    </x:row>
    <x:row r="32" ht="18" customHeight="1">
      <x:c r="A32" s="24" t="str">
        <x:v>EEZ_242</x:v>
      </x:c>
      <x:c r="B32" s="24" t="str">
        <x:v>Fiji</x:v>
      </x:c>
      <x:c r="C32" s="24" t="str">
        <x:v>EEZ</x:v>
      </x:c>
      <x:c r="D32" s="30" t="n">
        <x:v>2019</x:v>
      </x:c>
      <x:c r="E32" s="24" t="str">
        <x:v>Alopias</x:v>
      </x:c>
      <x:c r="F32" s="24" t="str">
        <x:v>Thresher sharks</x:v>
      </x:c>
      <x:c r="G32" s="24" t="str">
        <x:v>Large sharks (&gt;=90 cm)</x:v>
      </x:c>
      <x:c r="H32" s="24" t="str">
        <x:v>Sharks &amp; rays</x:v>
      </x:c>
      <x:c r="I32" s="31" t="n">
        <x:v>240.48064244</x:v>
      </x:c>
      <x:c r="J32" s="31" t="n">
        <x:v>207.4355296687</x:v>
      </x:c>
      <x:c r="K32" s="31" t="n">
        <x:v>33.0451127713</x:v>
      </x:c>
      <x:c r="L32" s="31" t="n">
        <x:v>207.4355296687</x:v>
      </x:c>
      <x:c r="M32" s="31" t="n">
        <x:v>33.0451127713</x:v>
      </x:c>
      <x:c r="N32" s="24" t="str">
        <x:v>alopias</x:v>
      </x:c>
      <x:c r="O32" s="32" t="n">
        <x:v>4.5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Alopias</x:v>
      </x:c>
      <x:c r="T32" s="32" t="n">
        <x:f>IF(O32="","",(1/'Metadata'!$B$5)^(O32-1))</x:f>
        <x:v>3162.2776601683795</x:v>
      </x:c>
      <x:c r="U32" s="31" t="n">
        <x:f>IF(T32="","",I32*T32)</x:f>
        <x:v>760466.5632909519</x:v>
      </x:c>
    </x:row>
    <x:row r="33" ht="18" customHeight="1">
      <x:c r="A33" s="24" t="str">
        <x:v>EEZ_242</x:v>
      </x:c>
      <x:c r="B33" s="24" t="str">
        <x:v>Fiji</x:v>
      </x:c>
      <x:c r="C33" s="24" t="str">
        <x:v>EEZ</x:v>
      </x:c>
      <x:c r="D33" s="30" t="n">
        <x:v>2019</x:v>
      </x:c>
      <x:c r="E33" s="24" t="str">
        <x:v>Kyphosidae</x:v>
      </x:c>
      <x:c r="F33" s="24" t="str">
        <x:v>Sea chubs, knifefishes, niblers</x:v>
      </x:c>
      <x:c r="G33" s="24" t="str">
        <x:v>Medium reef assoc. fish (30 - 89 cm)</x:v>
      </x:c>
      <x:c r="H33" s="24" t="str">
        <x:v>Perch-likes</x:v>
      </x:c>
      <x:c r="I33" s="31" t="n">
        <x:v>238.32656563</x:v>
      </x:c>
      <x:c r="J33" s="31" t="n">
        <x:v>238.32656563</x:v>
      </x:c>
      <x:c r="K33" s="31" t="n">
        <x:v>0</x:v>
      </x:c>
      <x:c r="L33" s="31" t="n">
        <x:v>227.8848888</x:v>
      </x:c>
      <x:c r="M33" s="31" t="n">
        <x:v>10.44167683</x:v>
      </x:c>
      <x:c r="N33" s="24" t="str">
        <x:v>kyphosidae</x:v>
      </x:c>
      <x:c r="O33" s="32" t="n">
        <x:v>2.19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Kyphosidae</x:v>
      </x:c>
      <x:c r="T33" s="32" t="n">
        <x:f>IF(O33="","",(1/'Metadata'!$B$5)^(O33-1))</x:f>
        <x:v>15.488166189124811</x:v>
      </x:c>
      <x:c r="U33" s="31" t="n">
        <x:f>IF(T33="","",I33*T33)</x:f>
        <x:v>3691.2414557608013</x:v>
      </x:c>
    </x:row>
    <x:row r="34" ht="18" customHeight="1">
      <x:c r="A34" s="24" t="str">
        <x:v>EEZ_242</x:v>
      </x:c>
      <x:c r="B34" s="24" t="str">
        <x:v>Fiji</x:v>
      </x:c>
      <x:c r="C34" s="24" t="str">
        <x:v>EEZ</x:v>
      </x:c>
      <x:c r="D34" s="30" t="n">
        <x:v>2019</x:v>
      </x:c>
      <x:c r="E34" s="24" t="str">
        <x:v>Rastrelliger kanagurta</x:v>
      </x:c>
      <x:c r="F34" s="24" t="str">
        <x:v>Indian mackerel</x:v>
      </x:c>
      <x:c r="G34" s="24" t="str">
        <x:v>Medium pelagics (30 - 89 cm)</x:v>
      </x:c>
      <x:c r="H34" s="24" t="str">
        <x:v>Perch-likes</x:v>
      </x:c>
      <x:c r="I34" s="31" t="n">
        <x:v>220.00000003</x:v>
      </x:c>
      <x:c r="J34" s="31" t="n">
        <x:v>220.00000003</x:v>
      </x:c>
      <x:c r="K34" s="31" t="n">
        <x:v>0</x:v>
      </x:c>
      <x:c r="L34" s="31" t="n">
        <x:v>220.00000003</x:v>
      </x:c>
      <x:c r="M34" s="31" t="n">
        <x:v>0</x:v>
      </x:c>
      <x:c r="N34" s="24" t="str">
        <x:v>rastrelliger kanagurta</x:v>
      </x:c>
      <x:c r="O34" s="32" t="n">
        <x:v>3.19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Rastrelliger kanagurta</x:v>
      </x:c>
      <x:c r="T34" s="32" t="n">
        <x:f>IF(O34="","",(1/'Metadata'!$B$5)^(O34-1))</x:f>
        <x:v>154.88166189124811</x:v>
      </x:c>
      <x:c r="U34" s="31" t="n">
        <x:f>IF(T34="","",I34*T34)</x:f>
        <x:v>34073.965620721036</x:v>
      </x:c>
    </x:row>
    <x:row r="35" ht="18" customHeight="1">
      <x:c r="A35" s="24" t="str">
        <x:v>EEZ_242</x:v>
      </x:c>
      <x:c r="B35" s="24" t="str">
        <x:v>Fiji</x:v>
      </x:c>
      <x:c r="C35" s="24" t="str">
        <x:v>EEZ</x:v>
      </x:c>
      <x:c r="D35" s="30" t="n">
        <x:v>2019</x:v>
      </x:c>
      <x:c r="E35" s="24" t="str">
        <x:v>Scomberomorus commerson</x:v>
      </x:c>
      <x:c r="F35" s="24" t="str">
        <x:v>Narrow-barred Spanish mackerel</x:v>
      </x:c>
      <x:c r="G35" s="24" t="str">
        <x:v>Large pelagics (&gt;=90 cm)</x:v>
      </x:c>
      <x:c r="H35" s="24" t="str">
        <x:v>Perch-likes</x:v>
      </x:c>
      <x:c r="I35" s="31" t="n">
        <x:v>220.00000003</x:v>
      </x:c>
      <x:c r="J35" s="31" t="n">
        <x:v>220.00000003</x:v>
      </x:c>
      <x:c r="K35" s="31" t="n">
        <x:v>0</x:v>
      </x:c>
      <x:c r="L35" s="31" t="n">
        <x:v>220.00000003</x:v>
      </x:c>
      <x:c r="M35" s="31" t="n">
        <x:v>0</x:v>
      </x:c>
      <x:c r="N35" s="24" t="str">
        <x:v>scomberomorus commerson</x:v>
      </x:c>
      <x:c r="O35" s="32" t="n">
        <x:v>4.5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Scomberomorus commerson</x:v>
      </x:c>
      <x:c r="T35" s="32" t="n">
        <x:f>IF(O35="","",(1/'Metadata'!$B$5)^(O35-1))</x:f>
        <x:v>3162.2776601683795</x:v>
      </x:c>
      <x:c r="U35" s="31" t="n">
        <x:f>IF(T35="","",I35*T35)</x:f>
        <x:v>695701.0853319118</x:v>
      </x:c>
    </x:row>
    <x:row r="36" ht="18" customHeight="1">
      <x:c r="A36" s="24" t="str">
        <x:v>EEZ_242</x:v>
      </x:c>
      <x:c r="B36" s="24" t="str">
        <x:v>Fiji</x:v>
      </x:c>
      <x:c r="C36" s="24" t="str">
        <x:v>EEZ</x:v>
      </x:c>
      <x:c r="D36" s="30" t="n">
        <x:v>2019</x:v>
      </x:c>
      <x:c r="E36" s="24" t="str">
        <x:v>Isurus oxyrinchus</x:v>
      </x:c>
      <x:c r="F36" s="24" t="str">
        <x:v>Shortfin mako</x:v>
      </x:c>
      <x:c r="G36" s="24" t="str">
        <x:v>Large sharks (&gt;=90 cm)</x:v>
      </x:c>
      <x:c r="H36" s="24" t="str">
        <x:v>Sharks &amp; rays</x:v>
      </x:c>
      <x:c r="I36" s="31" t="n">
        <x:v>200.2244066584</x:v>
      </x:c>
      <x:c r="J36" s="31" t="n">
        <x:v>200.2244066584</x:v>
      </x:c>
      <x:c r="K36" s="31" t="n">
        <x:v>0</x:v>
      </x:c>
      <x:c r="L36" s="31" t="n">
        <x:v>200.2244066584</x:v>
      </x:c>
      <x:c r="M36" s="31" t="n">
        <x:v>0</x:v>
      </x:c>
      <x:c r="N36" s="24" t="str">
        <x:v>isurus oxyrinchus</x:v>
      </x:c>
      <x:c r="O36" s="32" t="n">
        <x:v>4.5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Isurus oxyrinchus</x:v>
      </x:c>
      <x:c r="T36" s="32" t="n">
        <x:f>IF(O36="","",(1/'Metadata'!$B$5)^(O36-1))</x:f>
        <x:v>3162.2776601683795</x:v>
      </x:c>
      <x:c r="U36" s="31" t="n">
        <x:f>IF(T36="","",I36*T36)</x:f>
        <x:v>633165.1681963273</x:v>
      </x:c>
    </x:row>
    <x:row r="37" ht="18" customHeight="1">
      <x:c r="A37" s="24" t="str">
        <x:v>EEZ_242</x:v>
      </x:c>
      <x:c r="B37" s="24" t="str">
        <x:v>Fiji</x:v>
      </x:c>
      <x:c r="C37" s="24" t="str">
        <x:v>EEZ</x:v>
      </x:c>
      <x:c r="D37" s="30" t="n">
        <x:v>2019</x:v>
      </x:c>
      <x:c r="E37" s="24" t="str">
        <x:v>Labridae</x:v>
      </x:c>
      <x:c r="F37" s="24" t="str">
        <x:v>Wrasses, gropers, tuskfishes</x:v>
      </x:c>
      <x:c r="G37" s="24" t="str">
        <x:v>Medium reef assoc. fish (30 - 89 cm)</x:v>
      </x:c>
      <x:c r="H37" s="24" t="str">
        <x:v>Perch-likes</x:v>
      </x:c>
      <x:c r="I37" s="31" t="n">
        <x:v>165.74848993700002</x:v>
      </x:c>
      <x:c r="J37" s="31" t="n">
        <x:v>165.74848993700002</x:v>
      </x:c>
      <x:c r="K37" s="31" t="n">
        <x:v>0</x:v>
      </x:c>
      <x:c r="L37" s="31" t="n">
        <x:v>158.9212397</x:v>
      </x:c>
      <x:c r="M37" s="31" t="n">
        <x:v>6.827250237</x:v>
      </x:c>
      <x:c r="N37" s="24" t="str">
        <x:v>labridae</x:v>
      </x:c>
      <x:c r="O37" s="32" t="n">
        <x:v>3.46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Labridae</x:v>
      </x:c>
      <x:c r="T37" s="32" t="n">
        <x:f>IF(O37="","",(1/'Metadata'!$B$5)^(O37-1))</x:f>
        <x:v>288.40315031266056</x:v>
      </x:c>
      <x:c r="U37" s="31" t="n">
        <x:f>IF(T37="","",I37*T37)</x:f>
        <x:v>47802.386657397125</x:v>
      </x:c>
    </x:row>
    <x:row r="38" ht="18" customHeight="1">
      <x:c r="A38" s="24" t="str">
        <x:v>EEZ_242</x:v>
      </x:c>
      <x:c r="B38" s="24" t="str">
        <x:v>Fiji</x:v>
      </x:c>
      <x:c r="C38" s="24" t="str">
        <x:v>EEZ</x:v>
      </x:c>
      <x:c r="D38" s="30" t="n">
        <x:v>2019</x:v>
      </x:c>
      <x:c r="E38" s="24" t="str">
        <x:v>Panulirus</x:v>
      </x:c>
      <x:c r="F38" s="24" t="str">
        <x:v>Spiny lobsters</x:v>
      </x:c>
      <x:c r="G38" s="24" t="str">
        <x:v>Lobsters, crabs</x:v>
      </x:c>
      <x:c r="H38" s="24" t="str">
        <x:v>Crustaceans</x:v>
      </x:c>
      <x:c r="I38" s="31" t="n">
        <x:v>160</x:v>
      </x:c>
      <x:c r="J38" s="31" t="n">
        <x:v>160</x:v>
      </x:c>
      <x:c r="K38" s="31" t="n">
        <x:v>0</x:v>
      </x:c>
      <x:c r="L38" s="31" t="n">
        <x:v>160</x:v>
      </x:c>
      <x:c r="M38" s="31" t="n">
        <x:v>0</x:v>
      </x:c>
      <x:c r="N38" s="24" t="str">
        <x:v>panulirus</x:v>
      </x:c>
      <x:c r="O38" s="32" t="n">
        <x:v>2.6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Panulirus</x:v>
      </x:c>
      <x:c r="T38" s="32" t="n">
        <x:f>IF(O38="","",(1/'Metadata'!$B$5)^(O38-1))</x:f>
        <x:v>39.810717055349734</x:v>
      </x:c>
      <x:c r="U38" s="31" t="n">
        <x:f>IF(T38="","",I38*T38)</x:f>
        <x:v>6369.714728855957</x:v>
      </x:c>
    </x:row>
    <x:row r="39" ht="18" customHeight="1">
      <x:c r="A39" s="24" t="str">
        <x:v>EEZ_242</x:v>
      </x:c>
      <x:c r="B39" s="24" t="str">
        <x:v>Fiji</x:v>
      </x:c>
      <x:c r="C39" s="24" t="str">
        <x:v>EEZ</x:v>
      </x:c>
      <x:c r="D39" s="30" t="n">
        <x:v>2019</x:v>
      </x:c>
      <x:c r="E39" s="24" t="str">
        <x:v>Coryphaena hippurus</x:v>
      </x:c>
      <x:c r="F39" s="24" t="str">
        <x:v>Common dolphinfish</x:v>
      </x:c>
      <x:c r="G39" s="24" t="str">
        <x:v>Large pelagics (&gt;=90 cm)</x:v>
      </x:c>
      <x:c r="H39" s="24" t="str">
        <x:v>Perch-likes</x:v>
      </x:c>
      <x:c r="I39" s="31" t="n">
        <x:v>126.7892515958</x:v>
      </x:c>
      <x:c r="J39" s="31" t="n">
        <x:v>0</x:v>
      </x:c>
      <x:c r="K39" s="31" t="n">
        <x:v>126.7892515958</x:v>
      </x:c>
      <x:c r="L39" s="31" t="n">
        <x:v>0</x:v>
      </x:c>
      <x:c r="M39" s="31" t="n">
        <x:v>126.7892515958</x:v>
      </x:c>
      <x:c r="N39" s="24" t="str">
        <x:v>coryphaena hippurus</x:v>
      </x:c>
      <x:c r="O39" s="32" t="n">
        <x:v>4.37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Coryphaena hippurus</x:v>
      </x:c>
      <x:c r="T39" s="32" t="n">
        <x:f>IF(O39="","",(1/'Metadata'!$B$5)^(O39-1))</x:f>
        <x:v>2344.228815319923</x:v>
      </x:c>
      <x:c r="U39" s="31" t="n">
        <x:f>IF(T39="","",I39*T39)</x:f>
        <x:v>297223.01706372184</x:v>
      </x:c>
    </x:row>
    <x:row r="40" ht="18" customHeight="1">
      <x:c r="A40" s="24" t="str">
        <x:v>EEZ_242</x:v>
      </x:c>
      <x:c r="B40" s="24" t="str">
        <x:v>Fiji</x:v>
      </x:c>
      <x:c r="C40" s="24" t="str">
        <x:v>EEZ</x:v>
      </x:c>
      <x:c r="D40" s="30" t="n">
        <x:v>2019</x:v>
      </x:c>
      <x:c r="E40" s="24" t="str">
        <x:v>Istiompax indica</x:v>
      </x:c>
      <x:c r="F40" s="24" t="str">
        <x:v>Black marlin</x:v>
      </x:c>
      <x:c r="G40" s="24" t="str">
        <x:v>Large pelagics (&gt;=90 cm)</x:v>
      </x:c>
      <x:c r="H40" s="24" t="str">
        <x:v>Tuna &amp; billfishes</x:v>
      </x:c>
      <x:c r="I40" s="31" t="n">
        <x:v>125.2636888058</x:v>
      </x:c>
      <x:c r="J40" s="31" t="n">
        <x:v>125.2636888058</x:v>
      </x:c>
      <x:c r="K40" s="31" t="n">
        <x:v>0</x:v>
      </x:c>
      <x:c r="L40" s="31" t="n">
        <x:v>125.2636888058</x:v>
      </x:c>
      <x:c r="M40" s="31" t="n">
        <x:v>0</x:v>
      </x:c>
      <x:c r="N40" s="24" t="str">
        <x:v>istiompax indica</x:v>
      </x:c>
      <x:c r="O40" s="32" t="n">
        <x:v>4.5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Istiompax indica</x:v>
      </x:c>
      <x:c r="T40" s="32" t="n">
        <x:f>IF(O40="","",(1/'Metadata'!$B$5)^(O40-1))</x:f>
        <x:v>3162.2776601683795</x:v>
      </x:c>
      <x:c r="U40" s="31" t="n">
        <x:f>IF(T40="","",I40*T40)</x:f>
        <x:v>396118.56474086526</x:v>
      </x:c>
    </x:row>
    <x:row r="41" ht="18" customHeight="1">
      <x:c r="A41" s="24" t="str">
        <x:v>EEZ_242</x:v>
      </x:c>
      <x:c r="B41" s="24" t="str">
        <x:v>Fiji</x:v>
      </x:c>
      <x:c r="C41" s="24" t="str">
        <x:v>EEZ</x:v>
      </x:c>
      <x:c r="D41" s="30" t="n">
        <x:v>2019</x:v>
      </x:c>
      <x:c r="E41" s="24" t="str">
        <x:v>Elasmobranchii</x:v>
      </x:c>
      <x:c r="F41" s="24" t="str">
        <x:v>Sharks, rays, skates</x:v>
      </x:c>
      <x:c r="G41" s="24" t="str">
        <x:v>Large sharks (&gt;=90 cm)</x:v>
      </x:c>
      <x:c r="H41" s="24" t="str">
        <x:v>Sharks &amp; rays</x:v>
      </x:c>
      <x:c r="I41" s="31" t="n">
        <x:v>116.41213607</x:v>
      </x:c>
      <x:c r="J41" s="31" t="n">
        <x:v>110.7243851664</x:v>
      </x:c>
      <x:c r="K41" s="31" t="n">
        <x:v>5.6877509036</x:v>
      </x:c>
      <x:c r="L41" s="31" t="n">
        <x:v>110.7243851664</x:v>
      </x:c>
      <x:c r="M41" s="31" t="n">
        <x:v>5.6877509036</x:v>
      </x:c>
      <x:c r="N41" s="24" t="str">
        <x:v>elasmobranchii</x:v>
      </x:c>
      <x:c r="O41" s="32" t="n">
        <x:v>4.05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Elasmobranchii</x:v>
      </x:c>
      <x:c r="T41" s="32" t="n">
        <x:f>IF(O41="","",(1/'Metadata'!$B$5)^(O41-1))</x:f>
        <x:v>1122.018454301963</x:v>
      </x:c>
      <x:c r="U41" s="31" t="n">
        <x:f>IF(T41="","",I41*T41)</x:f>
        <x:v>130616.5649752512</x:v>
      </x:c>
    </x:row>
    <x:row r="42" ht="18" customHeight="1">
      <x:c r="A42" s="24" t="str">
        <x:v>EEZ_242</x:v>
      </x:c>
      <x:c r="B42" s="24" t="str">
        <x:v>Fiji</x:v>
      </x:c>
      <x:c r="C42" s="24" t="str">
        <x:v>EEZ</x:v>
      </x:c>
      <x:c r="D42" s="30" t="n">
        <x:v>2019</x:v>
      </x:c>
      <x:c r="E42" s="24" t="str">
        <x:v>Gymnocranius</x:v>
      </x:c>
      <x:c r="F42" s="24" t="str">
        <x:v>Largeeye breams</x:v>
      </x:c>
      <x:c r="G42" s="24" t="str">
        <x:v>Medium reef assoc. fish (30 - 89 cm)</x:v>
      </x:c>
      <x:c r="H42" s="24" t="str">
        <x:v>Perch-likes</x:v>
      </x:c>
      <x:c r="I42" s="31" t="n">
        <x:v>110</x:v>
      </x:c>
      <x:c r="J42" s="31" t="n">
        <x:v>110</x:v>
      </x:c>
      <x:c r="K42" s="31" t="n">
        <x:v>0</x:v>
      </x:c>
      <x:c r="L42" s="31" t="n">
        <x:v>110</x:v>
      </x:c>
      <x:c r="M42" s="31" t="n">
        <x:v>0</x:v>
      </x:c>
      <x:c r="N42" s="24" t="str">
        <x:v>gymnocranius</x:v>
      </x:c>
      <x:c r="O42" s="32" t="n">
        <x:v>3.4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Gymnocranius</x:v>
      </x:c>
      <x:c r="T42" s="32" t="n">
        <x:f>IF(O42="","",(1/'Metadata'!$B$5)^(O42-1))</x:f>
        <x:v>251.18864315095797</x:v>
      </x:c>
      <x:c r="U42" s="31" t="n">
        <x:f>IF(T42="","",I42*T42)</x:f>
        <x:v>27630.750746605376</x:v>
      </x:c>
    </x:row>
    <x:row r="43" ht="18" customHeight="1">
      <x:c r="A43" s="24" t="str">
        <x:v>EEZ_242</x:v>
      </x:c>
      <x:c r="B43" s="24" t="str">
        <x:v>Fiji</x:v>
      </x:c>
      <x:c r="C43" s="24" t="str">
        <x:v>EEZ</x:v>
      </x:c>
      <x:c r="D43" s="30" t="n">
        <x:v>2019</x:v>
      </x:c>
      <x:c r="E43" s="24" t="str">
        <x:v>Leiognathidae</x:v>
      </x:c>
      <x:c r="F43" s="24" t="str">
        <x:v>Slipmouths, ponyfishes</x:v>
      </x:c>
      <x:c r="G43" s="24" t="str">
        <x:v>Small benthopelagics (&lt;30 cm)</x:v>
      </x:c>
      <x:c r="H43" s="24" t="str">
        <x:v>Perch-likes</x:v>
      </x:c>
      <x:c r="I43" s="31" t="n">
        <x:v>109.99999999500001</x:v>
      </x:c>
      <x:c r="J43" s="31" t="n">
        <x:v>109.99999999500001</x:v>
      </x:c>
      <x:c r="K43" s="31" t="n">
        <x:v>0</x:v>
      </x:c>
      <x:c r="L43" s="31" t="n">
        <x:v>109.99999999500001</x:v>
      </x:c>
      <x:c r="M43" s="31" t="n">
        <x:v>0</x:v>
      </x:c>
      <x:c r="N43" s="24" t="str">
        <x:v>leiognathidae</x:v>
      </x:c>
      <x:c r="O43" s="32" t="n">
        <x:v>3.24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Leiognathidae</x:v>
      </x:c>
      <x:c r="T43" s="32" t="n">
        <x:f>IF(O43="","",(1/'Metadata'!$B$5)^(O43-1))</x:f>
        <x:v>173.78008287493762</x:v>
      </x:c>
      <x:c r="U43" s="31" t="n">
        <x:f>IF(T43="","",I43*T43)</x:f>
        <x:v>19115.80911537424</x:v>
      </x:c>
    </x:row>
    <x:row r="44" ht="18" customHeight="1">
      <x:c r="A44" s="24" t="str">
        <x:v>EEZ_242</x:v>
      </x:c>
      <x:c r="B44" s="24" t="str">
        <x:v>Fiji</x:v>
      </x:c>
      <x:c r="C44" s="24" t="str">
        <x:v>EEZ</x:v>
      </x:c>
      <x:c r="D44" s="30" t="n">
        <x:v>2019</x:v>
      </x:c>
      <x:c r="E44" s="24" t="str">
        <x:v>Octopoda</x:v>
      </x:c>
      <x:c r="F44" s="24" t="str">
        <x:v>Octopuses, argonauts</x:v>
      </x:c>
      <x:c r="G44" s="24" t="str">
        <x:v>Cephalopods</x:v>
      </x:c>
      <x:c r="H44" s="24" t="str">
        <x:v>Other fishes &amp; inverts</x:v>
      </x:c>
      <x:c r="I44" s="31" t="n">
        <x:v>92</x:v>
      </x:c>
      <x:c r="J44" s="31" t="n">
        <x:v>92</x:v>
      </x:c>
      <x:c r="K44" s="31" t="n">
        <x:v>0</x:v>
      </x:c>
      <x:c r="L44" s="31" t="n">
        <x:v>92</x:v>
      </x:c>
      <x:c r="M44" s="31" t="n">
        <x:v>0</x:v>
      </x:c>
      <x:c r="N44" s="24" t="str">
        <x:v>octopoda</x:v>
      </x:c>
      <x:c r="O44" s="32" t="n">
        <x:v>3.58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Octopoda</x:v>
      </x:c>
      <x:c r="T44" s="32" t="n">
        <x:f>IF(O44="","",(1/'Metadata'!$B$5)^(O44-1))</x:f>
        <x:v>380.1893963205613</x:v>
      </x:c>
      <x:c r="U44" s="31" t="n">
        <x:f>IF(T44="","",I44*T44)</x:f>
        <x:v>34977.42446149164</x:v>
      </x:c>
    </x:row>
    <x:row r="45" ht="18" customHeight="1">
      <x:c r="A45" s="24" t="str">
        <x:v>EEZ_242</x:v>
      </x:c>
      <x:c r="B45" s="24" t="str">
        <x:v>Fiji</x:v>
      </x:c>
      <x:c r="C45" s="24" t="str">
        <x:v>EEZ</x:v>
      </x:c>
      <x:c r="D45" s="30" t="n">
        <x:v>2019</x:v>
      </x:c>
      <x:c r="E45" s="24" t="str">
        <x:v>Istiophoridae</x:v>
      </x:c>
      <x:c r="F45" s="24" t="str">
        <x:v>Billfishes</x:v>
      </x:c>
      <x:c r="G45" s="24" t="str">
        <x:v>Large pelagics (&gt;=90 cm)</x:v>
      </x:c>
      <x:c r="H45" s="24" t="str">
        <x:v>Tuna &amp; billfishes</x:v>
      </x:c>
      <x:c r="I45" s="31" t="n">
        <x:v>88.6611779898</x:v>
      </x:c>
      <x:c r="J45" s="31" t="n">
        <x:v>0</x:v>
      </x:c>
      <x:c r="K45" s="31" t="n">
        <x:v>88.6611779898</x:v>
      </x:c>
      <x:c r="L45" s="31" t="n">
        <x:v>0</x:v>
      </x:c>
      <x:c r="M45" s="31" t="n">
        <x:v>88.6611779898</x:v>
      </x:c>
      <x:c r="N45" s="24" t="str">
        <x:v>istiophoridae</x:v>
      </x:c>
      <x:c r="O45" s="32" t="n">
        <x:v>4.48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Istiophoridae</x:v>
      </x:c>
      <x:c r="T45" s="32" t="n">
        <x:f>IF(O45="","",(1/'Metadata'!$B$5)^(O45-1))</x:f>
        <x:v>3019.951720402019</x:v>
      </x:c>
      <x:c r="U45" s="31" t="n">
        <x:f>IF(T45="","",I45*T45)</x:f>
        <x:v>267752.4770031661</x:v>
      </x:c>
    </x:row>
    <x:row r="46" ht="18" customHeight="1">
      <x:c r="A46" s="24" t="str">
        <x:v>EEZ_242</x:v>
      </x:c>
      <x:c r="B46" s="24" t="str">
        <x:v>Fiji</x:v>
      </x:c>
      <x:c r="C46" s="24" t="str">
        <x:v>EEZ</x:v>
      </x:c>
      <x:c r="D46" s="30" t="n">
        <x:v>2019</x:v>
      </x:c>
      <x:c r="E46" s="24" t="str">
        <x:v>Scylla serrata</x:v>
      </x:c>
      <x:c r="F46" s="24" t="str">
        <x:v>Indo-Pacific swamp crab</x:v>
      </x:c>
      <x:c r="G46" s="24" t="str">
        <x:v>Lobsters, crabs</x:v>
      </x:c>
      <x:c r="H46" s="24" t="str">
        <x:v>Crustaceans</x:v>
      </x:c>
      <x:c r="I46" s="31" t="n">
        <x:v>75</x:v>
      </x:c>
      <x:c r="J46" s="31" t="n">
        <x:v>75</x:v>
      </x:c>
      <x:c r="K46" s="31" t="n">
        <x:v>0</x:v>
      </x:c>
      <x:c r="L46" s="31" t="n">
        <x:v>75</x:v>
      </x:c>
      <x:c r="M46" s="31" t="n">
        <x:v>0</x:v>
      </x:c>
      <x:c r="N46" s="24" t="str">
        <x:v>scylla serrata</x:v>
      </x:c>
      <x:c r="O46" s="32" t="n">
        <x:v>3.17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Scylla serrata</x:v>
      </x:c>
      <x:c r="T46" s="32" t="n">
        <x:f>IF(O46="","",(1/'Metadata'!$B$5)^(O46-1))</x:f>
        <x:v>147.91083881682073</x:v>
      </x:c>
      <x:c r="U46" s="31" t="n">
        <x:f>IF(T46="","",I46*T46)</x:f>
        <x:v>11093.312911261555</x:v>
      </x:c>
    </x:row>
    <x:row r="47" ht="18" customHeight="1">
      <x:c r="A47" s="24" t="str">
        <x:v>EEZ_242</x:v>
      </x:c>
      <x:c r="B47" s="24" t="str">
        <x:v>Fiji</x:v>
      </x:c>
      <x:c r="C47" s="24" t="str">
        <x:v>EEZ</x:v>
      </x:c>
      <x:c r="D47" s="30" t="n">
        <x:v>2019</x:v>
      </x:c>
      <x:c r="E47" s="24" t="str">
        <x:v>Sphyrnidae</x:v>
      </x:c>
      <x:c r="F47" s="24" t="str">
        <x:v>Hammer, bonnet, scoophead sharks</x:v>
      </x:c>
      <x:c r="G47" s="24" t="str">
        <x:v>Large sharks (&gt;=90 cm)</x:v>
      </x:c>
      <x:c r="H47" s="24" t="str">
        <x:v>Sharks &amp; rays</x:v>
      </x:c>
      <x:c r="I47" s="31" t="n">
        <x:v>55</x:v>
      </x:c>
      <x:c r="J47" s="31" t="n">
        <x:v>55</x:v>
      </x:c>
      <x:c r="K47" s="31" t="n">
        <x:v>0</x:v>
      </x:c>
      <x:c r="L47" s="31" t="n">
        <x:v>55</x:v>
      </x:c>
      <x:c r="M47" s="31" t="n">
        <x:v>0</x:v>
      </x:c>
      <x:c r="N47" s="24" t="str">
        <x:v>sphyrnidae</x:v>
      </x:c>
      <x:c r="O47" s="32" t="n">
        <x:v>4.19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Sphyrnidae</x:v>
      </x:c>
      <x:c r="T47" s="32" t="n">
        <x:f>IF(O47="","",(1/'Metadata'!$B$5)^(O47-1))</x:f>
        <x:v>1548.8166189124827</x:v>
      </x:c>
      <x:c r="U47" s="31" t="n">
        <x:f>IF(T47="","",I47*T47)</x:f>
        <x:v>85184.91404018654</x:v>
      </x:c>
    </x:row>
    <x:row r="48" ht="18" customHeight="1">
      <x:c r="A48" s="24" t="str">
        <x:v>EEZ_242</x:v>
      </x:c>
      <x:c r="B48" s="24" t="str">
        <x:v>Fiji</x:v>
      </x:c>
      <x:c r="C48" s="24" t="str">
        <x:v>EEZ</x:v>
      </x:c>
      <x:c r="D48" s="30" t="n">
        <x:v>2019</x:v>
      </x:c>
      <x:c r="E48" s="24" t="str">
        <x:v>Holothuriidae</x:v>
      </x:c>
      <x:c r="F48" s="24" t="str">
        <x:v>Fleshy sea cucumbers</x:v>
      </x:c>
      <x:c r="G48" s="24" t="str">
        <x:v>Other demersal invertebrates</x:v>
      </x:c>
      <x:c r="H48" s="24" t="str">
        <x:v>Other fishes &amp; inverts</x:v>
      </x:c>
      <x:c r="I48" s="31" t="n">
        <x:v>54</x:v>
      </x:c>
      <x:c r="J48" s="31" t="n">
        <x:v>54</x:v>
      </x:c>
      <x:c r="K48" s="31" t="n">
        <x:v>0</x:v>
      </x:c>
      <x:c r="L48" s="31" t="n">
        <x:v>54</x:v>
      </x:c>
      <x:c r="M48" s="31" t="n">
        <x:v>0</x:v>
      </x:c>
      <x:c r="N48" s="24" t="str">
        <x:v>holothuriidae</x:v>
      </x:c>
      <x:c r="O48" s="32" t="n">
        <x:v>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Holothuriidae</x:v>
      </x:c>
      <x:c r="T48" s="32" t="n">
        <x:f>IF(O48="","",(1/'Metadata'!$B$5)^(O48-1))</x:f>
        <x:v>10</x:v>
      </x:c>
      <x:c r="U48" s="31" t="n">
        <x:f>IF(T48="","",I48*T48)</x:f>
        <x:v>540</x:v>
      </x:c>
    </x:row>
    <x:row r="49" ht="18" customHeight="1">
      <x:c r="A49" s="24" t="str">
        <x:v>EEZ_242</x:v>
      </x:c>
      <x:c r="B49" s="24" t="str">
        <x:v>Fiji</x:v>
      </x:c>
      <x:c r="C49" s="24" t="str">
        <x:v>EEZ</x:v>
      </x:c>
      <x:c r="D49" s="30" t="n">
        <x:v>2019</x:v>
      </x:c>
      <x:c r="E49" s="24" t="str">
        <x:v>Kajikia audax</x:v>
      </x:c>
      <x:c r="F49" s="24" t="str">
        <x:v>Striped marlin</x:v>
      </x:c>
      <x:c r="G49" s="24" t="str">
        <x:v>Large pelagics (&gt;=90 cm)</x:v>
      </x:c>
      <x:c r="H49" s="24" t="str">
        <x:v>Tuna &amp; billfishes</x:v>
      </x:c>
      <x:c r="I49" s="31" t="n">
        <x:v>50.4125215687</x:v>
      </x:c>
      <x:c r="J49" s="31" t="n">
        <x:v>50.4125215687</x:v>
      </x:c>
      <x:c r="K49" s="31" t="n">
        <x:v>0</x:v>
      </x:c>
      <x:c r="L49" s="31" t="n">
        <x:v>50.4125215687</x:v>
      </x:c>
      <x:c r="M49" s="31" t="n">
        <x:v>0</x:v>
      </x:c>
      <x:c r="N49" s="24" t="str">
        <x:v>kajikia audax</x:v>
      </x:c>
      <x:c r="O49" s="32" t="n">
        <x:v>4.58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Kajikia audax</x:v>
      </x:c>
      <x:c r="T49" s="32" t="n">
        <x:f>IF(O49="","",(1/'Metadata'!$B$5)^(O49-1))</x:f>
        <x:v>3801.8939632056126</x:v>
      </x:c>
      <x:c r="U49" s="31" t="n">
        <x:f>IF(T49="","",I49*T49)</x:f>
        <x:v>191663.06142201327</x:v>
      </x:c>
    </x:row>
    <x:row r="50" ht="18" customHeight="1">
      <x:c r="A50" s="24" t="str">
        <x:v>EEZ_242</x:v>
      </x:c>
      <x:c r="B50" s="24" t="str">
        <x:v>Fiji</x:v>
      </x:c>
      <x:c r="C50" s="24" t="str">
        <x:v>EEZ</x:v>
      </x:c>
      <x:c r="D50" s="30" t="n">
        <x:v>2019</x:v>
      </x:c>
      <x:c r="E50" s="24" t="str">
        <x:v>Thunnus orientalis</x:v>
      </x:c>
      <x:c r="F50" s="24" t="str">
        <x:v>Pacific bluefin tuna</x:v>
      </x:c>
      <x:c r="G50" s="24" t="str">
        <x:v>Large pelagics (&gt;=90 cm)</x:v>
      </x:c>
      <x:c r="H50" s="24" t="str">
        <x:v>Tuna &amp; billfishes</x:v>
      </x:c>
      <x:c r="I50" s="31" t="n">
        <x:v>39.795274376900004</x:v>
      </x:c>
      <x:c r="J50" s="31" t="n">
        <x:v>39.2190238944</x:v>
      </x:c>
      <x:c r="K50" s="31" t="n">
        <x:v>0.5762504825</x:v>
      </x:c>
      <x:c r="L50" s="31" t="n">
        <x:v>39.2190238944</x:v>
      </x:c>
      <x:c r="M50" s="31" t="n">
        <x:v>0.5762504825</x:v>
      </x:c>
      <x:c r="N50" s="24" t="str">
        <x:v>thunnus orientalis</x:v>
      </x:c>
      <x:c r="O50" s="32" t="n">
        <x:v>4.05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Thunnus orientalis</x:v>
      </x:c>
      <x:c r="T50" s="32" t="n">
        <x:f>IF(O50="","",(1/'Metadata'!$B$5)^(O50-1))</x:f>
        <x:v>1122.018454301963</x:v>
      </x:c>
      <x:c r="U50" s="31" t="n">
        <x:f>IF(T50="","",I50*T50)</x:f>
        <x:v>44651.03224489185</x:v>
      </x:c>
    </x:row>
    <x:row r="51" ht="18" customHeight="1">
      <x:c r="A51" s="24" t="str">
        <x:v>EEZ_242</x:v>
      </x:c>
      <x:c r="B51" s="24" t="str">
        <x:v>Fiji</x:v>
      </x:c>
      <x:c r="C51" s="24" t="str">
        <x:v>EEZ</x:v>
      </x:c>
      <x:c r="D51" s="30" t="n">
        <x:v>2019</x:v>
      </x:c>
      <x:c r="E51" s="24" t="str">
        <x:v>Siganidae</x:v>
      </x:c>
      <x:c r="F51" s="24" t="str">
        <x:v>Rabbitfishes</x:v>
      </x:c>
      <x:c r="G51" s="24" t="str">
        <x:v>Medium reef assoc. fish (30 - 89 cm)</x:v>
      </x:c>
      <x:c r="H51" s="24" t="str">
        <x:v>Perch-likes</x:v>
      </x:c>
      <x:c r="I51" s="31" t="n">
        <x:v>36.54586891</x:v>
      </x:c>
      <x:c r="J51" s="31" t="n">
        <x:v>36.54586891</x:v>
      </x:c>
      <x:c r="K51" s="31" t="n">
        <x:v>0</x:v>
      </x:c>
      <x:c r="L51" s="31" t="n">
        <x:v>0</x:v>
      </x:c>
      <x:c r="M51" s="31" t="n">
        <x:v>36.54586891</x:v>
      </x:c>
      <x:c r="N51" s="24" t="str">
        <x:v>siganidae</x:v>
      </x:c>
      <x:c r="O51" s="32" t="n">
        <x:v>2.11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Siganidae</x:v>
      </x:c>
      <x:c r="T51" s="32" t="n">
        <x:f>IF(O51="","",(1/'Metadata'!$B$5)^(O51-1))</x:f>
        <x:v>12.882495516931336</x:v>
      </x:c>
      <x:c r="U51" s="31" t="n">
        <x:f>IF(T51="","",I51*T51)</x:f>
        <x:v>470.8019923954353</x:v>
      </x:c>
    </x:row>
    <x:row r="52" ht="18" customHeight="1">
      <x:c r="A52" s="24" t="str">
        <x:v>EEZ_242</x:v>
      </x:c>
      <x:c r="B52" s="24" t="str">
        <x:v>Fiji</x:v>
      </x:c>
      <x:c r="C52" s="24" t="str">
        <x:v>EEZ</x:v>
      </x:c>
      <x:c r="D52" s="30" t="n">
        <x:v>2019</x:v>
      </x:c>
      <x:c r="E52" s="24" t="str">
        <x:v>Hemiramphidae</x:v>
      </x:c>
      <x:c r="F52" s="24" t="str">
        <x:v>Halfbeaks, garfishes</x:v>
      </x:c>
      <x:c r="G52" s="24" t="str">
        <x:v>Medium pelagics (30 - 89 cm)</x:v>
      </x:c>
      <x:c r="H52" s="24" t="str">
        <x:v>Other fishes &amp; inverts</x:v>
      </x:c>
      <x:c r="I52" s="31" t="n">
        <x:v>33</x:v>
      </x:c>
      <x:c r="J52" s="31" t="n">
        <x:v>33</x:v>
      </x:c>
      <x:c r="K52" s="31" t="n">
        <x:v>0</x:v>
      </x:c>
      <x:c r="L52" s="31" t="n">
        <x:v>33</x:v>
      </x:c>
      <x:c r="M52" s="31" t="n">
        <x:v>0</x:v>
      </x:c>
      <x:c r="N52" s="24" t="str">
        <x:v>hemiramphidae</x:v>
      </x:c>
      <x:c r="O52" s="32" t="n">
        <x:v>2.82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Hemiramphidae</x:v>
      </x:c>
      <x:c r="T52" s="32" t="n">
        <x:f>IF(O52="","",(1/'Metadata'!$B$5)^(O52-1))</x:f>
        <x:v>66.06934480075958</x:v>
      </x:c>
      <x:c r="U52" s="31" t="n">
        <x:f>IF(T52="","",I52*T52)</x:f>
        <x:v>2180.288378425066</x:v>
      </x:c>
    </x:row>
    <x:row r="53" ht="18" customHeight="1">
      <x:c r="A53" s="24" t="str">
        <x:v>EEZ_242</x:v>
      </x:c>
      <x:c r="B53" s="24" t="str">
        <x:v>Fiji</x:v>
      </x:c>
      <x:c r="C53" s="24" t="str">
        <x:v>EEZ</x:v>
      </x:c>
      <x:c r="D53" s="30" t="n">
        <x:v>2019</x:v>
      </x:c>
      <x:c r="E53" s="24" t="str">
        <x:v>Chanos chanos</x:v>
      </x:c>
      <x:c r="F53" s="24" t="str">
        <x:v>Milkfish</x:v>
      </x:c>
      <x:c r="G53" s="24" t="str">
        <x:v>Large benthopelagics (&gt;=90 cm)</x:v>
      </x:c>
      <x:c r="H53" s="24" t="str">
        <x:v>Other fishes &amp; inverts</x:v>
      </x:c>
      <x:c r="I53" s="31" t="n">
        <x:v>32.999999996</x:v>
      </x:c>
      <x:c r="J53" s="31" t="n">
        <x:v>32.999999996</x:v>
      </x:c>
      <x:c r="K53" s="31" t="n">
        <x:v>0</x:v>
      </x:c>
      <x:c r="L53" s="31" t="n">
        <x:v>32.999999996</x:v>
      </x:c>
      <x:c r="M53" s="31" t="n">
        <x:v>0</x:v>
      </x:c>
      <x:c r="N53" s="24" t="str">
        <x:v>chanos chanos</x:v>
      </x:c>
      <x:c r="O53" s="32" t="n">
        <x:v>2.03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Chanos chanos</x:v>
      </x:c>
      <x:c r="T53" s="32" t="n">
        <x:f>IF(O53="","",(1/'Metadata'!$B$5)^(O53-1))</x:f>
        <x:v>10.71519305237606</x:v>
      </x:c>
      <x:c r="U53" s="31" t="n">
        <x:f>IF(T53="","",I53*T53)</x:f>
        <x:v>353.6013706855492</x:v>
      </x:c>
    </x:row>
    <x:row r="54" ht="18" customHeight="1">
      <x:c r="A54" s="24" t="str">
        <x:v>EEZ_242</x:v>
      </x:c>
      <x:c r="B54" s="24" t="str">
        <x:v>Fiji</x:v>
      </x:c>
      <x:c r="C54" s="24" t="str">
        <x:v>EEZ</x:v>
      </x:c>
      <x:c r="D54" s="30" t="n">
        <x:v>2019</x:v>
      </x:c>
      <x:c r="E54" s="24" t="str">
        <x:v>Sphyrna</x:v>
      </x:c>
      <x:c r="F54" s="24" t="str">
        <x:v>Hammerhead sharks</x:v>
      </x:c>
      <x:c r="G54" s="24" t="str">
        <x:v>Large sharks (&gt;=90 cm)</x:v>
      </x:c>
      <x:c r="H54" s="24" t="str">
        <x:v>Sharks &amp; rays</x:v>
      </x:c>
      <x:c r="I54" s="31" t="n">
        <x:v>25.629249497099998</x:v>
      </x:c>
      <x:c r="J54" s="31" t="n">
        <x:v>25.629249497099998</x:v>
      </x:c>
      <x:c r="K54" s="31" t="n">
        <x:v>0</x:v>
      </x:c>
      <x:c r="L54" s="31" t="n">
        <x:v>25.629249497099998</x:v>
      </x:c>
      <x:c r="M54" s="31" t="n">
        <x:v>0</x:v>
      </x:c>
      <x:c r="N54" s="24" t="str">
        <x:v>sphyrna</x:v>
      </x:c>
      <x:c r="O54" s="32" t="n">
        <x:v>4.2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Sphyrna</x:v>
      </x:c>
      <x:c r="T54" s="32" t="n">
        <x:f>IF(O54="","",(1/'Metadata'!$B$5)^(O54-1))</x:f>
        <x:v>1584.893192461114</x:v>
      </x:c>
      <x:c r="U54" s="31" t="n">
        <x:f>IF(T54="","",I54*T54)</x:f>
        <x:v>40619.62305584122</x:v>
      </x:c>
    </x:row>
    <x:row r="55" ht="18" customHeight="1">
      <x:c r="A55" s="24" t="str">
        <x:v>EEZ_242</x:v>
      </x:c>
      <x:c r="B55" s="24" t="str">
        <x:v>Fiji</x:v>
      </x:c>
      <x:c r="C55" s="24" t="str">
        <x:v>EEZ</x:v>
      </x:c>
      <x:c r="D55" s="30" t="n">
        <x:v>2019</x:v>
      </x:c>
      <x:c r="E55" s="24" t="str">
        <x:v>Echinoidea</x:v>
      </x:c>
      <x:c r="F55" s="24" t="str">
        <x:v>Sea urchins, sea hedgehogs</x:v>
      </x:c>
      <x:c r="G55" s="24" t="str">
        <x:v>Other demersal invertebrates</x:v>
      </x:c>
      <x:c r="H55" s="24" t="str">
        <x:v>Other fishes &amp; inverts</x:v>
      </x:c>
      <x:c r="I55" s="31" t="n">
        <x:v>16</x:v>
      </x:c>
      <x:c r="J55" s="31" t="n">
        <x:v>16</x:v>
      </x:c>
      <x:c r="K55" s="31" t="n">
        <x:v>0</x:v>
      </x:c>
      <x:c r="L55" s="31" t="n">
        <x:v>16</x:v>
      </x:c>
      <x:c r="M55" s="31" t="n">
        <x:v>0</x:v>
      </x:c>
      <x:c r="N55" s="24" t="str">
        <x:v>echinoidea</x:v>
      </x:c>
      <x:c r="O55" s="32" t="n">
        <x:v>2.51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Echinoidea</x:v>
      </x:c>
      <x:c r="T55" s="32" t="n">
        <x:f>IF(O55="","",(1/'Metadata'!$B$5)^(O55-1))</x:f>
        <x:v>32.35936569296281</x:v>
      </x:c>
      <x:c r="U55" s="31" t="n">
        <x:f>IF(T55="","",I55*T55)</x:f>
        <x:v>517.749851087405</x:v>
      </x:c>
    </x:row>
    <x:row r="56" ht="18" customHeight="1">
      <x:c r="A56" s="24" t="str">
        <x:v>EEZ_242</x:v>
      </x:c>
      <x:c r="B56" s="24" t="str">
        <x:v>Fiji</x:v>
      </x:c>
      <x:c r="C56" s="24" t="str">
        <x:v>EEZ</x:v>
      </x:c>
      <x:c r="D56" s="30" t="n">
        <x:v>2019</x:v>
      </x:c>
      <x:c r="E56" s="24" t="str">
        <x:v>Herklotsichthys quadrimaculatus</x:v>
      </x:c>
      <x:c r="F56" s="24" t="str">
        <x:v>Bluestripe herring</x:v>
      </x:c>
      <x:c r="G56" s="24" t="str">
        <x:v>Small pelagics (&lt;30 cm)</x:v>
      </x:c>
      <x:c r="H56" s="24" t="str">
        <x:v>Herring-likes</x:v>
      </x:c>
      <x:c r="I56" s="31" t="n">
        <x:v>16</x:v>
      </x:c>
      <x:c r="J56" s="31" t="n">
        <x:v>16</x:v>
      </x:c>
      <x:c r="K56" s="31" t="n">
        <x:v>0</x:v>
      </x:c>
      <x:c r="L56" s="31" t="n">
        <x:v>16</x:v>
      </x:c>
      <x:c r="M56" s="31" t="n">
        <x:v>0</x:v>
      </x:c>
      <x:c r="N56" s="24" t="str">
        <x:v>herklotsichthys quadrimaculatus</x:v>
      </x:c>
      <x:c r="O56" s="32" t="n">
        <x:v>3.57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Herklotsichthys quadrimaculatus</x:v>
      </x:c>
      <x:c r="T56" s="32" t="n">
        <x:f>IF(O56="","",(1/'Metadata'!$B$5)^(O56-1))</x:f>
        <x:v>371.5352290971724</x:v>
      </x:c>
      <x:c r="U56" s="31" t="n">
        <x:f>IF(T56="","",I56*T56)</x:f>
        <x:v>5944.563665554759</x:v>
      </x:c>
    </x:row>
    <x:row r="57" ht="18" customHeight="1">
      <x:c r="A57" s="24" t="str">
        <x:v>EEZ_242</x:v>
      </x:c>
      <x:c r="B57" s="24" t="str">
        <x:v>Fiji</x:v>
      </x:c>
      <x:c r="C57" s="24" t="str">
        <x:v>EEZ</x:v>
      </x:c>
      <x:c r="D57" s="30" t="n">
        <x:v>2019</x:v>
      </x:c>
      <x:c r="E57" s="24" t="str">
        <x:v>Gerreidae</x:v>
      </x:c>
      <x:c r="F57" s="24" t="str">
        <x:v>Mojarras, silverbellies</x:v>
      </x:c>
      <x:c r="G57" s="24" t="str">
        <x:v>Small benthopelagics (&lt;30 cm)</x:v>
      </x:c>
      <x:c r="H57" s="24" t="str">
        <x:v>Perch-likes</x:v>
      </x:c>
      <x:c r="I57" s="31" t="n">
        <x:v>4.999999999</x:v>
      </x:c>
      <x:c r="J57" s="31" t="n">
        <x:v>4.999999999</x:v>
      </x:c>
      <x:c r="K57" s="31" t="n">
        <x:v>0</x:v>
      </x:c>
      <x:c r="L57" s="31" t="n">
        <x:v>4.999999999</x:v>
      </x:c>
      <x:c r="M57" s="31" t="n">
        <x:v>0</x:v>
      </x:c>
      <x:c r="N57" s="24" t="str">
        <x:v>gerreidae</x:v>
      </x:c>
      <x:c r="O57" s="32" t="n">
        <x:v>3.03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Gerreidae</x:v>
      </x:c>
      <x:c r="T57" s="32" t="n">
        <x:f>IF(O57="","",(1/'Metadata'!$B$5)^(O57-1))</x:f>
        <x:v>107.1519305237606</x:v>
      </x:c>
      <x:c r="U57" s="31" t="n">
        <x:f>IF(T57="","",I57*T57)</x:f>
        <x:v>535.7596525116511</x:v>
      </x:c>
    </x:row>
    <x:row r="58" ht="18" customHeight="1">
      <x:c r="A58" s="24" t="str">
        <x:v>EEZ_242</x:v>
      </x:c>
      <x:c r="B58" s="24" t="str">
        <x:v>Fiji</x:v>
      </x:c>
      <x:c r="C58" s="24" t="str">
        <x:v>EEZ</x:v>
      </x:c>
      <x:c r="D58" s="30" t="n">
        <x:v>2019</x:v>
      </x:c>
      <x:c r="E58" s="24" t="str">
        <x:v>Thunnus maccoyii</x:v>
      </x:c>
      <x:c r="F58" s="24" t="str">
        <x:v>Southern bluefin tuna</x:v>
      </x:c>
      <x:c r="G58" s="24" t="str">
        <x:v>Large pelagics (&gt;=90 cm)</x:v>
      </x:c>
      <x:c r="H58" s="24" t="str">
        <x:v>Tuna &amp; billfishes</x:v>
      </x:c>
      <x:c r="I58" s="31" t="n">
        <x:v>0.6070519517</x:v>
      </x:c>
      <x:c r="J58" s="31" t="n">
        <x:v>0</x:v>
      </x:c>
      <x:c r="K58" s="31" t="n">
        <x:v>0.6070519517</x:v>
      </x:c>
      <x:c r="L58" s="31" t="n">
        <x:v>0</x:v>
      </x:c>
      <x:c r="M58" s="31" t="n">
        <x:v>0.6070519517</x:v>
      </x:c>
      <x:c r="N58" s="24" t="str">
        <x:v>thunnus maccoyii</x:v>
      </x:c>
      <x:c r="O58" s="32" t="n">
        <x:v>3.93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Thunnus maccoyii</x:v>
      </x:c>
      <x:c r="T58" s="32" t="n">
        <x:f>IF(O58="","",(1/'Metadata'!$B$5)^(O58-1))</x:f>
        <x:v>851.1380382023768</x:v>
      </x:c>
      <x:c r="U58" s="31" t="n">
        <x:f>IF(T58="","",I58*T58)</x:f>
        <x:v>516.685007256862</x:v>
      </x:c>
    </x:row>
  </x:sheetData>
  <x:conditionalFormatting sqref="R2:R5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0ce0b4fc240497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520.677135663</x:v>
      </x:c>
      <x:c r="C2" s="32" t="n">
        <x:v>2.7369710876116895</x:v>
      </x:c>
      <x:c r="D2" s="32" t="n">
        <x:f>IF(C2="","",(1/'Metadata'!$B$5)^(C2-1))</x:f>
        <x:v>54.572152943467024</x:v>
      </x:c>
      <x:c r="E2" s="31" t="n">
        <x:f>IF(B2=0,"",B2*D2)</x:f>
        <x:v>28414.472281567563</x:v>
      </x:c>
    </x:row>
    <x:row r="3" ht="18" customHeight="1">
      <x:c r="A3" s="24" t="str">
        <x:v>Herring-likes</x:v>
      </x:c>
      <x:c r="B3" s="31" t="n">
        <x:v>16</x:v>
      </x:c>
      <x:c r="C3" s="32" t="n">
        <x:v>3.57</x:v>
      </x:c>
      <x:c r="D3" s="32" t="n">
        <x:f>IF(C3="","",(1/'Metadata'!$B$5)^(C3-1))</x:f>
        <x:v>371.5352290971724</x:v>
      </x:c>
      <x:c r="E3" s="31" t="n">
        <x:f>IF(B3=0,"",B3*D3)</x:f>
        <x:v>5944.563665554759</x:v>
      </x:c>
    </x:row>
    <x:row r="4" ht="18" customHeight="1">
      <x:c r="A4" s="24" t="str">
        <x:v>Molluscs</x:v>
      </x:c>
      <x:c r="B4" s="31" t="n">
        <x:v>2848.9592518299996</x:v>
      </x:c>
      <x:c r="C4" s="32" t="n">
        <x:v>2.390652048720636</x:v>
      </x:c>
      <x:c r="D4" s="32" t="n">
        <x:f>IF(C4="","",(1/'Metadata'!$B$5)^(C4-1))</x:f>
        <x:v>24.58397177998317</x:v>
      </x:c>
      <x:c r="E4" s="31" t="n">
        <x:f>IF(B4=0,"",B4*D4)</x:f>
        <x:v>70038.73384931068</x:v>
      </x:c>
    </x:row>
    <x:row r="5" ht="18" customHeight="1">
      <x:c r="A5" s="24" t="str">
        <x:v>Other fishes &amp; inverts</x:v>
      </x:c>
      <x:c r="B5" s="31" t="n">
        <x:v>7979.208446803001</x:v>
      </x:c>
      <x:c r="C5" s="32" t="n">
        <x:v>2.9749485068571953</x:v>
      </x:c>
      <x:c r="D5" s="32" t="n">
        <x:f>IF(C5="","",(1/'Metadata'!$B$5)^(C5-1))</x:f>
        <x:v>94.3948948131822</x:v>
      </x:c>
      <x:c r="E5" s="31" t="n">
        <x:f>IF(B5=0,"",B5*D5)</x:f>
        <x:v>753196.5420284242</x:v>
      </x:c>
    </x:row>
    <x:row r="6" ht="18" customHeight="1">
      <x:c r="A6" s="24" t="str">
        <x:v>Perch-likes</x:v>
      </x:c>
      <x:c r="B6" s="31" t="n">
        <x:v>19177.329477338502</x:v>
      </x:c>
      <x:c r="C6" s="32" t="n">
        <x:v>3.5118990393606837</x:v>
      </x:c>
      <x:c r="D6" s="32" t="n">
        <x:f>IF(C6="","",(1/'Metadata'!$B$5)^(C6-1))</x:f>
        <x:v>325.0117329744605</x:v>
      </x:c>
      <x:c r="E6" s="31" t="n">
        <x:f>IF(B6=0,"",B6*D6)</x:f>
        <x:v>6232857.087251991</x:v>
      </x:c>
    </x:row>
    <x:row r="7" ht="18" customHeight="1">
      <x:c r="A7" s="24" t="str">
        <x:v>Sharks &amp; rays</x:v>
      </x:c>
      <x:c r="B7" s="31" t="n">
        <x:v>11712.812678226099</x:v>
      </x:c>
      <x:c r="C7" s="32" t="n">
        <x:v>4.359237761471045</x:v>
      </x:c>
      <x:c r="D7" s="32" t="n">
        <x:f>IF(C7="","",(1/'Metadata'!$B$5)^(C7-1))</x:f>
        <x:v>2286.850433634409</x:v>
      </x:c>
      <x:c r="E7" s="31" t="n">
        <x:f>IF(B7=0,"",B7*D7)</x:f>
        <x:v>26785450.752279956</x:v>
      </x:c>
    </x:row>
    <x:row r="8" ht="18" customHeight="1">
      <x:c r="A8" s="24" t="str">
        <x:v>Tuna &amp; billfishes</x:v>
      </x:c>
      <x:c r="B8" s="31" t="n">
        <x:v>15306.8407589031</x:v>
      </x:c>
      <x:c r="C8" s="32" t="n">
        <x:v>4.358577963517813</x:v>
      </x:c>
      <x:c r="D8" s="32" t="n">
        <x:f>IF(C8="","",(1/'Metadata'!$B$5)^(C8-1))</x:f>
        <x:v>2283.3787946471757</x:v>
      </x:c>
      <x:c r="E8" s="31" t="n">
        <x:f>IF(B8=0,"",B8*D8)</x:f>
        <x:v>34951315.60192042</x:v>
      </x:c>
    </x:row>
  </x:sheetData>
  <x:pageMargins left="0.7" right="0.7" top="0.75" bottom="0.75" header="0.3" footer="0.3"/>
  <x:tableParts count="1">
    <x:tablePart xmlns:r="http://schemas.openxmlformats.org/officeDocument/2006/relationships" r:id="R6648815cdfb445e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92</x:v>
      </x:c>
      <x:c r="C2" s="32" t="n">
        <x:v>3.58</x:v>
      </x:c>
      <x:c r="D2" s="32" t="n">
        <x:f>IF(C2="","",(1/'Metadata'!$B$5)^(C2-1))</x:f>
        <x:v>380.1893963205613</x:v>
      </x:c>
      <x:c r="E2" s="31" t="n">
        <x:f>IF(B2=0,"",B2*D2)</x:f>
        <x:v>34977.42446149164</x:v>
      </x:c>
    </x:row>
    <x:row r="3" ht="18" customHeight="1">
      <x:c r="A3" s="24" t="str">
        <x:v>Large benthopelagics (&gt;=90 cm)</x:v>
      </x:c>
      <x:c r="B3" s="31" t="n">
        <x:v>32.999999996</x:v>
      </x:c>
      <x:c r="C3" s="32" t="n">
        <x:v>2.03</x:v>
      </x:c>
      <x:c r="D3" s="32" t="n">
        <x:f>IF(C3="","",(1/'Metadata'!$B$5)^(C3-1))</x:f>
        <x:v>10.71519305237606</x:v>
      </x:c>
      <x:c r="E3" s="31" t="n">
        <x:f>IF(B3=0,"",B3*D3)</x:f>
        <x:v>353.6013706855492</x:v>
      </x:c>
    </x:row>
    <x:row r="4" ht="18" customHeight="1">
      <x:c r="A4" s="24" t="str">
        <x:v>Large pelagics (&gt;=90 cm)</x:v>
      </x:c>
      <x:c r="B4" s="31" t="n">
        <x:v>17467.415801143703</x:v>
      </x:c>
      <x:c r="C4" s="32" t="n">
        <x:v>4.361105574504147</x:v>
      </x:c>
      <x:c r="D4" s="32" t="n">
        <x:f>IF(C4="","",(1/'Metadata'!$B$5)^(C4-1))</x:f>
        <x:v>2296.7068965642347</x:v>
      </x:c>
      <x:c r="E4" s="31" t="n">
        <x:f>IF(B4=0,"",B4*D4)</x:f>
        <x:v>40117534.33564183</x:v>
      </x:c>
    </x:row>
    <x:row r="5" ht="18" customHeight="1">
      <x:c r="A5" s="24" t="str">
        <x:v>Large sharks (&gt;=90 cm)</x:v>
      </x:c>
      <x:c r="B5" s="31" t="n">
        <x:v>11712.812678226099</x:v>
      </x:c>
      <x:c r="C5" s="32" t="n">
        <x:v>4.359237761471045</x:v>
      </x:c>
      <x:c r="D5" s="32" t="n">
        <x:f>IF(C5="","",(1/'Metadata'!$B$5)^(C5-1))</x:f>
        <x:v>2286.850433634409</x:v>
      </x:c>
      <x:c r="E5" s="31" t="n">
        <x:f>IF(B5=0,"",B5*D5)</x:f>
        <x:v>26785450.752279956</x:v>
      </x:c>
    </x:row>
    <x:row r="6" ht="18" customHeight="1">
      <x:c r="A6" s="24" t="str">
        <x:v>Lobsters, crabs</x:v>
      </x:c>
      <x:c r="B6" s="31" t="n">
        <x:v>235</x:v>
      </x:c>
      <x:c r="C6" s="32" t="n">
        <x:v>2.7819148936170213</x:v>
      </x:c>
      <x:c r="D6" s="32" t="n">
        <x:f>IF(C6="","",(1/'Metadata'!$B$5)^(C6-1))</x:f>
        <x:v>60.52222609402345</x:v>
      </x:c>
      <x:c r="E6" s="31" t="n">
        <x:f>IF(B6=0,"",B6*D6)</x:f>
        <x:v>14222.72313209551</x:v>
      </x:c>
    </x:row>
    <x:row r="7" ht="18" customHeight="1">
      <x:c r="A7" s="24" t="str">
        <x:v>Medium demersals (30 - 89 cm)</x:v>
      </x:c>
      <x:c r="B7" s="31" t="n">
        <x:v>2452.3761837306</x:v>
      </x:c>
      <x:c r="C7" s="32" t="n">
        <x:v>3.28</x:v>
      </x:c>
      <x:c r="D7" s="32" t="n">
        <x:f>IF(C7="","",(1/'Metadata'!$B$5)^(C7-1))</x:f>
        <x:v>190.54607179632464</x:v>
      </x:c>
      <x:c r="E7" s="31" t="n">
        <x:f>IF(B7=0,"",B7*D7)</x:f>
        <x:v>467290.64837672753</x:v>
      </x:c>
    </x:row>
    <x:row r="8" ht="18" customHeight="1">
      <x:c r="A8" s="24" t="str">
        <x:v>Medium pelagics (30 - 89 cm)</x:v>
      </x:c>
      <x:c r="B8" s="31" t="n">
        <x:v>4254.0836353643</x:v>
      </x:c>
      <x:c r="C8" s="32" t="n">
        <x:v>4.039288397142614</x:v>
      </x:c>
      <x:c r="D8" s="32" t="n">
        <x:f>IF(C8="","",(1/'Metadata'!$B$5)^(C8-1))</x:f>
        <x:v>1094.6830590572702</x:v>
      </x:c>
      <x:c r="E8" s="31" t="n">
        <x:f>IF(B8=0,"",B8*D8)</x:f>
        <x:v>4656873.287446064</x:v>
      </x:c>
    </x:row>
    <x:row r="9" ht="18" customHeight="1">
      <x:c r="A9" s="24" t="str">
        <x:v>Medium reef assoc. fish (30 - 89 cm)</x:v>
      </x:c>
      <x:c r="B9" s="31" t="n">
        <x:v>13681.602010213997</x:v>
      </x:c>
      <x:c r="C9" s="32" t="n">
        <x:v>3.2738816930296273</x:v>
      </x:c>
      <x:c r="D9" s="32" t="n">
        <x:f>IF(C9="","",(1/'Metadata'!$B$5)^(C9-1))</x:f>
        <x:v>187.88049383257396</x:v>
      </x:c>
      <x:c r="E9" s="31" t="n">
        <x:f>IF(B9=0,"",B9*D9)</x:f>
        <x:v>2570506.1420997423</x:v>
      </x:c>
    </x:row>
    <x:row r="10" ht="18" customHeight="1">
      <x:c r="A10" s="24" t="str">
        <x:v>Other demersal invertebrates</x:v>
      </x:c>
      <x:c r="B10" s="31" t="n">
        <x:v>5726.239593134</x:v>
      </x:c>
      <x:c r="C10" s="32" t="n">
        <x:v>2.4065918439740765</x:v>
      </x:c>
      <x:c r="D10" s="32" t="n">
        <x:f>IF(C10="","",(1/'Metadata'!$B$5)^(C10-1))</x:f>
        <x:v>25.503033652719665</x:v>
      </x:c>
      <x:c r="E10" s="31" t="n">
        <x:f>IF(B10=0,"",B10*D10)</x:f>
        <x:v>146036.48104723217</x:v>
      </x:c>
    </x:row>
    <x:row r="11" ht="18" customHeight="1">
      <x:c r="A11" s="24" t="str">
        <x:v>Shrimps</x:v>
      </x:c>
      <x:c r="B11" s="31" t="n">
        <x:v>285.677135663</x:v>
      </x:c>
      <x:c r="C11" s="32" t="n">
        <x:v>2.7</x:v>
      </x:c>
      <x:c r="D11" s="32" t="n">
        <x:f>IF(C11="","",(1/'Metadata'!$B$5)^(C11-1))</x:f>
        <x:v>50.11872336272725</x:v>
      </x:c>
      <x:c r="E11" s="31" t="n">
        <x:f>IF(B11=0,"",B11*D11)</x:f>
        <x:v>14317.7733333502</x:v>
      </x:c>
    </x:row>
    <x:row r="12" ht="18" customHeight="1">
      <x:c r="A12" s="24" t="str">
        <x:v>Small benthopelagics (&lt;30 cm)</x:v>
      </x:c>
      <x:c r="B12" s="31" t="n">
        <x:v>114.999999994</x:v>
      </x:c>
      <x:c r="C12" s="32" t="n">
        <x:v>3.2308695652187414</x:v>
      </x:c>
      <x:c r="D12" s="32" t="n">
        <x:f>IF(C12="","",(1/'Metadata'!$B$5)^(C12-1))</x:f>
        <x:v>170.16473636653583</x:v>
      </x:c>
      <x:c r="E12" s="31" t="n">
        <x:f>IF(B12=0,"",B12*D12)</x:f>
        <x:v>19568.944681130633</x:v>
      </x:c>
    </x:row>
    <x:row r="13" ht="18" customHeight="1">
      <x:c r="A13" s="24" t="str">
        <x:v>Small pelagics (&lt;30 cm)</x:v>
      </x:c>
      <x:c r="B13" s="31" t="n">
        <x:v>16</x:v>
      </x:c>
      <x:c r="C13" s="32" t="n">
        <x:v>3.57</x:v>
      </x:c>
      <x:c r="D13" s="32" t="n">
        <x:f>IF(C13="","",(1/'Metadata'!$B$5)^(C13-1))</x:f>
        <x:v>371.5352290971724</x:v>
      </x:c>
      <x:c r="E13" s="31" t="n">
        <x:f>IF(B13=0,"",B13*D13)</x:f>
        <x:v>5944.563665554759</x:v>
      </x:c>
    </x:row>
    <x:row r="14" ht="18" customHeight="1">
      <x:c r="A14" s="24" t="str">
        <x:v>Small reef assoc. fish (&lt;30 cm)</x:v>
      </x:c>
      <x:c r="B14" s="31" t="n">
        <x:v>1490.6207112979998</x:v>
      </x:c>
      <x:c r="C14" s="32" t="n">
        <x:v>2.595181632264115</x:v>
      </x:c>
      <x:c r="D14" s="32" t="n">
        <x:f>IF(C14="","",(1/'Metadata'!$B$5)^(C14-1))</x:f>
        <x:v>39.37147018646277</x:v>
      </x:c>
      <x:c r="E14" s="31" t="n">
        <x:f>IF(B14=0,"",B14*D14)</x:f>
        <x:v>58687.92889419313</x:v>
      </x:c>
    </x:row>
  </x:sheetData>
  <x:pageMargins left="0.7" right="0.7" top="0.75" bottom="0.75" header="0.3" footer="0.3"/>
  <x:tableParts count="1">
    <x:tablePart xmlns:r="http://schemas.openxmlformats.org/officeDocument/2006/relationships" r:id="Rc9600f19f1304ce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EEZ_242</x:v>
      </x:c>
      <x:c r="B2" s="24" t="str">
        <x:v>raw_filtered_tonnes</x:v>
      </x:c>
      <x:c r="C2" s="24" t="n">
        <x:v>57561.8277487637</x:v>
      </x:c>
      <x:c r="D2" s="24" t="str">
        <x:v>tonnes</x:v>
      </x:c>
    </x:row>
    <x:row r="3" ht="18" customHeight="1">
      <x:c r="A3" s="24" t="str">
        <x:v>EEZ_242</x:v>
      </x:c>
      <x:c r="B3" s="24" t="str">
        <x:v>species_catch_tonnes</x:v>
      </x:c>
      <x:c r="C3" s="24" t="n">
        <x:v>57561.8277487637</x:v>
      </x:c>
      <x:c r="D3" s="24" t="str">
        <x:v>tonnes</x:v>
      </x:c>
    </x:row>
    <x:row r="4" ht="18" customHeight="1">
      <x:c r="A4" s="24" t="str">
        <x:v>EEZ_242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EEZ_242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EEZ_242</x:v>
      </x:c>
      <x:c r="B6" s="24" t="str">
        <x:v>matched_catch_tonnes</x:v>
      </x:c>
      <x:c r="C6" s="24" t="n">
        <x:v>57561.8277487637</x:v>
      </x:c>
      <x:c r="D6" s="24" t="str">
        <x:v>tonnes</x:v>
      </x:c>
    </x:row>
    <x:row r="7" ht="18" customHeight="1">
      <x:c r="A7" s="24" t="str">
        <x:v>EEZ_242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EEZ_242</x:v>
      </x:c>
      <x:c r="B8" s="24" t="str">
        <x:v>taxa_count</x:v>
      </x:c>
      <x:c r="C8" s="24" t="n">
        <x:v>57</x:v>
      </x:c>
      <x:c r="D8" s="24" t="str">
        <x:v>count</x:v>
      </x:c>
    </x:row>
    <x:row r="9" ht="18" customHeight="1">
      <x:c r="A9" s="24" t="str">
        <x:v>EEZ_242</x:v>
      </x:c>
      <x:c r="B9" s="24" t="str">
        <x:v>matched_taxa_count</x:v>
      </x:c>
      <x:c r="C9" s="24" t="n">
        <x:v>57</x:v>
      </x:c>
      <x:c r="D9" s="24" t="str">
        <x:v>count</x:v>
      </x:c>
    </x:row>
    <x:row r="10" ht="18" customHeight="1">
      <x:c r="A10" s="24" t="str">
        <x:v>EEZ_242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EEZ_242</x:v>
      </x:c>
      <x:c r="B11" s="24" t="str">
        <x:v>species_ppr</x:v>
      </x:c>
      <x:c r="C11" s="24" t="n">
        <x:v>79413036.45710625</x:v>
      </x:c>
      <x:c r="D11" s="24" t="str">
        <x:v>tonnes_primary_production_equivalent</x:v>
      </x:c>
    </x:row>
    <x:row r="12" ht="18" customHeight="1">
      <x:c r="A12" s="24" t="str">
        <x:v>EEZ_242</x:v>
      </x:c>
      <x:c r="B12" s="24" t="str">
        <x:v>commercial_ppr</x:v>
      </x:c>
      <x:c r="C12" s="24" t="n">
        <x:v>68827217.75327721</x:v>
      </x:c>
      <x:c r="D12" s="24" t="str">
        <x:v>tonnes_primary_production_equivalent</x:v>
      </x:c>
    </x:row>
    <x:row r="13" ht="18" customHeight="1">
      <x:c r="A13" s="24" t="str">
        <x:v>EEZ_242</x:v>
      </x:c>
      <x:c r="B13" s="24" t="str">
        <x:v>functional_ppr</x:v>
      </x:c>
      <x:c r="C13" s="24" t="n">
        <x:v>74891764.60643005</x:v>
      </x:c>
      <x:c r="D13" s="24" t="str">
        <x:v>tonnes_primary_production_equivalent</x:v>
      </x:c>
    </x:row>
    <x:row r="14" ht="18" customHeight="1">
      <x:c r="A14" s="24" t="str">
        <x:v>EEZ_242</x:v>
      </x:c>
      <x:c r="B14" s="24" t="str">
        <x:v>commercial_ppr_difference</x:v>
      </x:c>
      <x:c r="C14" s="24" t="n">
        <x:v>-10585818.703829035</x:v>
      </x:c>
      <x:c r="D14" s="24" t="str">
        <x:v>tonnes_primary_production_equivalent</x:v>
      </x:c>
    </x:row>
    <x:row r="15" ht="18" customHeight="1">
      <x:c r="A15" s="24" t="str">
        <x:v>EEZ_242</x:v>
      </x:c>
      <x:c r="B15" s="24" t="str">
        <x:v>functional_ppr_difference</x:v>
      </x:c>
      <x:c r="C15" s="24" t="n">
        <x:v>-4521271.850676194</x:v>
      </x:c>
      <x:c r="D15" s="24" t="str">
        <x:v>tonnes_primary_production_equivalent</x:v>
      </x:c>
    </x:row>
    <x:row r="16" ht="18" customHeight="1">
      <x:c r="A16" s="24" t="str">
        <x:v>EEZ_242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EEZ_242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b8c37e6fd034d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EEZ_242 - Fiji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EEZ_242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raw_data/SAU_downloads/EEZ_242-catch.zip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