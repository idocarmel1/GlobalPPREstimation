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87fdd75e7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73b75264f4546e9"/>
    <x:sheet xmlns:r="http://schemas.openxmlformats.org/officeDocument/2006/relationships" name="Commercial" sheetId="2" r:id="R6d83984371344606"/>
    <x:sheet xmlns:r="http://schemas.openxmlformats.org/officeDocument/2006/relationships" name="Functional" sheetId="3" r:id="Ra967f451437c4c25"/>
    <x:sheet xmlns:r="http://schemas.openxmlformats.org/officeDocument/2006/relationships" name="Missing TL" sheetId="4" r:id="R6edeb038b6c04ed1"/>
    <x:sheet xmlns:r="http://schemas.openxmlformats.org/officeDocument/2006/relationships" name="Validation" sheetId="5" r:id="R7641e9479a0a495b"/>
    <x:sheet xmlns:r="http://schemas.openxmlformats.org/officeDocument/2006/relationships" name="Metadata" sheetId="6" r:id="R23a6a01c36cf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3407269844d7b" /><Relationship Type="http://schemas.openxmlformats.org/officeDocument/2006/relationships/theme" Target="/xl/theme/theme1.xml" Id="Rbe2da8fb1cda43a9" /><Relationship Type="http://schemas.microsoft.com/office/2022/11/relationships/FeaturePropertyBag" Target="/xl/featurePropertyBag/featurePropertyBag.xml" Id="Rcf0773d89e3c4876" /><Relationship Type="http://schemas.openxmlformats.org/officeDocument/2006/relationships/sharedStrings" Target="/xl/sharedStrings.xml" Id="Reee36e4c32db4b15" /><Relationship Type="http://schemas.openxmlformats.org/officeDocument/2006/relationships/worksheet" Target="/xl/worksheets/sheet1.xml" Id="R773b75264f4546e9" /><Relationship Type="http://schemas.openxmlformats.org/officeDocument/2006/relationships/worksheet" Target="/xl/worksheets/sheet2.xml" Id="R6d83984371344606" /><Relationship Type="http://schemas.openxmlformats.org/officeDocument/2006/relationships/worksheet" Target="/xl/worksheets/sheet3.xml" Id="Ra967f451437c4c25" /><Relationship Type="http://schemas.openxmlformats.org/officeDocument/2006/relationships/worksheet" Target="/xl/worksheets/sheet4.xml" Id="R6edeb038b6c04ed1" /><Relationship Type="http://schemas.openxmlformats.org/officeDocument/2006/relationships/worksheet" Target="/xl/worksheets/sheet5.xml" Id="R7641e9479a0a495b" /><Relationship Type="http://schemas.openxmlformats.org/officeDocument/2006/relationships/worksheet" Target="/xl/worksheets/sheet6.xml" Id="R23a6a01c36cf4c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5SpeciesTable" displayName="EEZ845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5CommercialTable" displayName="EEZ845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5FunctionalTable" displayName="EEZ845FunctionalTable" ref="A1:E5" headerRowCount="1" totalsRowCount="0" totalsRowShown="0">
  <x:autoFilter ref="A1:E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5ValidationTable" displayName="EEZ84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29ef400811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df356abaec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af7adfd5d24d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689f6501fc49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EEZ_845</x:v>
      </x:c>
      <x:c r="B2" s="24" t="str">
        <x:v>Jarvis Isl.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1596.2018993402</x:v>
      </x:c>
      <x:c r="J2" s="31" t="n">
        <x:v>1596.2018993402</x:v>
      </x:c>
      <x:c r="K2" s="31" t="n">
        <x:v>0</x:v>
      </x:c>
      <x:c r="L2" s="31" t="n">
        <x:v>1596.2018993402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4296232.966168392</x:v>
      </x:c>
    </x:row>
    <x:row r="3" ht="18" customHeight="1">
      <x:c r="A3" s="24" t="str">
        <x:v>EEZ_845</x:v>
      </x:c>
      <x:c r="B3" s="24" t="str">
        <x:v>Jarvis Isl.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480.0218628838</x:v>
      </x:c>
      <x:c r="J3" s="31" t="n">
        <x:v>477.0784163693</x:v>
      </x:c>
      <x:c r="K3" s="31" t="n">
        <x:v>2.9434465145</x:v>
      </x:c>
      <x:c r="L3" s="31" t="n">
        <x:v>477.0784163693</x:v>
      </x:c>
      <x:c r="M3" s="31" t="n">
        <x:v>2.9434465145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1233846.1719933737</x:v>
      </x:c>
    </x:row>
    <x:row r="4" ht="18" customHeight="1">
      <x:c r="A4" s="24" t="str">
        <x:v>EEZ_845</x:v>
      </x:c>
      <x:c r="B4" s="24" t="str">
        <x:v>Jarvis Isl. (USA)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251.9496627918</x:v>
      </x:c>
      <x:c r="J4" s="31" t="n">
        <x:v>241.2433564128</x:v>
      </x:c>
      <x:c r="K4" s="31" t="n">
        <x:v>10.706306379</x:v>
      </x:c>
      <x:c r="L4" s="31" t="n">
        <x:v>241.2433564128</x:v>
      </x:c>
      <x:c r="M4" s="31" t="n">
        <x:v>10.706306379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778598.8921488392</x:v>
      </x:c>
    </x:row>
    <x:row r="5" ht="18" customHeight="1">
      <x:c r="A5" s="24" t="str">
        <x:v>EEZ_845</x:v>
      </x:c>
      <x:c r="B5" s="24" t="str">
        <x:v>Jarvis Isl. (USA)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251.589023569</x:v>
      </x:c>
      <x:c r="J5" s="31" t="n">
        <x:v>0</x:v>
      </x:c>
      <x:c r="K5" s="31" t="n">
        <x:v>251.589023569</x:v>
      </x:c>
      <x:c r="L5" s="31" t="n">
        <x:v>0</x:v>
      </x:c>
      <x:c r="M5" s="31" t="n">
        <x:v>251.589023569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457816.76220535644</x:v>
      </x:c>
    </x:row>
    <x:row r="6" ht="18" customHeight="1">
      <x:c r="A6" s="24" t="str">
        <x:v>EEZ_845</x:v>
      </x:c>
      <x:c r="B6" s="24" t="str">
        <x:v>Jarvis Isl. (USA)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228.93767601879998</x:v>
      </x:c>
      <x:c r="J6" s="31" t="n">
        <x:v>0</x:v>
      </x:c>
      <x:c r="K6" s="31" t="n">
        <x:v>228.93767601879998</x:v>
      </x:c>
      <x:c r="L6" s="31" t="n">
        <x:v>0</x:v>
      </x:c>
      <x:c r="M6" s="31" t="n">
        <x:v>228.93767601879998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43623.17485156197</x:v>
      </x:c>
    </x:row>
    <x:row r="7" ht="18" customHeight="1">
      <x:c r="A7" s="24" t="str">
        <x:v>EEZ_845</x:v>
      </x:c>
      <x:c r="B7" s="24" t="str">
        <x:v>Jarvis Isl. (USA)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223.0037840511</x:v>
      </x:c>
      <x:c r="J7" s="31" t="n">
        <x:v>0</x:v>
      </x:c>
      <x:c r="K7" s="31" t="n">
        <x:v>223.0037840511</x:v>
      </x:c>
      <x:c r="L7" s="31" t="n">
        <x:v>0</x:v>
      </x:c>
      <x:c r="M7" s="31" t="n">
        <x:v>223.0037840511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522771.8964979701</x:v>
      </x:c>
    </x:row>
    <x:row r="8" ht="18" customHeight="1">
      <x:c r="A8" s="24" t="str">
        <x:v>EEZ_845</x:v>
      </x:c>
      <x:c r="B8" s="24" t="str">
        <x:v>Jarvis Isl. (USA)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202.6413561098</x:v>
      </x:c>
      <x:c r="J8" s="31" t="n">
        <x:v>0</x:v>
      </x:c>
      <x:c r="K8" s="31" t="n">
        <x:v>202.6413561098</x:v>
      </x:c>
      <x:c r="L8" s="31" t="n">
        <x:v>0</x:v>
      </x:c>
      <x:c r="M8" s="31" t="n">
        <x:v>202.6413561098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227367.34115997143</x:v>
      </x:c>
    </x:row>
    <x:row r="9" ht="18" customHeight="1">
      <x:c r="A9" s="24" t="str">
        <x:v>EEZ_845</x:v>
      </x:c>
      <x:c r="B9" s="24" t="str">
        <x:v>Jarvis Isl.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87.7518155155</x:v>
      </x:c>
      <x:c r="J9" s="31" t="n">
        <x:v>0</x:v>
      </x:c>
      <x:c r="K9" s="31" t="n">
        <x:v>87.7518155155</x:v>
      </x:c>
      <x:c r="L9" s="31" t="n">
        <x:v>0</x:v>
      </x:c>
      <x:c r="M9" s="31" t="n">
        <x:v>87.7518155155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98459.15640689232</x:v>
      </x:c>
    </x:row>
    <x:row r="10" ht="18" customHeight="1">
      <x:c r="A10" s="24" t="str">
        <x:v>EEZ_845</x:v>
      </x:c>
      <x:c r="B10" s="24" t="str">
        <x:v>Jarvis Isl. (USA)</x:v>
      </x:c>
      <x:c r="C10" s="24" t="str">
        <x:v>EEZ</x:v>
      </x:c>
      <x:c r="D10" s="30" t="n">
        <x:v>2019</x:v>
      </x:c>
      <x:c r="E10" s="24" t="str">
        <x:v>Istiophoridae</x:v>
      </x:c>
      <x:c r="F10" s="24" t="str">
        <x:v>Billfishes</x:v>
      </x:c>
      <x:c r="G10" s="24" t="str">
        <x:v>Large pelagics (&gt;=90 cm)</x:v>
      </x:c>
      <x:c r="H10" s="24" t="str">
        <x:v>Tuna &amp; billfishes</x:v>
      </x:c>
      <x:c r="I10" s="31" t="n">
        <x:v>52.7949666803</x:v>
      </x:c>
      <x:c r="J10" s="31" t="n">
        <x:v>0</x:v>
      </x:c>
      <x:c r="K10" s="31" t="n">
        <x:v>52.7949666803</x:v>
      </x:c>
      <x:c r="L10" s="31" t="n">
        <x:v>0</x:v>
      </x:c>
      <x:c r="M10" s="31" t="n">
        <x:v>52.7949666803</x:v>
      </x:c>
      <x:c r="N10" s="24" t="str">
        <x:v>istiophoridae</x:v>
      </x:c>
      <x:c r="O10" s="32" t="n">
        <x:v>4.48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Istiophoridae</x:v>
      </x:c>
      <x:c r="T10" s="32" t="n">
        <x:f>IF(O10="","",(1/'Metadata'!$B$5)^(O10-1))</x:f>
        <x:v>3019.951720402019</x:v>
      </x:c>
      <x:c r="U10" s="31" t="n">
        <x:f>IF(T10="","",I10*T10)</x:f>
        <x:v>159438.25045473926</x:v>
      </x:c>
    </x:row>
    <x:row r="11" ht="18" customHeight="1">
      <x:c r="A11" s="24" t="str">
        <x:v>EEZ_845</x:v>
      </x:c>
      <x:c r="B11" s="24" t="str">
        <x:v>Jarvis Isl. (USA)</x:v>
      </x:c>
      <x:c r="C11" s="24" t="str">
        <x:v>EEZ</x:v>
      </x:c>
      <x:c r="D11" s="30" t="n">
        <x:v>2019</x:v>
      </x:c>
      <x:c r="E11" s="24" t="str">
        <x:v>Prionace glauca</x:v>
      </x:c>
      <x:c r="F11" s="24" t="str">
        <x:v>Blue shark</x:v>
      </x:c>
      <x:c r="G11" s="24" t="str">
        <x:v>Large sharks (&gt;=90 cm)</x:v>
      </x:c>
      <x:c r="H11" s="24" t="str">
        <x:v>Sharks &amp; rays</x:v>
      </x:c>
      <x:c r="I11" s="31" t="n">
        <x:v>35.4957505196</x:v>
      </x:c>
      <x:c r="J11" s="31" t="n">
        <x:v>0</x:v>
      </x:c>
      <x:c r="K11" s="31" t="n">
        <x:v>35.4957505196</x:v>
      </x:c>
      <x:c r="L11" s="31" t="n">
        <x:v>0</x:v>
      </x:c>
      <x:c r="M11" s="31" t="n">
        <x:v>35.4957505196</x:v>
      </x:c>
      <x:c r="N11" s="24" t="str">
        <x:v>prionace glauca</x:v>
      </x:c>
      <x:c r="O11" s="32" t="n">
        <x:v>4.35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Prionace glauca</x:v>
      </x:c>
      <x:c r="T11" s="32" t="n">
        <x:f>IF(O11="","",(1/'Metadata'!$B$5)^(O11-1))</x:f>
        <x:v>2238.7211385683377</x:v>
      </x:c>
      <x:c r="U11" s="31" t="n">
        <x:f>IF(T11="","",I11*T11)</x:f>
        <x:v>79465.08701757657</x:v>
      </x:c>
    </x:row>
    <x:row r="12" ht="18" customHeight="1">
      <x:c r="A12" s="24" t="str">
        <x:v>EEZ_845</x:v>
      </x:c>
      <x:c r="B12" s="24" t="str">
        <x:v>Jarvis Isl. (USA)</x:v>
      </x:c>
      <x:c r="C12" s="24" t="str">
        <x:v>EEZ</x:v>
      </x:c>
      <x:c r="D12" s="30" t="n">
        <x:v>2019</x:v>
      </x:c>
      <x:c r="E12" s="24" t="str">
        <x:v>Xiphias gladius</x:v>
      </x:c>
      <x:c r="F12" s="24" t="str">
        <x:v>Swordfish</x:v>
      </x:c>
      <x:c r="G12" s="24" t="str">
        <x:v>Large pelagics (&gt;=90 cm)</x:v>
      </x:c>
      <x:c r="H12" s="24" t="str">
        <x:v>Tuna &amp; billfishes</x:v>
      </x:c>
      <x:c r="I12" s="31" t="n">
        <x:v>5.4957200974</x:v>
      </x:c>
      <x:c r="J12" s="31" t="n">
        <x:v>3.1759680964999997</x:v>
      </x:c>
      <x:c r="K12" s="31" t="n">
        <x:v>2.3197520009</x:v>
      </x:c>
      <x:c r="L12" s="31" t="n">
        <x:v>3.1759680964999997</x:v>
      </x:c>
      <x:c r="M12" s="31" t="n">
        <x:v>2.3197520009</x:v>
      </x:c>
      <x:c r="N12" s="24" t="str">
        <x:v>xiphias gladius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Xiphias gladius</x:v>
      </x:c>
      <x:c r="T12" s="32" t="n">
        <x:f>IF(O12="","",(1/'Metadata'!$B$5)^(O12-1))</x:f>
        <x:v>3388.4415613920273</x:v>
      </x:c>
      <x:c r="U12" s="31" t="n">
        <x:f>IF(T12="","",I12*T12)</x:f>
        <x:v>18621.926387807598</x:v>
      </x:c>
    </x:row>
    <x:row r="13" ht="18" customHeight="1">
      <x:c r="A13" s="24" t="str">
        <x:v>EEZ_845</x:v>
      </x:c>
      <x:c r="B13" s="24" t="str">
        <x:v>Jarvis Isl. (USA)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3.5243711208</x:v>
      </x:c>
      <x:c r="J13" s="31" t="n">
        <x:v>3.3986926494</x:v>
      </x:c>
      <x:c r="K13" s="31" t="n">
        <x:v>0.1256784714</x:v>
      </x:c>
      <x:c r="L13" s="31" t="n">
        <x:v>3.3986926494</x:v>
      </x:c>
      <x:c r="M13" s="31" t="n">
        <x:v>0.1256784714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789.0084128294753</x:v>
      </x:c>
    </x:row>
    <x:row r="14" ht="18" customHeight="1">
      <x:c r="A14" s="24" t="str">
        <x:v>EEZ_845</x:v>
      </x:c>
      <x:c r="B14" s="24" t="str">
        <x:v>Jarvis Isl.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1.6342216568999999</x:v>
      </x:c>
      <x:c r="J14" s="31" t="n">
        <x:v>0.1583241664</x:v>
      </x:c>
      <x:c r="K14" s="31" t="n">
        <x:v>1.4758974905</x:v>
      </x:c>
      <x:c r="L14" s="31" t="n">
        <x:v>0.1583241664</x:v>
      </x:c>
      <x:c r="M14" s="31" t="n">
        <x:v>1.4758974905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5167.862637378224</x:v>
      </x:c>
    </x:row>
    <x:row r="15" ht="18" customHeight="1">
      <x:c r="A15" s="24" t="str">
        <x:v>EEZ_845</x:v>
      </x:c>
      <x:c r="B15" s="24" t="str">
        <x:v>Jarvis Isl. (USA)</x:v>
      </x:c>
      <x:c r="C15" s="24" t="str">
        <x:v>EEZ</x:v>
      </x:c>
      <x:c r="D15" s="30" t="n">
        <x:v>2019</x:v>
      </x:c>
      <x:c r="E15" s="24" t="str">
        <x:v>Thunnus alalunga</x:v>
      </x:c>
      <x:c r="F15" s="24" t="str">
        <x:v>Albacore</x:v>
      </x:c>
      <x:c r="G15" s="24" t="str">
        <x:v>Large pelagics (&gt;=90 cm)</x:v>
      </x:c>
      <x:c r="H15" s="24" t="str">
        <x:v>Tuna &amp; billfishes</x:v>
      </x:c>
      <x:c r="I15" s="31" t="n">
        <x:v>1.1798194446</x:v>
      </x:c>
      <x:c r="J15" s="31" t="n">
        <x:v>1.1798194446</x:v>
      </x:c>
      <x:c r="K15" s="31" t="n">
        <x:v>0</x:v>
      </x:c>
      <x:c r="L15" s="31" t="n">
        <x:v>1.1798194446</x:v>
      </x:c>
      <x:c r="M15" s="31" t="n">
        <x:v>0</x:v>
      </x:c>
      <x:c r="N15" s="24" t="str">
        <x:v>thunnus alalunga</x:v>
      </x:c>
      <x:c r="O15" s="32" t="n">
        <x:v>4.3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alalunga</x:v>
      </x:c>
      <x:c r="T15" s="32" t="n">
        <x:f>IF(O15="","",(1/'Metadata'!$B$5)^(O15-1))</x:f>
        <x:v>1995.2623149688789</x:v>
      </x:c>
      <x:c r="U15" s="31" t="n">
        <x:f>IF(T15="","",I15*T15)</x:f>
        <x:v>2354.049276277893</x:v>
      </x:c>
    </x:row>
    <x:row r="16" ht="18" customHeight="1">
      <x:c r="A16" s="24" t="str">
        <x:v>EEZ_845</x:v>
      </x:c>
      <x:c r="B16" s="24" t="str">
        <x:v>Jarvis Isl. (USA)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1.0804660978</x:v>
      </x:c>
      <x:c r="J16" s="31" t="n">
        <x:v>1.0804660978</x:v>
      </x:c>
      <x:c r="K16" s="31" t="n">
        <x:v>0</x:v>
      </x:c>
      <x:c r="L16" s="31" t="n">
        <x:v>1.0804660978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4107.8175346741455</x:v>
      </x:c>
    </x:row>
    <x:row r="17" ht="18" customHeight="1">
      <x:c r="A17" s="24" t="str">
        <x:v>EEZ_845</x:v>
      </x:c>
      <x:c r="B17" s="24" t="str">
        <x:v>Jarvis Isl.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0.20375482450000001</x:v>
      </x:c>
      <x:c r="J17" s="31" t="n">
        <x:v>0.20375482450000001</x:v>
      </x:c>
      <x:c r="K17" s="31" t="n">
        <x:v>0</x:v>
      </x:c>
      <x:c r="L17" s="31" t="n">
        <x:v>0.20375482450000001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644.3293296678788</x:v>
      </x:c>
    </x:row>
    <x:row r="18" ht="18" customHeight="1">
      <x:c r="A18" s="24" t="str">
        <x:v>EEZ_845</x:v>
      </x:c>
      <x:c r="B18" s="24" t="str">
        <x:v>Jarvis Isl. (USA)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0.0247088681</x:v>
      </x:c>
      <x:c r="J18" s="31" t="n">
        <x:v>0.0247088681</x:v>
      </x:c>
      <x:c r="K18" s="31" t="n">
        <x:v>0</x:v>
      </x:c>
      <x:c r="L18" s="31" t="n">
        <x:v>0.0247088681</x:v>
      </x:c>
      <x:c r="M18" s="31" t="n">
        <x:v>0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78.13630160067711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829ef400811488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232.46204713959997</x:v>
      </x:c>
      <x:c r="C2" s="32" t="n">
        <x:v>3.2810612742230036</x:v>
      </x:c>
      <x:c r="D2" s="32" t="n">
        <x:f>IF(C2="","",(1/'Metadata'!$B$5)^(C2-1))</x:f>
        <x:v>191.01227370772378</x:v>
      </x:c>
      <x:c r="E2" s="31" t="n">
        <x:f>IF(B2=0,"",B2*D2)</x:f>
        <x:v>44403.104174887056</x:v>
      </x:c>
    </x:row>
    <x:row r="3" ht="18" customHeight="1">
      <x:c r="A3" s="24" t="str">
        <x:v>Perch-likes</x:v>
      </x:c>
      <x:c r="B3" s="31" t="n">
        <x:v>562.3446231356</x:v>
      </x:c>
      <x:c r="C3" s="32" t="n">
        <x:v>4.2708519486739975</x:v>
      </x:c>
      <x:c r="D3" s="32" t="n">
        <x:f>IF(C3="","",(1/'Metadata'!$B$5)^(C3-1))</x:f>
        <x:v>1865.7435489860704</x:v>
      </x:c>
      <x:c r="E3" s="31" t="n">
        <x:f>IF(B3=0,"",B3*D3)</x:f>
        <x:v>1049190.8529222487</x:v>
      </x:c>
    </x:row>
    <x:row r="4" ht="18" customHeight="1">
      <x:c r="A4" s="24" t="str">
        <x:v>Sharks &amp; rays</x:v>
      </x:c>
      <x:c r="B4" s="31" t="n">
        <x:v>239.79603715439998</x:v>
      </x:c>
      <x:c r="C4" s="32" t="n">
        <x:v>4.097520568010025</x:v>
      </x:c>
      <x:c r="D4" s="32" t="n">
        <x:f>IF(C4="","",(1/'Metadata'!$B$5)^(C4-1))</x:f>
        <x:v>1251.7585544039598</x:v>
      </x:c>
      <x:c r="E4" s="31" t="n">
        <x:f>IF(B4=0,"",B4*D4)</x:f>
        <x:v>300166.74082018994</x:v>
      </x:c>
    </x:row>
    <x:row r="5" ht="18" customHeight="1">
      <x:c r="A5" s="24" t="str">
        <x:v>Tuna &amp; billfishes</x:v>
      </x:c>
      <x:c r="B5" s="31" t="n">
        <x:v>2388.9281521604</x:v>
      </x:c>
      <x:c r="C5" s="32" t="n">
        <x:v>4.433653864211145</x:v>
      </x:c>
      <x:c r="D5" s="32" t="n">
        <x:f>IF(C5="","",(1/'Metadata'!$B$5)^(C5-1))</x:f>
        <x:v>2714.275109974096</x:v>
      </x:c>
      <x:c r="E5" s="31" t="n">
        <x:f>IF(B5=0,"",B5*D5)</x:f>
        <x:v>6484208.222925383</x:v>
      </x:c>
    </x:row>
  </x:sheetData>
  <x:pageMargins left="0.7" right="0.7" top="0.75" bottom="0.75" header="0.3" footer="0.3"/>
  <x:tableParts count="1">
    <x:tablePart xmlns:r="http://schemas.openxmlformats.org/officeDocument/2006/relationships" r:id="R05df356abaec45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2611.9319362114998</x:v>
      </x:c>
      <x:c r="C2" s="32" t="n">
        <x:v>4.428219169534855</x:v>
      </x:c>
      <x:c r="D2" s="32" t="n">
        <x:f>IF(C2="","",(1/'Metadata'!$B$5)^(C2-1))</x:f>
        <x:v>2680.5207257591774</x:v>
      </x:c>
      <x:c r="E2" s="31" t="n">
        <x:f>IF(B2=0,"",B2*D2)</x:f>
        <x:v>7001337.689287223</x:v>
      </x:c>
    </x:row>
    <x:row r="3" ht="18" customHeight="1">
      <x:c r="A3" s="24" t="str">
        <x:v>Large sharks (&gt;=90 cm)</x:v>
      </x:c>
      <x:c r="B3" s="31" t="n">
        <x:v>239.79603715439998</x:v>
      </x:c>
      <x:c r="C3" s="32" t="n">
        <x:v>4.097520568010025</x:v>
      </x:c>
      <x:c r="D3" s="32" t="n">
        <x:f>IF(C3="","",(1/'Metadata'!$B$5)^(C3-1))</x:f>
        <x:v>1251.7585544039598</x:v>
      </x:c>
      <x:c r="E3" s="31" t="n">
        <x:f>IF(B3=0,"",B3*D3)</x:f>
        <x:v>300166.74082018994</x:v>
      </x:c>
    </x:row>
    <x:row r="4" ht="18" customHeight="1">
      <x:c r="A4" s="24" t="str">
        <x:v>Medium demersals (30 - 89 cm)</x:v>
      </x:c>
      <x:c r="B4" s="31" t="n">
        <x:v>228.93767601879998</x:v>
      </x:c>
      <x:c r="C4" s="32" t="n">
        <x:v>3.28</x:v>
      </x:c>
      <x:c r="D4" s="32" t="n">
        <x:f>IF(C4="","",(1/'Metadata'!$B$5)^(C4-1))</x:f>
        <x:v>190.54607179632464</x:v>
      </x:c>
      <x:c r="E4" s="31" t="n">
        <x:f>IF(B4=0,"",B4*D4)</x:f>
        <x:v>43623.17485156197</x:v>
      </x:c>
    </x:row>
    <x:row r="5" ht="18" customHeight="1">
      <x:c r="A5" s="24" t="str">
        <x:v>Medium pelagics (30 - 89 cm)</x:v>
      </x:c>
      <x:c r="B5" s="31" t="n">
        <x:v>342.8652102053</x:v>
      </x:c>
      <x:c r="C5" s="32" t="n">
        <x:v>4.196899229393298</x:v>
      </x:c>
      <x:c r="D5" s="32" t="n">
        <x:f>IF(C5="","",(1/'Metadata'!$B$5)^(C5-1))</x:f>
        <x:v>1573.617691030422</x:v>
      </x:c>
      <x:c r="E5" s="31" t="n">
        <x:f>IF(B5=0,"",B5*D5)</x:f>
        <x:v>539538.7604179245</x:v>
      </x:c>
    </x:row>
  </x:sheetData>
  <x:pageMargins left="0.7" right="0.7" top="0.75" bottom="0.75" header="0.3" footer="0.3"/>
  <x:tableParts count="1">
    <x:tablePart xmlns:r="http://schemas.openxmlformats.org/officeDocument/2006/relationships" r:id="Re6af7adfd5d24d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EEZ_845</x:v>
      </x:c>
      <x:c r="B2" s="24" t="str">
        <x:v>raw_filtered_tonnes</x:v>
      </x:c>
      <x:c r="C2" s="24" t="n">
        <x:v>3423.530859589999</x:v>
      </x:c>
      <x:c r="D2" s="24" t="str">
        <x:v>tonnes</x:v>
      </x:c>
    </x:row>
    <x:row r="3" ht="18" customHeight="1">
      <x:c r="A3" s="24" t="str">
        <x:v>EEZ_845</x:v>
      </x:c>
      <x:c r="B3" s="24" t="str">
        <x:v>species_catch_tonnes</x:v>
      </x:c>
      <x:c r="C3" s="24" t="n">
        <x:v>3423.5308595899996</x:v>
      </x:c>
      <x:c r="D3" s="24" t="str">
        <x:v>tonnes</x:v>
      </x:c>
    </x:row>
    <x:row r="4" ht="18" customHeight="1">
      <x:c r="A4" s="24" t="str">
        <x:v>EEZ_845</x:v>
      </x:c>
      <x:c r="B4" s="24" t="str">
        <x:v>catch_difference_tonnes</x:v>
      </x:c>
      <x:c r="C4" s="24" t="n">
        <x:v>4.547473508864641e-13</x:v>
      </x:c>
      <x:c r="D4" s="24" t="str">
        <x:v>tonnes</x:v>
      </x:c>
    </x:row>
    <x:row r="5" ht="18" customHeight="1">
      <x:c r="A5" s="24" t="str">
        <x:v>EEZ_845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EEZ_845</x:v>
      </x:c>
      <x:c r="B6" s="24" t="str">
        <x:v>matched_catch_tonnes</x:v>
      </x:c>
      <x:c r="C6" s="24" t="n">
        <x:v>3423.5308595899996</x:v>
      </x:c>
      <x:c r="D6" s="24" t="str">
        <x:v>tonnes</x:v>
      </x:c>
    </x:row>
    <x:row r="7" ht="18" customHeight="1">
      <x:c r="A7" s="24" t="str">
        <x:v>EEZ_845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EEZ_845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EEZ_845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EEZ_845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EEZ_845</x:v>
      </x:c>
      <x:c r="B11" s="24" t="str">
        <x:v>species_ppr</x:v>
      </x:c>
      <x:c r="C11" s="24" t="n">
        <x:v>7929382.82878491</x:v>
      </x:c>
      <x:c r="D11" s="24" t="str">
        <x:v>tonnes_primary_production_equivalent</x:v>
      </x:c>
    </x:row>
    <x:row r="12" ht="18" customHeight="1">
      <x:c r="A12" s="24" t="str">
        <x:v>EEZ_845</x:v>
      </x:c>
      <x:c r="B12" s="24" t="str">
        <x:v>commercial_ppr</x:v>
      </x:c>
      <x:c r="C12" s="24" t="n">
        <x:v>7877968.920842708</x:v>
      </x:c>
      <x:c r="D12" s="24" t="str">
        <x:v>tonnes_primary_production_equivalent</x:v>
      </x:c>
    </x:row>
    <x:row r="13" ht="18" customHeight="1">
      <x:c r="A13" s="24" t="str">
        <x:v>EEZ_845</x:v>
      </x:c>
      <x:c r="B13" s="24" t="str">
        <x:v>functional_ppr</x:v>
      </x:c>
      <x:c r="C13" s="24" t="n">
        <x:v>7884666.365376899</x:v>
      </x:c>
      <x:c r="D13" s="24" t="str">
        <x:v>tonnes_primary_production_equivalent</x:v>
      </x:c>
    </x:row>
    <x:row r="14" ht="18" customHeight="1">
      <x:c r="A14" s="24" t="str">
        <x:v>EEZ_845</x:v>
      </x:c>
      <x:c r="B14" s="24" t="str">
        <x:v>commercial_ppr_difference</x:v>
      </x:c>
      <x:c r="C14" s="24" t="n">
        <x:v>-51413.90794220194</x:v>
      </x:c>
      <x:c r="D14" s="24" t="str">
        <x:v>tonnes_primary_production_equivalent</x:v>
      </x:c>
    </x:row>
    <x:row r="15" ht="18" customHeight="1">
      <x:c r="A15" s="24" t="str">
        <x:v>EEZ_845</x:v>
      </x:c>
      <x:c r="B15" s="24" t="str">
        <x:v>functional_ppr_difference</x:v>
      </x:c>
      <x:c r="C15" s="24" t="n">
        <x:v>-44716.46340801101</x:v>
      </x:c>
      <x:c r="D15" s="24" t="str">
        <x:v>tonnes_primary_production_equivalent</x:v>
      </x:c>
    </x:row>
    <x:row r="16" ht="18" customHeight="1">
      <x:c r="A16" s="24" t="str">
        <x:v>EEZ_845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EEZ_845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5689f6501fc49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EEZ_845 - Jarvis Isl.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