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c2c0c7709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a0f828e5ba44742"/>
    <x:sheet xmlns:r="http://schemas.openxmlformats.org/officeDocument/2006/relationships" name="Commercial" sheetId="2" r:id="Rdcd2822824574e3e"/>
    <x:sheet xmlns:r="http://schemas.openxmlformats.org/officeDocument/2006/relationships" name="Functional" sheetId="3" r:id="R388978a42ae5400e"/>
    <x:sheet xmlns:r="http://schemas.openxmlformats.org/officeDocument/2006/relationships" name="Missing TL" sheetId="4" r:id="R5b0e93a7180545c2"/>
    <x:sheet xmlns:r="http://schemas.openxmlformats.org/officeDocument/2006/relationships" name="Validation" sheetId="5" r:id="R545823dc660642cb"/>
    <x:sheet xmlns:r="http://schemas.openxmlformats.org/officeDocument/2006/relationships" name="Metadata" sheetId="6" r:id="R3ca634fd3d68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a17cace1a4f4d" /><Relationship Type="http://schemas.openxmlformats.org/officeDocument/2006/relationships/theme" Target="/xl/theme/theme1.xml" Id="R8b722643e4454b4c" /><Relationship Type="http://schemas.microsoft.com/office/2022/11/relationships/FeaturePropertyBag" Target="/xl/featurePropertyBag/featurePropertyBag.xml" Id="Ra9ee0816c8774296" /><Relationship Type="http://schemas.openxmlformats.org/officeDocument/2006/relationships/sharedStrings" Target="/xl/sharedStrings.xml" Id="R1b1b9f33a7cc4f86" /><Relationship Type="http://schemas.openxmlformats.org/officeDocument/2006/relationships/worksheet" Target="/xl/worksheets/sheet1.xml" Id="R3a0f828e5ba44742" /><Relationship Type="http://schemas.openxmlformats.org/officeDocument/2006/relationships/worksheet" Target="/xl/worksheets/sheet2.xml" Id="Rdcd2822824574e3e" /><Relationship Type="http://schemas.openxmlformats.org/officeDocument/2006/relationships/worksheet" Target="/xl/worksheets/sheet3.xml" Id="R388978a42ae5400e" /><Relationship Type="http://schemas.openxmlformats.org/officeDocument/2006/relationships/worksheet" Target="/xl/worksheets/sheet4.xml" Id="R5b0e93a7180545c2" /><Relationship Type="http://schemas.openxmlformats.org/officeDocument/2006/relationships/worksheet" Target="/xl/worksheets/sheet5.xml" Id="R545823dc660642cb" /><Relationship Type="http://schemas.openxmlformats.org/officeDocument/2006/relationships/worksheet" Target="/xl/worksheets/sheet6.xml" Id="R3ca634fd3d684b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5SpeciesTable" displayName="EEZ945SpeciesTable" ref="A1:U137" headerRowCount="1" totalsRowCount="0" totalsRowShown="0">
  <x:autoFilter ref="A1:U1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5CommercialTable" displayName="EEZ945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5FunctionalTable" displayName="EEZ945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5ValidationTable" displayName="EEZ94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e67e513fc54b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f73d3b144f42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d1854e16b84d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f2a2350ad94b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EEZ_945</x:v>
      </x:c>
      <x:c r="B2" s="24" t="str">
        <x:v>Mexico (Pacific)</x:v>
      </x:c>
      <x:c r="C2" s="24" t="str">
        <x:v>EEZ</x:v>
      </x:c>
      <x:c r="D2" s="30" t="n">
        <x:v>2019</x:v>
      </x:c>
      <x:c r="E2" s="24" t="str">
        <x:v>Opisthonema libertate</x:v>
      </x:c>
      <x:c r="F2" s="24" t="str">
        <x:v>Pacific thread herring</x:v>
      </x:c>
      <x:c r="G2" s="24" t="str">
        <x:v>Small pelagics (&lt;30 cm)</x:v>
      </x:c>
      <x:c r="H2" s="24" t="str">
        <x:v>Herring-likes</x:v>
      </x:c>
      <x:c r="I2" s="31" t="n">
        <x:v>255793</x:v>
      </x:c>
      <x:c r="J2" s="31" t="n">
        <x:v>255793</x:v>
      </x:c>
      <x:c r="K2" s="31" t="n">
        <x:v>0</x:v>
      </x:c>
      <x:c r="L2" s="31" t="n">
        <x:v>255793</x:v>
      </x:c>
      <x:c r="M2" s="31" t="n">
        <x:v>0</x:v>
      </x:c>
      <x:c r="N2" s="24" t="str">
        <x:v>opisthonema libertate</x:v>
      </x:c>
      <x:c r="O2" s="32" t="n">
        <x:v>2.89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Opisthonema libertate</x:v>
      </x:c>
      <x:c r="T2" s="32" t="n">
        <x:f>IF(O2="","",(1/'Metadata'!$B$5)^(O2-1))</x:f>
        <x:v>77.6247116628692</x:v>
      </x:c>
      <x:c r="U2" s="31" t="n">
        <x:f>IF(T2="","",I2*T2)</x:f>
        <x:v>19855857.8703803</x:v>
      </x:c>
    </x:row>
    <x:row r="3" ht="18" customHeight="1">
      <x:c r="A3" s="24" t="str">
        <x:v>EEZ_945</x:v>
      </x:c>
      <x:c r="B3" s="24" t="str">
        <x:v>Mexico (Pacific)</x:v>
      </x:c>
      <x:c r="C3" s="24" t="str">
        <x:v>EEZ</x:v>
      </x:c>
      <x:c r="D3" s="30" t="n">
        <x:v>2019</x:v>
      </x:c>
      <x:c r="E3" s="24" t="str">
        <x:v>Cetengraulis mysticetus</x:v>
      </x:c>
      <x:c r="F3" s="24" t="str">
        <x:v>Pacific anchoveta</x:v>
      </x:c>
      <x:c r="G3" s="24" t="str">
        <x:v>Small pelagics (&lt;30 cm)</x:v>
      </x:c>
      <x:c r="H3" s="24" t="str">
        <x:v>Anchovies</x:v>
      </x:c>
      <x:c r="I3" s="31" t="n">
        <x:v>222014.48249999998</x:v>
      </x:c>
      <x:c r="J3" s="31" t="n">
        <x:v>222014.48249999998</x:v>
      </x:c>
      <x:c r="K3" s="31" t="n">
        <x:v>0</x:v>
      </x:c>
      <x:c r="L3" s="31" t="n">
        <x:v>222014.48249999998</x:v>
      </x:c>
      <x:c r="M3" s="31" t="n">
        <x:v>0</x:v>
      </x:c>
      <x:c r="N3" s="24" t="str">
        <x:v>cetengraulis mysticetus</x:v>
      </x:c>
      <x:c r="O3" s="32" t="n">
        <x:v>2.47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Cetengraulis mysticetus</x:v>
      </x:c>
      <x:c r="T3" s="32" t="n">
        <x:f>IF(O3="","",(1/'Metadata'!$B$5)^(O3-1))</x:f>
        <x:v>29.51209226666387</x:v>
      </x:c>
      <x:c r="U3" s="31" t="n">
        <x:f>IF(T3="","",I3*T3)</x:f>
        <x:v>6552111.892075631</x:v>
      </x:c>
    </x:row>
    <x:row r="4" ht="18" customHeight="1">
      <x:c r="A4" s="24" t="str">
        <x:v>EEZ_945</x:v>
      </x:c>
      <x:c r="B4" s="24" t="str">
        <x:v>Mexico (Pacific)</x:v>
      </x:c>
      <x:c r="C4" s="24" t="str">
        <x:v>EEZ</x:v>
      </x:c>
      <x:c r="D4" s="30" t="n">
        <x:v>2019</x:v>
      </x:c>
      <x:c r="E4" s="24" t="str">
        <x:v>Marine finfishes not identified</x:v>
      </x:c>
      <x:c r="F4" s="24" t="str">
        <x:v>Finfishes</x:v>
      </x:c>
      <x:c r="G4" s="24" t="str">
        <x:v>Medium demersals (30 - 89 cm)</x:v>
      </x:c>
      <x:c r="H4" s="24" t="str">
        <x:v>Other fishes &amp; inverts</x:v>
      </x:c>
      <x:c r="I4" s="31" t="n">
        <x:v>217956.5638547487</x:v>
      </x:c>
      <x:c r="J4" s="31" t="n">
        <x:v>188990.3084014185</x:v>
      </x:c>
      <x:c r="K4" s="31" t="n">
        <x:v>28966.2554533302</x:v>
      </x:c>
      <x:c r="L4" s="31" t="n">
        <x:v>35890</x:v>
      </x:c>
      <x:c r="M4" s="31" t="n">
        <x:v>182066.5638547487</x:v>
      </x:c>
      <x:c r="N4" s="24" t="str">
        <x:v>marine finfishes not identified</x:v>
      </x:c>
      <x:c r="O4" s="32" t="n">
        <x:v>3.23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finfishes not identified</x:v>
      </x:c>
      <x:c r="T4" s="32" t="n">
        <x:f>IF(O4="","",(1/'Metadata'!$B$5)^(O4-1))</x:f>
        <x:v>169.82436524617444</x:v>
      </x:c>
      <x:c r="U4" s="31" t="n">
        <x:f>IF(T4="","",I4*T4)</x:f>
        <x:v>37014335.10786998</x:v>
      </x:c>
    </x:row>
    <x:row r="5" ht="18" customHeight="1">
      <x:c r="A5" s="24" t="str">
        <x:v>EEZ_945</x:v>
      </x:c>
      <x:c r="B5" s="24" t="str">
        <x:v>Mexico (Pacific)</x:v>
      </x:c>
      <x:c r="C5" s="24" t="str">
        <x:v>EEZ</x:v>
      </x:c>
      <x:c r="D5" s="30" t="n">
        <x:v>2019</x:v>
      </x:c>
      <x:c r="E5" s="24" t="str">
        <x:v>Actinopterygii</x:v>
      </x:c>
      <x:c r="F5" s="24" t="str">
        <x:v>Ray-finned fishes</x:v>
      </x:c>
      <x:c r="G5" s="24" t="str">
        <x:v>Medium demersals (30 - 89 cm)</x:v>
      </x:c>
      <x:c r="H5" s="24" t="str">
        <x:v>Other fishes &amp; inverts</x:v>
      </x:c>
      <x:c r="I5" s="31" t="n">
        <x:v>184583.5885793354</x:v>
      </x:c>
      <x:c r="J5" s="31" t="n">
        <x:v>140659.599622399</x:v>
      </x:c>
      <x:c r="K5" s="31" t="n">
        <x:v>43923.9889569364</x:v>
      </x:c>
      <x:c r="L5" s="31" t="n">
        <x:v>0</x:v>
      </x:c>
      <x:c r="M5" s="31" t="n">
        <x:v>184583.5885793354</x:v>
      </x:c>
      <x:c r="N5" s="24" t="str">
        <x:v>actinopterygii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Actinopterygii</x:v>
      </x:c>
      <x:c r="T5" s="32" t="n">
        <x:f>IF(O5="","",(1/'Metadata'!$B$5)^(O5-1))</x:f>
        <x:v>616.5950018614822</x:v>
      </x:c>
      <x:c r="U5" s="31" t="n">
        <x:f>IF(T5="","",I5*T5)</x:f>
        <x:v>113813318.14367436</x:v>
      </x:c>
    </x:row>
    <x:row r="6" ht="18" customHeight="1">
      <x:c r="A6" s="24" t="str">
        <x:v>EEZ_945</x:v>
      </x:c>
      <x:c r="B6" s="24" t="str">
        <x:v>Mexico (Pacific)</x:v>
      </x:c>
      <x:c r="C6" s="24" t="str">
        <x:v>EEZ</x:v>
      </x:c>
      <x:c r="D6" s="30" t="n">
        <x:v>2019</x:v>
      </x:c>
      <x:c r="E6" s="24" t="str">
        <x:v>Sardinops sagax</x:v>
      </x:c>
      <x:c r="F6" s="24" t="str">
        <x:v>South American pilchard</x:v>
      </x:c>
      <x:c r="G6" s="24" t="str">
        <x:v>Medium pelagics (30 - 89 cm)</x:v>
      </x:c>
      <x:c r="H6" s="24" t="str">
        <x:v>Herring-likes</x:v>
      </x:c>
      <x:c r="I6" s="31" t="n">
        <x:v>139646.3146245885</x:v>
      </x:c>
      <x:c r="J6" s="31" t="n">
        <x:v>139646.3146245885</x:v>
      </x:c>
      <x:c r="K6" s="31" t="n">
        <x:v>0</x:v>
      </x:c>
      <x:c r="L6" s="31" t="n">
        <x:v>139327</x:v>
      </x:c>
      <x:c r="M6" s="31" t="n">
        <x:v>319.3146245885</x:v>
      </x:c>
      <x:c r="N6" s="24" t="str">
        <x:v>sardinops sagax</x:v>
      </x:c>
      <x:c r="O6" s="32" t="n">
        <x:v>2.84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Sardinops sagax</x:v>
      </x:c>
      <x:c r="T6" s="32" t="n">
        <x:f>IF(O6="","",(1/'Metadata'!$B$5)^(O6-1))</x:f>
        <x:v>69.18309709189363</x:v>
      </x:c>
      <x:c r="U6" s="31" t="n">
        <x:f>IF(T6="","",I6*T6)</x:f>
        <x:v>9661164.543198032</x:v>
      </x:c>
    </x:row>
    <x:row r="7" ht="18" customHeight="1">
      <x:c r="A7" s="24" t="str">
        <x:v>EEZ_945</x:v>
      </x:c>
      <x:c r="B7" s="24" t="str">
        <x:v>Mexico (Pacific)</x:v>
      </x:c>
      <x:c r="C7" s="24" t="str">
        <x:v>EEZ</x:v>
      </x:c>
      <x:c r="D7" s="30" t="n">
        <x:v>2019</x:v>
      </x:c>
      <x:c r="E7" s="24" t="str">
        <x:v>Stomolophus</x:v>
      </x:c>
      <x:c r="F7" s="24" t="str">
        <x:v>Cannonball jellies</x:v>
      </x:c>
      <x:c r="G7" s="24" t="str">
        <x:v>Jellyfish</x:v>
      </x:c>
      <x:c r="H7" s="24" t="str">
        <x:v>Other fishes &amp; inverts</x:v>
      </x:c>
      <x:c r="I7" s="31" t="n">
        <x:v>108978.180165164</x:v>
      </x:c>
      <x:c r="J7" s="31" t="n">
        <x:v>108978.180165164</x:v>
      </x:c>
      <x:c r="K7" s="31" t="n">
        <x:v>0</x:v>
      </x:c>
      <x:c r="L7" s="31" t="n">
        <x:v>35083</x:v>
      </x:c>
      <x:c r="M7" s="31" t="n">
        <x:v>73895.180165164</x:v>
      </x:c>
      <x:c r="N7" s="24" t="str">
        <x:v>stomolophus</x:v>
      </x:c>
      <x:c r="O7" s="32" t="n">
        <x:v>3.46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Stomolophus</x:v>
      </x:c>
      <x:c r="T7" s="32" t="n">
        <x:f>IF(O7="","",(1/'Metadata'!$B$5)^(O7-1))</x:f>
        <x:v>288.40315031266056</x:v>
      </x:c>
      <x:c r="U7" s="31" t="n">
        <x:f>IF(T7="","",I7*T7)</x:f>
        <x:v>31429650.474973995</x:v>
      </x:c>
    </x:row>
    <x:row r="8" ht="18" customHeight="1">
      <x:c r="A8" s="24" t="str">
        <x:v>EEZ_945</x:v>
      </x:c>
      <x:c r="B8" s="24" t="str">
        <x:v>Mexico (Pacific)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107621.8861856639</x:v>
      </x:c>
      <x:c r="J8" s="31" t="n">
        <x:v>70213.9003063616</x:v>
      </x:c>
      <x:c r="K8" s="31" t="n">
        <x:v>37407.985879302294</x:v>
      </x:c>
      <x:c r="L8" s="31" t="n">
        <x:v>55759.6004760344</x:v>
      </x:c>
      <x:c r="M8" s="31" t="n">
        <x:v>51862.2857096295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20506927.651989393</x:v>
      </x:c>
    </x:row>
    <x:row r="9" ht="18" customHeight="1">
      <x:c r="A9" s="24" t="str">
        <x:v>EEZ_945</x:v>
      </x:c>
      <x:c r="B9" s="24" t="str">
        <x:v>Mexico (Pacific)</x:v>
      </x:c>
      <x:c r="C9" s="24" t="str">
        <x:v>EEZ</x:v>
      </x:c>
      <x:c r="D9" s="30" t="n">
        <x:v>2019</x:v>
      </x:c>
      <x:c r="E9" s="24" t="str">
        <x:v>Scomber japonicus</x:v>
      </x:c>
      <x:c r="F9" s="24" t="str">
        <x:v>Pacific chub mackerel</x:v>
      </x:c>
      <x:c r="G9" s="24" t="str">
        <x:v>Medium pelagics (30 - 89 cm)</x:v>
      </x:c>
      <x:c r="H9" s="24" t="str">
        <x:v>Perch-likes</x:v>
      </x:c>
      <x:c r="I9" s="31" t="n">
        <x:v>53217</x:v>
      </x:c>
      <x:c r="J9" s="31" t="n">
        <x:v>53217</x:v>
      </x:c>
      <x:c r="K9" s="31" t="n">
        <x:v>0</x:v>
      </x:c>
      <x:c r="L9" s="31" t="n">
        <x:v>53217</x:v>
      </x:c>
      <x:c r="M9" s="31" t="n">
        <x:v>0</x:v>
      </x:c>
      <x:c r="N9" s="24" t="str">
        <x:v>scomber japonicus</x:v>
      </x:c>
      <x:c r="O9" s="32" t="n">
        <x:v>3.38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japonicus</x:v>
      </x:c>
      <x:c r="T9" s="32" t="n">
        <x:f>IF(O9="","",(1/'Metadata'!$B$5)^(O9-1))</x:f>
        <x:v>239.88329190194898</x:v>
      </x:c>
      <x:c r="U9" s="31" t="n">
        <x:f>IF(T9="","",I9*T9)</x:f>
        <x:v>12765869.14514602</x:v>
      </x:c>
    </x:row>
    <x:row r="10" ht="18" customHeight="1">
      <x:c r="A10" s="24" t="str">
        <x:v>EEZ_945</x:v>
      </x:c>
      <x:c r="B10" s="24" t="str">
        <x:v>Mexico (Pacific)</x:v>
      </x:c>
      <x:c r="C10" s="24" t="str">
        <x:v>EEZ</x:v>
      </x:c>
      <x:c r="D10" s="30" t="n">
        <x:v>2019</x:v>
      </x:c>
      <x:c r="E10" s="24" t="str">
        <x:v>Engraulis mordax</x:v>
      </x:c>
      <x:c r="F10" s="24" t="str">
        <x:v>Californian anchovy</x:v>
      </x:c>
      <x:c r="G10" s="24" t="str">
        <x:v>Small pelagics (&lt;30 cm)</x:v>
      </x:c>
      <x:c r="H10" s="24" t="str">
        <x:v>Anchovies</x:v>
      </x:c>
      <x:c r="I10" s="31" t="n">
        <x:v>51358</x:v>
      </x:c>
      <x:c r="J10" s="31" t="n">
        <x:v>51358</x:v>
      </x:c>
      <x:c r="K10" s="31" t="n">
        <x:v>0</x:v>
      </x:c>
      <x:c r="L10" s="31" t="n">
        <x:v>51358</x:v>
      </x:c>
      <x:c r="M10" s="31" t="n">
        <x:v>0</x:v>
      </x:c>
      <x:c r="N10" s="24" t="str">
        <x:v>engraulis mordax</x:v>
      </x:c>
      <x:c r="O10" s="32" t="n">
        <x:v>2.97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Engraulis mordax</x:v>
      </x:c>
      <x:c r="T10" s="32" t="n">
        <x:f>IF(O10="","",(1/'Metadata'!$B$5)^(O10-1))</x:f>
        <x:v>93.32543007969915</x:v>
      </x:c>
      <x:c r="U10" s="31" t="n">
        <x:f>IF(T10="","",I10*T10)</x:f>
        <x:v>4793007.438033189</x:v>
      </x:c>
    </x:row>
    <x:row r="11" ht="18" customHeight="1">
      <x:c r="A11" s="24" t="str">
        <x:v>EEZ_945</x:v>
      </x:c>
      <x:c r="B11" s="24" t="str">
        <x:v>Mexico (Pacific)</x:v>
      </x:c>
      <x:c r="C11" s="24" t="str">
        <x:v>EEZ</x:v>
      </x:c>
      <x:c r="D11" s="30" t="n">
        <x:v>2019</x:v>
      </x:c>
      <x:c r="E11" s="24" t="str">
        <x:v>Micropogonias</x:v>
      </x:c>
      <x:c r="F11" s="24" t="str">
        <x:v>American croakers</x:v>
      </x:c>
      <x:c r="G11" s="24" t="str">
        <x:v>Medium demersals (30 - 89 cm)</x:v>
      </x:c>
      <x:c r="H11" s="24" t="str">
        <x:v>Perch-likes</x:v>
      </x:c>
      <x:c r="I11" s="31" t="n">
        <x:v>48430.8644405924</x:v>
      </x:c>
      <x:c r="J11" s="31" t="n">
        <x:v>9273.398896226201</x:v>
      </x:c>
      <x:c r="K11" s="31" t="n">
        <x:v>39157.4655443662</x:v>
      </x:c>
      <x:c r="L11" s="31" t="n">
        <x:v>0</x:v>
      </x:c>
      <x:c r="M11" s="31" t="n">
        <x:v>48430.8644405924</x:v>
      </x:c>
      <x:c r="N11" s="24" t="str">
        <x:v>micropogonias</x:v>
      </x:c>
      <x:c r="O11" s="32" t="n">
        <x:v>3.29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Micropogonias</x:v>
      </x:c>
      <x:c r="T11" s="32" t="n">
        <x:f>IF(O11="","",(1/'Metadata'!$B$5)^(O11-1))</x:f>
        <x:v>194.98445997580455</x:v>
      </x:c>
      <x:c r="U11" s="31" t="n">
        <x:f>IF(T11="","",I11*T11)</x:f>
        <x:v>9443265.949110305</x:v>
      </x:c>
    </x:row>
    <x:row r="12" ht="18" customHeight="1">
      <x:c r="A12" s="24" t="str">
        <x:v>EEZ_945</x:v>
      </x:c>
      <x:c r="B12" s="24" t="str">
        <x:v>Mexico (Pacific)</x:v>
      </x:c>
      <x:c r="C12" s="24" t="str">
        <x:v>EEZ</x:v>
      </x:c>
      <x:c r="D12" s="30" t="n">
        <x:v>2019</x:v>
      </x:c>
      <x:c r="E12" s="24" t="str">
        <x:v>Clupeiformes</x:v>
      </x:c>
      <x:c r="F12" s="24" t="str">
        <x:v>Herrings, shads, anchovies</x:v>
      </x:c>
      <x:c r="G12" s="24" t="str">
        <x:v>Small pelagics (&lt;30 cm)</x:v>
      </x:c>
      <x:c r="H12" s="24" t="str">
        <x:v>Other fishes &amp; inverts</x:v>
      </x:c>
      <x:c r="I12" s="31" t="n">
        <x:v>39851.0000000001</x:v>
      </x:c>
      <x:c r="J12" s="31" t="n">
        <x:v>39851.0000000001</x:v>
      </x:c>
      <x:c r="K12" s="31" t="n">
        <x:v>0</x:v>
      </x:c>
      <x:c r="L12" s="31" t="n">
        <x:v>39851.0000000001</x:v>
      </x:c>
      <x:c r="M12" s="31" t="n">
        <x:v>0</x:v>
      </x:c>
      <x:c r="N12" s="24" t="str">
        <x:v>clupeiformes</x:v>
      </x:c>
      <x:c r="O12" s="32" t="n">
        <x:v>3.24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Clupeiformes</x:v>
      </x:c>
      <x:c r="T12" s="32" t="n">
        <x:f>IF(O12="","",(1/'Metadata'!$B$5)^(O12-1))</x:f>
        <x:v>173.78008287493762</x:v>
      </x:c>
      <x:c r="U12" s="31" t="n">
        <x:f>IF(T12="","",I12*T12)</x:f>
        <x:v>6925310.082649156</x:v>
      </x:c>
    </x:row>
    <x:row r="13" ht="18" customHeight="1">
      <x:c r="A13" s="24" t="str">
        <x:v>EEZ_945</x:v>
      </x:c>
      <x:c r="B13" s="24" t="str">
        <x:v>Mexico (Pacific)</x:v>
      </x:c>
      <x:c r="C13" s="24" t="str">
        <x:v>EEZ</x:v>
      </x:c>
      <x:c r="D13" s="30" t="n">
        <x:v>2019</x:v>
      </x:c>
      <x:c r="E13" s="24" t="str">
        <x:v>Thunnus albacares</x:v>
      </x:c>
      <x:c r="F13" s="24" t="str">
        <x:v>Yellowfin tuna</x:v>
      </x:c>
      <x:c r="G13" s="24" t="str">
        <x:v>Large pelagics (&gt;=90 cm)</x:v>
      </x:c>
      <x:c r="H13" s="24" t="str">
        <x:v>Tuna &amp; billfishes</x:v>
      </x:c>
      <x:c r="I13" s="31" t="n">
        <x:v>36542.2129926829</x:v>
      </x:c>
      <x:c r="J13" s="31" t="n">
        <x:v>35954.504373034404</x:v>
      </x:c>
      <x:c r="K13" s="31" t="n">
        <x:v>587.7086196485</x:v>
      </x:c>
      <x:c r="L13" s="31" t="n">
        <x:v>35954.504373034404</x:v>
      </x:c>
      <x:c r="M13" s="31" t="n">
        <x:v>587.7086196485</x:v>
      </x:c>
      <x:c r="N13" s="24" t="str">
        <x:v>thunnus albacares</x:v>
      </x:c>
      <x:c r="O13" s="32" t="n">
        <x:v>4.41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albacares</x:v>
      </x:c>
      <x:c r="T13" s="32" t="n">
        <x:f>IF(O13="","",(1/'Metadata'!$B$5)^(O13-1))</x:f>
        <x:v>2570.3957827688646</x:v>
      </x:c>
      <x:c r="U13" s="31" t="n">
        <x:f>IF(T13="","",I13*T13)</x:f>
        <x:v>93927950.16943374</x:v>
      </x:c>
    </x:row>
    <x:row r="14" ht="18" customHeight="1">
      <x:c r="A14" s="24" t="str">
        <x:v>EEZ_945</x:v>
      </x:c>
      <x:c r="B14" s="24" t="str">
        <x:v>Mexico (Pacific)</x:v>
      </x:c>
      <x:c r="C14" s="24" t="str">
        <x:v>EEZ</x:v>
      </x:c>
      <x:c r="D14" s="30" t="n">
        <x:v>2019</x:v>
      </x:c>
      <x:c r="E14" s="24" t="str">
        <x:v>Stomolophus meleagris</x:v>
      </x:c>
      <x:c r="F14" s="24" t="str">
        <x:v>Cannonball jellyfish</x:v>
      </x:c>
      <x:c r="G14" s="24" t="str">
        <x:v>Jellyfish</x:v>
      </x:c>
      <x:c r="H14" s="24" t="str">
        <x:v>Other fishes &amp; inverts</x:v>
      </x:c>
      <x:c r="I14" s="31" t="n">
        <x:v>35881.6808242866</x:v>
      </x:c>
      <x:c r="J14" s="31" t="n">
        <x:v>35881.6808242866</x:v>
      </x:c>
      <x:c r="K14" s="31" t="n">
        <x:v>0</x:v>
      </x:c>
      <x:c r="L14" s="31" t="n">
        <x:v>35083</x:v>
      </x:c>
      <x:c r="M14" s="31" t="n">
        <x:v>798.6808242866</x:v>
      </x:c>
      <x:c r="N14" s="24" t="str">
        <x:v>stomolophus meleagris</x:v>
      </x:c>
      <x:c r="O14" s="32" t="n">
        <x:v>3.34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Stomolophus meleagris</x:v>
      </x:c>
      <x:c r="T14" s="32" t="n">
        <x:f>IF(O14="","",(1/'Metadata'!$B$5)^(O14-1))</x:f>
        <x:v>218.77616239495518</x:v>
      </x:c>
      <x:c r="U14" s="31" t="n">
        <x:f>IF(T14="","",I14*T14)</x:f>
        <x:v>7850056.431018075</x:v>
      </x:c>
    </x:row>
    <x:row r="15" ht="18" customHeight="1">
      <x:c r="A15" s="24" t="str">
        <x:v>EEZ_945</x:v>
      </x:c>
      <x:c r="B15" s="24" t="str">
        <x:v>Mexico (Pacific)</x:v>
      </x:c>
      <x:c r="C15" s="24" t="str">
        <x:v>EEZ</x:v>
      </x:c>
      <x:c r="D15" s="30" t="n">
        <x:v>2019</x:v>
      </x:c>
      <x:c r="E15" s="24" t="str">
        <x:v>Penaeus stylirostris</x:v>
      </x:c>
      <x:c r="F15" s="24" t="str">
        <x:v>Blue shrimp</x:v>
      </x:c>
      <x:c r="G15" s="24" t="str">
        <x:v>Shrimps</x:v>
      </x:c>
      <x:c r="H15" s="24" t="str">
        <x:v>Crustaceans</x:v>
      </x:c>
      <x:c r="I15" s="31" t="n">
        <x:v>30408.6643706926</x:v>
      </x:c>
      <x:c r="J15" s="31" t="n">
        <x:v>30408.6643706926</x:v>
      </x:c>
      <x:c r="K15" s="31" t="n">
        <x:v>0</x:v>
      </x:c>
      <x:c r="L15" s="31" t="n">
        <x:v>27266.9999999996</x:v>
      </x:c>
      <x:c r="M15" s="31" t="n">
        <x:v>3141.6643706930004</x:v>
      </x:c>
      <x:c r="N15" s="24" t="str">
        <x:v>penaeus stylirostris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Penaeus stylirostris</x:v>
      </x:c>
      <x:c r="T15" s="32" t="n">
        <x:f>IF(O15="","",(1/'Metadata'!$B$5)^(O15-1))</x:f>
        <x:v>50.11872336272725</x:v>
      </x:c>
      <x:c r="U15" s="31" t="n">
        <x:f>IF(T15="","",I15*T15)</x:f>
        <x:v>1524043.437424763</x:v>
      </x:c>
    </x:row>
    <x:row r="16" ht="18" customHeight="1">
      <x:c r="A16" s="24" t="str">
        <x:v>EEZ_945</x:v>
      </x:c>
      <x:c r="B16" s="24" t="str">
        <x:v>Mexico (Pacific)</x:v>
      </x:c>
      <x:c r="C16" s="24" t="str">
        <x:v>EEZ</x:v>
      </x:c>
      <x:c r="D16" s="30" t="n">
        <x:v>2019</x:v>
      </x:c>
      <x:c r="E16" s="24" t="str">
        <x:v>Orthopristis reddingi</x:v>
      </x:c>
      <x:c r="F16" s="24" t="str">
        <x:v>Bronze-striped grunt</x:v>
      </x:c>
      <x:c r="G16" s="24" t="str">
        <x:v>Small pelagics (&lt;30 cm)</x:v>
      </x:c>
      <x:c r="H16" s="24" t="str">
        <x:v>Perch-likes</x:v>
      </x:c>
      <x:c r="I16" s="31" t="n">
        <x:v>28956.053263803602</x:v>
      </x:c>
      <x:c r="J16" s="31" t="n">
        <x:v>4628.908184226099</x:v>
      </x:c>
      <x:c r="K16" s="31" t="n">
        <x:v>24327.1450795775</x:v>
      </x:c>
      <x:c r="L16" s="31" t="n">
        <x:v>0</x:v>
      </x:c>
      <x:c r="M16" s="31" t="n">
        <x:v>28956.053263803602</x:v>
      </x:c>
      <x:c r="N16" s="24" t="str">
        <x:v>orthopristis reddingi</x:v>
      </x:c>
      <x:c r="O16" s="32" t="n">
        <x:v>3.5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Orthopristis reddingi</x:v>
      </x:c>
      <x:c r="T16" s="32" t="n">
        <x:f>IF(O16="","",(1/'Metadata'!$B$5)^(O16-1))</x:f>
        <x:v>316.22776601683796</x:v>
      </x:c>
      <x:c r="U16" s="31" t="n">
        <x:f>IF(T16="","",I16*T16)</x:f>
        <x:v>9156708.036277182</x:v>
      </x:c>
    </x:row>
    <x:row r="17" ht="18" customHeight="1">
      <x:c r="A17" s="24" t="str">
        <x:v>EEZ_945</x:v>
      </x:c>
      <x:c r="B17" s="24" t="str">
        <x:v>Mexico (Pacific)</x:v>
      </x:c>
      <x:c r="C17" s="24" t="str">
        <x:v>EEZ</x:v>
      </x:c>
      <x:c r="D17" s="30" t="n">
        <x:v>2019</x:v>
      </x:c>
      <x:c r="E17" s="24" t="str">
        <x:v>Penaeus californiensis</x:v>
      </x:c>
      <x:c r="F17" s="24" t="str">
        <x:v>Yellowleg shrimp</x:v>
      </x:c>
      <x:c r="G17" s="24" t="str">
        <x:v>Shrimps</x:v>
      </x:c>
      <x:c r="H17" s="24" t="str">
        <x:v>Crustaceans</x:v>
      </x:c>
      <x:c r="I17" s="31" t="n">
        <x:v>28502.3696676363</x:v>
      </x:c>
      <x:c r="J17" s="31" t="n">
        <x:v>28502.3696676363</x:v>
      </x:c>
      <x:c r="K17" s="31" t="n">
        <x:v>0</x:v>
      </x:c>
      <x:c r="L17" s="31" t="n">
        <x:v>25484.0000000001</x:v>
      </x:c>
      <x:c r="M17" s="31" t="n">
        <x:v>3018.3696676362</x:v>
      </x:c>
      <x:c r="N17" s="24" t="str">
        <x:v>penaeus californiensis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californiensis</x:v>
      </x:c>
      <x:c r="T17" s="32" t="n">
        <x:f>IF(O17="","",(1/'Metadata'!$B$5)^(O17-1))</x:f>
        <x:v>50.11872336272725</x:v>
      </x:c>
      <x:c r="U17" s="31" t="n">
        <x:f>IF(T17="","",I17*T17)</x:f>
        <x:v>1428502.380554452</x:v>
      </x:c>
    </x:row>
    <x:row r="18" ht="18" customHeight="1">
      <x:c r="A18" s="24" t="str">
        <x:v>EEZ_945</x:v>
      </x:c>
      <x:c r="B18" s="24" t="str">
        <x:v>Mexico (Pacific)</x:v>
      </x:c>
      <x:c r="C18" s="24" t="str">
        <x:v>EEZ</x:v>
      </x:c>
      <x:c r="D18" s="30" t="n">
        <x:v>2019</x:v>
      </x:c>
      <x:c r="E18" s="24" t="str">
        <x:v>Diplectrum pacificum</x:v>
      </x:c>
      <x:c r="F18" s="24" t="str">
        <x:v>Inshore sand perch</x:v>
      </x:c>
      <x:c r="G18" s="24" t="str">
        <x:v>Small demersals (&lt;30 cm)</x:v>
      </x:c>
      <x:c r="H18" s="24" t="str">
        <x:v>Perch-likes</x:v>
      </x:c>
      <x:c r="I18" s="31" t="n">
        <x:v>26848.9212143339</x:v>
      </x:c>
      <x:c r="J18" s="31" t="n">
        <x:v>5140.8095650523</x:v>
      </x:c>
      <x:c r="K18" s="31" t="n">
        <x:v>21708.1116492816</x:v>
      </x:c>
      <x:c r="L18" s="31" t="n">
        <x:v>0</x:v>
      </x:c>
      <x:c r="M18" s="31" t="n">
        <x:v>26848.9212143339</x:v>
      </x:c>
      <x:c r="N18" s="24" t="str">
        <x:v>diplectrum pacificum</x:v>
      </x:c>
      <x:c r="O18" s="32" t="n">
        <x:v>3.99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Diplectrum pacificum</x:v>
      </x:c>
      <x:c r="T18" s="32" t="n">
        <x:f>IF(O18="","",(1/'Metadata'!$B$5)^(O18-1))</x:f>
        <x:v>977.2372209558112</x:v>
      </x:c>
      <x:c r="U18" s="31" t="n">
        <x:f>IF(T18="","",I18*T18)</x:f>
        <x:v>26237765.153157182</x:v>
      </x:c>
    </x:row>
    <x:row r="19" ht="18" customHeight="1">
      <x:c r="A19" s="24" t="str">
        <x:v>EEZ_945</x:v>
      </x:c>
      <x:c r="B19" s="24" t="str">
        <x:v>Mexico (Pacific)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25528.057907589</x:v>
      </x:c>
      <x:c r="J19" s="31" t="n">
        <x:v>25377.7485653857</x:v>
      </x:c>
      <x:c r="K19" s="31" t="n">
        <x:v>150.3093422033</x:v>
      </x:c>
      <x:c r="L19" s="31" t="n">
        <x:v>19204.282533106398</x:v>
      </x:c>
      <x:c r="M19" s="31" t="n">
        <x:v>6323.7753744826005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28642952.07480401</x:v>
      </x:c>
    </x:row>
    <x:row r="20" ht="18" customHeight="1">
      <x:c r="A20" s="24" t="str">
        <x:v>EEZ_945</x:v>
      </x:c>
      <x:c r="B20" s="24" t="str">
        <x:v>Mexico (Pacific)</x:v>
      </x:c>
      <x:c r="C20" s="24" t="str">
        <x:v>EEZ</x:v>
      </x:c>
      <x:c r="D20" s="30" t="n">
        <x:v>2019</x:v>
      </x:c>
      <x:c r="E20" s="24" t="str">
        <x:v>Scorpaena sonorae</x:v>
      </x:c>
      <x:c r="F20" s="24" t="str">
        <x:v>Sonora scorpionfish</x:v>
      </x:c>
      <x:c r="G20" s="24" t="str">
        <x:v>Small demersals (&lt;30 cm)</x:v>
      </x:c>
      <x:c r="H20" s="24" t="str">
        <x:v>Scorpionfishes</x:v>
      </x:c>
      <x:c r="I20" s="31" t="n">
        <x:v>20547.6440930512</x:v>
      </x:c>
      <x:c r="J20" s="31" t="n">
        <x:v>3934.2931138426998</x:v>
      </x:c>
      <x:c r="K20" s="31" t="n">
        <x:v>16613.3509792085</x:v>
      </x:c>
      <x:c r="L20" s="31" t="n">
        <x:v>0</x:v>
      </x:c>
      <x:c r="M20" s="31" t="n">
        <x:v>20547.6440930512</x:v>
      </x:c>
      <x:c r="N20" s="24" t="str">
        <x:v>scorpaena sonorae</x:v>
      </x:c>
      <x:c r="O20" s="32" t="n">
        <x:v>3.64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Scorpaena sonorae</x:v>
      </x:c>
      <x:c r="T20" s="32" t="n">
        <x:f>IF(O20="","",(1/'Metadata'!$B$5)^(O20-1))</x:f>
        <x:v>436.5158322401661</x:v>
      </x:c>
      <x:c r="U20" s="31" t="n">
        <x:f>IF(T20="","",I20*T20)</x:f>
        <x:v>8969371.961852977</x:v>
      </x:c>
    </x:row>
    <x:row r="21" ht="18" customHeight="1">
      <x:c r="A21" s="24" t="str">
        <x:v>EEZ_945</x:v>
      </x:c>
      <x:c r="B21" s="24" t="str">
        <x:v>Mexico (Pacific)</x:v>
      </x:c>
      <x:c r="C21" s="24" t="str">
        <x:v>EEZ</x:v>
      </x:c>
      <x:c r="D21" s="30" t="n">
        <x:v>2019</x:v>
      </x:c>
      <x:c r="E21" s="24" t="str">
        <x:v>Synodus scituliceps</x:v>
      </x:c>
      <x:c r="F21" s="24" t="str">
        <x:v>Shorthead lizardfish</x:v>
      </x:c>
      <x:c r="G21" s="24" t="str">
        <x:v>Medium demersals (30 - 89 cm)</x:v>
      </x:c>
      <x:c r="H21" s="24" t="str">
        <x:v>Other fishes &amp; inverts</x:v>
      </x:c>
      <x:c r="I21" s="31" t="n">
        <x:v>19999.707069930202</x:v>
      </x:c>
      <x:c r="J21" s="31" t="n">
        <x:v>3829.3786165033002</x:v>
      </x:c>
      <x:c r="K21" s="31" t="n">
        <x:v>16170.3284534269</x:v>
      </x:c>
      <x:c r="L21" s="31" t="n">
        <x:v>0</x:v>
      </x:c>
      <x:c r="M21" s="31" t="n">
        <x:v>19999.707069930202</x:v>
      </x:c>
      <x:c r="N21" s="24" t="str">
        <x:v>synodus scituliceps</x:v>
      </x:c>
      <x:c r="O21" s="32" t="n">
        <x:v>4.2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Synodus scituliceps</x:v>
      </x:c>
      <x:c r="T21" s="32" t="n">
        <x:f>IF(O21="","",(1/'Metadata'!$B$5)^(O21-1))</x:f>
        <x:v>1584.893192461114</x:v>
      </x:c>
      <x:c r="U21" s="31" t="n">
        <x:f>IF(T21="","",I21*T21)</x:f>
        <x:v>31697399.58634879</x:v>
      </x:c>
    </x:row>
    <x:row r="22" ht="18" customHeight="1">
      <x:c r="A22" s="24" t="str">
        <x:v>EEZ_945</x:v>
      </x:c>
      <x:c r="B22" s="24" t="str">
        <x:v>Mexico (Pacific)</x:v>
      </x:c>
      <x:c r="C22" s="24" t="str">
        <x:v>EEZ</x:v>
      </x:c>
      <x:c r="D22" s="30" t="n">
        <x:v>2019</x:v>
      </x:c>
      <x:c r="E22" s="24" t="str">
        <x:v>Coryphaena hippurus</x:v>
      </x:c>
      <x:c r="F22" s="24" t="str">
        <x:v>Common dolphinfish</x:v>
      </x:c>
      <x:c r="G22" s="24" t="str">
        <x:v>Large pelagics (&gt;=90 cm)</x:v>
      </x:c>
      <x:c r="H22" s="24" t="str">
        <x:v>Perch-likes</x:v>
      </x:c>
      <x:c r="I22" s="31" t="n">
        <x:v>17224.3671977945</x:v>
      </x:c>
      <x:c r="J22" s="31" t="n">
        <x:v>16920.1409994255</x:v>
      </x:c>
      <x:c r="K22" s="31" t="n">
        <x:v>304.226198369</x:v>
      </x:c>
      <x:c r="L22" s="31" t="n">
        <x:v>742</x:v>
      </x:c>
      <x:c r="M22" s="31" t="n">
        <x:v>16482.3671977945</x:v>
      </x:c>
      <x:c r="N22" s="24" t="str">
        <x:v>coryphaena hippurus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Coryphaena hippurus</x:v>
      </x:c>
      <x:c r="T22" s="32" t="n">
        <x:f>IF(O22="","",(1/'Metadata'!$B$5)^(O22-1))</x:f>
        <x:v>2344.228815319923</x:v>
      </x:c>
      <x:c r="U22" s="31" t="n">
        <x:f>IF(T22="","",I22*T22)</x:f>
        <x:v>40377857.910721146</x:v>
      </x:c>
    </x:row>
    <x:row r="23" ht="18" customHeight="1">
      <x:c r="A23" s="24" t="str">
        <x:v>EEZ_945</x:v>
      </x:c>
      <x:c r="B23" s="24" t="str">
        <x:v>Mexico (Pacific)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16817.5368201231</x:v>
      </x:c>
      <x:c r="J23" s="31" t="n">
        <x:v>16783.6935190928</x:v>
      </x:c>
      <x:c r="K23" s="31" t="n">
        <x:v>33.8433010303</x:v>
      </x:c>
      <x:c r="L23" s="31" t="n">
        <x:v>6379.3827847644</x:v>
      </x:c>
      <x:c r="M23" s="31" t="n">
        <x:v>10438.154035358699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18869586.66808087</x:v>
      </x:c>
    </x:row>
    <x:row r="24" ht="18" customHeight="1">
      <x:c r="A24" s="24" t="str">
        <x:v>EEZ_945</x:v>
      </x:c>
      <x:c r="B24" s="24" t="str">
        <x:v>Mexico (Pacific)</x:v>
      </x:c>
      <x:c r="C24" s="24" t="str">
        <x:v>EEZ</x:v>
      </x:c>
      <x:c r="D24" s="30" t="n">
        <x:v>2019</x:v>
      </x:c>
      <x:c r="E24" s="24" t="str">
        <x:v>Cynoscion</x:v>
      </x:c>
      <x:c r="F24" s="24" t="str">
        <x:v>Weakfishes</x:v>
      </x:c>
      <x:c r="G24" s="24" t="str">
        <x:v>Medium demersals (30 - 89 cm)</x:v>
      </x:c>
      <x:c r="H24" s="24" t="str">
        <x:v>Perch-likes</x:v>
      </x:c>
      <x:c r="I24" s="31" t="n">
        <x:v>14758.853646044001</x:v>
      </x:c>
      <x:c r="J24" s="31" t="n">
        <x:v>14758.853646044001</x:v>
      </x:c>
      <x:c r="K24" s="31" t="n">
        <x:v>0</x:v>
      </x:c>
      <x:c r="L24" s="31" t="n">
        <x:v>11437</x:v>
      </x:c>
      <x:c r="M24" s="31" t="n">
        <x:v>3321.853646044</x:v>
      </x:c>
      <x:c r="N24" s="24" t="str">
        <x:v>cynoscion</x:v>
      </x:c>
      <x:c r="O24" s="32" t="n">
        <x:v>4.21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Cynoscion</x:v>
      </x:c>
      <x:c r="T24" s="32" t="n">
        <x:f>IF(O24="","",(1/'Metadata'!$B$5)^(O24-1))</x:f>
        <x:v>1621.8100973589299</x:v>
      </x:c>
      <x:c r="U24" s="31" t="n">
        <x:f>IF(T24="","",I24*T24)</x:f>
        <x:v>23936057.86859682</x:v>
      </x:c>
    </x:row>
    <x:row r="25" ht="18" customHeight="1">
      <x:c r="A25" s="24" t="str">
        <x:v>EEZ_945</x:v>
      </x:c>
      <x:c r="B25" s="24" t="str">
        <x:v>Mexico (Pacific)</x:v>
      </x:c>
      <x:c r="C25" s="24" t="str">
        <x:v>EEZ</x:v>
      </x:c>
      <x:c r="D25" s="30" t="n">
        <x:v>2019</x:v>
      </x:c>
      <x:c r="E25" s="24" t="str">
        <x:v>Scomberomorus</x:v>
      </x:c>
      <x:c r="F25" s="24" t="str">
        <x:v>Spanish mackerels</x:v>
      </x:c>
      <x:c r="G25" s="24" t="str">
        <x:v>Large pelagics (&gt;=90 cm)</x:v>
      </x:c>
      <x:c r="H25" s="24" t="str">
        <x:v>Perch-likes</x:v>
      </x:c>
      <x:c r="I25" s="31" t="n">
        <x:v>14733.433978187899</x:v>
      </x:c>
      <x:c r="J25" s="31" t="n">
        <x:v>14733.433978187899</x:v>
      </x:c>
      <x:c r="K25" s="31" t="n">
        <x:v>0</x:v>
      </x:c>
      <x:c r="L25" s="31" t="n">
        <x:v>11770</x:v>
      </x:c>
      <x:c r="M25" s="31" t="n">
        <x:v>2963.4339781879003</x:v>
      </x:c>
      <x:c r="N25" s="24" t="str">
        <x:v>scomberomorus</x:v>
      </x:c>
      <x:c r="O25" s="32" t="n">
        <x:v>4.35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Scomberomorus</x:v>
      </x:c>
      <x:c r="T25" s="32" t="n">
        <x:f>IF(O25="","",(1/'Metadata'!$B$5)^(O25-1))</x:f>
        <x:v>2238.7211385683377</x:v>
      </x:c>
      <x:c r="U25" s="31" t="n">
        <x:f>IF(T25="","",I25*T25)</x:f>
        <x:v>32984050.090670247</x:v>
      </x:c>
    </x:row>
    <x:row r="26" ht="18" customHeight="1">
      <x:c r="A26" s="24" t="str">
        <x:v>EEZ_945</x:v>
      </x:c>
      <x:c r="B26" s="24" t="str">
        <x:v>Mexico (Pacific)</x:v>
      </x:c>
      <x:c r="C26" s="24" t="str">
        <x:v>EEZ</x:v>
      </x:c>
      <x:c r="D26" s="30" t="n">
        <x:v>2019</x:v>
      </x:c>
      <x:c r="E26" s="24" t="str">
        <x:v>Balistes polylepis</x:v>
      </x:c>
      <x:c r="F26" s="24" t="str">
        <x:v>Finescale triggerfish</x:v>
      </x:c>
      <x:c r="G26" s="24" t="str">
        <x:v>Small pelagics (&lt;30 cm)</x:v>
      </x:c>
      <x:c r="H26" s="24" t="str">
        <x:v>Other fishes &amp; inverts</x:v>
      </x:c>
      <x:c r="I26" s="31" t="n">
        <x:v>14422.5028964142</x:v>
      </x:c>
      <x:c r="J26" s="31" t="n">
        <x:v>2463.2166587473</x:v>
      </x:c>
      <x:c r="K26" s="31" t="n">
        <x:v>11959.2862376669</x:v>
      </x:c>
      <x:c r="L26" s="31" t="n">
        <x:v>0</x:v>
      </x:c>
      <x:c r="M26" s="31" t="n">
        <x:v>14422.5028964142</x:v>
      </x:c>
      <x:c r="N26" s="24" t="str">
        <x:v>balistes polylepis</x:v>
      </x:c>
      <x:c r="O26" s="32" t="n">
        <x:v>3.34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Balistes polylepis</x:v>
      </x:c>
      <x:c r="T26" s="32" t="n">
        <x:f>IF(O26="","",(1/'Metadata'!$B$5)^(O26-1))</x:f>
        <x:v>218.77616239495518</x:v>
      </x:c>
      <x:c r="U26" s="31" t="n">
        <x:f>IF(T26="","",I26*T26)</x:f>
        <x:v>3155299.8358076243</x:v>
      </x:c>
    </x:row>
    <x:row r="27" ht="18" customHeight="1">
      <x:c r="A27" s="24" t="str">
        <x:v>EEZ_945</x:v>
      </x:c>
      <x:c r="B27" s="24" t="str">
        <x:v>Mexico (Pacific)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13945.0492597189</x:v>
      </x:c>
      <x:c r="J27" s="31" t="n">
        <x:v>6762.3729412674</x:v>
      </x:c>
      <x:c r="K27" s="31" t="n">
        <x:v>7182.6763184515</x:v>
      </x:c>
      <x:c r="L27" s="31" t="n">
        <x:v>3669</x:v>
      </x:c>
      <x:c r="M27" s="31" t="n">
        <x:v>10276.0492597189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3194626.22653432</x:v>
      </x:c>
    </x:row>
    <x:row r="28" ht="18" customHeight="1">
      <x:c r="A28" s="24" t="str">
        <x:v>EEZ_945</x:v>
      </x:c>
      <x:c r="B28" s="24" t="str">
        <x:v>Mexico (Pacific)</x:v>
      </x:c>
      <x:c r="C28" s="24" t="str">
        <x:v>EEZ</x:v>
      </x:c>
      <x:c r="D28" s="30" t="n">
        <x:v>2019</x:v>
      </x:c>
      <x:c r="E28" s="24" t="str">
        <x:v>Paralabrax maculatofasciatus</x:v>
      </x:c>
      <x:c r="F28" s="24" t="str">
        <x:v>Spotted sand bass</x:v>
      </x:c>
      <x:c r="G28" s="24" t="str">
        <x:v>Small pelagics (&lt;30 cm)</x:v>
      </x:c>
      <x:c r="H28" s="24" t="str">
        <x:v>Perch-likes</x:v>
      </x:c>
      <x:c r="I28" s="31" t="n">
        <x:v>13228.311309826599</x:v>
      </x:c>
      <x:c r="J28" s="31" t="n">
        <x:v>2962.3624909005</x:v>
      </x:c>
      <x:c r="K28" s="31" t="n">
        <x:v>10265.9488189261</x:v>
      </x:c>
      <x:c r="L28" s="31" t="n">
        <x:v>319.1111111112</x:v>
      </x:c>
      <x:c r="M28" s="31" t="n">
        <x:v>12909.2001987154</x:v>
      </x:c>
      <x:c r="N28" s="24" t="str">
        <x:v>paralabrax maculatofasciatus</x:v>
      </x:c>
      <x:c r="O28" s="32" t="n">
        <x:v>4.2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Paralabrax maculatofasciatus</x:v>
      </x:c>
      <x:c r="T28" s="32" t="n">
        <x:f>IF(O28="","",(1/'Metadata'!$B$5)^(O28-1))</x:f>
        <x:v>1584.893192461114</x:v>
      </x:c>
      <x:c r="U28" s="31" t="n">
        <x:f>IF(T28="","",I28*T28)</x:f>
        <x:v>20965460.54270054</x:v>
      </x:c>
    </x:row>
    <x:row r="29" ht="18" customHeight="1">
      <x:c r="A29" s="24" t="str">
        <x:v>EEZ_945</x:v>
      </x:c>
      <x:c r="B29" s="24" t="str">
        <x:v>Mexico (Pacific)</x:v>
      </x:c>
      <x:c r="C29" s="24" t="str">
        <x:v>EEZ</x:v>
      </x:c>
      <x:c r="D29" s="30" t="n">
        <x:v>2019</x:v>
      </x:c>
      <x:c r="E29" s="24" t="str">
        <x:v>Lutjanus peru</x:v>
      </x:c>
      <x:c r="F29" s="24" t="str">
        <x:v>Pacific red snapper</x:v>
      </x:c>
      <x:c r="G29" s="24" t="str">
        <x:v>Medium reef assoc. fish (30 - 89 cm)</x:v>
      </x:c>
      <x:c r="H29" s="24" t="str">
        <x:v>Perch-likes</x:v>
      </x:c>
      <x:c r="I29" s="31" t="n">
        <x:v>13004.505281534199</x:v>
      </x:c>
      <x:c r="J29" s="31" t="n">
        <x:v>13004.505281534199</x:v>
      </x:c>
      <x:c r="K29" s="31" t="n">
        <x:v>0</x:v>
      </x:c>
      <x:c r="L29" s="31" t="n">
        <x:v>9716</x:v>
      </x:c>
      <x:c r="M29" s="31" t="n">
        <x:v>3288.5052815342</x:v>
      </x:c>
      <x:c r="N29" s="24" t="str">
        <x:v>lutjanus peru</x:v>
      </x:c>
      <x:c r="O29" s="32" t="n">
        <x:v>4.02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peru</x:v>
      </x:c>
      <x:c r="T29" s="32" t="n">
        <x:f>IF(O29="","",(1/'Metadata'!$B$5)^(O29-1))</x:f>
        <x:v>1047.1285480508984</x:v>
      </x:c>
      <x:c r="U29" s="31" t="n">
        <x:f>IF(T29="","",I29*T29)</x:f>
        <x:v>13617388.733573146</x:v>
      </x:c>
    </x:row>
    <x:row r="30" ht="18" customHeight="1">
      <x:c r="A30" s="24" t="str">
        <x:v>EEZ_945</x:v>
      </x:c>
      <x:c r="B30" s="24" t="str">
        <x:v>Mexico (Pacific)</x:v>
      </x:c>
      <x:c r="C30" s="24" t="str">
        <x:v>EEZ</x:v>
      </x:c>
      <x:c r="D30" s="30" t="n">
        <x:v>2019</x:v>
      </x:c>
      <x:c r="E30" s="24" t="str">
        <x:v>Chanos chanos</x:v>
      </x:c>
      <x:c r="F30" s="24" t="str">
        <x:v>Milkfish</x:v>
      </x:c>
      <x:c r="G30" s="24" t="str">
        <x:v>Large benthopelagics (&gt;=90 cm)</x:v>
      </x:c>
      <x:c r="H30" s="24" t="str">
        <x:v>Other fishes &amp; inverts</x:v>
      </x:c>
      <x:c r="I30" s="31" t="n">
        <x:v>11943.4250797317</x:v>
      </x:c>
      <x:c r="J30" s="31" t="n">
        <x:v>11943.4250797317</x:v>
      </x:c>
      <x:c r="K30" s="31" t="n">
        <x:v>0</x:v>
      </x:c>
      <x:c r="L30" s="31" t="n">
        <x:v>8904</x:v>
      </x:c>
      <x:c r="M30" s="31" t="n">
        <x:v>3039.4250797317</x:v>
      </x:c>
      <x:c r="N30" s="24" t="str">
        <x:v>chanos chanos</x:v>
      </x:c>
      <x:c r="O30" s="32" t="n">
        <x:v>2.03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Chanos chanos</x:v>
      </x:c>
      <x:c r="T30" s="32" t="n">
        <x:f>IF(O30="","",(1/'Metadata'!$B$5)^(O30-1))</x:f>
        <x:v>10.71519305237606</x:v>
      </x:c>
      <x:c r="U30" s="31" t="n">
        <x:f>IF(T30="","",I30*T30)</x:f>
        <x:v>127976.1054359151</x:v>
      </x:c>
    </x:row>
    <x:row r="31" ht="18" customHeight="1">
      <x:c r="A31" s="24" t="str">
        <x:v>EEZ_945</x:v>
      </x:c>
      <x:c r="B31" s="24" t="str">
        <x:v>Mexico (Pacific)</x:v>
      </x:c>
      <x:c r="C31" s="24" t="str">
        <x:v>EEZ</x:v>
      </x:c>
      <x:c r="D31" s="30" t="n">
        <x:v>2019</x:v>
      </x:c>
      <x:c r="E31" s="24" t="str">
        <x:v>Porichthys analis</x:v>
      </x:c>
      <x:c r="F31" s="24" t="str">
        <x:v>Darkedge midshipman</x:v>
      </x:c>
      <x:c r="G31" s="24" t="str">
        <x:v>Small pelagics (&lt;30 cm)</x:v>
      </x:c>
      <x:c r="H31" s="24" t="str">
        <x:v>Other fishes &amp; inverts</x:v>
      </x:c>
      <x:c r="I31" s="31" t="n">
        <x:v>11815.2532875352</x:v>
      </x:c>
      <x:c r="J31" s="31" t="n">
        <x:v>2295.6613727701</x:v>
      </x:c>
      <x:c r="K31" s="31" t="n">
        <x:v>9519.5919147651</x:v>
      </x:c>
      <x:c r="L31" s="31" t="n">
        <x:v>0</x:v>
      </x:c>
      <x:c r="M31" s="31" t="n">
        <x:v>11815.2532875352</x:v>
      </x:c>
      <x:c r="N31" s="24" t="str">
        <x:v>porichthys analis</x:v>
      </x:c>
      <x:c r="O31" s="32" t="n">
        <x:v>3.9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Porichthys analis</x:v>
      </x:c>
      <x:c r="T31" s="32" t="n">
        <x:f>IF(O31="","",(1/'Metadata'!$B$5)^(O31-1))</x:f>
        <x:v>794.3282347242813</x:v>
      </x:c>
      <x:c r="U31" s="31" t="n">
        <x:f>IF(T31="","",I31*T31)</x:f>
        <x:v>9385189.286708098</x:v>
      </x:c>
    </x:row>
    <x:row r="32" ht="18" customHeight="1">
      <x:c r="A32" s="24" t="str">
        <x:v>EEZ_945</x:v>
      </x:c>
      <x:c r="B32" s="24" t="str">
        <x:v>Mexico (Pacific)</x:v>
      </x:c>
      <x:c r="C32" s="24" t="str">
        <x:v>EEZ</x:v>
      </x:c>
      <x:c r="D32" s="30" t="n">
        <x:v>2019</x:v>
      </x:c>
      <x:c r="E32" s="24" t="str">
        <x:v>Merluccius productus</x:v>
      </x:c>
      <x:c r="F32" s="24" t="str">
        <x:v>North Pacific hake</x:v>
      </x:c>
      <x:c r="G32" s="24" t="str">
        <x:v>Medium benthopelagics (30 - 89 cm)</x:v>
      </x:c>
      <x:c r="H32" s="24" t="str">
        <x:v>Cod-likes</x:v>
      </x:c>
      <x:c r="I32" s="31" t="n">
        <x:v>11644.726698265</x:v>
      </x:c>
      <x:c r="J32" s="31" t="n">
        <x:v>11644.726698265</x:v>
      </x:c>
      <x:c r="K32" s="31" t="n">
        <x:v>0</x:v>
      </x:c>
      <x:c r="L32" s="31" t="n">
        <x:v>8743</x:v>
      </x:c>
      <x:c r="M32" s="31" t="n">
        <x:v>2901.726698265</x:v>
      </x:c>
      <x:c r="N32" s="24" t="str">
        <x:v>merluccius productus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Merluccius productus</x:v>
      </x:c>
      <x:c r="T32" s="32" t="n">
        <x:f>IF(O32="","",(1/'Metadata'!$B$5)^(O32-1))</x:f>
        <x:v>2238.7211385683377</x:v>
      </x:c>
      <x:c r="U32" s="31" t="n">
        <x:f>IF(T32="","",I32*T32)</x:f>
        <x:v>26069295.81225694</x:v>
      </x:c>
    </x:row>
    <x:row r="33" ht="18" customHeight="1">
      <x:c r="A33" s="24" t="str">
        <x:v>EEZ_945</x:v>
      </x:c>
      <x:c r="B33" s="24" t="str">
        <x:v>Mexico (Pacific)</x:v>
      </x:c>
      <x:c r="C33" s="24" t="str">
        <x:v>EEZ</x:v>
      </x:c>
      <x:c r="D33" s="30" t="n">
        <x:v>2019</x:v>
      </x:c>
      <x:c r="E33" s="24" t="str">
        <x:v>Veneridae</x:v>
      </x:c>
      <x:c r="F33" s="24" t="str">
        <x:v>Venus clams</x:v>
      </x:c>
      <x:c r="G33" s="24" t="str">
        <x:v>Other demersal invertebrates</x:v>
      </x:c>
      <x:c r="H33" s="24" t="str">
        <x:v>Molluscs</x:v>
      </x:c>
      <x:c r="I33" s="31" t="n">
        <x:v>11495.3961659936</x:v>
      </x:c>
      <x:c r="J33" s="31" t="n">
        <x:v>11495.3961659936</x:v>
      </x:c>
      <x:c r="K33" s="31" t="n">
        <x:v>0</x:v>
      </x:c>
      <x:c r="L33" s="31" t="n">
        <x:v>7105.3656422859</x:v>
      </x:c>
      <x:c r="M33" s="31" t="n">
        <x:v>4390.0305237077</x:v>
      </x:c>
      <x:c r="N33" s="24" t="str">
        <x:v>veneridae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Veneridae</x:v>
      </x:c>
      <x:c r="T33" s="32" t="n">
        <x:f>IF(O33="","",(1/'Metadata'!$B$5)^(O33-1))</x:f>
        <x:v>10</x:v>
      </x:c>
      <x:c r="U33" s="31" t="n">
        <x:f>IF(T33="","",I33*T33)</x:f>
        <x:v>114953.961659936</x:v>
      </x:c>
    </x:row>
    <x:row r="34" ht="18" customHeight="1">
      <x:c r="A34" s="24" t="str">
        <x:v>EEZ_945</x:v>
      </x:c>
      <x:c r="B34" s="24" t="str">
        <x:v>Mexico (Pacific)</x:v>
      </x:c>
      <x:c r="C34" s="24" t="str">
        <x:v>EEZ</x:v>
      </x:c>
      <x:c r="D34" s="30" t="n">
        <x:v>2019</x:v>
      </x:c>
      <x:c r="E34" s="24" t="str">
        <x:v>Syacium ovale</x:v>
      </x:c>
      <x:c r="F34" s="24" t="str">
        <x:v>Oval flounder</x:v>
      </x:c>
      <x:c r="G34" s="24" t="str">
        <x:v>Small to medium flatfishes (&lt;90 cm)</x:v>
      </x:c>
      <x:c r="H34" s="24" t="str">
        <x:v>Flatfishes</x:v>
      </x:c>
      <x:c r="I34" s="31" t="n">
        <x:v>11472.782281748</x:v>
      </x:c>
      <x:c r="J34" s="31" t="n">
        <x:v>2229.1204867359</x:v>
      </x:c>
      <x:c r="K34" s="31" t="n">
        <x:v>9243.6617950121</x:v>
      </x:c>
      <x:c r="L34" s="31" t="n">
        <x:v>0</x:v>
      </x:c>
      <x:c r="M34" s="31" t="n">
        <x:v>11472.782281748</x:v>
      </x:c>
      <x:c r="N34" s="24" t="str">
        <x:v>syacium ovale</x:v>
      </x:c>
      <x:c r="O34" s="32" t="n">
        <x:v>4.02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Syacium ovale</x:v>
      </x:c>
      <x:c r="T34" s="32" t="n">
        <x:f>IF(O34="","",(1/'Metadata'!$B$5)^(O34-1))</x:f>
        <x:v>1047.1285480508984</x:v>
      </x:c>
      <x:c r="U34" s="31" t="n">
        <x:f>IF(T34="","",I34*T34)</x:f>
        <x:v>12013477.852790855</x:v>
      </x:c>
    </x:row>
    <x:row r="35" ht="18" customHeight="1">
      <x:c r="A35" s="24" t="str">
        <x:v>EEZ_945</x:v>
      </x:c>
      <x:c r="B35" s="24" t="str">
        <x:v>Mexico (Pacific)</x:v>
      </x:c>
      <x:c r="C35" s="24" t="str">
        <x:v>EEZ</x:v>
      </x:c>
      <x:c r="D35" s="30" t="n">
        <x:v>2019</x:v>
      </x:c>
      <x:c r="E35" s="24" t="str">
        <x:v>Caranx</x:v>
      </x:c>
      <x:c r="F35" s="24" t="str">
        <x:v>Jacks</x:v>
      </x:c>
      <x:c r="G35" s="24" t="str">
        <x:v>Medium reef assoc. fish (30 - 89 cm)</x:v>
      </x:c>
      <x:c r="H35" s="24" t="str">
        <x:v>Perch-likes</x:v>
      </x:c>
      <x:c r="I35" s="31" t="n">
        <x:v>11433.469531627201</x:v>
      </x:c>
      <x:c r="J35" s="31" t="n">
        <x:v>11433.469531627201</x:v>
      </x:c>
      <x:c r="K35" s="31" t="n">
        <x:v>0</x:v>
      </x:c>
      <x:c r="L35" s="31" t="n">
        <x:v>9160</x:v>
      </x:c>
      <x:c r="M35" s="31" t="n">
        <x:v>2273.4695316272</x:v>
      </x:c>
      <x:c r="N35" s="24" t="str">
        <x:v>caranx</x:v>
      </x:c>
      <x:c r="O35" s="32" t="n">
        <x:v>4.12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Caranx</x:v>
      </x:c>
      <x:c r="T35" s="32" t="n">
        <x:f>IF(O35="","",(1/'Metadata'!$B$5)^(O35-1))</x:f>
        <x:v>1318.2567385564075</x:v>
      </x:c>
      <x:c r="U35" s="31" t="n">
        <x:f>IF(T35="","",I35*T35)</x:f>
        <x:v>15072248.25514693</x:v>
      </x:c>
    </x:row>
    <x:row r="36" ht="18" customHeight="1">
      <x:c r="A36" s="24" t="str">
        <x:v>EEZ_945</x:v>
      </x:c>
      <x:c r="B36" s="24" t="str">
        <x:v>Mexico (Pacific)</x:v>
      </x:c>
      <x:c r="C36" s="24" t="str">
        <x:v>EEZ</x:v>
      </x:c>
      <x:c r="D36" s="30" t="n">
        <x:v>2019</x:v>
      </x:c>
      <x:c r="E36" s="24" t="str">
        <x:v>Paralichthyidae</x:v>
      </x:c>
      <x:c r="F36" s="24" t="str">
        <x:v>Largetooth flounders</x:v>
      </x:c>
      <x:c r="G36" s="24" t="str">
        <x:v>Small to medium flatfishes (&lt;90 cm)</x:v>
      </x:c>
      <x:c r="H36" s="24" t="str">
        <x:v>Flatfishes</x:v>
      </x:c>
      <x:c r="I36" s="31" t="n">
        <x:v>11395.7795992597</x:v>
      </x:c>
      <x:c r="J36" s="31" t="n">
        <x:v>2311.3038153945004</x:v>
      </x:c>
      <x:c r="K36" s="31" t="n">
        <x:v>9084.4757838652</x:v>
      </x:c>
      <x:c r="L36" s="31" t="n">
        <x:v>0</x:v>
      </x:c>
      <x:c r="M36" s="31" t="n">
        <x:v>11395.7795992597</x:v>
      </x:c>
      <x:c r="N36" s="24" t="str">
        <x:v>paralichthyidae</x:v>
      </x:c>
      <x:c r="O36" s="32" t="n">
        <x:v>4.06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Paralichthyidae</x:v>
      </x:c>
      <x:c r="T36" s="32" t="n">
        <x:f>IF(O36="","",(1/'Metadata'!$B$5)^(O36-1))</x:f>
        <x:v>1148.1536214968817</x:v>
      </x:c>
      <x:c r="U36" s="31" t="n">
        <x:f>IF(T36="","",I36*T36)</x:f>
        <x:v>13084105.616670309</x:v>
      </x:c>
    </x:row>
    <x:row r="37" ht="18" customHeight="1">
      <x:c r="A37" s="24" t="str">
        <x:v>EEZ_945</x:v>
      </x:c>
      <x:c r="B37" s="24" t="str">
        <x:v>Mexico (Pacific)</x:v>
      </x:c>
      <x:c r="C37" s="24" t="str">
        <x:v>EEZ</x:v>
      </x:c>
      <x:c r="D37" s="30" t="n">
        <x:v>2019</x:v>
      </x:c>
      <x:c r="E37" s="24" t="str">
        <x:v>Penaeus vannamei</x:v>
      </x:c>
      <x:c r="F37" s="24" t="str">
        <x:v>Whiteleg shrimp</x:v>
      </x:c>
      <x:c r="G37" s="24" t="str">
        <x:v>Shrimps</x:v>
      </x:c>
      <x:c r="H37" s="24" t="str">
        <x:v>Crustaceans</x:v>
      </x:c>
      <x:c r="I37" s="31" t="n">
        <x:v>10823.8147092177</x:v>
      </x:c>
      <x:c r="J37" s="31" t="n">
        <x:v>10823.8147092177</x:v>
      </x:c>
      <x:c r="K37" s="31" t="n">
        <x:v>0</x:v>
      </x:c>
      <x:c r="L37" s="31" t="n">
        <x:v>9196</x:v>
      </x:c>
      <x:c r="M37" s="31" t="n">
        <x:v>1627.8147092177</x:v>
      </x:c>
      <x:c r="N37" s="24" t="str">
        <x:v>penaeus vannamei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vannamei</x:v>
      </x:c>
      <x:c r="T37" s="32" t="n">
        <x:f>IF(O37="","",(1/'Metadata'!$B$5)^(O37-1))</x:f>
        <x:v>50.11872336272725</x:v>
      </x:c>
      <x:c r="U37" s="31" t="n">
        <x:f>IF(T37="","",I37*T37)</x:f>
        <x:v>542475.7751407</x:v>
      </x:c>
    </x:row>
    <x:row r="38" ht="18" customHeight="1">
      <x:c r="A38" s="24" t="str">
        <x:v>EEZ_945</x:v>
      </x:c>
      <x:c r="B38" s="24" t="str">
        <x:v>Mexico (Pacific)</x:v>
      </x:c>
      <x:c r="C38" s="24" t="str">
        <x:v>EEZ</x:v>
      </x:c>
      <x:c r="D38" s="30" t="n">
        <x:v>2019</x:v>
      </x:c>
      <x:c r="E38" s="24" t="str">
        <x:v>Gastropoda</x:v>
      </x:c>
      <x:c r="F38" s="24" t="str">
        <x:v>Sea snails</x:v>
      </x:c>
      <x:c r="G38" s="24" t="str">
        <x:v>Other demersal invertebrates</x:v>
      </x:c>
      <x:c r="H38" s="24" t="str">
        <x:v>Molluscs</x:v>
      </x:c>
      <x:c r="I38" s="31" t="n">
        <x:v>10048.6291833567</x:v>
      </x:c>
      <x:c r="J38" s="31" t="n">
        <x:v>3324.3354043208</x:v>
      </x:c>
      <x:c r="K38" s="31" t="n">
        <x:v>6724.2937790359</x:v>
      </x:c>
      <x:c r="L38" s="31" t="n">
        <x:v>2473.52</x:v>
      </x:c>
      <x:c r="M38" s="31" t="n">
        <x:v>7575.1091833567</x:v>
      </x:c>
      <x:c r="N38" s="24" t="str">
        <x:v>gastropoda</x:v>
      </x:c>
      <x:c r="O38" s="32" t="n">
        <x:v>3.06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Gastropoda</x:v>
      </x:c>
      <x:c r="T38" s="32" t="n">
        <x:f>IF(O38="","",(1/'Metadata'!$B$5)^(O38-1))</x:f>
        <x:v>114.81536214968828</x:v>
      </x:c>
      <x:c r="U38" s="31" t="n">
        <x:f>IF(T38="","",I38*T38)</x:f>
        <x:v>1153736.9987950257</x:v>
      </x:c>
    </x:row>
    <x:row r="39" ht="18" customHeight="1">
      <x:c r="A39" s="24" t="str">
        <x:v>EEZ_945</x:v>
      </x:c>
      <x:c r="B39" s="24" t="str">
        <x:v>Mexico (Pacific)</x:v>
      </x:c>
      <x:c r="C39" s="24" t="str">
        <x:v>EEZ</x:v>
      </x:c>
      <x:c r="D39" s="30" t="n">
        <x:v>2019</x:v>
      </x:c>
      <x:c r="E39" s="24" t="str">
        <x:v>Prionotus stephanophrys</x:v>
      </x:c>
      <x:c r="F39" s="24" t="str">
        <x:v>Lumptail searobin</x:v>
      </x:c>
      <x:c r="G39" s="24" t="str">
        <x:v>Medium demersals (30 - 89 cm)</x:v>
      </x:c>
      <x:c r="H39" s="24" t="str">
        <x:v>Scorpionfishes</x:v>
      </x:c>
      <x:c r="I39" s="31" t="n">
        <x:v>9789.4127160569</x:v>
      </x:c>
      <x:c r="J39" s="31" t="n">
        <x:v>1865.8857658713998</x:v>
      </x:c>
      <x:c r="K39" s="31" t="n">
        <x:v>7923.5269501855</x:v>
      </x:c>
      <x:c r="L39" s="31" t="n">
        <x:v>0</x:v>
      </x:c>
      <x:c r="M39" s="31" t="n">
        <x:v>9789.4127160569</x:v>
      </x:c>
      <x:c r="N39" s="24" t="str">
        <x:v>prionotus stephanophrys</x:v>
      </x:c>
      <x:c r="O39" s="32" t="n">
        <x:v>3.5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Prionotus stephanophrys</x:v>
      </x:c>
      <x:c r="T39" s="32" t="n">
        <x:f>IF(O39="","",(1/'Metadata'!$B$5)^(O39-1))</x:f>
        <x:v>316.22776601683796</x:v>
      </x:c>
      <x:c r="U39" s="31" t="n">
        <x:f>IF(T39="","",I39*T39)</x:f>
        <x:v>3095684.1138155</x:v>
      </x:c>
    </x:row>
    <x:row r="40" ht="18" customHeight="1">
      <x:c r="A40" s="24" t="str">
        <x:v>EEZ_945</x:v>
      </x:c>
      <x:c r="B40" s="24" t="str">
        <x:v>Mexico (Pacific)</x:v>
      </x:c>
      <x:c r="C40" s="24" t="str">
        <x:v>EEZ</x:v>
      </x:c>
      <x:c r="D40" s="30" t="n">
        <x:v>2019</x:v>
      </x:c>
      <x:c r="E40" s="24" t="str">
        <x:v>Eucinostomus</x:v>
      </x:c>
      <x:c r="F40" s="24" t="str">
        <x:v>Mojarras</x:v>
      </x:c>
      <x:c r="G40" s="24" t="str">
        <x:v>Large reef assoc. fish (&gt;=90 cm)</x:v>
      </x:c>
      <x:c r="H40" s="24" t="str">
        <x:v>Perch-likes</x:v>
      </x:c>
      <x:c r="I40" s="31" t="n">
        <x:v>9422.5315638446</x:v>
      </x:c>
      <x:c r="J40" s="31" t="n">
        <x:v>1812.4685386141</x:v>
      </x:c>
      <x:c r="K40" s="31" t="n">
        <x:v>7610.0630252305</x:v>
      </x:c>
      <x:c r="L40" s="31" t="n">
        <x:v>0</x:v>
      </x:c>
      <x:c r="M40" s="31" t="n">
        <x:v>9422.5315638446</x:v>
      </x:c>
      <x:c r="N40" s="24" t="str">
        <x:v>eucinostomus</x:v>
      </x:c>
      <x:c r="O40" s="32" t="n">
        <x:v>3.5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Eucinostomus</x:v>
      </x:c>
      <x:c r="T40" s="32" t="n">
        <x:f>IF(O40="","",(1/'Metadata'!$B$5)^(O40-1))</x:f>
        <x:v>316.22776601683796</x:v>
      </x:c>
      <x:c r="U40" s="31" t="n">
        <x:f>IF(T40="","",I40*T40)</x:f>
        <x:v>2979666.1066577206</x:v>
      </x:c>
    </x:row>
    <x:row r="41" ht="18" customHeight="1">
      <x:c r="A41" s="24" t="str">
        <x:v>EEZ_945</x:v>
      </x:c>
      <x:c r="B41" s="24" t="str">
        <x:v>Mexico (Pacific)</x:v>
      </x:c>
      <x:c r="C41" s="24" t="str">
        <x:v>EEZ</x:v>
      </x:c>
      <x:c r="D41" s="30" t="n">
        <x:v>2019</x:v>
      </x:c>
      <x:c r="E41" s="24" t="str">
        <x:v>Portunidae</x:v>
      </x:c>
      <x:c r="F41" s="24" t="str">
        <x:v>Swimming crabs</x:v>
      </x:c>
      <x:c r="G41" s="24" t="str">
        <x:v>Lobsters, crabs</x:v>
      </x:c>
      <x:c r="H41" s="24" t="str">
        <x:v>Crustaceans</x:v>
      </x:c>
      <x:c r="I41" s="31" t="n">
        <x:v>9302.6107024251</x:v>
      </x:c>
      <x:c r="J41" s="31" t="n">
        <x:v>0</x:v>
      </x:c>
      <x:c r="K41" s="31" t="n">
        <x:v>9302.6107024251</x:v>
      </x:c>
      <x:c r="L41" s="31" t="n">
        <x:v>0</x:v>
      </x:c>
      <x:c r="M41" s="31" t="n">
        <x:v>9302.6107024251</x:v>
      </x:c>
      <x:c r="N41" s="24" t="str">
        <x:v>portunidae</x:v>
      </x:c>
      <x:c r="O41" s="32" t="n">
        <x:v>3.56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Portunidae</x:v>
      </x:c>
      <x:c r="T41" s="32" t="n">
        <x:f>IF(O41="","",(1/'Metadata'!$B$5)^(O41-1))</x:f>
        <x:v>363.0780547701014</x:v>
      </x:c>
      <x:c r="U41" s="31" t="n">
        <x:f>IF(T41="","",I41*T41)</x:f>
        <x:v>3377573.7981200316</x:v>
      </x:c>
    </x:row>
    <x:row r="42" ht="18" customHeight="1">
      <x:c r="A42" s="24" t="str">
        <x:v>EEZ_945</x:v>
      </x:c>
      <x:c r="B42" s="24" t="str">
        <x:v>Mexico (Pacific)</x:v>
      </x:c>
      <x:c r="C42" s="24" t="str">
        <x:v>EEZ</x:v>
      </x:c>
      <x:c r="D42" s="30" t="n">
        <x:v>2019</x:v>
      </x:c>
      <x:c r="E42" s="24" t="str">
        <x:v>Portunus</x:v>
      </x:c>
      <x:c r="F42" s="24" t="str">
        <x:v>Swimmer crabs</x:v>
      </x:c>
      <x:c r="G42" s="24" t="str">
        <x:v>Lobsters, crabs</x:v>
      </x:c>
      <x:c r="H42" s="24" t="str">
        <x:v>Crustaceans</x:v>
      </x:c>
      <x:c r="I42" s="31" t="n">
        <x:v>9302.6107024251</x:v>
      </x:c>
      <x:c r="J42" s="31" t="n">
        <x:v>0</x:v>
      </x:c>
      <x:c r="K42" s="31" t="n">
        <x:v>9302.6107024251</x:v>
      </x:c>
      <x:c r="L42" s="31" t="n">
        <x:v>0</x:v>
      </x:c>
      <x:c r="M42" s="31" t="n">
        <x:v>9302.6107024251</x:v>
      </x:c>
      <x:c r="N42" s="24" t="str">
        <x:v>portunus</x:v>
      </x:c>
      <x:c r="O42" s="32" t="n">
        <x:v>3.26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Portunus</x:v>
      </x:c>
      <x:c r="T42" s="32" t="n">
        <x:f>IF(O42="","",(1/'Metadata'!$B$5)^(O42-1))</x:f>
        <x:v>181.97008586099827</x:v>
      </x:c>
      <x:c r="U42" s="31" t="n">
        <x:f>IF(T42="","",I42*T42)</x:f>
        <x:v>1692796.8682517367</x:v>
      </x:c>
    </x:row>
    <x:row r="43" ht="18" customHeight="1">
      <x:c r="A43" s="24" t="str">
        <x:v>EEZ_945</x:v>
      </x:c>
      <x:c r="B43" s="24" t="str">
        <x:v>Mexico (Pacific)</x:v>
      </x:c>
      <x:c r="C43" s="24" t="str">
        <x:v>EEZ</x:v>
      </x:c>
      <x:c r="D43" s="30" t="n">
        <x:v>2019</x:v>
      </x:c>
      <x:c r="E43" s="24" t="str">
        <x:v>Achirus mazatlanus</x:v>
      </x:c>
      <x:c r="F43" s="24" t="str">
        <x:v>Mazatlan sole</x:v>
      </x:c>
      <x:c r="G43" s="24" t="str">
        <x:v>Small to medium flatfishes (&lt;90 cm)</x:v>
      </x:c>
      <x:c r="H43" s="24" t="str">
        <x:v>Flatfishes</x:v>
      </x:c>
      <x:c r="I43" s="31" t="n">
        <x:v>8561.7778221777</x:v>
      </x:c>
      <x:c r="J43" s="31" t="n">
        <x:v>1663.5227408877001</x:v>
      </x:c>
      <x:c r="K43" s="31" t="n">
        <x:v>6898.25508129</x:v>
      </x:c>
      <x:c r="L43" s="31" t="n">
        <x:v>0</x:v>
      </x:c>
      <x:c r="M43" s="31" t="n">
        <x:v>8561.7778221777</x:v>
      </x:c>
      <x:c r="N43" s="24" t="str">
        <x:v>achirus mazatlanus</x:v>
      </x:c>
      <x:c r="O43" s="32" t="n">
        <x:v>3.2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Achirus mazatlanus</x:v>
      </x:c>
      <x:c r="T43" s="32" t="n">
        <x:f>IF(O43="","",(1/'Metadata'!$B$5)^(O43-1))</x:f>
        <x:v>158.48931924611142</x:v>
      </x:c>
      <x:c r="U43" s="31" t="n">
        <x:f>IF(T43="","",I43*T43)</x:f>
        <x:v>1356950.3385733983</x:v>
      </x:c>
    </x:row>
    <x:row r="44" ht="18" customHeight="1">
      <x:c r="A44" s="24" t="str">
        <x:v>EEZ_945</x:v>
      </x:c>
      <x:c r="B44" s="24" t="str">
        <x:v>Mexico (Pacific)</x:v>
      </x:c>
      <x:c r="C44" s="24" t="str">
        <x:v>EEZ</x:v>
      </x:c>
      <x:c r="D44" s="30" t="n">
        <x:v>2019</x:v>
      </x:c>
      <x:c r="E44" s="24" t="str">
        <x:v>Megastraea undosa</x:v>
      </x:c>
      <x:c r="F44" s="24" t="str">
        <x:v>Wavy turban</x:v>
      </x:c>
      <x:c r="G44" s="24" t="str">
        <x:v>Other demersal invertebrates</x:v>
      </x:c>
      <x:c r="H44" s="24" t="str">
        <x:v>Molluscs</x:v>
      </x:c>
      <x:c r="I44" s="31" t="n">
        <x:v>8548.2910396819</x:v>
      </x:c>
      <x:c r="J44" s="31" t="n">
        <x:v>8548.2910396819</x:v>
      </x:c>
      <x:c r="K44" s="31" t="n">
        <x:v>0</x:v>
      </x:c>
      <x:c r="L44" s="31" t="n">
        <x:v>6360.4800000000005</x:v>
      </x:c>
      <x:c r="M44" s="31" t="n">
        <x:v>2187.8110396819</x:v>
      </x:c>
      <x:c r="N44" s="24" t="str">
        <x:v>megastraea undosa</x:v>
      </x:c>
      <x:c r="O44" s="32" t="n">
        <x:v>2.37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Megastraea undosa</x:v>
      </x:c>
      <x:c r="T44" s="32" t="n">
        <x:f>IF(O44="","",(1/'Metadata'!$B$5)^(O44-1))</x:f>
        <x:v>23.442288153199225</x:v>
      </x:c>
      <x:c r="U44" s="31" t="n">
        <x:f>IF(T44="","",I44*T44)</x:f>
        <x:v>200391.5017696341</x:v>
      </x:c>
    </x:row>
    <x:row r="45" ht="18" customHeight="1">
      <x:c r="A45" s="24" t="str">
        <x:v>EEZ_945</x:v>
      </x:c>
      <x:c r="B45" s="24" t="str">
        <x:v>Mexico (Pacific)</x:v>
      </x:c>
      <x:c r="C45" s="24" t="str">
        <x:v>EEZ</x:v>
      </x:c>
      <x:c r="D45" s="30" t="n">
        <x:v>2019</x:v>
      </x:c>
      <x:c r="E45" s="24" t="str">
        <x:v>Mullidae</x:v>
      </x:c>
      <x:c r="F45" s="24" t="str">
        <x:v>Goatfishes</x:v>
      </x:c>
      <x:c r="G45" s="24" t="str">
        <x:v>Medium reef assoc. fish (30 - 89 cm)</x:v>
      </x:c>
      <x:c r="H45" s="24" t="str">
        <x:v>Perch-likes</x:v>
      </x:c>
      <x:c r="I45" s="31" t="n">
        <x:v>8361.6939607418</x:v>
      </x:c>
      <x:c r="J45" s="31" t="n">
        <x:v>1675.6154565761</x:v>
      </x:c>
      <x:c r="K45" s="31" t="n">
        <x:v>6686.0785041657</x:v>
      </x:c>
      <x:c r="L45" s="31" t="n">
        <x:v>0</x:v>
      </x:c>
      <x:c r="M45" s="31" t="n">
        <x:v>8361.6939607418</x:v>
      </x:c>
      <x:c r="N45" s="24" t="str">
        <x:v>mullidae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Mullidae</x:v>
      </x:c>
      <x:c r="T45" s="32" t="n">
        <x:f>IF(O45="","",(1/'Metadata'!$B$5)^(O45-1))</x:f>
        <x:v>288.40315031266056</x:v>
      </x:c>
      <x:c r="U45" s="31" t="n">
        <x:f>IF(T45="","",I45*T45)</x:f>
        <x:v>2411538.8802282833</x:v>
      </x:c>
    </x:row>
    <x:row r="46" ht="18" customHeight="1">
      <x:c r="A46" s="24" t="str">
        <x:v>EEZ_945</x:v>
      </x:c>
      <x:c r="B46" s="24" t="str">
        <x:v>Mexico (Pacific)</x:v>
      </x:c>
      <x:c r="C46" s="24" t="str">
        <x:v>EEZ</x:v>
      </x:c>
      <x:c r="D46" s="30" t="n">
        <x:v>2019</x:v>
      </x:c>
      <x:c r="E46" s="24" t="str">
        <x:v>Doryteuthis opalescens</x:v>
      </x:c>
      <x:c r="F46" s="24" t="str">
        <x:v>California market squid</x:v>
      </x:c>
      <x:c r="G46" s="24" t="str">
        <x:v>Cephalopods</x:v>
      </x:c>
      <x:c r="H46" s="24" t="str">
        <x:v>Other fishes &amp; inverts</x:v>
      </x:c>
      <x:c r="I46" s="31" t="n">
        <x:v>8213</x:v>
      </x:c>
      <x:c r="J46" s="31" t="n">
        <x:v>8213</x:v>
      </x:c>
      <x:c r="K46" s="31" t="n">
        <x:v>0</x:v>
      </x:c>
      <x:c r="L46" s="31" t="n">
        <x:v>8213</x:v>
      </x:c>
      <x:c r="M46" s="31" t="n">
        <x:v>0</x:v>
      </x:c>
      <x:c r="N46" s="24" t="str">
        <x:v>doryteuthis opalescens</x:v>
      </x:c>
      <x:c r="O46" s="32" t="n">
        <x:v>3.86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Doryteuthis opalescens</x:v>
      </x:c>
      <x:c r="T46" s="32" t="n">
        <x:f>IF(O46="","",(1/'Metadata'!$B$5)^(O46-1))</x:f>
        <x:v>724.4359600749899</x:v>
      </x:c>
      <x:c r="U46" s="31" t="n">
        <x:f>IF(T46="","",I46*T46)</x:f>
        <x:v>5949792.540095892</x:v>
      </x:c>
    </x:row>
    <x:row r="47" ht="18" customHeight="1">
      <x:c r="A47" s="24" t="str">
        <x:v>EEZ_945</x:v>
      </x:c>
      <x:c r="B47" s="24" t="str">
        <x:v>Mexico (Pacific)</x:v>
      </x:c>
      <x:c r="C47" s="24" t="str">
        <x:v>EEZ</x:v>
      </x:c>
      <x:c r="D47" s="30" t="n">
        <x:v>2019</x:v>
      </x:c>
      <x:c r="E47" s="24" t="str">
        <x:v>Prionace glauca</x:v>
      </x:c>
      <x:c r="F47" s="24" t="str">
        <x:v>Blue shark</x:v>
      </x:c>
      <x:c r="G47" s="24" t="str">
        <x:v>Large sharks (&gt;=90 cm)</x:v>
      </x:c>
      <x:c r="H47" s="24" t="str">
        <x:v>Sharks &amp; rays</x:v>
      </x:c>
      <x:c r="I47" s="31" t="n">
        <x:v>7723.740742620899</x:v>
      </x:c>
      <x:c r="J47" s="31" t="n">
        <x:v>7723.3041822927</x:v>
      </x:c>
      <x:c r="K47" s="31" t="n">
        <x:v>0.4365603282</x:v>
      </x:c>
      <x:c r="L47" s="31" t="n">
        <x:v>4774</x:v>
      </x:c>
      <x:c r="M47" s="31" t="n">
        <x:v>2949.7407426209</x:v>
      </x:c>
      <x:c r="N47" s="24" t="str">
        <x:v>prionace glauca</x:v>
      </x:c>
      <x:c r="O47" s="32" t="n">
        <x:v>4.35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Prionace glauca</x:v>
      </x:c>
      <x:c r="T47" s="32" t="n">
        <x:f>IF(O47="","",(1/'Metadata'!$B$5)^(O47-1))</x:f>
        <x:v>2238.7211385683377</x:v>
      </x:c>
      <x:c r="U47" s="31" t="n">
        <x:f>IF(T47="","",I47*T47)</x:f>
        <x:v>17291301.669326916</x:v>
      </x:c>
    </x:row>
    <x:row r="48" ht="18" customHeight="1">
      <x:c r="A48" s="24" t="str">
        <x:v>EEZ_945</x:v>
      </x:c>
      <x:c r="B48" s="24" t="str">
        <x:v>Mexico (Pacific)</x:v>
      </x:c>
      <x:c r="C48" s="24" t="str">
        <x:v>EEZ</x:v>
      </x:c>
      <x:c r="D48" s="30" t="n">
        <x:v>2019</x:v>
      </x:c>
      <x:c r="E48" s="24" t="str">
        <x:v>Dosidicus gigas</x:v>
      </x:c>
      <x:c r="F48" s="24" t="str">
        <x:v>Jumbo flying squid</x:v>
      </x:c>
      <x:c r="G48" s="24" t="str">
        <x:v>Cephalopods</x:v>
      </x:c>
      <x:c r="H48" s="24" t="str">
        <x:v>Other fishes &amp; inverts</x:v>
      </x:c>
      <x:c r="I48" s="31" t="n">
        <x:v>7671</x:v>
      </x:c>
      <x:c r="J48" s="31" t="n">
        <x:v>7671</x:v>
      </x:c>
      <x:c r="K48" s="31" t="n">
        <x:v>0</x:v>
      </x:c>
      <x:c r="L48" s="31" t="n">
        <x:v>7671</x:v>
      </x:c>
      <x:c r="M48" s="31" t="n">
        <x:v>0</x:v>
      </x:c>
      <x:c r="N48" s="24" t="str">
        <x:v>dosidicus gigas</x:v>
      </x:c>
      <x:c r="O48" s="32" t="n">
        <x:v>4.14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Dosidicus gigas</x:v>
      </x:c>
      <x:c r="T48" s="32" t="n">
        <x:f>IF(O48="","",(1/'Metadata'!$B$5)^(O48-1))</x:f>
        <x:v>1380.3842646028838</x:v>
      </x:c>
      <x:c r="U48" s="31" t="n">
        <x:f>IF(T48="","",I48*T48)</x:f>
        <x:v>10588927.693768721</x:v>
      </x:c>
    </x:row>
    <x:row r="49" ht="18" customHeight="1">
      <x:c r="A49" s="24" t="str">
        <x:v>EEZ_945</x:v>
      </x:c>
      <x:c r="B49" s="24" t="str">
        <x:v>Mexico (Pacific)</x:v>
      </x:c>
      <x:c r="C49" s="24" t="str">
        <x:v>EEZ</x:v>
      </x:c>
      <x:c r="D49" s="30" t="n">
        <x:v>2019</x:v>
      </x:c>
      <x:c r="E49" s="24" t="str">
        <x:v>Katsuwonus pelamis</x:v>
      </x:c>
      <x:c r="F49" s="24" t="str">
        <x:v>Skipjack tuna</x:v>
      </x:c>
      <x:c r="G49" s="24" t="str">
        <x:v>Large pelagics (&gt;=90 cm)</x:v>
      </x:c>
      <x:c r="H49" s="24" t="str">
        <x:v>Tuna &amp; billfishes</x:v>
      </x:c>
      <x:c r="I49" s="31" t="n">
        <x:v>7488.4220265561</x:v>
      </x:c>
      <x:c r="J49" s="31" t="n">
        <x:v>7488.4218334234</x:v>
      </x:c>
      <x:c r="K49" s="31" t="n">
        <x:v>0.0001931327</x:v>
      </x:c>
      <x:c r="L49" s="31" t="n">
        <x:v>7488.4218334234</x:v>
      </x:c>
      <x:c r="M49" s="31" t="n">
        <x:v>0.0001931327</x:v>
      </x:c>
      <x:c r="N49" s="24" t="str">
        <x:v>katsuwonus pelamis</x:v>
      </x:c>
      <x:c r="O49" s="32" t="n">
        <x:v>4.43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Katsuwonus pelamis</x:v>
      </x:c>
      <x:c r="T49" s="32" t="n">
        <x:f>IF(O49="","",(1/'Metadata'!$B$5)^(O49-1))</x:f>
        <x:v>2691.534803926914</x:v>
      </x:c>
      <x:c r="U49" s="31" t="n">
        <x:f>IF(T49="","",I49*T49)</x:f>
        <x:v>20155348.510968655</x:v>
      </x:c>
    </x:row>
    <x:row r="50" ht="18" customHeight="1">
      <x:c r="A50" s="24" t="str">
        <x:v>EEZ_945</x:v>
      </x:c>
      <x:c r="B50" s="24" t="str">
        <x:v>Mexico (Pacific)</x:v>
      </x:c>
      <x:c r="C50" s="24" t="str">
        <x:v>EEZ</x:v>
      </x:c>
      <x:c r="D50" s="30" t="n">
        <x:v>2019</x:v>
      </x:c>
      <x:c r="E50" s="24" t="str">
        <x:v>Mugil cephalus</x:v>
      </x:c>
      <x:c r="F50" s="24" t="str">
        <x:v>Flathead grey mullet</x:v>
      </x:c>
      <x:c r="G50" s="24" t="str">
        <x:v>Large benthopelagics (&gt;=90 cm)</x:v>
      </x:c>
      <x:c r="H50" s="24" t="str">
        <x:v>Perch-likes</x:v>
      </x:c>
      <x:c r="I50" s="31" t="n">
        <x:v>6834.6322048019</x:v>
      </x:c>
      <x:c r="J50" s="31" t="n">
        <x:v>6834.6322048019</x:v>
      </x:c>
      <x:c r="K50" s="31" t="n">
        <x:v>0</x:v>
      </x:c>
      <x:c r="L50" s="31" t="n">
        <x:v>5656</x:v>
      </x:c>
      <x:c r="M50" s="31" t="n">
        <x:v>1178.6322048019</x:v>
      </x:c>
      <x:c r="N50" s="24" t="str">
        <x:v>mugil cephalus</x:v>
      </x:c>
      <x:c r="O50" s="32" t="n">
        <x:v>2.14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Mugil cephalus</x:v>
      </x:c>
      <x:c r="T50" s="32" t="n">
        <x:f>IF(O50="","",(1/'Metadata'!$B$5)^(O50-1))</x:f>
        <x:v>13.803842646028853</x:v>
      </x:c>
      <x:c r="U50" s="31" t="n">
        <x:f>IF(T50="","",I50*T50)</x:f>
        <x:v>94344.18749856668</x:v>
      </x:c>
    </x:row>
    <x:row r="51" ht="18" customHeight="1">
      <x:c r="A51" s="24" t="str">
        <x:v>EEZ_945</x:v>
      </x:c>
      <x:c r="B51" s="24" t="str">
        <x:v>Mexico (Pacific)</x:v>
      </x:c>
      <x:c r="C51" s="24" t="str">
        <x:v>EEZ</x:v>
      </x:c>
      <x:c r="D51" s="30" t="n">
        <x:v>2019</x:v>
      </x:c>
      <x:c r="E51" s="24" t="str">
        <x:v>Scombridae</x:v>
      </x:c>
      <x:c r="F51" s="24" t="str">
        <x:v>Mackerels, tunas, bonitos</x:v>
      </x:c>
      <x:c r="G51" s="24" t="str">
        <x:v>Medium pelagics (30 - 89 cm)</x:v>
      </x:c>
      <x:c r="H51" s="24" t="str">
        <x:v>Perch-likes</x:v>
      </x:c>
      <x:c r="I51" s="31" t="n">
        <x:v>6533.342314505</x:v>
      </x:c>
      <x:c r="J51" s="31" t="n">
        <x:v>6397.970444938</x:v>
      </x:c>
      <x:c r="K51" s="31" t="n">
        <x:v>135.371869567</x:v>
      </x:c>
      <x:c r="L51" s="31" t="n">
        <x:v>6083</x:v>
      </x:c>
      <x:c r="M51" s="31" t="n">
        <x:v>450.342314505</x:v>
      </x:c>
      <x:c r="N51" s="24" t="str">
        <x:v>scombridae</x:v>
      </x:c>
      <x:c r="O51" s="32" t="n">
        <x:v>4.26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Scombridae</x:v>
      </x:c>
      <x:c r="T51" s="32" t="n">
        <x:f>IF(O51="","",(1/'Metadata'!$B$5)^(O51-1))</x:f>
        <x:v>1819.7008586099826</x:v>
      </x:c>
      <x:c r="U51" s="31" t="n">
        <x:f>IF(T51="","",I51*T51)</x:f>
        <x:v>11888728.61929768</x:v>
      </x:c>
    </x:row>
    <x:row r="52" ht="18" customHeight="1">
      <x:c r="A52" s="24" t="str">
        <x:v>EEZ_945</x:v>
      </x:c>
      <x:c r="B52" s="24" t="str">
        <x:v>Mexico (Pacific)</x:v>
      </x:c>
      <x:c r="C52" s="24" t="str">
        <x:v>EEZ</x:v>
      </x:c>
      <x:c r="D52" s="30" t="n">
        <x:v>2019</x:v>
      </x:c>
      <x:c r="E52" s="24" t="str">
        <x:v>Pleuronectiformes</x:v>
      </x:c>
      <x:c r="F52" s="24" t="str">
        <x:v>Flatfishes</x:v>
      </x:c>
      <x:c r="G52" s="24" t="str">
        <x:v>Small to medium flatfishes (&lt;90 cm)</x:v>
      </x:c>
      <x:c r="H52" s="24" t="str">
        <x:v>Flatfishes</x:v>
      </x:c>
      <x:c r="I52" s="31" t="n">
        <x:v>6497.8954034529</x:v>
      </x:c>
      <x:c r="J52" s="31" t="n">
        <x:v>6497.8954034529</x:v>
      </x:c>
      <x:c r="K52" s="31" t="n">
        <x:v>0</x:v>
      </x:c>
      <x:c r="L52" s="31" t="n">
        <x:v>5127</x:v>
      </x:c>
      <x:c r="M52" s="31" t="n">
        <x:v>1370.8954034529</x:v>
      </x:c>
      <x:c r="N52" s="24" t="str">
        <x:v>pleuronectiformes</x:v>
      </x:c>
      <x:c r="O52" s="32" t="n">
        <x:v>3.57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Pleuronectiformes</x:v>
      </x:c>
      <x:c r="T52" s="32" t="n">
        <x:f>IF(O52="","",(1/'Metadata'!$B$5)^(O52-1))</x:f>
        <x:v>371.5352290971724</x:v>
      </x:c>
      <x:c r="U52" s="31" t="n">
        <x:f>IF(T52="","",I52*T52)</x:f>
        <x:v>2414197.0573713365</x:v>
      </x:c>
    </x:row>
    <x:row r="53" ht="18" customHeight="1">
      <x:c r="A53" s="24" t="str">
        <x:v>EEZ_945</x:v>
      </x:c>
      <x:c r="B53" s="24" t="str">
        <x:v>Mexico (Pacific)</x:v>
      </x:c>
      <x:c r="C53" s="24" t="str">
        <x:v>EEZ</x:v>
      </x:c>
      <x:c r="D53" s="30" t="n">
        <x:v>2019</x:v>
      </x:c>
      <x:c r="E53" s="24" t="str">
        <x:v>Crassostrea</x:v>
      </x:c>
      <x:c r="F53" s="24" t="str">
        <x:v>Cupped oysters</x:v>
      </x:c>
      <x:c r="G53" s="24" t="str">
        <x:v>Other demersal invertebrates</x:v>
      </x:c>
      <x:c r="H53" s="24" t="str">
        <x:v>Molluscs</x:v>
      </x:c>
      <x:c r="I53" s="31" t="n">
        <x:v>5395.7783411675</x:v>
      </x:c>
      <x:c r="J53" s="31" t="n">
        <x:v>5395.7783411675</x:v>
      </x:c>
      <x:c r="K53" s="31" t="n">
        <x:v>0</x:v>
      </x:c>
      <x:c r="L53" s="31" t="n">
        <x:v>4907</x:v>
      </x:c>
      <x:c r="M53" s="31" t="n">
        <x:v>488.7783411675</x:v>
      </x:c>
      <x:c r="N53" s="24" t="str">
        <x:v>crassostrea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Crassostrea</x:v>
      </x:c>
      <x:c r="T53" s="32" t="n">
        <x:f>IF(O53="","",(1/'Metadata'!$B$5)^(O53-1))</x:f>
        <x:v>10</x:v>
      </x:c>
      <x:c r="U53" s="31" t="n">
        <x:f>IF(T53="","",I53*T53)</x:f>
        <x:v>53957.783411675</x:v>
      </x:c>
    </x:row>
    <x:row r="54" ht="18" customHeight="1">
      <x:c r="A54" s="24" t="str">
        <x:v>EEZ_945</x:v>
      </x:c>
      <x:c r="B54" s="24" t="str">
        <x:v>Mexico (Pacific)</x:v>
      </x:c>
      <x:c r="C54" s="24" t="str">
        <x:v>EEZ</x:v>
      </x:c>
      <x:c r="D54" s="30" t="n">
        <x:v>2019</x:v>
      </x:c>
      <x:c r="E54" s="24" t="str">
        <x:v>Solenocera florea</x:v>
      </x:c>
      <x:c r="F54" s="24" t="str">
        <x:v>Flower shrimp</x:v>
      </x:c>
      <x:c r="G54" s="24" t="str">
        <x:v>Shrimps</x:v>
      </x:c>
      <x:c r="H54" s="24" t="str">
        <x:v>Crustaceans</x:v>
      </x:c>
      <x:c r="I54" s="31" t="n">
        <x:v>4651.3053512126</x:v>
      </x:c>
      <x:c r="J54" s="31" t="n">
        <x:v>0</x:v>
      </x:c>
      <x:c r="K54" s="31" t="n">
        <x:v>4651.3053512126</x:v>
      </x:c>
      <x:c r="L54" s="31" t="n">
        <x:v>0</x:v>
      </x:c>
      <x:c r="M54" s="31" t="n">
        <x:v>4651.3053512126</x:v>
      </x:c>
      <x:c r="N54" s="24" t="str">
        <x:v>solenocera florea</x:v>
      </x:c>
      <x:c r="O54" s="32" t="n">
        <x:v>3.48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Solenocera florea</x:v>
      </x:c>
      <x:c r="T54" s="32" t="n">
        <x:f>IF(O54="","",(1/'Metadata'!$B$5)^(O54-1))</x:f>
        <x:v>301.9951720402016</x:v>
      </x:c>
      <x:c r="U54" s="31" t="n">
        <x:f>IF(T54="","",I54*T54)</x:f>
        <x:v>1404671.7597509595</x:v>
      </x:c>
    </x:row>
    <x:row r="55" ht="18" customHeight="1">
      <x:c r="A55" s="24" t="str">
        <x:v>EEZ_945</x:v>
      </x:c>
      <x:c r="B55" s="24" t="str">
        <x:v>Mexico (Pacific)</x:v>
      </x:c>
      <x:c r="C55" s="24" t="str">
        <x:v>EEZ</x:v>
      </x:c>
      <x:c r="D55" s="30" t="n">
        <x:v>2019</x:v>
      </x:c>
      <x:c r="E55" s="24" t="str">
        <x:v>Squilla mantoidea</x:v>
      </x:c>
      <x:c r="F55" s="24" t="str">
        <x:v>Catalina mantis</x:v>
      </x:c>
      <x:c r="G55" s="24" t="str">
        <x:v>Shrimps</x:v>
      </x:c>
      <x:c r="H55" s="24" t="str">
        <x:v>Crustaceans</x:v>
      </x:c>
      <x:c r="I55" s="31" t="n">
        <x:v>4651.3053512126</x:v>
      </x:c>
      <x:c r="J55" s="31" t="n">
        <x:v>0</x:v>
      </x:c>
      <x:c r="K55" s="31" t="n">
        <x:v>4651.3053512126</x:v>
      </x:c>
      <x:c r="L55" s="31" t="n">
        <x:v>0</x:v>
      </x:c>
      <x:c r="M55" s="31" t="n">
        <x:v>4651.3053512126</x:v>
      </x:c>
      <x:c r="N55" s="24" t="str">
        <x:v>squilla mantoidea</x:v>
      </x:c>
      <x:c r="O55" s="32" t="n">
        <x:v>3.62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Squilla mantoidea</x:v>
      </x:c>
      <x:c r="T55" s="32" t="n">
        <x:f>IF(O55="","",(1/'Metadata'!$B$5)^(O55-1))</x:f>
        <x:v>416.8693834703355</x:v>
      </x:c>
      <x:c r="U55" s="31" t="n">
        <x:f>IF(T55="","",I55*T55)</x:f>
        <x:v>1938986.7940922687</x:v>
      </x:c>
    </x:row>
    <x:row r="56" ht="18" customHeight="1">
      <x:c r="A56" s="24" t="str">
        <x:v>EEZ_945</x:v>
      </x:c>
      <x:c r="B56" s="24" t="str">
        <x:v>Mexico (Pacific)</x:v>
      </x:c>
      <x:c r="C56" s="24" t="str">
        <x:v>EEZ</x:v>
      </x:c>
      <x:c r="D56" s="30" t="n">
        <x:v>2019</x:v>
      </x:c>
      <x:c r="E56" s="24" t="str">
        <x:v>Sicyonia disdorsalis</x:v>
      </x:c>
      <x:c r="F56" s="24" t="str">
        <x:v>Keeled rock shrimp</x:v>
      </x:c>
      <x:c r="G56" s="24" t="str">
        <x:v>Shrimps</x:v>
      </x:c>
      <x:c r="H56" s="24" t="str">
        <x:v>Crustaceans</x:v>
      </x:c>
      <x:c r="I56" s="31" t="n">
        <x:v>4651.3053512126</x:v>
      </x:c>
      <x:c r="J56" s="31" t="n">
        <x:v>0</x:v>
      </x:c>
      <x:c r="K56" s="31" t="n">
        <x:v>4651.3053512126</x:v>
      </x:c>
      <x:c r="L56" s="31" t="n">
        <x:v>0</x:v>
      </x:c>
      <x:c r="M56" s="31" t="n">
        <x:v>4651.3053512126</x:v>
      </x:c>
      <x:c r="N56" s="24" t="str">
        <x:v>sicyonia disdorsalis</x:v>
      </x:c>
      <x:c r="O56" s="32" t="n">
        <x:v>3.01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Sicyonia disdorsalis</x:v>
      </x:c>
      <x:c r="T56" s="32" t="n">
        <x:f>IF(O56="","",(1/'Metadata'!$B$5)^(O56-1))</x:f>
        <x:v>102.32929922807536</x:v>
      </x:c>
      <x:c r="U56" s="31" t="n">
        <x:f>IF(T56="","",I56*T56)</x:f>
        <x:v>475964.81708538224</x:v>
      </x:c>
    </x:row>
    <x:row r="57" ht="18" customHeight="1">
      <x:c r="A57" s="24" t="str">
        <x:v>EEZ_945</x:v>
      </x:c>
      <x:c r="B57" s="24" t="str">
        <x:v>Mexico (Pacific)</x:v>
      </x:c>
      <x:c r="C57" s="24" t="str">
        <x:v>EEZ</x:v>
      </x:c>
      <x:c r="D57" s="30" t="n">
        <x:v>2019</x:v>
      </x:c>
      <x:c r="E57" s="24" t="str">
        <x:v>Squilla panamensis</x:v>
      </x:c>
      <x:c r="F57" s="24" t="str">
        <x:v>Panama mantis shrimp</x:v>
      </x:c>
      <x:c r="G57" s="24" t="str">
        <x:v>Shrimps</x:v>
      </x:c>
      <x:c r="H57" s="24" t="str">
        <x:v>Crustaceans</x:v>
      </x:c>
      <x:c r="I57" s="31" t="n">
        <x:v>4651.3053512126</x:v>
      </x:c>
      <x:c r="J57" s="31" t="n">
        <x:v>0</x:v>
      </x:c>
      <x:c r="K57" s="31" t="n">
        <x:v>4651.3053512126</x:v>
      </x:c>
      <x:c r="L57" s="31" t="n">
        <x:v>0</x:v>
      </x:c>
      <x:c r="M57" s="31" t="n">
        <x:v>4651.3053512126</x:v>
      </x:c>
      <x:c r="N57" s="24" t="str">
        <x:v>squilla panamensis</x:v>
      </x:c>
      <x:c r="O57" s="32" t="n">
        <x:v>3.62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Squilla panamensis</x:v>
      </x:c>
      <x:c r="T57" s="32" t="n">
        <x:f>IF(O57="","",(1/'Metadata'!$B$5)^(O57-1))</x:f>
        <x:v>416.8693834703355</x:v>
      </x:c>
      <x:c r="U57" s="31" t="n">
        <x:f>IF(T57="","",I57*T57)</x:f>
        <x:v>1938986.7940922687</x:v>
      </x:c>
    </x:row>
    <x:row r="58" ht="18" customHeight="1">
      <x:c r="A58" s="24" t="str">
        <x:v>EEZ_945</x:v>
      </x:c>
      <x:c r="B58" s="24" t="str">
        <x:v>Mexico (Pacific)</x:v>
      </x:c>
      <x:c r="C58" s="24" t="str">
        <x:v>EEZ</x:v>
      </x:c>
      <x:c r="D58" s="30" t="n">
        <x:v>2019</x:v>
      </x:c>
      <x:c r="E58" s="24" t="str">
        <x:v>Decapoda</x:v>
      </x:c>
      <x:c r="F58" s="24" t="str">
        <x:v>Crabs, lobsters, shrimps</x:v>
      </x:c>
      <x:c r="G58" s="24" t="str">
        <x:v>Lobsters, crabs</x:v>
      </x:c>
      <x:c r="H58" s="24" t="str">
        <x:v>Crustaceans</x:v>
      </x:c>
      <x:c r="I58" s="31" t="n">
        <x:v>4651.3053512126</x:v>
      </x:c>
      <x:c r="J58" s="31" t="n">
        <x:v>0</x:v>
      </x:c>
      <x:c r="K58" s="31" t="n">
        <x:v>4651.3053512126</x:v>
      </x:c>
      <x:c r="L58" s="31" t="n">
        <x:v>0</x:v>
      </x:c>
      <x:c r="M58" s="31" t="n">
        <x:v>4651.3053512126</x:v>
      </x:c>
      <x:c r="N58" s="24" t="str">
        <x:v>decapoda</x:v>
      </x:c>
      <x:c r="O58" s="32" t="n">
        <x:v>3.43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Decapoda</x:v>
      </x:c>
      <x:c r="T58" s="32" t="n">
        <x:f>IF(O58="","",(1/'Metadata'!$B$5)^(O58-1))</x:f>
        <x:v>269.1534803926917</x:v>
      </x:c>
      <x:c r="U58" s="31" t="n">
        <x:f>IF(T58="","",I58*T58)</x:f>
        <x:v>1251915.0236480224</x:v>
      </x:c>
    </x:row>
    <x:row r="59" ht="18" customHeight="1">
      <x:c r="A59" s="24" t="str">
        <x:v>EEZ_945</x:v>
      </x:c>
      <x:c r="B59" s="24" t="str">
        <x:v>Mexico (Pacific)</x:v>
      </x:c>
      <x:c r="C59" s="24" t="str">
        <x:v>EEZ</x:v>
      </x:c>
      <x:c r="D59" s="30" t="n">
        <x:v>2019</x:v>
      </x:c>
      <x:c r="E59" s="24" t="str">
        <x:v>Diogenidae</x:v>
      </x:c>
      <x:c r="F59" s="24" t="str">
        <x:v>Hermit crabs</x:v>
      </x:c>
      <x:c r="G59" s="24" t="str">
        <x:v>Lobsters, crabs</x:v>
      </x:c>
      <x:c r="H59" s="24" t="str">
        <x:v>Crustaceans</x:v>
      </x:c>
      <x:c r="I59" s="31" t="n">
        <x:v>4651.3053512126</x:v>
      </x:c>
      <x:c r="J59" s="31" t="n">
        <x:v>0</x:v>
      </x:c>
      <x:c r="K59" s="31" t="n">
        <x:v>4651.3053512126</x:v>
      </x:c>
      <x:c r="L59" s="31" t="n">
        <x:v>0</x:v>
      </x:c>
      <x:c r="M59" s="31" t="n">
        <x:v>4651.3053512126</x:v>
      </x:c>
      <x:c r="N59" s="24" t="str">
        <x:v>diogenidae</x:v>
      </x:c>
      <x:c r="O59" s="32" t="n">
        <x:v>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Diogenidae</x:v>
      </x:c>
      <x:c r="T59" s="32" t="n">
        <x:f>IF(O59="","",(1/'Metadata'!$B$5)^(O59-1))</x:f>
        <x:v>1000</x:v>
      </x:c>
      <x:c r="U59" s="31" t="n">
        <x:f>IF(T59="","",I59*T59)</x:f>
        <x:v>4651305.3512126</x:v>
      </x:c>
    </x:row>
    <x:row r="60" ht="18" customHeight="1">
      <x:c r="A60" s="24" t="str">
        <x:v>EEZ_945</x:v>
      </x:c>
      <x:c r="B60" s="24" t="str">
        <x:v>Mexico (Pacific)</x:v>
      </x:c>
      <x:c r="C60" s="24" t="str">
        <x:v>EEZ</x:v>
      </x:c>
      <x:c r="D60" s="30" t="n">
        <x:v>2019</x:v>
      </x:c>
      <x:c r="E60" s="24" t="str">
        <x:v>Callinectes arcuatus</x:v>
      </x:c>
      <x:c r="F60" s="24" t="str">
        <x:v>Arched swimming crab</x:v>
      </x:c>
      <x:c r="G60" s="24" t="str">
        <x:v>Lobsters, crabs</x:v>
      </x:c>
      <x:c r="H60" s="24" t="str">
        <x:v>Crustaceans</x:v>
      </x:c>
      <x:c r="I60" s="31" t="n">
        <x:v>4651.3053512126</x:v>
      </x:c>
      <x:c r="J60" s="31" t="n">
        <x:v>0</x:v>
      </x:c>
      <x:c r="K60" s="31" t="n">
        <x:v>4651.3053512126</x:v>
      </x:c>
      <x:c r="L60" s="31" t="n">
        <x:v>0</x:v>
      </x:c>
      <x:c r="M60" s="31" t="n">
        <x:v>4651.3053512126</x:v>
      </x:c>
      <x:c r="N60" s="24" t="str">
        <x:v>callinectes arcuatus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Callinectes arcuatus</x:v>
      </x:c>
      <x:c r="T60" s="32" t="n">
        <x:f>IF(O60="","",(1/'Metadata'!$B$5)^(O60-1))</x:f>
        <x:v>398.1071705534973</x:v>
      </x:c>
      <x:c r="U60" s="31" t="n">
        <x:f>IF(T60="","",I60*T60)</x:f>
        <x:v>1851718.0127515893</x:v>
      </x:c>
    </x:row>
    <x:row r="61" ht="18" customHeight="1">
      <x:c r="A61" s="24" t="str">
        <x:v>EEZ_945</x:v>
      </x:c>
      <x:c r="B61" s="24" t="str">
        <x:v>Mexico (Pacific)</x:v>
      </x:c>
      <x:c r="C61" s="24" t="str">
        <x:v>EEZ</x:v>
      </x:c>
      <x:c r="D61" s="30" t="n">
        <x:v>2019</x:v>
      </x:c>
      <x:c r="E61" s="24" t="str">
        <x:v>Callinectes bellicosus</x:v>
      </x:c>
      <x:c r="F61" s="24" t="str">
        <x:v>Warrior swimcrab</x:v>
      </x:c>
      <x:c r="G61" s="24" t="str">
        <x:v>Lobsters, crabs</x:v>
      </x:c>
      <x:c r="H61" s="24" t="str">
        <x:v>Crustaceans</x:v>
      </x:c>
      <x:c r="I61" s="31" t="n">
        <x:v>4651.3053512126</x:v>
      </x:c>
      <x:c r="J61" s="31" t="n">
        <x:v>0</x:v>
      </x:c>
      <x:c r="K61" s="31" t="n">
        <x:v>4651.3053512126</x:v>
      </x:c>
      <x:c r="L61" s="31" t="n">
        <x:v>0</x:v>
      </x:c>
      <x:c r="M61" s="31" t="n">
        <x:v>4651.3053512126</x:v>
      </x:c>
      <x:c r="N61" s="24" t="str">
        <x:v>callinectes bellicosus</x:v>
      </x:c>
      <x:c r="O61" s="32" t="n">
        <x:v>4.16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Callinectes bellicosus</x:v>
      </x:c>
      <x:c r="T61" s="32" t="n">
        <x:f>IF(O61="","",(1/'Metadata'!$B$5)^(O61-1))</x:f>
        <x:v>1445.439770745928</x:v>
      </x:c>
      <x:c r="U61" s="31" t="n">
        <x:f>IF(T61="","",I61*T61)</x:f>
        <x:v>6723181.7405260485</x:v>
      </x:c>
    </x:row>
    <x:row r="62" ht="18" customHeight="1">
      <x:c r="A62" s="24" t="str">
        <x:v>EEZ_945</x:v>
      </x:c>
      <x:c r="B62" s="24" t="str">
        <x:v>Mexico (Pacific)</x:v>
      </x:c>
      <x:c r="C62" s="24" t="str">
        <x:v>EEZ</x:v>
      </x:c>
      <x:c r="D62" s="30" t="n">
        <x:v>2019</x:v>
      </x:c>
      <x:c r="E62" s="24" t="str">
        <x:v>Callinectes toxotes</x:v>
      </x:c>
      <x:c r="F62" s="24" t="str">
        <x:v>Giant swimcrab</x:v>
      </x:c>
      <x:c r="G62" s="24" t="str">
        <x:v>Lobsters, crabs</x:v>
      </x:c>
      <x:c r="H62" s="24" t="str">
        <x:v>Crustaceans</x:v>
      </x:c>
      <x:c r="I62" s="31" t="n">
        <x:v>4651.3053512126</x:v>
      </x:c>
      <x:c r="J62" s="31" t="n">
        <x:v>0</x:v>
      </x:c>
      <x:c r="K62" s="31" t="n">
        <x:v>4651.3053512126</x:v>
      </x:c>
      <x:c r="L62" s="31" t="n">
        <x:v>0</x:v>
      </x:c>
      <x:c r="M62" s="31" t="n">
        <x:v>4651.3053512126</x:v>
      </x:c>
      <x:c r="N62" s="24" t="str">
        <x:v>callinectes toxotes</x:v>
      </x:c>
      <x:c r="O62" s="32" t="n">
        <x:v>3.63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Callinectes toxotes</x:v>
      </x:c>
      <x:c r="T62" s="32" t="n">
        <x:f>IF(O62="","",(1/'Metadata'!$B$5)^(O62-1))</x:f>
        <x:v>426.57951880159254</x:v>
      </x:c>
      <x:c r="U62" s="31" t="n">
        <x:f>IF(T62="","",I62*T62)</x:f>
        <x:v>1984151.5985195432</x:v>
      </x:c>
    </x:row>
    <x:row r="63" ht="18" customHeight="1">
      <x:c r="A63" s="24" t="str">
        <x:v>EEZ_945</x:v>
      </x:c>
      <x:c r="B63" s="24" t="str">
        <x:v>Mexico (Pacific)</x:v>
      </x:c>
      <x:c r="C63" s="24" t="str">
        <x:v>EEZ</x:v>
      </x:c>
      <x:c r="D63" s="30" t="n">
        <x:v>2019</x:v>
      </x:c>
      <x:c r="E63" s="24" t="str">
        <x:v>Portunus xantusii</x:v>
      </x:c>
      <x:c r="F63" s="24" t="str">
        <x:v>Xantus swimcrab</x:v>
      </x:c>
      <x:c r="G63" s="24" t="str">
        <x:v>Lobsters, crabs</x:v>
      </x:c>
      <x:c r="H63" s="24" t="str">
        <x:v>Crustaceans</x:v>
      </x:c>
      <x:c r="I63" s="31" t="n">
        <x:v>4651.3053512126</x:v>
      </x:c>
      <x:c r="J63" s="31" t="n">
        <x:v>0</x:v>
      </x:c>
      <x:c r="K63" s="31" t="n">
        <x:v>4651.3053512126</x:v>
      </x:c>
      <x:c r="L63" s="31" t="n">
        <x:v>0</x:v>
      </x:c>
      <x:c r="M63" s="31" t="n">
        <x:v>4651.3053512126</x:v>
      </x:c>
      <x:c r="N63" s="24" t="str">
        <x:v>portunus xantusii</x:v>
      </x:c>
      <x:c r="O63" s="32" t="n">
        <x:v>3.26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Portunus xantusii</x:v>
      </x:c>
      <x:c r="T63" s="32" t="n">
        <x:f>IF(O63="","",(1/'Metadata'!$B$5)^(O63-1))</x:f>
        <x:v>181.97008586099827</x:v>
      </x:c>
      <x:c r="U63" s="31" t="n">
        <x:f>IF(T63="","",I63*T63)</x:f>
        <x:v>846398.4341258775</x:v>
      </x:c>
    </x:row>
    <x:row r="64" ht="18" customHeight="1">
      <x:c r="A64" s="24" t="str">
        <x:v>EEZ_945</x:v>
      </x:c>
      <x:c r="B64" s="24" t="str">
        <x:v>Mexico (Pacific)</x:v>
      </x:c>
      <x:c r="C64" s="24" t="str">
        <x:v>EEZ</x:v>
      </x:c>
      <x:c r="D64" s="30" t="n">
        <x:v>2019</x:v>
      </x:c>
      <x:c r="E64" s="24" t="str">
        <x:v>Squilla parva</x:v>
      </x:c>
      <x:c r="F64" s="24" t="str">
        <x:v>Small mantis shrimp</x:v>
      </x:c>
      <x:c r="G64" s="24" t="str">
        <x:v>Shrimps</x:v>
      </x:c>
      <x:c r="H64" s="24" t="str">
        <x:v>Crustaceans</x:v>
      </x:c>
      <x:c r="I64" s="31" t="n">
        <x:v>4651.3053512126</x:v>
      </x:c>
      <x:c r="J64" s="31" t="n">
        <x:v>0</x:v>
      </x:c>
      <x:c r="K64" s="31" t="n">
        <x:v>4651.3053512126</x:v>
      </x:c>
      <x:c r="L64" s="31" t="n">
        <x:v>0</x:v>
      </x:c>
      <x:c r="M64" s="31" t="n">
        <x:v>4651.3053512126</x:v>
      </x:c>
      <x:c r="N64" s="24" t="str">
        <x:v>squilla parva</x:v>
      </x:c>
      <x:c r="O64" s="32" t="n">
        <x:v>3.62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Squilla parva</x:v>
      </x:c>
      <x:c r="T64" s="32" t="n">
        <x:f>IF(O64="","",(1/'Metadata'!$B$5)^(O64-1))</x:f>
        <x:v>416.8693834703355</x:v>
      </x:c>
      <x:c r="U64" s="31" t="n">
        <x:f>IF(T64="","",I64*T64)</x:f>
        <x:v>1938986.7940922687</x:v>
      </x:c>
    </x:row>
    <x:row r="65" ht="18" customHeight="1">
      <x:c r="A65" s="24" t="str">
        <x:v>EEZ_945</x:v>
      </x:c>
      <x:c r="B65" s="24" t="str">
        <x:v>Mexico (Pacific)</x:v>
      </x:c>
      <x:c r="C65" s="24" t="str">
        <x:v>EEZ</x:v>
      </x:c>
      <x:c r="D65" s="30" t="n">
        <x:v>2019</x:v>
      </x:c>
      <x:c r="E65" s="24" t="str">
        <x:v>Evibacus princeps</x:v>
      </x:c>
      <x:c r="F65" s="24" t="str">
        <x:v>Shield fan lobster</x:v>
      </x:c>
      <x:c r="G65" s="24" t="str">
        <x:v>Lobsters, crabs</x:v>
      </x:c>
      <x:c r="H65" s="24" t="str">
        <x:v>Crustaceans</x:v>
      </x:c>
      <x:c r="I65" s="31" t="n">
        <x:v>4651.3053512126</x:v>
      </x:c>
      <x:c r="J65" s="31" t="n">
        <x:v>0</x:v>
      </x:c>
      <x:c r="K65" s="31" t="n">
        <x:v>4651.3053512126</x:v>
      </x:c>
      <x:c r="L65" s="31" t="n">
        <x:v>0</x:v>
      </x:c>
      <x:c r="M65" s="31" t="n">
        <x:v>4651.3053512126</x:v>
      </x:c>
      <x:c r="N65" s="24" t="str">
        <x:v>evibacus princeps</x:v>
      </x:c>
      <x:c r="O65" s="32" t="n">
        <x:v>3.3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Evibacus princeps</x:v>
      </x:c>
      <x:c r="T65" s="32" t="n">
        <x:f>IF(O65="","",(1/'Metadata'!$B$5)^(O65-1))</x:f>
        <x:v>199.52623149688787</x:v>
      </x:c>
      <x:c r="U65" s="31" t="n">
        <x:f>IF(T65="","",I65*T65)</x:f>
        <x:v>928057.4282687586</x:v>
      </x:c>
    </x:row>
    <x:row r="66" ht="18" customHeight="1">
      <x:c r="A66" s="24" t="str">
        <x:v>EEZ_945</x:v>
      </x:c>
      <x:c r="B66" s="24" t="str">
        <x:v>Mexico (Pacific)</x:v>
      </x:c>
      <x:c r="C66" s="24" t="str">
        <x:v>EEZ</x:v>
      </x:c>
      <x:c r="D66" s="30" t="n">
        <x:v>2019</x:v>
      </x:c>
      <x:c r="E66" s="24" t="str">
        <x:v>Serranidae</x:v>
      </x:c>
      <x:c r="F66" s="24" t="str">
        <x:v>Basses, groupers, hinds</x:v>
      </x:c>
      <x:c r="G66" s="24" t="str">
        <x:v>Medium reef assoc. fish (30 - 89 cm)</x:v>
      </x:c>
      <x:c r="H66" s="24" t="str">
        <x:v>Perch-likes</x:v>
      </x:c>
      <x:c r="I66" s="31" t="n">
        <x:v>4438.5589904946</x:v>
      </x:c>
      <x:c r="J66" s="31" t="n">
        <x:v>4438.5589904946</x:v>
      </x:c>
      <x:c r="K66" s="31" t="n">
        <x:v>0</x:v>
      </x:c>
      <x:c r="L66" s="31" t="n">
        <x:v>2511.1111111112</x:v>
      </x:c>
      <x:c r="M66" s="31" t="n">
        <x:v>1927.4478793834</x:v>
      </x:c>
      <x:c r="N66" s="24" t="str">
        <x:v>serranidae</x:v>
      </x:c>
      <x:c r="O66" s="32" t="n">
        <x:v>3.98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Serranidae</x:v>
      </x:c>
      <x:c r="T66" s="32" t="n">
        <x:f>IF(O66="","",(1/'Metadata'!$B$5)^(O66-1))</x:f>
        <x:v>954.992586021436</x:v>
      </x:c>
      <x:c r="U66" s="31" t="n">
        <x:f>IF(T66="","",I66*T66)</x:f>
        <x:v>4238790.928541132</x:v>
      </x:c>
    </x:row>
    <x:row r="67" ht="18" customHeight="1">
      <x:c r="A67" s="24" t="str">
        <x:v>EEZ_945</x:v>
      </x:c>
      <x:c r="B67" s="24" t="str">
        <x:v>Mexico (Pacific)</x:v>
      </x:c>
      <x:c r="C67" s="24" t="str">
        <x:v>EEZ</x:v>
      </x:c>
      <x:c r="D67" s="30" t="n">
        <x:v>2019</x:v>
      </x:c>
      <x:c r="E67" s="24" t="str">
        <x:v>Cancer antennarius</x:v>
      </x:c>
      <x:c r="F67" s="24" t="str">
        <x:v>California red rock crab</x:v>
      </x:c>
      <x:c r="G67" s="24" t="str">
        <x:v>Lobsters, crabs</x:v>
      </x:c>
      <x:c r="H67" s="24" t="str">
        <x:v>Crustaceans</x:v>
      </x:c>
      <x:c r="I67" s="31" t="n">
        <x:v>4369.51</x:v>
      </x:c>
      <x:c r="J67" s="31" t="n">
        <x:v>4369.51</x:v>
      </x:c>
      <x:c r="K67" s="31" t="n">
        <x:v>0</x:v>
      </x:c>
      <x:c r="L67" s="31" t="n">
        <x:v>4369.51</x:v>
      </x:c>
      <x:c r="M67" s="31" t="n">
        <x:v>0</x:v>
      </x:c>
      <x:c r="N67" s="24" t="str">
        <x:v>cancer antennarius</x:v>
      </x:c>
      <x:c r="O67" s="32" t="n">
        <x:v>3.77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Cancer antennarius</x:v>
      </x:c>
      <x:c r="T67" s="32" t="n">
        <x:f>IF(O67="","",(1/'Metadata'!$B$5)^(O67-1))</x:f>
        <x:v>588.843655355589</x:v>
      </x:c>
      <x:c r="U67" s="31" t="n">
        <x:f>IF(T67="","",I67*T67)</x:f>
        <x:v>2572958.2405128</x:v>
      </x:c>
    </x:row>
    <x:row r="68" ht="18" customHeight="1">
      <x:c r="A68" s="24" t="str">
        <x:v>EEZ_945</x:v>
      </x:c>
      <x:c r="B68" s="24" t="str">
        <x:v>Mexico (Pacific)</x:v>
      </x:c>
      <x:c r="C68" s="24" t="str">
        <x:v>EEZ</x:v>
      </x:c>
      <x:c r="D68" s="30" t="n">
        <x:v>2019</x:v>
      </x:c>
      <x:c r="E68" s="24" t="str">
        <x:v>Euthynnus lineatus</x:v>
      </x:c>
      <x:c r="F68" s="24" t="str">
        <x:v>Black skipjack</x:v>
      </x:c>
      <x:c r="G68" s="24" t="str">
        <x:v>Medium pelagics (30 - 89 cm)</x:v>
      </x:c>
      <x:c r="H68" s="24" t="str">
        <x:v>Tuna &amp; billfishes</x:v>
      </x:c>
      <x:c r="I68" s="31" t="n">
        <x:v>4215.2786809104</x:v>
      </x:c>
      <x:c r="J68" s="31" t="n">
        <x:v>4215.2786809104</x:v>
      </x:c>
      <x:c r="K68" s="31" t="n">
        <x:v>0</x:v>
      </x:c>
      <x:c r="L68" s="31" t="n">
        <x:v>4215.2786809104</x:v>
      </x:c>
      <x:c r="M68" s="31" t="n">
        <x:v>0</x:v>
      </x:c>
      <x:c r="N68" s="24" t="str">
        <x:v>euthynnus lineatus</x:v>
      </x:c>
      <x:c r="O68" s="32" t="n">
        <x:v>3.83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Euthynnus lineatus</x:v>
      </x:c>
      <x:c r="T68" s="32" t="n">
        <x:f>IF(O68="","",(1/'Metadata'!$B$5)^(O68-1))</x:f>
        <x:v>676.0829753919819</x:v>
      </x:c>
      <x:c r="U68" s="31" t="n">
        <x:f>IF(T68="","",I68*T68)</x:f>
        <x:v>2849878.152696292</x:v>
      </x:c>
    </x:row>
    <x:row r="69" ht="18" customHeight="1">
      <x:c r="A69" s="24" t="str">
        <x:v>EEZ_945</x:v>
      </x:c>
      <x:c r="B69" s="24" t="str">
        <x:v>Mexico (Pacific)</x:v>
      </x:c>
      <x:c r="C69" s="24" t="str">
        <x:v>EEZ</x:v>
      </x:c>
      <x:c r="D69" s="30" t="n">
        <x:v>2019</x:v>
      </x:c>
      <x:c r="E69" s="24" t="str">
        <x:v>Rhinobatos</x:v>
      </x:c>
      <x:c r="F69" s="24" t="str">
        <x:v>Guitarfishes</x:v>
      </x:c>
      <x:c r="G69" s="24" t="str">
        <x:v>Large rays (&gt;=90 cm)</x:v>
      </x:c>
      <x:c r="H69" s="24" t="str">
        <x:v>Sharks &amp; rays</x:v>
      </x:c>
      <x:c r="I69" s="31" t="n">
        <x:v>4188.1252446005</x:v>
      </x:c>
      <x:c r="J69" s="31" t="n">
        <x:v>4188.1252446005</x:v>
      </x:c>
      <x:c r="K69" s="31" t="n">
        <x:v>0</x:v>
      </x:c>
      <x:c r="L69" s="31" t="n">
        <x:v>3007.2</x:v>
      </x:c>
      <x:c r="M69" s="31" t="n">
        <x:v>1180.9252446005</x:v>
      </x:c>
      <x:c r="N69" s="24" t="str">
        <x:v>rhinobatos</x:v>
      </x:c>
      <x:c r="O69" s="32" t="n">
        <x:v>3.73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Rhinobatos</x:v>
      </x:c>
      <x:c r="T69" s="32" t="n">
        <x:f>IF(O69="","",(1/'Metadata'!$B$5)^(O69-1))</x:f>
        <x:v>537.0317963702527</x:v>
      </x:c>
      <x:c r="U69" s="31" t="n">
        <x:f>IF(T69="","",I69*T69)</x:f>
        <x:v>2249156.4235314103</x:v>
      </x:c>
    </x:row>
    <x:row r="70" ht="18" customHeight="1">
      <x:c r="A70" s="24" t="str">
        <x:v>EEZ_945</x:v>
      </x:c>
      <x:c r="B70" s="24" t="str">
        <x:v>Mexico (Pacific)</x:v>
      </x:c>
      <x:c r="C70" s="24" t="str">
        <x:v>EEZ</x:v>
      </x:c>
      <x:c r="D70" s="30" t="n">
        <x:v>2019</x:v>
      </x:c>
      <x:c r="E70" s="24" t="str">
        <x:v>Penaeus brevirostris</x:v>
      </x:c>
      <x:c r="F70" s="24" t="str">
        <x:v>Crystal shrimp</x:v>
      </x:c>
      <x:c r="G70" s="24" t="str">
        <x:v>Shrimps</x:v>
      </x:c>
      <x:c r="H70" s="24" t="str">
        <x:v>Crustaceans</x:v>
      </x:c>
      <x:c r="I70" s="31" t="n">
        <x:v>3995.6489176739997</x:v>
      </x:c>
      <x:c r="J70" s="31" t="n">
        <x:v>3995.6489176739997</x:v>
      </x:c>
      <x:c r="K70" s="31" t="n">
        <x:v>0</x:v>
      </x:c>
      <x:c r="L70" s="31" t="n">
        <x:v>3991.9999999998</x:v>
      </x:c>
      <x:c r="M70" s="31" t="n">
        <x:v>3.6489176742000002</x:v>
      </x:c>
      <x:c r="N70" s="24" t="str">
        <x:v>penaeus brevirostris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Penaeus brevirostris</x:v>
      </x:c>
      <x:c r="T70" s="32" t="n">
        <x:f>IF(O70="","",(1/'Metadata'!$B$5)^(O70-1))</x:f>
        <x:v>50.11872336272725</x:v>
      </x:c>
      <x:c r="U70" s="31" t="n">
        <x:f>IF(T70="","",I70*T70)</x:f>
        <x:v>200256.82275948374</x:v>
      </x:c>
    </x:row>
    <x:row r="71" ht="18" customHeight="1">
      <x:c r="A71" s="24" t="str">
        <x:v>EEZ_945</x:v>
      </x:c>
      <x:c r="B71" s="24" t="str">
        <x:v>Mexico (Pacific)</x:v>
      </x:c>
      <x:c r="C71" s="24" t="str">
        <x:v>EEZ</x:v>
      </x:c>
      <x:c r="D71" s="30" t="n">
        <x:v>2019</x:v>
      </x:c>
      <x:c r="E71" s="24" t="str">
        <x:v>Anadara tuberculosa</x:v>
      </x:c>
      <x:c r="F71" s="24" t="str">
        <x:v>Pustulose ark</x:v>
      </x:c>
      <x:c r="G71" s="24" t="str">
        <x:v>Other demersal invertebrates</x:v>
      </x:c>
      <x:c r="H71" s="24" t="str">
        <x:v>Molluscs</x:v>
      </x:c>
      <x:c r="I71" s="31" t="n">
        <x:v>3795.9787559157</x:v>
      </x:c>
      <x:c r="J71" s="31" t="n">
        <x:v>3795.9787559157</x:v>
      </x:c>
      <x:c r="K71" s="31" t="n">
        <x:v>0</x:v>
      </x:c>
      <x:c r="L71" s="31" t="n">
        <x:v>3154.2510964739</x:v>
      </x:c>
      <x:c r="M71" s="31" t="n">
        <x:v>641.7276594418</x:v>
      </x:c>
      <x:c r="N71" s="24" t="str">
        <x:v>anadara tuberculosa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Anadara tuberculosa</x:v>
      </x:c>
      <x:c r="T71" s="32" t="n">
        <x:f>IF(O71="","",(1/'Metadata'!$B$5)^(O71-1))</x:f>
        <x:v>10</x:v>
      </x:c>
      <x:c r="U71" s="31" t="n">
        <x:f>IF(T71="","",I71*T71)</x:f>
        <x:v>37959.787559157</x:v>
      </x:c>
    </x:row>
    <x:row r="72" ht="18" customHeight="1">
      <x:c r="A72" s="24" t="str">
        <x:v>EEZ_945</x:v>
      </x:c>
      <x:c r="B72" s="24" t="str">
        <x:v>Mexico (Pacific)</x:v>
      </x:c>
      <x:c r="C72" s="24" t="str">
        <x:v>EEZ</x:v>
      </x:c>
      <x:c r="D72" s="30" t="n">
        <x:v>2019</x:v>
      </x:c>
      <x:c r="E72" s="24" t="str">
        <x:v>Panulirus</x:v>
      </x:c>
      <x:c r="F72" s="24" t="str">
        <x:v>Spiny lobsters</x:v>
      </x:c>
      <x:c r="G72" s="24" t="str">
        <x:v>Lobsters, crabs</x:v>
      </x:c>
      <x:c r="H72" s="24" t="str">
        <x:v>Crustaceans</x:v>
      </x:c>
      <x:c r="I72" s="31" t="n">
        <x:v>3454.7300155305</x:v>
      </x:c>
      <x:c r="J72" s="31" t="n">
        <x:v>3454.7300155305</x:v>
      </x:c>
      <x:c r="K72" s="31" t="n">
        <x:v>0</x:v>
      </x:c>
      <x:c r="L72" s="31" t="n">
        <x:v>3345</x:v>
      </x:c>
      <x:c r="M72" s="31" t="n">
        <x:v>109.7300155305</x:v>
      </x:c>
      <x:c r="N72" s="24" t="str">
        <x:v>panulirus</x:v>
      </x:c>
      <x:c r="O72" s="32" t="n">
        <x:v>2.6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Panulirus</x:v>
      </x:c>
      <x:c r="T72" s="32" t="n">
        <x:f>IF(O72="","",(1/'Metadata'!$B$5)^(O72-1))</x:f>
        <x:v>39.810717055349734</x:v>
      </x:c>
      <x:c r="U72" s="31" t="n">
        <x:f>IF(T72="","",I72*T72)</x:f>
        <x:v>137535.27915090873</x:v>
      </x:c>
    </x:row>
    <x:row r="73" ht="18" customHeight="1">
      <x:c r="A73" s="24" t="str">
        <x:v>EEZ_945</x:v>
      </x:c>
      <x:c r="B73" s="24" t="str">
        <x:v>Mexico (Pacific)</x:v>
      </x:c>
      <x:c r="C73" s="24" t="str">
        <x:v>EEZ</x:v>
      </x:c>
      <x:c r="D73" s="30" t="n">
        <x:v>2019</x:v>
      </x:c>
      <x:c r="E73" s="24" t="str">
        <x:v>Peprilus</x:v>
      </x:c>
      <x:c r="F73" s="24" t="str">
        <x:v>Harvestfishes</x:v>
      </x:c>
      <x:c r="G73" s="24" t="str">
        <x:v>Small benthopelagics (&lt;30 cm)</x:v>
      </x:c>
      <x:c r="H73" s="24" t="str">
        <x:v>Perch-likes</x:v>
      </x:c>
      <x:c r="I73" s="31" t="n">
        <x:v>3042.5199937347</x:v>
      </x:c>
      <x:c r="J73" s="31" t="n">
        <x:v>3042.5199937347</x:v>
      </x:c>
      <x:c r="K73" s="31" t="n">
        <x:v>0</x:v>
      </x:c>
      <x:c r="L73" s="31" t="n">
        <x:v>0</x:v>
      </x:c>
      <x:c r="M73" s="31" t="n">
        <x:v>3042.5199937347</x:v>
      </x:c>
      <x:c r="N73" s="24" t="str">
        <x:v>peprilus</x:v>
      </x:c>
      <x:c r="O73" s="32" t="n">
        <x:v>3.78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Peprilus</x:v>
      </x:c>
      <x:c r="T73" s="32" t="n">
        <x:f>IF(O73="","",(1/'Metadata'!$B$5)^(O73-1))</x:f>
        <x:v>602.5595860743575</x:v>
      </x:c>
      <x:c r="U73" s="31" t="n">
        <x:f>IF(T73="","",I73*T73)</x:f>
        <x:v>1833299.5880477377</x:v>
      </x:c>
    </x:row>
    <x:row r="74" ht="18" customHeight="1">
      <x:c r="A74" s="24" t="str">
        <x:v>EEZ_945</x:v>
      </x:c>
      <x:c r="B74" s="24" t="str">
        <x:v>Mexico (Pacific)</x:v>
      </x:c>
      <x:c r="C74" s="24" t="str">
        <x:v>EEZ</x:v>
      </x:c>
      <x:c r="D74" s="30" t="n">
        <x:v>2019</x:v>
      </x:c>
      <x:c r="E74" s="24" t="str">
        <x:v>Sphyrna</x:v>
      </x:c>
      <x:c r="F74" s="24" t="str">
        <x:v>Hammerhead sharks</x:v>
      </x:c>
      <x:c r="G74" s="24" t="str">
        <x:v>Large sharks (&gt;=90 cm)</x:v>
      </x:c>
      <x:c r="H74" s="24" t="str">
        <x:v>Sharks &amp; rays</x:v>
      </x:c>
      <x:c r="I74" s="31" t="n">
        <x:v>2989.9968706587997</x:v>
      </x:c>
      <x:c r="J74" s="31" t="n">
        <x:v>2989.9968706587997</x:v>
      </x:c>
      <x:c r="K74" s="31" t="n">
        <x:v>0</x:v>
      </x:c>
      <x:c r="L74" s="31" t="n">
        <x:v>2416</x:v>
      </x:c>
      <x:c r="M74" s="31" t="n">
        <x:v>573.9968706588</x:v>
      </x:c>
      <x:c r="N74" s="24" t="str">
        <x:v>sphyrna</x:v>
      </x:c>
      <x:c r="O74" s="32" t="n">
        <x:v>4.2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Sphyrna</x:v>
      </x:c>
      <x:c r="T74" s="32" t="n">
        <x:f>IF(O74="","",(1/'Metadata'!$B$5)^(O74-1))</x:f>
        <x:v>1584.893192461114</x:v>
      </x:c>
      <x:c r="U74" s="31" t="n">
        <x:f>IF(T74="","",I74*T74)</x:f>
        <x:v>4738825.685787166</x:v>
      </x:c>
    </x:row>
    <x:row r="75" ht="18" customHeight="1">
      <x:c r="A75" s="24" t="str">
        <x:v>EEZ_945</x:v>
      </x:c>
      <x:c r="B75" s="24" t="str">
        <x:v>Mexico (Pacific)</x:v>
      </x:c>
      <x:c r="C75" s="24" t="str">
        <x:v>EEZ</x:v>
      </x:c>
      <x:c r="D75" s="30" t="n">
        <x:v>2019</x:v>
      </x:c>
      <x:c r="E75" s="24" t="str">
        <x:v>Carcharhinus falciformis</x:v>
      </x:c>
      <x:c r="F75" s="24" t="str">
        <x:v>Silky shark</x:v>
      </x:c>
      <x:c r="G75" s="24" t="str">
        <x:v>Large sharks (&gt;=90 cm)</x:v>
      </x:c>
      <x:c r="H75" s="24" t="str">
        <x:v>Sharks &amp; rays</x:v>
      </x:c>
      <x:c r="I75" s="31" t="n">
        <x:v>2771.5536</x:v>
      </x:c>
      <x:c r="J75" s="31" t="n">
        <x:v>2771.5536</x:v>
      </x:c>
      <x:c r="K75" s="31" t="n">
        <x:v>0</x:v>
      </x:c>
      <x:c r="L75" s="31" t="n">
        <x:v>2771.5536</x:v>
      </x:c>
      <x:c r="M75" s="31" t="n">
        <x:v>0</x:v>
      </x:c>
      <x:c r="N75" s="24" t="str">
        <x:v>carcharhinus falciformis</x:v>
      </x:c>
      <x:c r="O75" s="32" t="n">
        <x:v>4.51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Carcharhinus falciformis</x:v>
      </x:c>
      <x:c r="T75" s="32" t="n">
        <x:f>IF(O75="","",(1/'Metadata'!$B$5)^(O75-1))</x:f>
        <x:v>3235.936569296281</x:v>
      </x:c>
      <x:c r="U75" s="31" t="n">
        <x:f>IF(T75="","",I75*T75)</x:f>
        <x:v>8968571.648004757</x:v>
      </x:c>
    </x:row>
    <x:row r="76" ht="18" customHeight="1">
      <x:c r="A76" s="24" t="str">
        <x:v>EEZ_945</x:v>
      </x:c>
      <x:c r="B76" s="24" t="str">
        <x:v>Mexico (Pacific)</x:v>
      </x:c>
      <x:c r="C76" s="24" t="str">
        <x:v>EEZ</x:v>
      </x:c>
      <x:c r="D76" s="30" t="n">
        <x:v>2019</x:v>
      </x:c>
      <x:c r="E76" s="24" t="str">
        <x:v>Mytilus</x:v>
      </x:c>
      <x:c r="F76" s="24" t="str">
        <x:v>Edible sea mussels</x:v>
      </x:c>
      <x:c r="G76" s="24" t="str">
        <x:v>Other demersal invertebrates</x:v>
      </x:c>
      <x:c r="H76" s="24" t="str">
        <x:v>Molluscs</x:v>
      </x:c>
      <x:c r="I76" s="31" t="n">
        <x:v>2663.6817544464</x:v>
      </x:c>
      <x:c r="J76" s="31" t="n">
        <x:v>2663.6817544464</x:v>
      </x:c>
      <x:c r="K76" s="31" t="n">
        <x:v>0</x:v>
      </x:c>
      <x:c r="L76" s="31" t="n">
        <x:v>2569</x:v>
      </x:c>
      <x:c r="M76" s="31" t="n">
        <x:v>94.6817544464</x:v>
      </x:c>
      <x:c r="N76" s="24" t="str">
        <x:v>mytilus</x:v>
      </x:c>
      <x:c r="O76" s="32" t="n">
        <x:v>2.03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Mytilus</x:v>
      </x:c>
      <x:c r="T76" s="32" t="n">
        <x:f>IF(O76="","",(1/'Metadata'!$B$5)^(O76-1))</x:f>
        <x:v>10.71519305237606</x:v>
      </x:c>
      <x:c r="U76" s="31" t="n">
        <x:f>IF(T76="","",I76*T76)</x:f>
        <x:v>28541.86422898494</x:v>
      </x:c>
    </x:row>
    <x:row r="77" ht="18" customHeight="1">
      <x:c r="A77" s="24" t="str">
        <x:v>EEZ_945</x:v>
      </x:c>
      <x:c r="B77" s="24" t="str">
        <x:v>Mexico (Pacific)</x:v>
      </x:c>
      <x:c r="C77" s="24" t="str">
        <x:v>EEZ</x:v>
      </x:c>
      <x:c r="D77" s="30" t="n">
        <x:v>2019</x:v>
      </x:c>
      <x:c r="E77" s="24" t="str">
        <x:v>Epinephelus</x:v>
      </x:c>
      <x:c r="F77" s="24" t="str">
        <x:v>Seabasses, hinds</x:v>
      </x:c>
      <x:c r="G77" s="24" t="str">
        <x:v>Medium reef assoc. fish (30 - 89 cm)</x:v>
      </x:c>
      <x:c r="H77" s="24" t="str">
        <x:v>Perch-likes</x:v>
      </x:c>
      <x:c r="I77" s="31" t="n">
        <x:v>2624.5137957027</x:v>
      </x:c>
      <x:c r="J77" s="31" t="n">
        <x:v>2624.5137957027</x:v>
      </x:c>
      <x:c r="K77" s="31" t="n">
        <x:v>0</x:v>
      </x:c>
      <x:c r="L77" s="31" t="n">
        <x:v>957.3333333334</x:v>
      </x:c>
      <x:c r="M77" s="31" t="n">
        <x:v>1667.1804623693001</x:v>
      </x:c>
      <x:c r="N77" s="24" t="str">
        <x:v>epinephelus</x:v>
      </x:c>
      <x:c r="O77" s="32" t="n">
        <x:v>3.84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Epinephelus</x:v>
      </x:c>
      <x:c r="T77" s="32" t="n">
        <x:f>IF(O77="","",(1/'Metadata'!$B$5)^(O77-1))</x:f>
        <x:v>691.8309709189363</x:v>
      </x:c>
      <x:c r="U77" s="31" t="n">
        <x:f>IF(T77="","",I77*T77)</x:f>
        <x:v>1815719.9274711416</x:v>
      </x:c>
    </x:row>
    <x:row r="78" ht="18" customHeight="1">
      <x:c r="A78" s="24" t="str">
        <x:v>EEZ_945</x:v>
      </x:c>
      <x:c r="B78" s="24" t="str">
        <x:v>Mexico (Pacific)</x:v>
      </x:c>
      <x:c r="C78" s="24" t="str">
        <x:v>EEZ</x:v>
      </x:c>
      <x:c r="D78" s="30" t="n">
        <x:v>2019</x:v>
      </x:c>
      <x:c r="E78" s="24" t="str">
        <x:v>Kajikia audax</x:v>
      </x:c>
      <x:c r="F78" s="24" t="str">
        <x:v>Striped marlin</x:v>
      </x:c>
      <x:c r="G78" s="24" t="str">
        <x:v>Large pelagics (&gt;=90 cm)</x:v>
      </x:c>
      <x:c r="H78" s="24" t="str">
        <x:v>Tuna &amp; billfishes</x:v>
      </x:c>
      <x:c r="I78" s="31" t="n">
        <x:v>2489.019283437</x:v>
      </x:c>
      <x:c r="J78" s="31" t="n">
        <x:v>1561.9691872319002</x:v>
      </x:c>
      <x:c r="K78" s="31" t="n">
        <x:v>927.0500962051</x:v>
      </x:c>
      <x:c r="L78" s="31" t="n">
        <x:v>7.9538672706</x:v>
      </x:c>
      <x:c r="M78" s="31" t="n">
        <x:v>2481.0654161664</x:v>
      </x:c>
      <x:c r="N78" s="24" t="str">
        <x:v>kajikia audax</x:v>
      </x:c>
      <x:c r="O78" s="32" t="n">
        <x:v>4.58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Kajikia audax</x:v>
      </x:c>
      <x:c r="T78" s="32" t="n">
        <x:f>IF(O78="","",(1/'Metadata'!$B$5)^(O78-1))</x:f>
        <x:v>3801.8939632056126</x:v>
      </x:c>
      <x:c r="U78" s="31" t="n">
        <x:f>IF(T78="","",I78*T78)</x:f>
        <x:v>9462987.38800149</x:v>
      </x:c>
    </x:row>
    <x:row r="79" ht="18" customHeight="1">
      <x:c r="A79" s="24" t="str">
        <x:v>EEZ_945</x:v>
      </x:c>
      <x:c r="B79" s="24" t="str">
        <x:v>Mexico (Pacific)</x:v>
      </x:c>
      <x:c r="C79" s="24" t="str">
        <x:v>EEZ</x:v>
      </x:c>
      <x:c r="D79" s="30" t="n">
        <x:v>2019</x:v>
      </x:c>
      <x:c r="E79" s="24" t="str">
        <x:v>Malacanthidae</x:v>
      </x:c>
      <x:c r="F79" s="24" t="str">
        <x:v>Tilefishes</x:v>
      </x:c>
      <x:c r="G79" s="24" t="str">
        <x:v>Medium demersals (30 - 89 cm)</x:v>
      </x:c>
      <x:c r="H79" s="24" t="str">
        <x:v>Perch-likes</x:v>
      </x:c>
      <x:c r="I79" s="31" t="n">
        <x:v>2276.7771942201002</x:v>
      </x:c>
      <x:c r="J79" s="31" t="n">
        <x:v>2276.7771942201002</x:v>
      </x:c>
      <x:c r="K79" s="31" t="n">
        <x:v>0</x:v>
      </x:c>
      <x:c r="L79" s="31" t="n">
        <x:v>1607.3333333334</x:v>
      </x:c>
      <x:c r="M79" s="31" t="n">
        <x:v>669.4438608867</x:v>
      </x:c>
      <x:c r="N79" s="24" t="str">
        <x:v>malacanthidae</x:v>
      </x:c>
      <x:c r="O79" s="32" t="n">
        <x:v>3.62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Malacanthidae</x:v>
      </x:c>
      <x:c r="T79" s="32" t="n">
        <x:f>IF(O79="","",(1/'Metadata'!$B$5)^(O79-1))</x:f>
        <x:v>416.8693834703355</x:v>
      </x:c>
      <x:c r="U79" s="31" t="n">
        <x:f>IF(T79="","",I79*T79)</x:f>
        <x:v>949118.7052538535</x:v>
      </x:c>
    </x:row>
    <x:row r="80" ht="18" customHeight="1">
      <x:c r="A80" s="24" t="str">
        <x:v>EEZ_945</x:v>
      </x:c>
      <x:c r="B80" s="24" t="str">
        <x:v>Mexico (Pacific)</x:v>
      </x:c>
      <x:c r="C80" s="24" t="str">
        <x:v>EEZ</x:v>
      </x:c>
      <x:c r="D80" s="30" t="n">
        <x:v>2019</x:v>
      </x:c>
      <x:c r="E80" s="24" t="str">
        <x:v>Thunnus orientalis</x:v>
      </x:c>
      <x:c r="F80" s="24" t="str">
        <x:v>Pacific bluefin tuna</x:v>
      </x:c>
      <x:c r="G80" s="24" t="str">
        <x:v>Large pelagics (&gt;=90 cm)</x:v>
      </x:c>
      <x:c r="H80" s="24" t="str">
        <x:v>Tuna &amp; billfishes</x:v>
      </x:c>
      <x:c r="I80" s="31" t="n">
        <x:v>2275.223131748</x:v>
      </x:c>
      <x:c r="J80" s="31" t="n">
        <x:v>2275.223131748</x:v>
      </x:c>
      <x:c r="K80" s="31" t="n">
        <x:v>0</x:v>
      </x:c>
      <x:c r="L80" s="31" t="n">
        <x:v>2275.223131748</x:v>
      </x:c>
      <x:c r="M80" s="31" t="n">
        <x:v>0</x:v>
      </x:c>
      <x:c r="N80" s="24" t="str">
        <x:v>thunnus orientalis</x:v>
      </x:c>
      <x:c r="O80" s="32" t="n">
        <x:v>4.05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Thunnus orientalis</x:v>
      </x:c>
      <x:c r="T80" s="32" t="n">
        <x:f>IF(O80="","",(1/'Metadata'!$B$5)^(O80-1))</x:f>
        <x:v>1122.018454301963</x:v>
      </x:c>
      <x:c r="U80" s="31" t="n">
        <x:f>IF(T80="","",I80*T80)</x:f>
        <x:v>2552842.341475962</x:v>
      </x:c>
    </x:row>
    <x:row r="81" ht="18" customHeight="1">
      <x:c r="A81" s="24" t="str">
        <x:v>EEZ_945</x:v>
      </x:c>
      <x:c r="B81" s="24" t="str">
        <x:v>Mexico (Pacific)</x:v>
      </x:c>
      <x:c r="C81" s="24" t="str">
        <x:v>EEZ</x:v>
      </x:c>
      <x:c r="D81" s="30" t="n">
        <x:v>2019</x:v>
      </x:c>
      <x:c r="E81" s="24" t="str">
        <x:v>Sciaenidae</x:v>
      </x:c>
      <x:c r="F81" s="24" t="str">
        <x:v>Drums, croakers</x:v>
      </x:c>
      <x:c r="G81" s="24" t="str">
        <x:v>Medium demersals (30 - 89 cm)</x:v>
      </x:c>
      <x:c r="H81" s="24" t="str">
        <x:v>Perch-likes</x:v>
      </x:c>
      <x:c r="I81" s="31" t="n">
        <x:v>2220.3438454698</x:v>
      </x:c>
      <x:c r="J81" s="31" t="n">
        <x:v>2220.3438454698</x:v>
      </x:c>
      <x:c r="K81" s="31" t="n">
        <x:v>0</x:v>
      </x:c>
      <x:c r="L81" s="31" t="n">
        <x:v>388</x:v>
      </x:c>
      <x:c r="M81" s="31" t="n">
        <x:v>1832.3438454698</x:v>
      </x:c>
      <x:c r="N81" s="24" t="str">
        <x:v>sciaenidae</x:v>
      </x:c>
      <x:c r="O81" s="32" t="n">
        <x:v>3.76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Sciaenidae</x:v>
      </x:c>
      <x:c r="T81" s="32" t="n">
        <x:f>IF(O81="","",(1/'Metadata'!$B$5)^(O81-1))</x:f>
        <x:v>575.4399373371566</x:v>
      </x:c>
      <x:c r="U81" s="31" t="n">
        <x:f>IF(T81="","",I81*T81)</x:f>
        <x:v>1277674.523304083</x:v>
      </x:c>
    </x:row>
    <x:row r="82" ht="18" customHeight="1">
      <x:c r="A82" s="24" t="str">
        <x:v>EEZ_945</x:v>
      </x:c>
      <x:c r="B82" s="24" t="str">
        <x:v>Mexico (Pacific)</x:v>
      </x:c>
      <x:c r="C82" s="24" t="str">
        <x:v>EEZ</x:v>
      </x:c>
      <x:c r="D82" s="30" t="n">
        <x:v>2019</x:v>
      </x:c>
      <x:c r="E82" s="24" t="str">
        <x:v>Mugil curema</x:v>
      </x:c>
      <x:c r="F82" s="24" t="str">
        <x:v>White mullet</x:v>
      </x:c>
      <x:c r="G82" s="24" t="str">
        <x:v>Medium benthopelagics (30 - 89 cm)</x:v>
      </x:c>
      <x:c r="H82" s="24" t="str">
        <x:v>Perch-likes</x:v>
      </x:c>
      <x:c r="I82" s="31" t="n">
        <x:v>2140.2625654502</x:v>
      </x:c>
      <x:c r="J82" s="31" t="n">
        <x:v>2140.2625654502</x:v>
      </x:c>
      <x:c r="K82" s="31" t="n">
        <x:v>0</x:v>
      </x:c>
      <x:c r="L82" s="31" t="n">
        <x:v>1666</x:v>
      </x:c>
      <x:c r="M82" s="31" t="n">
        <x:v>474.2625654502</x:v>
      </x:c>
      <x:c r="N82" s="24" t="str">
        <x:v>mugil curema</x:v>
      </x:c>
      <x:c r="O82" s="32" t="n">
        <x:v>2.01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Mugil curema</x:v>
      </x:c>
      <x:c r="T82" s="32" t="n">
        <x:f>IF(O82="","",(1/'Metadata'!$B$5)^(O82-1))</x:f>
        <x:v>10.232929922807536</x:v>
      </x:c>
      <x:c r="U82" s="31" t="n">
        <x:f>IF(T82="","",I82*T82)</x:f>
        <x:v>21901.15684866017</x:v>
      </x:c>
    </x:row>
    <x:row r="83" ht="18" customHeight="1">
      <x:c r="A83" s="24" t="str">
        <x:v>EEZ_945</x:v>
      </x:c>
      <x:c r="B83" s="24" t="str">
        <x:v>Mexico (Pacific)</x:v>
      </x:c>
      <x:c r="C83" s="24" t="str">
        <x:v>EEZ</x:v>
      </x:c>
      <x:c r="D83" s="30" t="n">
        <x:v>2019</x:v>
      </x:c>
      <x:c r="E83" s="24" t="str">
        <x:v>Dasyatis</x:v>
      </x:c>
      <x:c r="F83" s="24" t="str">
        <x:v>Rough whip stingrays</x:v>
      </x:c>
      <x:c r="G83" s="24" t="str">
        <x:v>Large rays (&gt;=90 cm)</x:v>
      </x:c>
      <x:c r="H83" s="24" t="str">
        <x:v>Sharks &amp; rays</x:v>
      </x:c>
      <x:c r="I83" s="31" t="n">
        <x:v>2094.8729071462</x:v>
      </x:c>
      <x:c r="J83" s="31" t="n">
        <x:v>2094.8729071462</x:v>
      </x:c>
      <x:c r="K83" s="31" t="n">
        <x:v>0</x:v>
      </x:c>
      <x:c r="L83" s="31" t="n">
        <x:v>1718.3999999999999</x:v>
      </x:c>
      <x:c r="M83" s="31" t="n">
        <x:v>376.47290714620004</x:v>
      </x:c>
      <x:c r="N83" s="24" t="str">
        <x:v>dasyatis</x:v>
      </x:c>
      <x:c r="O83" s="32" t="n">
        <x:v>3.28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Dasyatis</x:v>
      </x:c>
      <x:c r="T83" s="32" t="n">
        <x:f>IF(O83="","",(1/'Metadata'!$B$5)^(O83-1))</x:f>
        <x:v>190.54607179632464</x:v>
      </x:c>
      <x:c r="U83" s="31" t="n">
        <x:f>IF(T83="","",I83*T83)</x:f>
        <x:v>399169.8033692551</x:v>
      </x:c>
    </x:row>
    <x:row r="84" ht="18" customHeight="1">
      <x:c r="A84" s="24" t="str">
        <x:v>EEZ_945</x:v>
      </x:c>
      <x:c r="B84" s="24" t="str">
        <x:v>Mexico (Pacific)</x:v>
      </x:c>
      <x:c r="C84" s="24" t="str">
        <x:v>EEZ</x:v>
      </x:c>
      <x:c r="D84" s="30" t="n">
        <x:v>2019</x:v>
      </x:c>
      <x:c r="E84" s="24" t="str">
        <x:v>Rhinobatidae</x:v>
      </x:c>
      <x:c r="F84" s="24" t="str">
        <x:v>Guitarfishes, fanrays</x:v>
      </x:c>
      <x:c r="G84" s="24" t="str">
        <x:v>Large rays (&gt;=90 cm)</x:v>
      </x:c>
      <x:c r="H84" s="24" t="str">
        <x:v>Sharks &amp; rays</x:v>
      </x:c>
      <x:c r="I84" s="31" t="n">
        <x:v>2094.8729071462</x:v>
      </x:c>
      <x:c r="J84" s="31" t="n">
        <x:v>2094.8729071462</x:v>
      </x:c>
      <x:c r="K84" s="31" t="n">
        <x:v>0</x:v>
      </x:c>
      <x:c r="L84" s="31" t="n">
        <x:v>1718.3999999999999</x:v>
      </x:c>
      <x:c r="M84" s="31" t="n">
        <x:v>376.47290714620004</x:v>
      </x:c>
      <x:c r="N84" s="24" t="str">
        <x:v>rhinobatidae</x:v>
      </x:c>
      <x:c r="O84" s="32" t="n">
        <x:v>3.7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Rhinobatidae</x:v>
      </x:c>
      <x:c r="T84" s="32" t="n">
        <x:f>IF(O84="","",(1/'Metadata'!$B$5)^(O84-1))</x:f>
        <x:v>501.18723362727246</x:v>
      </x:c>
      <x:c r="U84" s="31" t="n">
        <x:f>IF(T84="","",I84*T84)</x:f>
        <x:v>1049923.5571333258</x:v>
      </x:c>
    </x:row>
    <x:row r="85" ht="18" customHeight="1">
      <x:c r="A85" s="24" t="str">
        <x:v>EEZ_945</x:v>
      </x:c>
      <x:c r="B85" s="24" t="str">
        <x:v>Mexico (Pacific)</x:v>
      </x:c>
      <x:c r="C85" s="24" t="str">
        <x:v>EEZ</x:v>
      </x:c>
      <x:c r="D85" s="30" t="n">
        <x:v>2019</x:v>
      </x:c>
      <x:c r="E85" s="24" t="str">
        <x:v>Rhinoptera steindachneri</x:v>
      </x:c>
      <x:c r="F85" s="24" t="str">
        <x:v>Pacific cownose ray</x:v>
      </x:c>
      <x:c r="G85" s="24" t="str">
        <x:v>Large rays (&gt;=90 cm)</x:v>
      </x:c>
      <x:c r="H85" s="24" t="str">
        <x:v>Sharks &amp; rays</x:v>
      </x:c>
      <x:c r="I85" s="31" t="n">
        <x:v>2094.8729071462</x:v>
      </x:c>
      <x:c r="J85" s="31" t="n">
        <x:v>2094.8729071462</x:v>
      </x:c>
      <x:c r="K85" s="31" t="n">
        <x:v>0</x:v>
      </x:c>
      <x:c r="L85" s="31" t="n">
        <x:v>1718.3999999999999</x:v>
      </x:c>
      <x:c r="M85" s="31" t="n">
        <x:v>376.47290714620004</x:v>
      </x:c>
      <x:c r="N85" s="24" t="str">
        <x:v>rhinoptera steindachneri</x:v>
      </x:c>
      <x:c r="O85" s="32" t="n">
        <x:v>3.55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Rhinoptera steindachneri</x:v>
      </x:c>
      <x:c r="T85" s="32" t="n">
        <x:f>IF(O85="","",(1/'Metadata'!$B$5)^(O85-1))</x:f>
        <x:v>354.8133892335753</x:v>
      </x:c>
      <x:c r="U85" s="31" t="n">
        <x:f>IF(T85="","",I85*T85)</x:f>
        <x:v>743288.9561981361</x:v>
      </x:c>
    </x:row>
    <x:row r="86" ht="18" customHeight="1">
      <x:c r="A86" s="24" t="str">
        <x:v>EEZ_945</x:v>
      </x:c>
      <x:c r="B86" s="24" t="str">
        <x:v>Mexico (Pacific)</x:v>
      </x:c>
      <x:c r="C86" s="24" t="str">
        <x:v>EEZ</x:v>
      </x:c>
      <x:c r="D86" s="30" t="n">
        <x:v>2019</x:v>
      </x:c>
      <x:c r="E86" s="24" t="str">
        <x:v>Mycteroperca</x:v>
      </x:c>
      <x:c r="F86" s="24" t="str">
        <x:v>Scamps, gags</x:v>
      </x:c>
      <x:c r="G86" s="24" t="str">
        <x:v>Medium reef assoc. fish (30 - 89 cm)</x:v>
      </x:c>
      <x:c r="H86" s="24" t="str">
        <x:v>Perch-likes</x:v>
      </x:c>
      <x:c r="I86" s="31" t="n">
        <x:v>1903.1363983933</x:v>
      </x:c>
      <x:c r="J86" s="31" t="n">
        <x:v>1903.1363983933</x:v>
      </x:c>
      <x:c r="K86" s="31" t="n">
        <x:v>0</x:v>
      </x:c>
      <x:c r="L86" s="31" t="n">
        <x:v>957.3333333334</x:v>
      </x:c>
      <x:c r="M86" s="31" t="n">
        <x:v>945.8030650599</x:v>
      </x:c>
      <x:c r="N86" s="24" t="str">
        <x:v>mycteroperca</x:v>
      </x:c>
      <x:c r="O86" s="32" t="n">
        <x:v>4.35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Mycteroperca</x:v>
      </x:c>
      <x:c r="T86" s="32" t="n">
        <x:f>IF(O86="","",(1/'Metadata'!$B$5)^(O86-1))</x:f>
        <x:v>2238.7211385683377</x:v>
      </x:c>
      <x:c r="U86" s="31" t="n">
        <x:f>IF(T86="","",I86*T86)</x:f>
        <x:v>4260591.684661894</x:v>
      </x:c>
    </x:row>
    <x:row r="87" ht="18" customHeight="1">
      <x:c r="A87" s="24" t="str">
        <x:v>EEZ_945</x:v>
      </x:c>
      <x:c r="B87" s="24" t="str">
        <x:v>Mexico (Pacific)</x:v>
      </x:c>
      <x:c r="C87" s="24" t="str">
        <x:v>EEZ</x:v>
      </x:c>
      <x:c r="D87" s="30" t="n">
        <x:v>2019</x:v>
      </x:c>
      <x:c r="E87" s="24" t="str">
        <x:v>Bivalvia</x:v>
      </x:c>
      <x:c r="F87" s="24" t="str">
        <x:v>Clams</x:v>
      </x:c>
      <x:c r="G87" s="24" t="str">
        <x:v>Other demersal invertebrates</x:v>
      </x:c>
      <x:c r="H87" s="24" t="str">
        <x:v>Molluscs</x:v>
      </x:c>
      <x:c r="I87" s="31" t="n">
        <x:v>1802.5604830126</x:v>
      </x:c>
      <x:c r="J87" s="31" t="n">
        <x:v>1802.5604830126</x:v>
      </x:c>
      <x:c r="K87" s="31" t="n">
        <x:v>0</x:v>
      </x:c>
      <x:c r="L87" s="31" t="n">
        <x:v>1095.6872296499998</x:v>
      </x:c>
      <x:c r="M87" s="31" t="n">
        <x:v>706.8732533625999</x:v>
      </x:c>
      <x:c r="N87" s="24" t="str">
        <x:v>bivalvia</x:v>
      </x:c>
      <x:c r="O87" s="32" t="n">
        <x:v>2.23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Bivalvia</x:v>
      </x:c>
      <x:c r="T87" s="32" t="n">
        <x:f>IF(O87="","",(1/'Metadata'!$B$5)^(O87-1))</x:f>
        <x:v>16.982436524617444</x:v>
      </x:c>
      <x:c r="U87" s="31" t="n">
        <x:f>IF(T87="","",I87*T87)</x:f>
        <x:v>30611.86898454524</x:v>
      </x:c>
    </x:row>
    <x:row r="88" ht="18" customHeight="1">
      <x:c r="A88" s="24" t="str">
        <x:v>EEZ_945</x:v>
      </x:c>
      <x:c r="B88" s="24" t="str">
        <x:v>Mexico (Pacific)</x:v>
      </x:c>
      <x:c r="C88" s="24" t="str">
        <x:v>EEZ</x:v>
      </x:c>
      <x:c r="D88" s="30" t="n">
        <x:v>2019</x:v>
      </x:c>
      <x:c r="E88" s="24" t="str">
        <x:v>Sarda chiliensis</x:v>
      </x:c>
      <x:c r="F88" s="24" t="str">
        <x:v>Eastern Pacific bonito</x:v>
      </x:c>
      <x:c r="G88" s="24" t="str">
        <x:v>Medium pelagics (30 - 89 cm)</x:v>
      </x:c>
      <x:c r="H88" s="24" t="str">
        <x:v>Tuna &amp; billfishes</x:v>
      </x:c>
      <x:c r="I88" s="31" t="n">
        <x:v>1611.5152436583</x:v>
      </x:c>
      <x:c r="J88" s="31" t="n">
        <x:v>1611.5152436583</x:v>
      </x:c>
      <x:c r="K88" s="31" t="n">
        <x:v>0</x:v>
      </x:c>
      <x:c r="L88" s="31" t="n">
        <x:v>1245</x:v>
      </x:c>
      <x:c r="M88" s="31" t="n">
        <x:v>366.5152436583</x:v>
      </x:c>
      <x:c r="N88" s="24" t="str">
        <x:v>sarda chiliensis</x:v>
      </x:c>
      <x:c r="O88" s="32" t="n">
        <x:v>4.49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Sarda chiliensis</x:v>
      </x:c>
      <x:c r="T88" s="32" t="n">
        <x:f>IF(O88="","",(1/'Metadata'!$B$5)^(O88-1))</x:f>
        <x:v>3090.295432513592</x:v>
      </x:c>
      <x:c r="U88" s="31" t="n">
        <x:f>IF(T88="","",I88*T88)</x:f>
        <x:v>4980058.1969032725</x:v>
      </x:c>
    </x:row>
    <x:row r="89" ht="18" customHeight="1">
      <x:c r="A89" s="24" t="str">
        <x:v>EEZ_945</x:v>
      </x:c>
      <x:c r="B89" s="24" t="str">
        <x:v>Mexico (Pacific)</x:v>
      </x:c>
      <x:c r="C89" s="24" t="str">
        <x:v>EEZ</x:v>
      </x:c>
      <x:c r="D89" s="30" t="n">
        <x:v>2019</x:v>
      </x:c>
      <x:c r="E89" s="24" t="str">
        <x:v>Lutjanus guttatus</x:v>
      </x:c>
      <x:c r="F89" s="24" t="str">
        <x:v>Spotted rose snapper</x:v>
      </x:c>
      <x:c r="G89" s="24" t="str">
        <x:v>Medium reef assoc. fish (30 - 89 cm)</x:v>
      </x:c>
      <x:c r="H89" s="24" t="str">
        <x:v>Perch-likes</x:v>
      </x:c>
      <x:c r="I89" s="31" t="n">
        <x:v>1571.8241723178</x:v>
      </x:c>
      <x:c r="J89" s="31" t="n">
        <x:v>1571.8241723178</x:v>
      </x:c>
      <x:c r="K89" s="31" t="n">
        <x:v>0</x:v>
      </x:c>
      <x:c r="L89" s="31" t="n">
        <x:v>1039</x:v>
      </x:c>
      <x:c r="M89" s="31" t="n">
        <x:v>532.8241723177999</x:v>
      </x:c>
      <x:c r="N89" s="24" t="str">
        <x:v>lutjanus guttatus</x:v>
      </x:c>
      <x:c r="O89" s="32" t="n">
        <x:v>4.04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Lutjanus guttatus</x:v>
      </x:c>
      <x:c r="T89" s="32" t="n">
        <x:f>IF(O89="","",(1/'Metadata'!$B$5)^(O89-1))</x:f>
        <x:v>1096.4781961431852</x:v>
      </x:c>
      <x:c r="U89" s="31" t="n">
        <x:f>IF(T89="","",I89*T89)</x:f>
        <x:v>1723470.9331172765</x:v>
      </x:c>
    </x:row>
    <x:row r="90" ht="18" customHeight="1">
      <x:c r="A90" s="24" t="str">
        <x:v>EEZ_945</x:v>
      </x:c>
      <x:c r="B90" s="24" t="str">
        <x:v>Mexico (Pacific)</x:v>
      </x:c>
      <x:c r="C90" s="24" t="str">
        <x:v>EEZ</x:v>
      </x:c>
      <x:c r="D90" s="30" t="n">
        <x:v>2019</x:v>
      </x:c>
      <x:c r="E90" s="24" t="str">
        <x:v>Mugilidae</x:v>
      </x:c>
      <x:c r="F90" s="24" t="str">
        <x:v>Mullets, grey mullets</x:v>
      </x:c>
      <x:c r="G90" s="24" t="str">
        <x:v>Medium reef assoc. fish (30 - 89 cm)</x:v>
      </x:c>
      <x:c r="H90" s="24" t="str">
        <x:v>Perch-likes</x:v>
      </x:c>
      <x:c r="I90" s="31" t="n">
        <x:v>1452.6056849781</x:v>
      </x:c>
      <x:c r="J90" s="31" t="n">
        <x:v>1452.6056849781</x:v>
      </x:c>
      <x:c r="K90" s="31" t="n">
        <x:v>0</x:v>
      </x:c>
      <x:c r="L90" s="31" t="n">
        <x:v>930</x:v>
      </x:c>
      <x:c r="M90" s="31" t="n">
        <x:v>522.6056849781</x:v>
      </x:c>
      <x:c r="N90" s="24" t="str">
        <x:v>mugilidae</x:v>
      </x:c>
      <x:c r="O90" s="32" t="n">
        <x:v>2.53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Mugilidae</x:v>
      </x:c>
      <x:c r="T90" s="32" t="n">
        <x:f>IF(O90="","",(1/'Metadata'!$B$5)^(O90-1))</x:f>
        <x:v>33.88441561392024</x:v>
      </x:c>
      <x:c r="U90" s="31" t="n">
        <x:f>IF(T90="","",I90*T90)</x:f>
        <x:v>49220.694752941235</x:v>
      </x:c>
    </x:row>
    <x:row r="91" ht="18" customHeight="1">
      <x:c r="A91" s="24" t="str">
        <x:v>EEZ_945</x:v>
      </x:c>
      <x:c r="B91" s="24" t="str">
        <x:v>Mexico (Pacific)</x:v>
      </x:c>
      <x:c r="C91" s="24" t="str">
        <x:v>EEZ</x:v>
      </x:c>
      <x:c r="D91" s="30" t="n">
        <x:v>2019</x:v>
      </x:c>
      <x:c r="E91" s="24" t="str">
        <x:v>Gerreidae</x:v>
      </x:c>
      <x:c r="F91" s="24" t="str">
        <x:v>Mojarras, silverbellies</x:v>
      </x:c>
      <x:c r="G91" s="24" t="str">
        <x:v>Small benthopelagics (&lt;30 cm)</x:v>
      </x:c>
      <x:c r="H91" s="24" t="str">
        <x:v>Perch-likes</x:v>
      </x:c>
      <x:c r="I91" s="31" t="n">
        <x:v>1317.5005915552001</x:v>
      </x:c>
      <x:c r="J91" s="31" t="n">
        <x:v>1317.5005915552001</x:v>
      </x:c>
      <x:c r="K91" s="31" t="n">
        <x:v>0</x:v>
      </x:c>
      <x:c r="L91" s="31" t="n">
        <x:v>910</x:v>
      </x:c>
      <x:c r="M91" s="31" t="n">
        <x:v>407.5005915552</x:v>
      </x:c>
      <x:c r="N91" s="24" t="str">
        <x:v>gerreidae</x:v>
      </x:c>
      <x:c r="O91" s="32" t="n">
        <x:v>3.03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Gerreidae</x:v>
      </x:c>
      <x:c r="T91" s="32" t="n">
        <x:f>IF(O91="","",(1/'Metadata'!$B$5)^(O91-1))</x:f>
        <x:v>107.1519305237606</x:v>
      </x:c>
      <x:c r="U91" s="31" t="n">
        <x:f>IF(T91="","",I91*T91)</x:f>
        <x:v>141172.73185133628</x:v>
      </x:c>
    </x:row>
    <x:row r="92" ht="18" customHeight="1">
      <x:c r="A92" s="24" t="str">
        <x:v>EEZ_945</x:v>
      </x:c>
      <x:c r="B92" s="24" t="str">
        <x:v>Mexico (Pacific)</x:v>
      </x:c>
      <x:c r="C92" s="24" t="str">
        <x:v>EEZ</x:v>
      </x:c>
      <x:c r="D92" s="30" t="n">
        <x:v>2019</x:v>
      </x:c>
      <x:c r="E92" s="24" t="str">
        <x:v>Caulolatilus princeps</x:v>
      </x:c>
      <x:c r="F92" s="24" t="str">
        <x:v>Ocean whitefish</x:v>
      </x:c>
      <x:c r="G92" s="24" t="str">
        <x:v>Medium reef assoc. fish (30 - 89 cm)</x:v>
      </x:c>
      <x:c r="H92" s="24" t="str">
        <x:v>Perch-likes</x:v>
      </x:c>
      <x:c r="I92" s="31" t="n">
        <x:v>1251.5525162728002</x:v>
      </x:c>
      <x:c r="J92" s="31" t="n">
        <x:v>1251.5525162728002</x:v>
      </x:c>
      <x:c r="K92" s="31" t="n">
        <x:v>0</x:v>
      </x:c>
      <x:c r="L92" s="31" t="n">
        <x:v>803.6666666666</x:v>
      </x:c>
      <x:c r="M92" s="31" t="n">
        <x:v>447.88584960620005</x:v>
      </x:c>
      <x:c r="N92" s="24" t="str">
        <x:v>caulolatilus princeps</x:v>
      </x:c>
      <x:c r="O92" s="32" t="n">
        <x:v>3.7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Caulolatilus princeps</x:v>
      </x:c>
      <x:c r="T92" s="32" t="n">
        <x:f>IF(O92="","",(1/'Metadata'!$B$5)^(O92-1))</x:f>
        <x:v>501.18723362727246</x:v>
      </x:c>
      <x:c r="U92" s="31" t="n">
        <x:f>IF(T92="","",I92*T92)</x:f>
        <x:v>627262.1433700166</x:v>
      </x:c>
    </x:row>
    <x:row r="93" ht="18" customHeight="1">
      <x:c r="A93" s="24" t="str">
        <x:v>EEZ_945</x:v>
      </x:c>
      <x:c r="B93" s="24" t="str">
        <x:v>Mexico (Pacific)</x:v>
      </x:c>
      <x:c r="C93" s="24" t="str">
        <x:v>EEZ</x:v>
      </x:c>
      <x:c r="D93" s="30" t="n">
        <x:v>2019</x:v>
      </x:c>
      <x:c r="E93" s="24" t="str">
        <x:v>Balistes</x:v>
      </x:c>
      <x:c r="F93" s="24" t="str">
        <x:v>Triggerfish</x:v>
      </x:c>
      <x:c r="G93" s="24" t="str">
        <x:v>Medium reef assoc. fish (30 - 89 cm)</x:v>
      </x:c>
      <x:c r="H93" s="24" t="str">
        <x:v>Other fishes &amp; inverts</x:v>
      </x:c>
      <x:c r="I93" s="31" t="n">
        <x:v>896.9431486632001</x:v>
      </x:c>
      <x:c r="J93" s="31" t="n">
        <x:v>896.9431486632001</x:v>
      </x:c>
      <x:c r="K93" s="31" t="n">
        <x:v>0</x:v>
      </x:c>
      <x:c r="L93" s="31" t="n">
        <x:v>0</x:v>
      </x:c>
      <x:c r="M93" s="31" t="n">
        <x:v>896.9431486632001</x:v>
      </x:c>
      <x:c r="N93" s="24" t="str">
        <x:v>balistes</x:v>
      </x:c>
      <x:c r="O93" s="32" t="n">
        <x:v>3.94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Balistes</x:v>
      </x:c>
      <x:c r="T93" s="32" t="n">
        <x:f>IF(O93="","",(1/'Metadata'!$B$5)^(O93-1))</x:f>
        <x:v>870.9635899560806</x:v>
      </x:c>
      <x:c r="U93" s="31" t="n">
        <x:f>IF(T93="","",I93*T93)</x:f>
        <x:v>781204.8247462112</x:v>
      </x:c>
    </x:row>
    <x:row r="94" ht="18" customHeight="1">
      <x:c r="A94" s="24" t="str">
        <x:v>EEZ_945</x:v>
      </x:c>
      <x:c r="B94" s="24" t="str">
        <x:v>Mexico (Pacific)</x:v>
      </x:c>
      <x:c r="C94" s="24" t="str">
        <x:v>EEZ</x:v>
      </x:c>
      <x:c r="D94" s="30" t="n">
        <x:v>2019</x:v>
      </x:c>
      <x:c r="E94" s="24" t="str">
        <x:v>Istiophoridae</x:v>
      </x:c>
      <x:c r="F94" s="24" t="str">
        <x:v>Billfishes</x:v>
      </x:c>
      <x:c r="G94" s="24" t="str">
        <x:v>Large pelagics (&gt;=90 cm)</x:v>
      </x:c>
      <x:c r="H94" s="24" t="str">
        <x:v>Tuna &amp; billfishes</x:v>
      </x:c>
      <x:c r="I94" s="31" t="n">
        <x:v>795.1793914912</x:v>
      </x:c>
      <x:c r="J94" s="31" t="n">
        <x:v>700.08261158</x:v>
      </x:c>
      <x:c r="K94" s="31" t="n">
        <x:v>95.0967799112</x:v>
      </x:c>
      <x:c r="L94" s="31" t="n">
        <x:v>700.08261158</x:v>
      </x:c>
      <x:c r="M94" s="31" t="n">
        <x:v>95.0967799112</x:v>
      </x:c>
      <x:c r="N94" s="24" t="str">
        <x:v>istiophoridae</x:v>
      </x:c>
      <x:c r="O94" s="32" t="n">
        <x:v>4.48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Istiophoridae</x:v>
      </x:c>
      <x:c r="T94" s="32" t="n">
        <x:f>IF(O94="","",(1/'Metadata'!$B$5)^(O94-1))</x:f>
        <x:v>3019.951720402019</x:v>
      </x:c>
      <x:c r="U94" s="31" t="n">
        <x:f>IF(T94="","",I94*T94)</x:f>
        <x:v>2401403.37136208</x:v>
      </x:c>
    </x:row>
    <x:row r="95" ht="18" customHeight="1">
      <x:c r="A95" s="24" t="str">
        <x:v>EEZ_945</x:v>
      </x:c>
      <x:c r="B95" s="24" t="str">
        <x:v>Mexico (Pacific)</x:v>
      </x:c>
      <x:c r="C95" s="24" t="str">
        <x:v>EEZ</x:v>
      </x:c>
      <x:c r="D95" s="30" t="n">
        <x:v>2019</x:v>
      </x:c>
      <x:c r="E95" s="24" t="str">
        <x:v>Carcharhinus</x:v>
      </x:c>
      <x:c r="F95" s="24" t="str">
        <x:v>Sharp-nosed sharks</x:v>
      </x:c>
      <x:c r="G95" s="24" t="str">
        <x:v>Large sharks (&gt;=90 cm)</x:v>
      </x:c>
      <x:c r="H95" s="24" t="str">
        <x:v>Sharks &amp; rays</x:v>
      </x:c>
      <x:c r="I95" s="31" t="n">
        <x:v>731.9684</x:v>
      </x:c>
      <x:c r="J95" s="31" t="n">
        <x:v>731.9684</x:v>
      </x:c>
      <x:c r="K95" s="31" t="n">
        <x:v>0</x:v>
      </x:c>
      <x:c r="L95" s="31" t="n">
        <x:v>731.9684</x:v>
      </x:c>
      <x:c r="M95" s="31" t="n">
        <x:v>0</x:v>
      </x:c>
      <x:c r="N95" s="24" t="str">
        <x:v>carcharhinus</x:v>
      </x:c>
      <x:c r="O95" s="32" t="n">
        <x:v>4.26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Carcharhinus</x:v>
      </x:c>
      <x:c r="T95" s="32" t="n">
        <x:f>IF(O95="","",(1/'Metadata'!$B$5)^(O95-1))</x:f>
        <x:v>1819.7008586099826</x:v>
      </x:c>
      <x:c r="U95" s="31" t="n">
        <x:f>IF(T95="","",I95*T95)</x:f>
        <x:v>1331963.525955375</x:v>
      </x:c>
    </x:row>
    <x:row r="96" ht="18" customHeight="1">
      <x:c r="A96" s="24" t="str">
        <x:v>EEZ_945</x:v>
      </x:c>
      <x:c r="B96" s="24" t="str">
        <x:v>Mexico (Pacific)</x:v>
      </x:c>
      <x:c r="C96" s="24" t="str">
        <x:v>EEZ</x:v>
      </x:c>
      <x:c r="D96" s="30" t="n">
        <x:v>2019</x:v>
      </x:c>
      <x:c r="E96" s="24" t="str">
        <x:v>Hoplopagrus guentherii</x:v>
      </x:c>
      <x:c r="F96" s="24" t="str">
        <x:v>Mexican barred snapper</x:v>
      </x:c>
      <x:c r="G96" s="24" t="str">
        <x:v>Medium reef assoc. fish (30 - 89 cm)</x:v>
      </x:c>
      <x:c r="H96" s="24" t="str">
        <x:v>Perch-likes</x:v>
      </x:c>
      <x:c r="I96" s="31" t="n">
        <x:v>702.9089918403</x:v>
      </x:c>
      <x:c r="J96" s="31" t="n">
        <x:v>702.9089918403</x:v>
      </x:c>
      <x:c r="K96" s="31" t="n">
        <x:v>0</x:v>
      </x:c>
      <x:c r="L96" s="31" t="n">
        <x:v>473</x:v>
      </x:c>
      <x:c r="M96" s="31" t="n">
        <x:v>229.9089918403</x:v>
      </x:c>
      <x:c r="N96" s="24" t="str">
        <x:v>hoplopagrus guentherii</x:v>
      </x:c>
      <x:c r="O96" s="32" t="n">
        <x:v>3.8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Hoplopagrus guentherii</x:v>
      </x:c>
      <x:c r="T96" s="32" t="n">
        <x:f>IF(O96="","",(1/'Metadata'!$B$5)^(O96-1))</x:f>
        <x:v>630.957344480193</x:v>
      </x:c>
      <x:c r="U96" s="31" t="n">
        <x:f>IF(T96="","",I96*T96)</x:f>
        <x:v>443505.5909028053</x:v>
      </x:c>
    </x:row>
    <x:row r="97" ht="18" customHeight="1">
      <x:c r="A97" s="24" t="str">
        <x:v>EEZ_945</x:v>
      </x:c>
      <x:c r="B97" s="24" t="str">
        <x:v>Mexico (Pacific)</x:v>
      </x:c>
      <x:c r="C97" s="24" t="str">
        <x:v>EEZ</x:v>
      </x:c>
      <x:c r="D97" s="30" t="n">
        <x:v>2019</x:v>
      </x:c>
      <x:c r="E97" s="24" t="str">
        <x:v>Lutjanus argentiventris</x:v>
      </x:c>
      <x:c r="F97" s="24" t="str">
        <x:v>Yellow snapper</x:v>
      </x:c>
      <x:c r="G97" s="24" t="str">
        <x:v>Medium reef assoc. fish (30 - 89 cm)</x:v>
      </x:c>
      <x:c r="H97" s="24" t="str">
        <x:v>Perch-likes</x:v>
      </x:c>
      <x:c r="I97" s="31" t="n">
        <x:v>652.3127256618</x:v>
      </x:c>
      <x:c r="J97" s="31" t="n">
        <x:v>652.3127256618</x:v>
      </x:c>
      <x:c r="K97" s="31" t="n">
        <x:v>0</x:v>
      </x:c>
      <x:c r="L97" s="31" t="n">
        <x:v>502</x:v>
      </x:c>
      <x:c r="M97" s="31" t="n">
        <x:v>150.31272566180002</x:v>
      </x:c>
      <x:c r="N97" s="24" t="str">
        <x:v>lutjanus argentiventris</x:v>
      </x:c>
      <x:c r="O97" s="32" t="n">
        <x:v>4.04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Lutjanus argentiventris</x:v>
      </x:c>
      <x:c r="T97" s="32" t="n">
        <x:f>IF(O97="","",(1/'Metadata'!$B$5)^(O97-1))</x:f>
        <x:v>1096.4781961431852</x:v>
      </x:c>
      <x:c r="U97" s="31" t="n">
        <x:f>IF(T97="","",I97*T97)</x:f>
        <x:v>715246.6807548949</x:v>
      </x:c>
    </x:row>
    <x:row r="98" ht="18" customHeight="1">
      <x:c r="A98" s="24" t="str">
        <x:v>EEZ_945</x:v>
      </x:c>
      <x:c r="B98" s="24" t="str">
        <x:v>Mexico (Pacific)</x:v>
      </x:c>
      <x:c r="C98" s="24" t="str">
        <x:v>EEZ</x:v>
      </x:c>
      <x:c r="D98" s="30" t="n">
        <x:v>2019</x:v>
      </x:c>
      <x:c r="E98" s="24" t="str">
        <x:v>Epinephelus labriformis</x:v>
      </x:c>
      <x:c r="F98" s="24" t="str">
        <x:v>Starry grouper</x:v>
      </x:c>
      <x:c r="G98" s="24" t="str">
        <x:v>Small pelagics (&lt;30 cm)</x:v>
      </x:c>
      <x:c r="H98" s="24" t="str">
        <x:v>Perch-likes</x:v>
      </x:c>
      <x:c r="I98" s="31" t="n">
        <x:v>634.3787994646</x:v>
      </x:c>
      <x:c r="J98" s="31" t="n">
        <x:v>634.3787994646</x:v>
      </x:c>
      <x:c r="K98" s="31" t="n">
        <x:v>0</x:v>
      </x:c>
      <x:c r="L98" s="31" t="n">
        <x:v>319.1111111112</x:v>
      </x:c>
      <x:c r="M98" s="31" t="n">
        <x:v>315.2676883534</x:v>
      </x:c>
      <x:c r="N98" s="24" t="str">
        <x:v>epinephelus labriformis</x:v>
      </x:c>
      <x:c r="O98" s="32" t="n">
        <x:v>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Epinephelus labriformis</x:v>
      </x:c>
      <x:c r="T98" s="32" t="n">
        <x:f>IF(O98="","",(1/'Metadata'!$B$5)^(O98-1))</x:f>
        <x:v>1000</x:v>
      </x:c>
      <x:c r="U98" s="31" t="n">
        <x:f>IF(T98="","",I98*T98)</x:f>
        <x:v>634378.7994645999</x:v>
      </x:c>
    </x:row>
    <x:row r="99" ht="18" customHeight="1">
      <x:c r="A99" s="24" t="str">
        <x:v>EEZ_945</x:v>
      </x:c>
      <x:c r="B99" s="24" t="str">
        <x:v>Mexico (Pacific)</x:v>
      </x:c>
      <x:c r="C99" s="24" t="str">
        <x:v>EEZ</x:v>
      </x:c>
      <x:c r="D99" s="30" t="n">
        <x:v>2019</x:v>
      </x:c>
      <x:c r="E99" s="24" t="str">
        <x:v>Dermatolepis dermatolepis</x:v>
      </x:c>
      <x:c r="F99" s="24" t="str">
        <x:v>Leather bass</x:v>
      </x:c>
      <x:c r="G99" s="24" t="str">
        <x:v>Small pelagics (&lt;30 cm)</x:v>
      </x:c>
      <x:c r="H99" s="24" t="str">
        <x:v>Perch-likes</x:v>
      </x:c>
      <x:c r="I99" s="31" t="n">
        <x:v>634.3787994646</x:v>
      </x:c>
      <x:c r="J99" s="31" t="n">
        <x:v>634.3787994646</x:v>
      </x:c>
      <x:c r="K99" s="31" t="n">
        <x:v>0</x:v>
      </x:c>
      <x:c r="L99" s="31" t="n">
        <x:v>319.1111111112</x:v>
      </x:c>
      <x:c r="M99" s="31" t="n">
        <x:v>315.2676883534</x:v>
      </x:c>
      <x:c r="N99" s="24" t="str">
        <x:v>dermatolepis dermatolepis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Dermatolepis dermatolepis</x:v>
      </x:c>
      <x:c r="T99" s="32" t="n">
        <x:f>IF(O99="","",(1/'Metadata'!$B$5)^(O99-1))</x:f>
        <x:v>3162.2776601683795</x:v>
      </x:c>
      <x:c r="U99" s="31" t="n">
        <x:f>IF(T99="","",I99*T99)</x:f>
        <x:v>2006081.9056313408</x:v>
      </x:c>
    </x:row>
    <x:row r="100" ht="18" customHeight="1">
      <x:c r="A100" s="24" t="str">
        <x:v>EEZ_945</x:v>
      </x:c>
      <x:c r="B100" s="24" t="str">
        <x:v>Mexico (Pacific)</x:v>
      </x:c>
      <x:c r="C100" s="24" t="str">
        <x:v>EEZ</x:v>
      </x:c>
      <x:c r="D100" s="30" t="n">
        <x:v>2019</x:v>
      </x:c>
      <x:c r="E100" s="24" t="str">
        <x:v>Stereolepis gigas</x:v>
      </x:c>
      <x:c r="F100" s="24" t="str">
        <x:v>Giant seabass</x:v>
      </x:c>
      <x:c r="G100" s="24" t="str">
        <x:v>Large demersals (&gt;=90 cm)</x:v>
      </x:c>
      <x:c r="H100" s="24" t="str">
        <x:v>Perch-likes</x:v>
      </x:c>
      <x:c r="I100" s="31" t="n">
        <x:v>634.3787994646</x:v>
      </x:c>
      <x:c r="J100" s="31" t="n">
        <x:v>634.3787994646</x:v>
      </x:c>
      <x:c r="K100" s="31" t="n">
        <x:v>0</x:v>
      </x:c>
      <x:c r="L100" s="31" t="n">
        <x:v>319.1111111112</x:v>
      </x:c>
      <x:c r="M100" s="31" t="n">
        <x:v>315.2676883534</x:v>
      </x:c>
      <x:c r="N100" s="24" t="str">
        <x:v>stereolepis gigas</x:v>
      </x:c>
      <x:c r="O100" s="32" t="n">
        <x:v>4.5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Stereolepis gigas</x:v>
      </x:c>
      <x:c r="T100" s="32" t="n">
        <x:f>IF(O100="","",(1/'Metadata'!$B$5)^(O100-1))</x:f>
        <x:v>3162.2776601683795</x:v>
      </x:c>
      <x:c r="U100" s="31" t="n">
        <x:f>IF(T100="","",I100*T100)</x:f>
        <x:v>2006081.9056313408</x:v>
      </x:c>
    </x:row>
    <x:row r="101" ht="18" customHeight="1">
      <x:c r="A101" s="24" t="str">
        <x:v>EEZ_945</x:v>
      </x:c>
      <x:c r="B101" s="24" t="str">
        <x:v>Mexico (Pacific)</x:v>
      </x:c>
      <x:c r="C101" s="24" t="str">
        <x:v>EEZ</x:v>
      </x:c>
      <x:c r="D101" s="30" t="n">
        <x:v>2019</x:v>
      </x:c>
      <x:c r="E101" s="24" t="str">
        <x:v>Epinephelus analogus</x:v>
      </x:c>
      <x:c r="F101" s="24" t="str">
        <x:v>Spotted grouper</x:v>
      </x:c>
      <x:c r="G101" s="24" t="str">
        <x:v>Large reef assoc. fish (&gt;=90 cm)</x:v>
      </x:c>
      <x:c r="H101" s="24" t="str">
        <x:v>Perch-likes</x:v>
      </x:c>
      <x:c r="I101" s="31" t="n">
        <x:v>634.3787994646</x:v>
      </x:c>
      <x:c r="J101" s="31" t="n">
        <x:v>634.3787994646</x:v>
      </x:c>
      <x:c r="K101" s="31" t="n">
        <x:v>0</x:v>
      </x:c>
      <x:c r="L101" s="31" t="n">
        <x:v>319.1111111112</x:v>
      </x:c>
      <x:c r="M101" s="31" t="n">
        <x:v>315.2676883534</x:v>
      </x:c>
      <x:c r="N101" s="24" t="str">
        <x:v>epinephelus analogus</x:v>
      </x:c>
      <x:c r="O101" s="32" t="n">
        <x:v>3.84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Epinephelus analogus</x:v>
      </x:c>
      <x:c r="T101" s="32" t="n">
        <x:f>IF(O101="","",(1/'Metadata'!$B$5)^(O101-1))</x:f>
        <x:v>691.8309709189363</x:v>
      </x:c>
      <x:c r="U101" s="31" t="n">
        <x:f>IF(T101="","",I101*T101)</x:f>
        <x:v>438882.9007639834</x:v>
      </x:c>
    </x:row>
    <x:row r="102" ht="18" customHeight="1">
      <x:c r="A102" s="24" t="str">
        <x:v>EEZ_945</x:v>
      </x:c>
      <x:c r="B102" s="24" t="str">
        <x:v>Mexico (Pacific)</x:v>
      </x:c>
      <x:c r="C102" s="24" t="str">
        <x:v>EEZ</x:v>
      </x:c>
      <x:c r="D102" s="30" t="n">
        <x:v>2019</x:v>
      </x:c>
      <x:c r="E102" s="24" t="str">
        <x:v>Epinephelus itajara</x:v>
      </x:c>
      <x:c r="F102" s="24" t="str">
        <x:v>Atlantic goliath grouper</x:v>
      </x:c>
      <x:c r="G102" s="24" t="str">
        <x:v>Large reef assoc. fish (&gt;=90 cm)</x:v>
      </x:c>
      <x:c r="H102" s="24" t="str">
        <x:v>Perch-likes</x:v>
      </x:c>
      <x:c r="I102" s="31" t="n">
        <x:v>634.3787994646</x:v>
      </x:c>
      <x:c r="J102" s="31" t="n">
        <x:v>634.3787994646</x:v>
      </x:c>
      <x:c r="K102" s="31" t="n">
        <x:v>0</x:v>
      </x:c>
      <x:c r="L102" s="31" t="n">
        <x:v>319.1111111112</x:v>
      </x:c>
      <x:c r="M102" s="31" t="n">
        <x:v>315.2676883534</x:v>
      </x:c>
      <x:c r="N102" s="24" t="str">
        <x:v>epinephelus itajara</x:v>
      </x:c>
      <x:c r="O102" s="32" t="n">
        <x:v>4.09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Epinephelus itajara</x:v>
      </x:c>
      <x:c r="T102" s="32" t="n">
        <x:f>IF(O102="","",(1/'Metadata'!$B$5)^(O102-1))</x:f>
        <x:v>1230.268770812381</x:v>
      </x:c>
      <x:c r="U102" s="31" t="n">
        <x:f>IF(T102="","",I102*T102)</x:f>
        <x:v>780456.4258467474</x:v>
      </x:c>
    </x:row>
    <x:row r="103" ht="18" customHeight="1">
      <x:c r="A103" s="24" t="str">
        <x:v>EEZ_945</x:v>
      </x:c>
      <x:c r="B103" s="24" t="str">
        <x:v>Mexico (Pacific)</x:v>
      </x:c>
      <x:c r="C103" s="24" t="str">
        <x:v>EEZ</x:v>
      </x:c>
      <x:c r="D103" s="30" t="n">
        <x:v>2019</x:v>
      </x:c>
      <x:c r="E103" s="24" t="str">
        <x:v>Mycteroperca xenarcha</x:v>
      </x:c>
      <x:c r="F103" s="24" t="str">
        <x:v>Broomtail grouper</x:v>
      </x:c>
      <x:c r="G103" s="24" t="str">
        <x:v>Large demersals (&gt;=90 cm)</x:v>
      </x:c>
      <x:c r="H103" s="24" t="str">
        <x:v>Perch-likes</x:v>
      </x:c>
      <x:c r="I103" s="31" t="n">
        <x:v>634.3787994646</x:v>
      </x:c>
      <x:c r="J103" s="31" t="n">
        <x:v>634.3787994646</x:v>
      </x:c>
      <x:c r="K103" s="31" t="n">
        <x:v>0</x:v>
      </x:c>
      <x:c r="L103" s="31" t="n">
        <x:v>319.1111111112</x:v>
      </x:c>
      <x:c r="M103" s="31" t="n">
        <x:v>315.2676883534</x:v>
      </x:c>
      <x:c r="N103" s="24" t="str">
        <x:v>mycteroperca xenarcha</x:v>
      </x:c>
      <x:c r="O103" s="32" t="n">
        <x:v>4.35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Mycteroperca xenarcha</x:v>
      </x:c>
      <x:c r="T103" s="32" t="n">
        <x:f>IF(O103="","",(1/'Metadata'!$B$5)^(O103-1))</x:f>
        <x:v>2238.7211385683377</x:v>
      </x:c>
      <x:c r="U103" s="31" t="n">
        <x:f>IF(T103="","",I103*T103)</x:f>
        <x:v>1420197.2282210044</x:v>
      </x:c>
    </x:row>
    <x:row r="104" ht="18" customHeight="1">
      <x:c r="A104" s="24" t="str">
        <x:v>EEZ_945</x:v>
      </x:c>
      <x:c r="B104" s="24" t="str">
        <x:v>Mexico (Pacific)</x:v>
      </x:c>
      <x:c r="C104" s="24" t="str">
        <x:v>EEZ</x:v>
      </x:c>
      <x:c r="D104" s="30" t="n">
        <x:v>2019</x:v>
      </x:c>
      <x:c r="E104" s="24" t="str">
        <x:v>Selar crumenophthalmus</x:v>
      </x:c>
      <x:c r="F104" s="24" t="str">
        <x:v>Bigeye scad</x:v>
      </x:c>
      <x:c r="G104" s="24" t="str">
        <x:v>Medium pelagics (30 - 89 cm)</x:v>
      </x:c>
      <x:c r="H104" s="24" t="str">
        <x:v>Perch-likes</x:v>
      </x:c>
      <x:c r="I104" s="31" t="n">
        <x:v>592</x:v>
      </x:c>
      <x:c r="J104" s="31" t="n">
        <x:v>592</x:v>
      </x:c>
      <x:c r="K104" s="31" t="n">
        <x:v>0</x:v>
      </x:c>
      <x:c r="L104" s="31" t="n">
        <x:v>592</x:v>
      </x:c>
      <x:c r="M104" s="31" t="n">
        <x:v>0</x:v>
      </x:c>
      <x:c r="N104" s="24" t="str">
        <x:v>selar crumenophthalmus</x:v>
      </x:c>
      <x:c r="O104" s="32" t="n">
        <x:v>3.81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Selar crumenophthalmus</x:v>
      </x:c>
      <x:c r="T104" s="32" t="n">
        <x:f>IF(O104="","",(1/'Metadata'!$B$5)^(O104-1))</x:f>
        <x:v>645.6542290346556</x:v>
      </x:c>
      <x:c r="U104" s="31" t="n">
        <x:f>IF(T104="","",I104*T104)</x:f>
        <x:v>382227.30358851614</x:v>
      </x:c>
    </x:row>
    <x:row r="105" ht="18" customHeight="1">
      <x:c r="A105" s="24" t="str">
        <x:v>EEZ_945</x:v>
      </x:c>
      <x:c r="B105" s="24" t="str">
        <x:v>Mexico (Pacific)</x:v>
      </x:c>
      <x:c r="C105" s="24" t="str">
        <x:v>EEZ</x:v>
      </x:c>
      <x:c r="D105" s="30" t="n">
        <x:v>2019</x:v>
      </x:c>
      <x:c r="E105" s="24" t="str">
        <x:v>Thunnus alalunga</x:v>
      </x:c>
      <x:c r="F105" s="24" t="str">
        <x:v>Albacore</x:v>
      </x:c>
      <x:c r="G105" s="24" t="str">
        <x:v>Large pelagics (&gt;=90 cm)</x:v>
      </x:c>
      <x:c r="H105" s="24" t="str">
        <x:v>Tuna &amp; billfishes</x:v>
      </x:c>
      <x:c r="I105" s="31" t="n">
        <x:v>587.1423423568</x:v>
      </x:c>
      <x:c r="J105" s="31" t="n">
        <x:v>581.2715002047</x:v>
      </x:c>
      <x:c r="K105" s="31" t="n">
        <x:v>5.8708421521</x:v>
      </x:c>
      <x:c r="L105" s="31" t="n">
        <x:v>581.2715002047</x:v>
      </x:c>
      <x:c r="M105" s="31" t="n">
        <x:v>5.8708421521</x:v>
      </x:c>
      <x:c r="N105" s="24" t="str">
        <x:v>thunnus alalunga</x:v>
      </x:c>
      <x:c r="O105" s="32" t="n">
        <x:v>4.3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Thunnus alalunga</x:v>
      </x:c>
      <x:c r="T105" s="32" t="n">
        <x:f>IF(O105="","",(1/'Metadata'!$B$5)^(O105-1))</x:f>
        <x:v>1995.2623149688789</x:v>
      </x:c>
      <x:c r="U105" s="31" t="n">
        <x:f>IF(T105="","",I105*T105)</x:f>
        <x:v>1171502.9892270789</x:v>
      </x:c>
    </x:row>
    <x:row r="106" ht="18" customHeight="1">
      <x:c r="A106" s="24" t="str">
        <x:v>EEZ_945</x:v>
      </x:c>
      <x:c r="B106" s="24" t="str">
        <x:v>Mexico (Pacific)</x:v>
      </x:c>
      <x:c r="C106" s="24" t="str">
        <x:v>EEZ</x:v>
      </x:c>
      <x:c r="D106" s="30" t="n">
        <x:v>2019</x:v>
      </x:c>
      <x:c r="E106" s="24" t="str">
        <x:v>Batoidea</x:v>
      </x:c>
      <x:c r="F106" s="24" t="str">
        <x:v>Batoids, skates, rays, sawfishes</x:v>
      </x:c>
      <x:c r="G106" s="24" t="str">
        <x:v>Large rays (&gt;=90 cm)</x:v>
      </x:c>
      <x:c r="H106" s="24" t="str">
        <x:v>Sharks &amp; rays</x:v>
      </x:c>
      <x:c r="I106" s="31" t="n">
        <x:v>523.7182267866</x:v>
      </x:c>
      <x:c r="J106" s="31" t="n">
        <x:v>523.7182267866</x:v>
      </x:c>
      <x:c r="K106" s="31" t="n">
        <x:v>0</x:v>
      </x:c>
      <x:c r="L106" s="31" t="n">
        <x:v>429.59999999999997</x:v>
      </x:c>
      <x:c r="M106" s="31" t="n">
        <x:v>94.1182267866</x:v>
      </x:c>
      <x:c r="N106" s="24" t="str">
        <x:v>batoidea</x:v>
      </x:c>
      <x:c r="O106" s="32" t="n">
        <x:v>3.72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Batoidea</x:v>
      </x:c>
      <x:c r="T106" s="32" t="n">
        <x:f>IF(O106="","",(1/'Metadata'!$B$5)^(O106-1))</x:f>
        <x:v>524.8074602497728</x:v>
      </x:c>
      <x:c r="U106" s="31" t="n">
        <x:f>IF(T106="","",I106*T106)</x:f>
        <x:v>274851.2324863901</x:v>
      </x:c>
    </x:row>
    <x:row r="107" ht="18" customHeight="1">
      <x:c r="A107" s="24" t="str">
        <x:v>EEZ_945</x:v>
      </x:c>
      <x:c r="B107" s="24" t="str">
        <x:v>Mexico (Pacific)</x:v>
      </x:c>
      <x:c r="C107" s="24" t="str">
        <x:v>EEZ</x:v>
      </x:c>
      <x:c r="D107" s="30" t="n">
        <x:v>2019</x:v>
      </x:c>
      <x:c r="E107" s="24" t="str">
        <x:v>Trachurus symmetricus</x:v>
      </x:c>
      <x:c r="F107" s="24" t="str">
        <x:v>Pacific jack mackerel</x:v>
      </x:c>
      <x:c r="G107" s="24" t="str">
        <x:v>Medium pelagics (30 - 89 cm)</x:v>
      </x:c>
      <x:c r="H107" s="24" t="str">
        <x:v>Perch-likes</x:v>
      </x:c>
      <x:c r="I107" s="31" t="n">
        <x:v>465</x:v>
      </x:c>
      <x:c r="J107" s="31" t="n">
        <x:v>465</x:v>
      </x:c>
      <x:c r="K107" s="31" t="n">
        <x:v>0</x:v>
      </x:c>
      <x:c r="L107" s="31" t="n">
        <x:v>465</x:v>
      </x:c>
      <x:c r="M107" s="31" t="n">
        <x:v>0</x:v>
      </x:c>
      <x:c r="N107" s="24" t="str">
        <x:v>trachurus symmetricus</x:v>
      </x:c>
      <x:c r="O107" s="32" t="n">
        <x:v>3.57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Trachurus symmetricus</x:v>
      </x:c>
      <x:c r="T107" s="32" t="n">
        <x:f>IF(O107="","",(1/'Metadata'!$B$5)^(O107-1))</x:f>
        <x:v>371.5352290971724</x:v>
      </x:c>
      <x:c r="U107" s="31" t="n">
        <x:f>IF(T107="","",I107*T107)</x:f>
        <x:v>172763.88153018517</x:v>
      </x:c>
    </x:row>
    <x:row r="108" ht="18" customHeight="1">
      <x:c r="A108" s="24" t="str">
        <x:v>EEZ_945</x:v>
      </x:c>
      <x:c r="B108" s="24" t="str">
        <x:v>Mexico (Pacific)</x:v>
      </x:c>
      <x:c r="C108" s="24" t="str">
        <x:v>EEZ</x:v>
      </x:c>
      <x:c r="D108" s="30" t="n">
        <x:v>2019</x:v>
      </x:c>
      <x:c r="E108" s="24" t="str">
        <x:v>Carcharhinus limbatus</x:v>
      </x:c>
      <x:c r="F108" s="24" t="str">
        <x:v>Blacktip shark</x:v>
      </x:c>
      <x:c r="G108" s="24" t="str">
        <x:v>Large sharks (&gt;=90 cm)</x:v>
      </x:c>
      <x:c r="H108" s="24" t="str">
        <x:v>Sharks &amp; rays</x:v>
      </x:c>
      <x:c r="I108" s="31" t="n">
        <x:v>404.478</x:v>
      </x:c>
      <x:c r="J108" s="31" t="n">
        <x:v>404.478</x:v>
      </x:c>
      <x:c r="K108" s="31" t="n">
        <x:v>0</x:v>
      </x:c>
      <x:c r="L108" s="31" t="n">
        <x:v>404.478</x:v>
      </x:c>
      <x:c r="M108" s="31" t="n">
        <x:v>0</x:v>
      </x:c>
      <x:c r="N108" s="24" t="str">
        <x:v>carcharhinus limbatus</x:v>
      </x:c>
      <x:c r="O108" s="32" t="n">
        <x:v>4.37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Carcharhinus limbatus</x:v>
      </x:c>
      <x:c r="T108" s="32" t="n">
        <x:f>IF(O108="","",(1/'Metadata'!$B$5)^(O108-1))</x:f>
        <x:v>2344.228815319923</x:v>
      </x:c>
      <x:c r="U108" s="31" t="n">
        <x:f>IF(T108="","",I108*T108)</x:f>
        <x:v>948188.9827629718</x:v>
      </x:c>
    </x:row>
    <x:row r="109" ht="18" customHeight="1">
      <x:c r="A109" s="24" t="str">
        <x:v>EEZ_945</x:v>
      </x:c>
      <x:c r="B109" s="24" t="str">
        <x:v>Mexico (Pacific)</x:v>
      </x:c>
      <x:c r="C109" s="24" t="str">
        <x:v>EEZ</x:v>
      </x:c>
      <x:c r="D109" s="30" t="n">
        <x:v>2019</x:v>
      </x:c>
      <x:c r="E109" s="24" t="str">
        <x:v>Haliotis fulgens</x:v>
      </x:c>
      <x:c r="F109" s="24" t="str">
        <x:v>Green abalone</x:v>
      </x:c>
      <x:c r="G109" s="24" t="str">
        <x:v>Other demersal invertebrates</x:v>
      </x:c>
      <x:c r="H109" s="24" t="str">
        <x:v>Molluscs</x:v>
      </x:c>
      <x:c r="I109" s="31" t="n">
        <x:v>369.66458174959996</x:v>
      </x:c>
      <x:c r="J109" s="31" t="n">
        <x:v>369.66458174959996</x:v>
      </x:c>
      <x:c r="K109" s="31" t="n">
        <x:v>0</x:v>
      </x:c>
      <x:c r="L109" s="31" t="n">
        <x:v>341.0712</x:v>
      </x:c>
      <x:c r="M109" s="31" t="n">
        <x:v>28.5933817496</x:v>
      </x:c>
      <x:c r="N109" s="24" t="str">
        <x:v>haliotis fulgens</x:v>
      </x:c>
      <x:c r="O109" s="32" t="n">
        <x:v>2.046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Haliotis fulgens</x:v>
      </x:c>
      <x:c r="T109" s="32" t="n">
        <x:f>IF(O109="","",(1/'Metadata'!$B$5)^(O109-1))</x:f>
        <x:v>11.117317272815908</x:v>
      </x:c>
      <x:c r="U109" s="31" t="n">
        <x:f>IF(T109="","",I109*T109)</x:f>
        <x:v>4109.6784398330965</x:v>
      </x:c>
    </x:row>
    <x:row r="110" ht="18" customHeight="1">
      <x:c r="A110" s="24" t="str">
        <x:v>EEZ_945</x:v>
      </x:c>
      <x:c r="B110" s="24" t="str">
        <x:v>Mexico (Pacific)</x:v>
      </x:c>
      <x:c r="C110" s="24" t="str">
        <x:v>EEZ</x:v>
      </x:c>
      <x:c r="D110" s="30" t="n">
        <x:v>2019</x:v>
      </x:c>
      <x:c r="E110" s="24" t="str">
        <x:v>Gadiformes</x:v>
      </x:c>
      <x:c r="F110" s="24" t="str">
        <x:v>Cods</x:v>
      </x:c>
      <x:c r="G110" s="24" t="str">
        <x:v>Medium benthopelagics (30 - 89 cm)</x:v>
      </x:c>
      <x:c r="H110" s="24" t="str">
        <x:v>Cod-likes</x:v>
      </x:c>
      <x:c r="I110" s="31" t="n">
        <x:v>323.2879554131</x:v>
      </x:c>
      <x:c r="J110" s="31" t="n">
        <x:v>323.2879554131</x:v>
      </x:c>
      <x:c r="K110" s="31" t="n">
        <x:v>0</x:v>
      </x:c>
      <x:c r="L110" s="31" t="n">
        <x:v>323</x:v>
      </x:c>
      <x:c r="M110" s="31" t="n">
        <x:v>0.2879554131</x:v>
      </x:c>
      <x:c r="N110" s="24" t="str">
        <x:v>gadiformes</x:v>
      </x:c>
      <x:c r="O110" s="32" t="n">
        <x:v>3.91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Gadiformes</x:v>
      </x:c>
      <x:c r="T110" s="32" t="n">
        <x:f>IF(O110="","",(1/'Metadata'!$B$5)^(O110-1))</x:f>
        <x:v>812.8305161640995</x:v>
      </x:c>
      <x:c r="U110" s="31" t="n">
        <x:f>IF(T110="","",I110*T110)</x:f>
        <x:v>262778.3156680665</x:v>
      </x:c>
    </x:row>
    <x:row r="111" ht="18" customHeight="1">
      <x:c r="A111" s="24" t="str">
        <x:v>EEZ_945</x:v>
      </x:c>
      <x:c r="B111" s="24" t="str">
        <x:v>Mexico (Pacific)</x:v>
      </x:c>
      <x:c r="C111" s="24" t="str">
        <x:v>EEZ</x:v>
      </x:c>
      <x:c r="D111" s="30" t="n">
        <x:v>2019</x:v>
      </x:c>
      <x:c r="E111" s="24" t="str">
        <x:v>Makaira mazara</x:v>
      </x:c>
      <x:c r="F111" s="24" t="str">
        <x:v>Indo-Pacific blue marlin</x:v>
      </x:c>
      <x:c r="G111" s="24" t="str">
        <x:v>Large pelagics (&gt;=90 cm)</x:v>
      </x:c>
      <x:c r="H111" s="24" t="str">
        <x:v>Tuna &amp; billfishes</x:v>
      </x:c>
      <x:c r="I111" s="31" t="n">
        <x:v>277.4150337098</x:v>
      </x:c>
      <x:c r="J111" s="31" t="n">
        <x:v>173.7589059891</x:v>
      </x:c>
      <x:c r="K111" s="31" t="n">
        <x:v>103.6561277207</x:v>
      </x:c>
      <x:c r="L111" s="31" t="n">
        <x:v>0</x:v>
      </x:c>
      <x:c r="M111" s="31" t="n">
        <x:v>277.4150337098</x:v>
      </x:c>
      <x:c r="N111" s="24" t="str">
        <x:v>makaira mazara</x:v>
      </x:c>
      <x:c r="O111" s="32" t="n">
        <x:v>4.46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Makaira mazara</x:v>
      </x:c>
      <x:c r="T111" s="32" t="n">
        <x:f>IF(O111="","",(1/'Metadata'!$B$5)^(O111-1))</x:f>
        <x:v>2884.031503126606</x:v>
      </x:c>
      <x:c r="U111" s="31" t="n">
        <x:f>IF(T111="","",I111*T111)</x:f>
        <x:v>800073.6966599926</x:v>
      </x:c>
    </x:row>
    <x:row r="112" ht="18" customHeight="1">
      <x:c r="A112" s="24" t="str">
        <x:v>EEZ_945</x:v>
      </x:c>
      <x:c r="B112" s="24" t="str">
        <x:v>Mexico (Pacific)</x:v>
      </x:c>
      <x:c r="C112" s="24" t="str">
        <x:v>EEZ</x:v>
      </x:c>
      <x:c r="D112" s="30" t="n">
        <x:v>2019</x:v>
      </x:c>
      <x:c r="E112" s="24" t="str">
        <x:v>Sphyraena</x:v>
      </x:c>
      <x:c r="F112" s="24" t="str">
        <x:v>Barracudas, sennets</x:v>
      </x:c>
      <x:c r="G112" s="24" t="str">
        <x:v>Large pelagics (&gt;=90 cm)</x:v>
      </x:c>
      <x:c r="H112" s="24" t="str">
        <x:v>Perch-likes</x:v>
      </x:c>
      <x:c r="I112" s="31" t="n">
        <x:v>260</x:v>
      </x:c>
      <x:c r="J112" s="31" t="n">
        <x:v>260</x:v>
      </x:c>
      <x:c r="K112" s="31" t="n">
        <x:v>0</x:v>
      </x:c>
      <x:c r="L112" s="31" t="n">
        <x:v>260</x:v>
      </x:c>
      <x:c r="M112" s="31" t="n">
        <x:v>0</x:v>
      </x:c>
      <x:c r="N112" s="24" t="str">
        <x:v>sphyraena</x:v>
      </x:c>
      <x:c r="O112" s="32" t="n">
        <x:v>4.4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Sphyraena</x:v>
      </x:c>
      <x:c r="T112" s="32" t="n">
        <x:f>IF(O112="","",(1/'Metadata'!$B$5)^(O112-1))</x:f>
        <x:v>2511.886431509582</x:v>
      </x:c>
      <x:c r="U112" s="31" t="n">
        <x:f>IF(T112="","",I112*T112)</x:f>
        <x:v>653090.4721924913</x:v>
      </x:c>
    </x:row>
    <x:row r="113" ht="18" customHeight="1">
      <x:c r="A113" s="24" t="str">
        <x:v>EEZ_945</x:v>
      </x:c>
      <x:c r="B113" s="24" t="str">
        <x:v>Mexico (Pacific)</x:v>
      </x:c>
      <x:c r="C113" s="24" t="str">
        <x:v>EEZ</x:v>
      </x:c>
      <x:c r="D113" s="30" t="n">
        <x:v>2019</x:v>
      </x:c>
      <x:c r="E113" s="24" t="str">
        <x:v>Cancer productus</x:v>
      </x:c>
      <x:c r="F113" s="24" t="str">
        <x:v>Pacific rock crab</x:v>
      </x:c>
      <x:c r="G113" s="24" t="str">
        <x:v>Lobsters, crabs</x:v>
      </x:c>
      <x:c r="H113" s="24" t="str">
        <x:v>Crustaceans</x:v>
      </x:c>
      <x:c r="I113" s="31" t="n">
        <x:v>257.03</x:v>
      </x:c>
      <x:c r="J113" s="31" t="n">
        <x:v>257.03</x:v>
      </x:c>
      <x:c r="K113" s="31" t="n">
        <x:v>0</x:v>
      </x:c>
      <x:c r="L113" s="31" t="n">
        <x:v>257.03</x:v>
      </x:c>
      <x:c r="M113" s="31" t="n">
        <x:v>0</x:v>
      </x:c>
      <x:c r="N113" s="24" t="str">
        <x:v>cancer productus</x:v>
      </x:c>
      <x:c r="O113" s="32" t="n">
        <x:v>3.3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Cancer productus</x:v>
      </x:c>
      <x:c r="T113" s="32" t="n">
        <x:f>IF(O113="","",(1/'Metadata'!$B$5)^(O113-1))</x:f>
        <x:v>199.52623149688787</x:v>
      </x:c>
      <x:c r="U113" s="31" t="n">
        <x:f>IF(T113="","",I113*T113)</x:f>
        <x:v>51284.227281645086</x:v>
      </x:c>
    </x:row>
    <x:row r="114" ht="18" customHeight="1">
      <x:c r="A114" s="24" t="str">
        <x:v>EEZ_945</x:v>
      </x:c>
      <x:c r="B114" s="24" t="str">
        <x:v>Mexico (Pacific)</x:v>
      </x:c>
      <x:c r="C114" s="24" t="str">
        <x:v>EEZ</x:v>
      </x:c>
      <x:c r="D114" s="30" t="n">
        <x:v>2019</x:v>
      </x:c>
      <x:c r="E114" s="24" t="str">
        <x:v>Istiophorus platypterus</x:v>
      </x:c>
      <x:c r="F114" s="24" t="str">
        <x:v>Indo-Pacific sailfish</x:v>
      </x:c>
      <x:c r="G114" s="24" t="str">
        <x:v>Large pelagics (&gt;=90 cm)</x:v>
      </x:c>
      <x:c r="H114" s="24" t="str">
        <x:v>Tuna &amp; billfishes</x:v>
      </x:c>
      <x:c r="I114" s="31" t="n">
        <x:v>209.6854406123</x:v>
      </x:c>
      <x:c r="J114" s="31" t="n">
        <x:v>135.3324990129</x:v>
      </x:c>
      <x:c r="K114" s="31" t="n">
        <x:v>74.3529415994</x:v>
      </x:c>
      <x:c r="L114" s="31" t="n">
        <x:v>10.6945632573</x:v>
      </x:c>
      <x:c r="M114" s="31" t="n">
        <x:v>198.990877355</x:v>
      </x:c>
      <x:c r="N114" s="24" t="str">
        <x:v>istiophorus platypterus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Istiophorus platypterus</x:v>
      </x:c>
      <x:c r="T114" s="32" t="n">
        <x:f>IF(O114="","",(1/'Metadata'!$B$5)^(O114-1))</x:f>
        <x:v>3162.2776601683795</x:v>
      </x:c>
      <x:c r="U114" s="31" t="n">
        <x:f>IF(T114="","",I114*T114)</x:f>
        <x:v>663083.5845108398</x:v>
      </x:c>
    </x:row>
    <x:row r="115" ht="18" customHeight="1">
      <x:c r="A115" s="24" t="str">
        <x:v>EEZ_945</x:v>
      </x:c>
      <x:c r="B115" s="24" t="str">
        <x:v>Mexico (Pacific)</x:v>
      </x:c>
      <x:c r="C115" s="24" t="str">
        <x:v>EEZ</x:v>
      </x:c>
      <x:c r="D115" s="30" t="n">
        <x:v>2019</x:v>
      </x:c>
      <x:c r="E115" s="24" t="str">
        <x:v>Merlucciidae</x:v>
      </x:c>
      <x:c r="F115" s="24" t="str">
        <x:v>Merluccid hakes</x:v>
      </x:c>
      <x:c r="G115" s="24" t="str">
        <x:v>Large bathydemersals (&gt;=90 cm)</x:v>
      </x:c>
      <x:c r="H115" s="24" t="str">
        <x:v>Cod-likes</x:v>
      </x:c>
      <x:c r="I115" s="31" t="n">
        <x:v>201.4679504609</x:v>
      </x:c>
      <x:c r="J115" s="31" t="n">
        <x:v>201.4679504609</x:v>
      </x:c>
      <x:c r="K115" s="31" t="n">
        <x:v>0</x:v>
      </x:c>
      <x:c r="L115" s="31" t="n">
        <x:v>0</x:v>
      </x:c>
      <x:c r="M115" s="31" t="n">
        <x:v>201.4679504609</x:v>
      </x:c>
      <x:c r="N115" s="24" t="str">
        <x:v>merlucciidae</x:v>
      </x:c>
      <x:c r="O115" s="32" t="n">
        <x:v>4.35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Merlucciidae</x:v>
      </x:c>
      <x:c r="T115" s="32" t="n">
        <x:f>IF(O115="","",(1/'Metadata'!$B$5)^(O115-1))</x:f>
        <x:v>2238.7211385683377</x:v>
      </x:c>
      <x:c r="U115" s="31" t="n">
        <x:f>IF(T115="","",I115*T115)</x:f>
        <x:v>451030.5594408555</x:v>
      </x:c>
    </x:row>
    <x:row r="116" ht="18" customHeight="1">
      <x:c r="A116" s="24" t="str">
        <x:v>EEZ_945</x:v>
      </x:c>
      <x:c r="B116" s="24" t="str">
        <x:v>Mexico (Pacific)</x:v>
      </x:c>
      <x:c r="C116" s="24" t="str">
        <x:v>EEZ</x:v>
      </x:c>
      <x:c r="D116" s="30" t="n">
        <x:v>2019</x:v>
      </x:c>
      <x:c r="E116" s="24" t="str">
        <x:v>Echinodermata</x:v>
      </x:c>
      <x:c r="F116" s="24" t="str">
        <x:v>Sea urchins, stars, cucumbers</x:v>
      </x:c>
      <x:c r="G116" s="24" t="str">
        <x:v>Other demersal invertebrates</x:v>
      </x:c>
      <x:c r="H116" s="24" t="str">
        <x:v>Other fishes &amp; inverts</x:v>
      </x:c>
      <x:c r="I116" s="31" t="n">
        <x:v>183.1733401329</x:v>
      </x:c>
      <x:c r="J116" s="31" t="n">
        <x:v>183.1733401329</x:v>
      </x:c>
      <x:c r="K116" s="31" t="n">
        <x:v>0</x:v>
      </x:c>
      <x:c r="L116" s="31" t="n">
        <x:v>173</x:v>
      </x:c>
      <x:c r="M116" s="31" t="n">
        <x:v>10.1733401329</x:v>
      </x:c>
      <x:c r="N116" s="24" t="str">
        <x:v>echinodermata</x:v>
      </x:c>
      <x:c r="O116" s="32" t="n">
        <x:v>2.3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Echinodermata</x:v>
      </x:c>
      <x:c r="T116" s="32" t="n">
        <x:f>IF(O116="","",(1/'Metadata'!$B$5)^(O116-1))</x:f>
        <x:v>19.952623149688787</x:v>
      </x:c>
      <x:c r="U116" s="31" t="n">
        <x:f>IF(T116="","",I116*T116)</x:f>
        <x:v>3654.7886267415183</x:v>
      </x:c>
    </x:row>
    <x:row r="117" ht="18" customHeight="1">
      <x:c r="A117" s="24" t="str">
        <x:v>EEZ_945</x:v>
      </x:c>
      <x:c r="B117" s="24" t="str">
        <x:v>Mexico (Pacific)</x:v>
      </x:c>
      <x:c r="C117" s="24" t="str">
        <x:v>EEZ</x:v>
      </x:c>
      <x:c r="D117" s="30" t="n">
        <x:v>2019</x:v>
      </x:c>
      <x:c r="E117" s="24" t="str">
        <x:v>Haliotis</x:v>
      </x:c>
      <x:c r="F117" s="24" t="str">
        <x:v>Abalones</x:v>
      </x:c>
      <x:c r="G117" s="24" t="str">
        <x:v>Other demersal invertebrates</x:v>
      </x:c>
      <x:c r="H117" s="24" t="str">
        <x:v>Molluscs</x:v>
      </x:c>
      <x:c r="I117" s="31" t="n">
        <x:v>166.9288</x:v>
      </x:c>
      <x:c r="J117" s="31" t="n">
        <x:v>166.9288</x:v>
      </x:c>
      <x:c r="K117" s="31" t="n">
        <x:v>0</x:v>
      </x:c>
      <x:c r="L117" s="31" t="n">
        <x:v>166.9288</x:v>
      </x:c>
      <x:c r="M117" s="31" t="n">
        <x:v>0</x:v>
      </x:c>
      <x:c r="N117" s="24" t="str">
        <x:v>haliotis</x:v>
      </x:c>
      <x:c r="O117" s="32" t="n">
        <x:v>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Haliotis</x:v>
      </x:c>
      <x:c r="T117" s="32" t="n">
        <x:f>IF(O117="","",(1/'Metadata'!$B$5)^(O117-1))</x:f>
        <x:v>10</x:v>
      </x:c>
      <x:c r="U117" s="31" t="n">
        <x:f>IF(T117="","",I117*T117)</x:f>
        <x:v>1669.288</x:v>
      </x:c>
    </x:row>
    <x:row r="118" ht="18" customHeight="1">
      <x:c r="A118" s="24" t="str">
        <x:v>EEZ_945</x:v>
      </x:c>
      <x:c r="B118" s="24" t="str">
        <x:v>Mexico (Pacific)</x:v>
      </x:c>
      <x:c r="C118" s="24" t="str">
        <x:v>EEZ</x:v>
      </x:c>
      <x:c r="D118" s="30" t="n">
        <x:v>2019</x:v>
      </x:c>
      <x:c r="E118" s="24" t="str">
        <x:v>Mytilus californianus</x:v>
      </x:c>
      <x:c r="F118" s="24" t="str">
        <x:v>California mussel</x:v>
      </x:c>
      <x:c r="G118" s="24" t="str">
        <x:v>Other demersal invertebrates</x:v>
      </x:c>
      <x:c r="H118" s="24" t="str">
        <x:v>Molluscs</x:v>
      </x:c>
      <x:c r="I118" s="31" t="n">
        <x:v>128.7819443606</x:v>
      </x:c>
      <x:c r="J118" s="31" t="n">
        <x:v>128.7819443606</x:v>
      </x:c>
      <x:c r="K118" s="31" t="n">
        <x:v>0</x:v>
      </x:c>
      <x:c r="L118" s="31" t="n">
        <x:v>0</x:v>
      </x:c>
      <x:c r="M118" s="31" t="n">
        <x:v>128.7819443606</x:v>
      </x:c>
      <x:c r="N118" s="24" t="str">
        <x:v>mytilus californianus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Mytilus californianus</x:v>
      </x:c>
      <x:c r="T118" s="32" t="n">
        <x:f>IF(O118="","",(1/'Metadata'!$B$5)^(O118-1))</x:f>
        <x:v>10</x:v>
      </x:c>
      <x:c r="U118" s="31" t="n">
        <x:f>IF(T118="","",I118*T118)</x:f>
        <x:v>1287.8194436059998</x:v>
      </x:c>
    </x:row>
    <x:row r="119" ht="18" customHeight="1">
      <x:c r="A119" s="24" t="str">
        <x:v>EEZ_945</x:v>
      </x:c>
      <x:c r="B119" s="24" t="str">
        <x:v>Mexico (Pacific)</x:v>
      </x:c>
      <x:c r="C119" s="24" t="str">
        <x:v>EEZ</x:v>
      </x:c>
      <x:c r="D119" s="30" t="n">
        <x:v>2019</x:v>
      </x:c>
      <x:c r="E119" s="24" t="str">
        <x:v>Seriola</x:v>
      </x:c>
      <x:c r="F119" s="24" t="str">
        <x:v>Amberjacks</x:v>
      </x:c>
      <x:c r="G119" s="24" t="str">
        <x:v>Large benthopelagics (&gt;=90 cm)</x:v>
      </x:c>
      <x:c r="H119" s="24" t="str">
        <x:v>Perch-likes</x:v>
      </x:c>
      <x:c r="I119" s="31" t="n">
        <x:v>99.5470975315</x:v>
      </x:c>
      <x:c r="J119" s="31" t="n">
        <x:v>99.5470975315</x:v>
      </x:c>
      <x:c r="K119" s="31" t="n">
        <x:v>0</x:v>
      </x:c>
      <x:c r="L119" s="31" t="n">
        <x:v>74</x:v>
      </x:c>
      <x:c r="M119" s="31" t="n">
        <x:v>25.5470975315</x:v>
      </x:c>
      <x:c r="N119" s="24" t="str">
        <x:v>seriola</x:v>
      </x:c>
      <x:c r="O119" s="32" t="n">
        <x:v>4.39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Seriola</x:v>
      </x:c>
      <x:c r="T119" s="32" t="n">
        <x:f>IF(O119="","",(1/'Metadata'!$B$5)^(O119-1))</x:f>
        <x:v>2454.7089156850284</x:v>
      </x:c>
      <x:c r="U119" s="31" t="n">
        <x:f>IF(T119="","",I119*T119)</x:f>
        <x:v>244359.14784114013</x:v>
      </x:c>
    </x:row>
    <x:row r="120" ht="18" customHeight="1">
      <x:c r="A120" s="24" t="str">
        <x:v>EEZ_945</x:v>
      </x:c>
      <x:c r="B120" s="24" t="str">
        <x:v>Mexico (Pacific)</x:v>
      </x:c>
      <x:c r="C120" s="24" t="str">
        <x:v>EEZ</x:v>
      </x:c>
      <x:c r="D120" s="30" t="n">
        <x:v>2019</x:v>
      </x:c>
      <x:c r="E120" s="24" t="str">
        <x:v>Marine pelagic fishes not identified</x:v>
      </x:c>
      <x:c r="F120" s="24" t="str">
        <x:v>Pelagic fishes</x:v>
      </x:c>
      <x:c r="G120" s="24" t="str">
        <x:v>Medium pelagics (30 - 89 cm)</x:v>
      </x:c>
      <x:c r="H120" s="24" t="str">
        <x:v>Other fishes &amp; inverts</x:v>
      </x:c>
      <x:c r="I120" s="31" t="n">
        <x:v>59.1104578318</x:v>
      </x:c>
      <x:c r="J120" s="31" t="n">
        <x:v>56.764603171900006</x:v>
      </x:c>
      <x:c r="K120" s="31" t="n">
        <x:v>2.3458546599</x:v>
      </x:c>
      <x:c r="L120" s="31" t="n">
        <x:v>56.764603171900006</x:v>
      </x:c>
      <x:c r="M120" s="31" t="n">
        <x:v>2.3458546599</x:v>
      </x:c>
      <x:c r="N120" s="24" t="str">
        <x:v>marine pelagic fishes not identified</x:v>
      </x:c>
      <x:c r="O120" s="32" t="n">
        <x:v>3.35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Marine pelagic fishes not identified</x:v>
      </x:c>
      <x:c r="T120" s="32" t="n">
        <x:f>IF(O120="","",(1/'Metadata'!$B$5)^(O120-1))</x:f>
        <x:v>223.872113856834</x:v>
      </x:c>
      <x:c r="U120" s="31" t="n">
        <x:f>IF(T120="","",I120*T120)</x:f>
        <x:v>13233.183145850315</x:v>
      </x:c>
    </x:row>
    <x:row r="121" ht="18" customHeight="1">
      <x:c r="A121" s="24" t="str">
        <x:v>EEZ_945</x:v>
      </x:c>
      <x:c r="B121" s="24" t="str">
        <x:v>Mexico (Pacific)</x:v>
      </x:c>
      <x:c r="C121" s="24" t="str">
        <x:v>EEZ</x:v>
      </x:c>
      <x:c r="D121" s="30" t="n">
        <x:v>2019</x:v>
      </x:c>
      <x:c r="E121" s="24" t="str">
        <x:v>Coryphaena</x:v>
      </x:c>
      <x:c r="F121" s="24" t="str">
        <x:v>Dolphinfishes</x:v>
      </x:c>
      <x:c r="G121" s="24" t="str">
        <x:v>Large pelagics (&gt;=90 cm)</x:v>
      </x:c>
      <x:c r="H121" s="24" t="str">
        <x:v>Perch-likes</x:v>
      </x:c>
      <x:c r="I121" s="31" t="n">
        <x:v>49.164406114100004</x:v>
      </x:c>
      <x:c r="J121" s="31" t="n">
        <x:v>49.164406114100004</x:v>
      </x:c>
      <x:c r="K121" s="31" t="n">
        <x:v>0</x:v>
      </x:c>
      <x:c r="L121" s="31" t="n">
        <x:v>49.164406114100004</x:v>
      </x:c>
      <x:c r="M121" s="31" t="n">
        <x:v>0</x:v>
      </x:c>
      <x:c r="N121" s="24" t="str">
        <x:v>coryphaena</x:v>
      </x:c>
      <x:c r="O121" s="32" t="n">
        <x:v>4.49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Coryphaena</x:v>
      </x:c>
      <x:c r="T121" s="32" t="n">
        <x:f>IF(O121="","",(1/'Metadata'!$B$5)^(O121-1))</x:f>
        <x:v>3090.295432513592</x:v>
      </x:c>
      <x:c r="U121" s="31" t="n">
        <x:f>IF(T121="","",I121*T121)</x:f>
        <x:v>151932.53965664655</x:v>
      </x:c>
    </x:row>
    <x:row r="122" ht="18" customHeight="1">
      <x:c r="A122" s="24" t="str">
        <x:v>EEZ_945</x:v>
      </x:c>
      <x:c r="B122" s="24" t="str">
        <x:v>Mexico (Pacific)</x:v>
      </x:c>
      <x:c r="C122" s="24" t="str">
        <x:v>EEZ</x:v>
      </x:c>
      <x:c r="D122" s="30" t="n">
        <x:v>2019</x:v>
      </x:c>
      <x:c r="E122" s="24" t="str">
        <x:v>Sphyraenidae</x:v>
      </x:c>
      <x:c r="F122" s="24" t="str">
        <x:v>Barracudas</x:v>
      </x:c>
      <x:c r="G122" s="24" t="str">
        <x:v>Medium reef assoc. fish (30 - 89 cm)</x:v>
      </x:c>
      <x:c r="H122" s="24" t="str">
        <x:v>Perch-likes</x:v>
      </x:c>
      <x:c r="I122" s="31" t="n">
        <x:v>40.5788583608</x:v>
      </x:c>
      <x:c r="J122" s="31" t="n">
        <x:v>40.5788583608</x:v>
      </x:c>
      <x:c r="K122" s="31" t="n">
        <x:v>0</x:v>
      </x:c>
      <x:c r="L122" s="31" t="n">
        <x:v>0</x:v>
      </x:c>
      <x:c r="M122" s="31" t="n">
        <x:v>40.5788583608</x:v>
      </x:c>
      <x:c r="N122" s="24" t="str">
        <x:v>sphyraenidae</x:v>
      </x:c>
      <x:c r="O122" s="32" t="n">
        <x:v>4.4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Sphyraenidae</x:v>
      </x:c>
      <x:c r="T122" s="32" t="n">
        <x:f>IF(O122="","",(1/'Metadata'!$B$5)^(O122-1))</x:f>
        <x:v>2511.886431509582</x:v>
      </x:c>
      <x:c r="U122" s="31" t="n">
        <x:f>IF(T122="","",I122*T122)</x:f>
        <x:v>101929.48372264268</x:v>
      </x:c>
    </x:row>
    <x:row r="123" ht="18" customHeight="1">
      <x:c r="A123" s="24" t="str">
        <x:v>EEZ_945</x:v>
      </x:c>
      <x:c r="B123" s="24" t="str">
        <x:v>Mexico (Pacific)</x:v>
      </x:c>
      <x:c r="C123" s="24" t="str">
        <x:v>EEZ</x:v>
      </x:c>
      <x:c r="D123" s="30" t="n">
        <x:v>2019</x:v>
      </x:c>
      <x:c r="E123" s="24" t="str">
        <x:v>Xiphias gladius</x:v>
      </x:c>
      <x:c r="F123" s="24" t="str">
        <x:v>Swordfish</x:v>
      </x:c>
      <x:c r="G123" s="24" t="str">
        <x:v>Large pelagics (&gt;=90 cm)</x:v>
      </x:c>
      <x:c r="H123" s="24" t="str">
        <x:v>Tuna &amp; billfishes</x:v>
      </x:c>
      <x:c r="I123" s="31" t="n">
        <x:v>37.8908514954</x:v>
      </x:c>
      <x:c r="J123" s="31" t="n">
        <x:v>37.6503147041</x:v>
      </x:c>
      <x:c r="K123" s="31" t="n">
        <x:v>0.2405367913</x:v>
      </x:c>
      <x:c r="L123" s="31" t="n">
        <x:v>37.6503147041</x:v>
      </x:c>
      <x:c r="M123" s="31" t="n">
        <x:v>0.2405367913</x:v>
      </x:c>
      <x:c r="N123" s="24" t="str">
        <x:v>xiphias gladius</x:v>
      </x:c>
      <x:c r="O123" s="32" t="n">
        <x:v>4.53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Xiphias gladius</x:v>
      </x:c>
      <x:c r="T123" s="32" t="n">
        <x:f>IF(O123="","",(1/'Metadata'!$B$5)^(O123-1))</x:f>
        <x:v>3388.4415613920273</x:v>
      </x:c>
      <x:c r="U123" s="31" t="n">
        <x:f>IF(T123="","",I123*T123)</x:f>
        <x:v>128390.93600354661</x:v>
      </x:c>
    </x:row>
    <x:row r="124" ht="18" customHeight="1">
      <x:c r="A124" s="24" t="str">
        <x:v>EEZ_945</x:v>
      </x:c>
      <x:c r="B124" s="24" t="str">
        <x:v>Mexico (Pacific)</x:v>
      </x:c>
      <x:c r="C124" s="24" t="str">
        <x:v>EEZ</x:v>
      </x:c>
      <x:c r="D124" s="30" t="n">
        <x:v>2019</x:v>
      </x:c>
      <x:c r="E124" s="24" t="str">
        <x:v>Clupeidae</x:v>
      </x:c>
      <x:c r="F124" s="24" t="str">
        <x:v>Herrings, sardines, menhadens</x:v>
      </x:c>
      <x:c r="G124" s="24" t="str">
        <x:v>Small pelagics (&lt;30 cm)</x:v>
      </x:c>
      <x:c r="H124" s="24" t="str">
        <x:v>Herring-likes</x:v>
      </x:c>
      <x:c r="I124" s="31" t="n">
        <x:v>33.0225663161</x:v>
      </x:c>
      <x:c r="J124" s="31" t="n">
        <x:v>33.0225663161</x:v>
      </x:c>
      <x:c r="K124" s="31" t="n">
        <x:v>0</x:v>
      </x:c>
      <x:c r="L124" s="31" t="n">
        <x:v>0</x:v>
      </x:c>
      <x:c r="M124" s="31" t="n">
        <x:v>33.0225663161</x:v>
      </x:c>
      <x:c r="N124" s="24" t="str">
        <x:v>clupeidae</x:v>
      </x:c>
      <x:c r="O124" s="32" t="n">
        <x:v>3.16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Clupeidae</x:v>
      </x:c>
      <x:c r="T124" s="32" t="n">
        <x:f>IF(O124="","",(1/'Metadata'!$B$5)^(O124-1))</x:f>
        <x:v>144.5439770745928</x:v>
      </x:c>
      <x:c r="U124" s="31" t="n">
        <x:f>IF(T124="","",I124*T124)</x:f>
        <x:v>4773.213068538578</x:v>
      </x:c>
    </x:row>
    <x:row r="125" ht="18" customHeight="1">
      <x:c r="A125" s="24" t="str">
        <x:v>EEZ_945</x:v>
      </x:c>
      <x:c r="B125" s="24" t="str">
        <x:v>Mexico (Pacific)</x:v>
      </x:c>
      <x:c r="C125" s="24" t="str">
        <x:v>EEZ</x:v>
      </x:c>
      <x:c r="D125" s="30" t="n">
        <x:v>2019</x:v>
      </x:c>
      <x:c r="E125" s="24" t="str">
        <x:v>Galeocerdo cuvier</x:v>
      </x:c>
      <x:c r="F125" s="24" t="str">
        <x:v>Tiger shark</x:v>
      </x:c>
      <x:c r="G125" s="24" t="str">
        <x:v>Large sharks (&gt;=90 cm)</x:v>
      </x:c>
      <x:c r="H125" s="24" t="str">
        <x:v>Sharks &amp; rays</x:v>
      </x:c>
      <x:c r="I125" s="31" t="n">
        <x:v>23.7148508848</x:v>
      </x:c>
      <x:c r="J125" s="31" t="n">
        <x:v>23.7148508848</x:v>
      </x:c>
      <x:c r="K125" s="31" t="n">
        <x:v>0</x:v>
      </x:c>
      <x:c r="L125" s="31" t="n">
        <x:v>17</x:v>
      </x:c>
      <x:c r="M125" s="31" t="n">
        <x:v>6.7148508848</x:v>
      </x:c>
      <x:c r="N125" s="24" t="str">
        <x:v>galeocerdo cuvier</x:v>
      </x:c>
      <x:c r="O125" s="32" t="n">
        <x:v>4.54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Galeocerdo cuvier</x:v>
      </x:c>
      <x:c r="T125" s="32" t="n">
        <x:f>IF(O125="","",(1/'Metadata'!$B$5)^(O125-1))</x:f>
        <x:v>3467.368504525317</x:v>
      </x:c>
      <x:c r="U125" s="31" t="n">
        <x:f>IF(T125="","",I125*T125)</x:f>
        <x:v>82228.12704746987</x:v>
      </x:c>
    </x:row>
    <x:row r="126" ht="18" customHeight="1">
      <x:c r="A126" s="24" t="str">
        <x:v>EEZ_945</x:v>
      </x:c>
      <x:c r="B126" s="24" t="str">
        <x:v>Mexico (Pacific)</x:v>
      </x:c>
      <x:c r="C126" s="24" t="str">
        <x:v>EEZ</x:v>
      </x:c>
      <x:c r="D126" s="30" t="n">
        <x:v>2019</x:v>
      </x:c>
      <x:c r="E126" s="24" t="str">
        <x:v>Totoaba macdonaldi</x:v>
      </x:c>
      <x:c r="F126" s="24" t="str">
        <x:v>Totoaba</x:v>
      </x:c>
      <x:c r="G126" s="24" t="str">
        <x:v>Large benthopelagics (&gt;=90 cm)</x:v>
      </x:c>
      <x:c r="H126" s="24" t="str">
        <x:v>Perch-likes</x:v>
      </x:c>
      <x:c r="I126" s="31" t="n">
        <x:v>23.1245375668</x:v>
      </x:c>
      <x:c r="J126" s="31" t="n">
        <x:v>23.1245375668</x:v>
      </x:c>
      <x:c r="K126" s="31" t="n">
        <x:v>0</x:v>
      </x:c>
      <x:c r="L126" s="31" t="n">
        <x:v>0</x:v>
      </x:c>
      <x:c r="M126" s="31" t="n">
        <x:v>23.1245375668</x:v>
      </x:c>
      <x:c r="N126" s="24" t="str">
        <x:v>totoaba macdonaldi</x:v>
      </x:c>
      <x:c r="O126" s="32" t="n">
        <x:v>4.06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Totoaba macdonaldi</x:v>
      </x:c>
      <x:c r="T126" s="32" t="n">
        <x:f>IF(O126="","",(1/'Metadata'!$B$5)^(O126-1))</x:f>
        <x:v>1148.1536214968817</x:v>
      </x:c>
      <x:c r="U126" s="31" t="n">
        <x:f>IF(T126="","",I126*T126)</x:f>
        <x:v>26550.521552762108</x:v>
      </x:c>
    </x:row>
    <x:row r="127" ht="18" customHeight="1">
      <x:c r="A127" s="24" t="str">
        <x:v>EEZ_945</x:v>
      </x:c>
      <x:c r="B127" s="24" t="str">
        <x:v>Mexico (Pacific)</x:v>
      </x:c>
      <x:c r="C127" s="24" t="str">
        <x:v>EEZ</x:v>
      </x:c>
      <x:c r="D127" s="30" t="n">
        <x:v>2019</x:v>
      </x:c>
      <x:c r="E127" s="24" t="str">
        <x:v>Bodianus pulcher</x:v>
      </x:c>
      <x:c r="F127" s="24" t="str">
        <x:v>California sheephead</x:v>
      </x:c>
      <x:c r="G127" s="24" t="str">
        <x:v>Medium reef assoc. fish (30 - 89 cm)</x:v>
      </x:c>
      <x:c r="H127" s="24" t="str">
        <x:v>Perch-likes</x:v>
      </x:c>
      <x:c r="I127" s="31" t="n">
        <x:v>19.9450629797</x:v>
      </x:c>
      <x:c r="J127" s="31" t="n">
        <x:v>0</x:v>
      </x:c>
      <x:c r="K127" s="31" t="n">
        <x:v>19.9450629797</x:v>
      </x:c>
      <x:c r="L127" s="31" t="n">
        <x:v>0</x:v>
      </x:c>
      <x:c r="M127" s="31" t="n">
        <x:v>19.9450629797</x:v>
      </x:c>
      <x:c r="N127" s="24" t="str">
        <x:v>bodianus pulcher</x:v>
      </x:c>
      <x:c r="O127" s="32" t="n">
        <x:v>3.56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Bodianus pulcher</x:v>
      </x:c>
      <x:c r="T127" s="32" t="n">
        <x:f>IF(O127="","",(1/'Metadata'!$B$5)^(O127-1))</x:f>
        <x:v>363.0780547701014</x:v>
      </x:c>
      <x:c r="U127" s="31" t="n">
        <x:f>IF(T127="","",I127*T127)</x:f>
        <x:v>7241.614668936639</x:v>
      </x:c>
    </x:row>
    <x:row r="128" ht="18" customHeight="1">
      <x:c r="A128" s="24" t="str">
        <x:v>EEZ_945</x:v>
      </x:c>
      <x:c r="B128" s="24" t="str">
        <x:v>Mexico (Pacific)</x:v>
      </x:c>
      <x:c r="C128" s="24" t="str">
        <x:v>EEZ</x:v>
      </x:c>
      <x:c r="D128" s="30" t="n">
        <x:v>2019</x:v>
      </x:c>
      <x:c r="E128" s="24" t="str">
        <x:v>Miscellaneous marine crustaceans</x:v>
      </x:c>
      <x:c r="F128" s="24" t="str">
        <x:v>Marine crabs, shrimps, lobsters nei</x:v>
      </x:c>
      <x:c r="G128" s="24" t="str">
        <x:v>Shrimps</x:v>
      </x:c>
      <x:c r="H128" s="24" t="str">
        <x:v>Crustaceans</x:v>
      </x:c>
      <x:c r="I128" s="31" t="n">
        <x:v>18.7542408456</x:v>
      </x:c>
      <x:c r="J128" s="31" t="n">
        <x:v>0</x:v>
      </x:c>
      <x:c r="K128" s="31" t="n">
        <x:v>18.7542408456</x:v>
      </x:c>
      <x:c r="L128" s="31" t="n">
        <x:v>0</x:v>
      </x:c>
      <x:c r="M128" s="31" t="n">
        <x:v>18.7542408456</x:v>
      </x:c>
      <x:c r="N128" s="24" t="str">
        <x:v>miscellaneous marine crustaceans</x:v>
      </x:c>
      <x:c r="O128" s="32" t="n">
        <x:v>2.7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Miscellaneous marine crustaceans</x:v>
      </x:c>
      <x:c r="T128" s="32" t="n">
        <x:f>IF(O128="","",(1/'Metadata'!$B$5)^(O128-1))</x:f>
        <x:v>50.11872336272725</x:v>
      </x:c>
      <x:c r="U128" s="31" t="n">
        <x:f>IF(T128="","",I128*T128)</x:f>
        <x:v>939.9386088185863</x:v>
      </x:c>
    </x:row>
    <x:row r="129" ht="18" customHeight="1">
      <x:c r="A129" s="24" t="str">
        <x:v>EEZ_945</x:v>
      </x:c>
      <x:c r="B129" s="24" t="str">
        <x:v>Mexico (Pacific)</x:v>
      </x:c>
      <x:c r="C129" s="24" t="str">
        <x:v>EEZ</x:v>
      </x:c>
      <x:c r="D129" s="30" t="n">
        <x:v>2019</x:v>
      </x:c>
      <x:c r="E129" s="24" t="str">
        <x:v>Haliotis corrugata</x:v>
      </x:c>
      <x:c r="F129" s="24" t="str">
        <x:v>Pink abalone</x:v>
      </x:c>
      <x:c r="G129" s="24" t="str">
        <x:v>Other demersal invertebrates</x:v>
      </x:c>
      <x:c r="H129" s="24" t="str">
        <x:v>Molluscs</x:v>
      </x:c>
      <x:c r="I129" s="31" t="n">
        <x:v>13.9943182051</x:v>
      </x:c>
      <x:c r="J129" s="31" t="n">
        <x:v>13.9943182051</x:v>
      </x:c>
      <x:c r="K129" s="31" t="n">
        <x:v>0</x:v>
      </x:c>
      <x:c r="L129" s="31" t="n">
        <x:v>0</x:v>
      </x:c>
      <x:c r="M129" s="31" t="n">
        <x:v>13.9943182051</x:v>
      </x:c>
      <x:c r="N129" s="24" t="str">
        <x:v>haliotis corrugata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Haliotis corrugata</x:v>
      </x:c>
      <x:c r="T129" s="32" t="n">
        <x:f>IF(O129="","",(1/'Metadata'!$B$5)^(O129-1))</x:f>
        <x:v>10</x:v>
      </x:c>
      <x:c r="U129" s="31" t="n">
        <x:f>IF(T129="","",I129*T129)</x:f>
        <x:v>139.943182051</x:v>
      </x:c>
    </x:row>
    <x:row r="130" ht="18" customHeight="1">
      <x:c r="A130" s="24" t="str">
        <x:v>EEZ_945</x:v>
      </x:c>
      <x:c r="B130" s="24" t="str">
        <x:v>Mexico (Pacific)</x:v>
      </x:c>
      <x:c r="C130" s="24" t="str">
        <x:v>EEZ</x:v>
      </x:c>
      <x:c r="D130" s="30" t="n">
        <x:v>2019</x:v>
      </x:c>
      <x:c r="E130" s="24" t="str">
        <x:v>Lutjanidae</x:v>
      </x:c>
      <x:c r="F130" s="24" t="str">
        <x:v>Snappers</x:v>
      </x:c>
      <x:c r="G130" s="24" t="str">
        <x:v>Medium reef assoc. fish (30 - 89 cm)</x:v>
      </x:c>
      <x:c r="H130" s="24" t="str">
        <x:v>Perch-likes</x:v>
      </x:c>
      <x:c r="I130" s="31" t="n">
        <x:v>12.7242916081</x:v>
      </x:c>
      <x:c r="J130" s="31" t="n">
        <x:v>12.7242916081</x:v>
      </x:c>
      <x:c r="K130" s="31" t="n">
        <x:v>0</x:v>
      </x:c>
      <x:c r="L130" s="31" t="n">
        <x:v>0</x:v>
      </x:c>
      <x:c r="M130" s="31" t="n">
        <x:v>12.7242916081</x:v>
      </x:c>
      <x:c r="N130" s="24" t="str">
        <x:v>lutjanidae</x:v>
      </x:c>
      <x:c r="O130" s="32" t="n">
        <x:v>4.02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Lutjanidae</x:v>
      </x:c>
      <x:c r="T130" s="32" t="n">
        <x:f>IF(O130="","",(1/'Metadata'!$B$5)^(O130-1))</x:f>
        <x:v>1047.1285480508984</x:v>
      </x:c>
      <x:c r="U130" s="31" t="n">
        <x:f>IF(T130="","",I130*T130)</x:f>
        <x:v>13323.968996565984</x:v>
      </x:c>
    </x:row>
    <x:row r="131" ht="18" customHeight="1">
      <x:c r="A131" s="24" t="str">
        <x:v>EEZ_945</x:v>
      </x:c>
      <x:c r="B131" s="24" t="str">
        <x:v>Mexico (Pacific)</x:v>
      </x:c>
      <x:c r="C131" s="24" t="str">
        <x:v>EEZ</x:v>
      </x:c>
      <x:c r="D131" s="30" t="n">
        <x:v>2019</x:v>
      </x:c>
      <x:c r="E131" s="24" t="str">
        <x:v>Scorpaena</x:v>
      </x:c>
      <x:c r="F131" s="24" t="str">
        <x:v>Scorpionfishes</x:v>
      </x:c>
      <x:c r="G131" s="24" t="str">
        <x:v>Large reef assoc. fish (&gt;=90 cm)</x:v>
      </x:c>
      <x:c r="H131" s="24" t="str">
        <x:v>Scorpionfishes</x:v>
      </x:c>
      <x:c r="I131" s="31" t="n">
        <x:v>5.605474264</x:v>
      </x:c>
      <x:c r="J131" s="31" t="n">
        <x:v>0</x:v>
      </x:c>
      <x:c r="K131" s="31" t="n">
        <x:v>5.605474264</x:v>
      </x:c>
      <x:c r="L131" s="31" t="n">
        <x:v>0</x:v>
      </x:c>
      <x:c r="M131" s="31" t="n">
        <x:v>5.605474264</x:v>
      </x:c>
      <x:c r="N131" s="24" t="str">
        <x:v>scorpaena</x:v>
      </x:c>
      <x:c r="O131" s="32" t="n">
        <x:v>3.87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Scorpaena</x:v>
      </x:c>
      <x:c r="T131" s="32" t="n">
        <x:f>IF(O131="","",(1/'Metadata'!$B$5)^(O131-1))</x:f>
        <x:v>741.3102413009177</x:v>
      </x:c>
      <x:c r="U131" s="31" t="n">
        <x:f>IF(T131="","",I131*T131)</x:f>
        <x:v>4155.3954792519235</x:v>
      </x:c>
    </x:row>
    <x:row r="132" ht="18" customHeight="1">
      <x:c r="A132" s="24" t="str">
        <x:v>EEZ_945</x:v>
      </x:c>
      <x:c r="B132" s="24" t="str">
        <x:v>Mexico (Pacific)</x:v>
      </x:c>
      <x:c r="C132" s="24" t="str">
        <x:v>EEZ</x:v>
      </x:c>
      <x:c r="D132" s="30" t="n">
        <x:v>2019</x:v>
      </x:c>
      <x:c r="E132" s="24" t="str">
        <x:v>Thunnus obesus</x:v>
      </x:c>
      <x:c r="F132" s="24" t="str">
        <x:v>Bigeye tuna</x:v>
      </x:c>
      <x:c r="G132" s="24" t="str">
        <x:v>Large pelagics (&gt;=90 cm)</x:v>
      </x:c>
      <x:c r="H132" s="24" t="str">
        <x:v>Tuna &amp; billfishes</x:v>
      </x:c>
      <x:c r="I132" s="31" t="n">
        <x:v>5.538206933200001</x:v>
      </x:c>
      <x:c r="J132" s="31" t="n">
        <x:v>5.4935281090000005</x:v>
      </x:c>
      <x:c r="K132" s="31" t="n">
        <x:v>0.0446788242</x:v>
      </x:c>
      <x:c r="L132" s="31" t="n">
        <x:v>5.4935281090000005</x:v>
      </x:c>
      <x:c r="M132" s="31" t="n">
        <x:v>0.0446788242</x:v>
      </x:c>
      <x:c r="N132" s="24" t="str">
        <x:v>thunnus obesus</x:v>
      </x:c>
      <x:c r="O132" s="32" t="n">
        <x:v>4.49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Thunnus obesus</x:v>
      </x:c>
      <x:c r="T132" s="32" t="n">
        <x:f>IF(O132="","",(1/'Metadata'!$B$5)^(O132-1))</x:f>
        <x:v>3090.295432513592</x:v>
      </x:c>
      <x:c r="U132" s="31" t="n">
        <x:f>IF(T132="","",I132*T132)</x:f>
        <x:v>17114.69558998307</x:v>
      </x:c>
    </x:row>
    <x:row r="133" ht="18" customHeight="1">
      <x:c r="A133" s="24" t="str">
        <x:v>EEZ_945</x:v>
      </x:c>
      <x:c r="B133" s="24" t="str">
        <x:v>Mexico (Pacific)</x:v>
      </x:c>
      <x:c r="C133" s="24" t="str">
        <x:v>EEZ</x:v>
      </x:c>
      <x:c r="D133" s="30" t="n">
        <x:v>2019</x:v>
      </x:c>
      <x:c r="E133" s="24" t="str">
        <x:v>Seriola lalandi</x:v>
      </x:c>
      <x:c r="F133" s="24" t="str">
        <x:v>Yellowtail amberjack</x:v>
      </x:c>
      <x:c r="G133" s="24" t="str">
        <x:v>Large benthopelagics (&gt;=90 cm)</x:v>
      </x:c>
      <x:c r="H133" s="24" t="str">
        <x:v>Perch-likes</x:v>
      </x:c>
      <x:c r="I133" s="31" t="n">
        <x:v>4.953676249</x:v>
      </x:c>
      <x:c r="J133" s="31" t="n">
        <x:v>0</x:v>
      </x:c>
      <x:c r="K133" s="31" t="n">
        <x:v>4.953676249</x:v>
      </x:c>
      <x:c r="L133" s="31" t="n">
        <x:v>0</x:v>
      </x:c>
      <x:c r="M133" s="31" t="n">
        <x:v>4.953676249</x:v>
      </x:c>
      <x:c r="N133" s="24" t="str">
        <x:v>seriola lalandi</x:v>
      </x:c>
      <x:c r="O133" s="32" t="n">
        <x:v>4.16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Seriola lalandi</x:v>
      </x:c>
      <x:c r="T133" s="32" t="n">
        <x:f>IF(O133="","",(1/'Metadata'!$B$5)^(O133-1))</x:f>
        <x:v>1445.439770745928</x:v>
      </x:c>
      <x:c r="U133" s="31" t="n">
        <x:f>IF(T133="","",I133*T133)</x:f>
        <x:v>7160.240661704108</x:v>
      </x:c>
    </x:row>
    <x:row r="134" ht="18" customHeight="1">
      <x:c r="A134" s="24" t="str">
        <x:v>EEZ_945</x:v>
      </x:c>
      <x:c r="B134" s="24" t="str">
        <x:v>Mexico (Pacific)</x:v>
      </x:c>
      <x:c r="C134" s="24" t="str">
        <x:v>EEZ</x:v>
      </x:c>
      <x:c r="D134" s="30" t="n">
        <x:v>2019</x:v>
      </x:c>
      <x:c r="E134" s="24" t="str">
        <x:v>Istiompax indica</x:v>
      </x:c>
      <x:c r="F134" s="24" t="str">
        <x:v>Black marlin</x:v>
      </x:c>
      <x:c r="G134" s="24" t="str">
        <x:v>Large pelagics (&gt;=90 cm)</x:v>
      </x:c>
      <x:c r="H134" s="24" t="str">
        <x:v>Tuna &amp; billfishes</x:v>
      </x:c>
      <x:c r="I134" s="31" t="n">
        <x:v>3.9933272741000003</x:v>
      </x:c>
      <x:c r="J134" s="31" t="n">
        <x:v>3.9933272741000003</x:v>
      </x:c>
      <x:c r="K134" s="31" t="n">
        <x:v>0</x:v>
      </x:c>
      <x:c r="L134" s="31" t="n">
        <x:v>3.9933272741000003</x:v>
      </x:c>
      <x:c r="M134" s="31" t="n">
        <x:v>0</x:v>
      </x:c>
      <x:c r="N134" s="24" t="str">
        <x:v>istiompax indica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Istiompax indica</x:v>
      </x:c>
      <x:c r="T134" s="32" t="n">
        <x:f>IF(O134="","",(1/'Metadata'!$B$5)^(O134-1))</x:f>
        <x:v>3162.2776601683795</x:v>
      </x:c>
      <x:c r="U134" s="31" t="n">
        <x:f>IF(T134="","",I134*T134)</x:f>
        <x:v>12628.009628627522</x:v>
      </x:c>
    </x:row>
    <x:row r="135" ht="18" customHeight="1">
      <x:c r="A135" s="24" t="str">
        <x:v>EEZ_945</x:v>
      </x:c>
      <x:c r="B135" s="24" t="str">
        <x:v>Mexico (Pacific)</x:v>
      </x:c>
      <x:c r="C135" s="24" t="str">
        <x:v>EEZ</x:v>
      </x:c>
      <x:c r="D135" s="30" t="n">
        <x:v>2019</x:v>
      </x:c>
      <x:c r="E135" s="24" t="str">
        <x:v>Miscellaneous aquatic invertebrates</x:v>
      </x:c>
      <x:c r="F135" s="24" t="str">
        <x:v>Aquatic invertebrates</x:v>
      </x:c>
      <x:c r="G135" s="24" t="str">
        <x:v>Other demersal invertebrates</x:v>
      </x:c>
      <x:c r="H135" s="24" t="str">
        <x:v>Other fishes &amp; inverts</x:v>
      </x:c>
      <x:c r="I135" s="31" t="n">
        <x:v>1.4339580619</x:v>
      </x:c>
      <x:c r="J135" s="31" t="n">
        <x:v>0</x:v>
      </x:c>
      <x:c r="K135" s="31" t="n">
        <x:v>1.4339580619</x:v>
      </x:c>
      <x:c r="L135" s="31" t="n">
        <x:v>0</x:v>
      </x:c>
      <x:c r="M135" s="31" t="n">
        <x:v>1.4339580619</x:v>
      </x:c>
      <x:c r="N135" s="24" t="str">
        <x:v>miscellaneous aquatic invertebrates</x:v>
      </x:c>
      <x:c r="O135" s="32" t="n">
        <x:v>2.43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Miscellaneous aquatic invertebrates</x:v>
      </x:c>
      <x:c r="T135" s="32" t="n">
        <x:f>IF(O135="","",(1/'Metadata'!$B$5)^(O135-1))</x:f>
        <x:v>26.915348039269166</x:v>
      </x:c>
      <x:c r="U135" s="31" t="n">
        <x:f>IF(T135="","",I135*T135)</x:f>
        <x:v>38.59548030975438</x:v>
      </x:c>
    </x:row>
    <x:row r="136" ht="18" customHeight="1">
      <x:c r="A136" s="24" t="str">
        <x:v>EEZ_945</x:v>
      </x:c>
      <x:c r="B136" s="24" t="str">
        <x:v>Mexico (Pacific)</x:v>
      </x:c>
      <x:c r="C136" s="24" t="str">
        <x:v>EEZ</x:v>
      </x:c>
      <x:c r="D136" s="30" t="n">
        <x:v>2019</x:v>
      </x:c>
      <x:c r="E136" s="24" t="str">
        <x:v>Trichiuridae</x:v>
      </x:c>
      <x:c r="F136" s="24" t="str">
        <x:v>Cutlassfishes</x:v>
      </x:c>
      <x:c r="G136" s="24" t="str">
        <x:v>Large benthopelagics (&gt;=90 cm)</x:v>
      </x:c>
      <x:c r="H136" s="24" t="str">
        <x:v>Perch-likes</x:v>
      </x:c>
      <x:c r="I136" s="31" t="n">
        <x:v>0.075739831</x:v>
      </x:c>
      <x:c r="J136" s="31" t="n">
        <x:v>0.075739831</x:v>
      </x:c>
      <x:c r="K136" s="31" t="n">
        <x:v>0</x:v>
      </x:c>
      <x:c r="L136" s="31" t="n">
        <x:v>0</x:v>
      </x:c>
      <x:c r="M136" s="31" t="n">
        <x:v>0.075739831</x:v>
      </x:c>
      <x:c r="N136" s="24" t="str">
        <x:v>trichiuridae</x:v>
      </x:c>
      <x:c r="O136" s="32" t="n">
        <x:v>4.15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Trichiuridae</x:v>
      </x:c>
      <x:c r="T136" s="32" t="n">
        <x:f>IF(O136="","",(1/'Metadata'!$B$5)^(O136-1))</x:f>
        <x:v>1412.5375446227554</x:v>
      </x:c>
      <x:c r="U136" s="31" t="n">
        <x:f>IF(T136="","",I136*T136)</x:f>
        <x:v>106.98535491088244</x:v>
      </x:c>
    </x:row>
    <x:row r="137" ht="18" customHeight="1">
      <x:c r="A137" s="24" t="str">
        <x:v>EEZ_945</x:v>
      </x:c>
      <x:c r="B137" s="24" t="str">
        <x:v>Mexico (Pacific)</x:v>
      </x:c>
      <x:c r="C137" s="24" t="str">
        <x:v>EEZ</x:v>
      </x:c>
      <x:c r="D137" s="30" t="n">
        <x:v>2019</x:v>
      </x:c>
      <x:c r="E137" s="24" t="str">
        <x:v>Isurus</x:v>
      </x:c>
      <x:c r="F137" s="24" t="str">
        <x:v>Mako sharks</x:v>
      </x:c>
      <x:c r="G137" s="24" t="str">
        <x:v>Large sharks (&gt;=90 cm)</x:v>
      </x:c>
      <x:c r="H137" s="24" t="str">
        <x:v>Sharks &amp; rays</x:v>
      </x:c>
      <x:c r="I137" s="31" t="n">
        <x:v>0.0181250819</x:v>
      </x:c>
      <x:c r="J137" s="31" t="n">
        <x:v>0</x:v>
      </x:c>
      <x:c r="K137" s="31" t="n">
        <x:v>0.0181250819</x:v>
      </x:c>
      <x:c r="L137" s="31" t="n">
        <x:v>0</x:v>
      </x:c>
      <x:c r="M137" s="31" t="n">
        <x:v>0.0181250819</x:v>
      </x:c>
      <x:c r="N137" s="24" t="str">
        <x:v>isurus</x:v>
      </x:c>
      <x:c r="O137" s="32" t="n">
        <x:v>4.5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Isurus</x:v>
      </x:c>
      <x:c r="T137" s="32" t="n">
        <x:f>IF(O137="","",(1/'Metadata'!$B$5)^(O137-1))</x:f>
        <x:v>3162.2776601683795</x:v>
      </x:c>
      <x:c r="U137" s="31" t="n">
        <x:f>IF(T137="","",I137*T137)</x:f>
        <x:v>57.316541581092245</x:v>
      </x:c>
    </x:row>
  </x:sheetData>
  <x:conditionalFormatting sqref="R2:R1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4e67e513fc54b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273372.4825</x:v>
      </x:c>
      <x:c r="C2" s="32" t="n">
        <x:v>2.563934106919485</x:v>
      </x:c>
      <x:c r="D2" s="32" t="n">
        <x:f>IF(C2="","",(1/'Metadata'!$B$5)^(C2-1))</x:f>
        <x:v>36.638198133508716</x:v>
      </x:c>
      <x:c r="E2" s="31" t="n">
        <x:f>IF(B2=0,"",B2*D2)</x:f>
        <x:v>10015875.178084144</x:v>
      </x:c>
    </x:row>
    <x:row r="3" ht="18" customHeight="1">
      <x:c r="A3" s="24" t="str">
        <x:v>Cod-likes</x:v>
      </x:c>
      <x:c r="B3" s="31" t="n">
        <x:v>12169.482604138999</x:v>
      </x:c>
      <x:c r="C3" s="32" t="n">
        <x:v>4.338311195717279</x:v>
      </x:c>
      <x:c r="D3" s="32" t="n">
        <x:f>IF(C3="","",(1/'Metadata'!$B$5)^(C3-1))</x:f>
        <x:v>2179.270779557378</x:v>
      </x:c>
      <x:c r="E3" s="31" t="n">
        <x:f>IF(B3=0,"",B3*D3)</x:f>
        <x:v>26520597.841531944</x:v>
      </x:c>
    </x:row>
    <x:row r="4" ht="18" customHeight="1">
      <x:c r="A4" s="24" t="str">
        <x:v>Crustaceans</x:v>
      </x:c>
      <x:c r="B4" s="31" t="n">
        <x:v>156251.4075409981</x:v>
      </x:c>
      <x:c r="C4" s="32" t="n">
        <x:v>3.1207438077424494</x:v>
      </x:c>
      <x:c r="D4" s="32" t="n">
        <x:f>IF(C4="","",(1/'Metadata'!$B$5)^(C4-1))</x:f>
        <x:v>132.05164258334227</x:v>
      </x:c>
      <x:c r="E4" s="31" t="n">
        <x:f>IF(B4=0,"",B4*D4)</x:f>
        <x:v>20633255.021748032</x:v>
      </x:c>
    </x:row>
    <x:row r="5" ht="18" customHeight="1">
      <x:c r="A5" s="24" t="str">
        <x:v>Flatfishes</x:v>
      </x:c>
      <x:c r="B5" s="31" t="n">
        <x:v>37928.2351066383</x:v>
      </x:c>
      <x:c r="C5" s="32" t="n">
        <x:v>3.7698201660295982</x:v>
      </x:c>
      <x:c r="D5" s="32" t="n">
        <x:f>IF(C5="","",(1/'Metadata'!$B$5)^(C5-1))</x:f>
        <x:v>588.5998756727857</x:v>
      </x:c>
      <x:c r="E5" s="31" t="n">
        <x:f>IF(B5=0,"",B5*D5)</x:f>
        <x:v>22324554.46825549</x:v>
      </x:c>
    </x:row>
    <x:row r="6" ht="18" customHeight="1">
      <x:c r="A6" s="24" t="str">
        <x:v>Herring-likes</x:v>
      </x:c>
      <x:c r="B6" s="31" t="n">
        <x:v>395472.3371909046</x:v>
      </x:c>
      <x:c r="C6" s="32" t="n">
        <x:v>2.8723669091804065</x:v>
      </x:c>
      <x:c r="D6" s="32" t="n">
        <x:f>IF(C6="","",(1/'Metadata'!$B$5)^(C6-1))</x:f>
        <x:v>74.53614188284091</x:v>
      </x:c>
      <x:c r="E6" s="31" t="n">
        <x:f>IF(B6=0,"",B6*D6)</x:f>
        <x:v>29476982.235599965</x:v>
      </x:c>
    </x:row>
    <x:row r="7" ht="18" customHeight="1">
      <x:c r="A7" s="24" t="str">
        <x:v>Molluscs</x:v>
      </x:c>
      <x:c r="B7" s="31" t="n">
        <x:v>44429.685367889695</x:v>
      </x:c>
      <x:c r="C7" s="32" t="n">
        <x:v>2.322440243159607</x:v>
      </x:c>
      <x:c r="D7" s="32" t="n">
        <x:f>IF(C7="","",(1/'Metadata'!$B$5)^(C7-1))</x:f>
        <x:v>21.010686521744592</x:v>
      </x:c>
      <x:c r="E7" s="31" t="n">
        <x:f>IF(B7=0,"",B7*D7)</x:f>
        <x:v>933498.1915244729</x:v>
      </x:c>
    </x:row>
    <x:row r="8" ht="18" customHeight="1">
      <x:c r="A8" s="24" t="str">
        <x:v>Other fishes &amp; inverts</x:v>
      </x:c>
      <x:c r="B8" s="31" t="n">
        <x:v>770078.4488474998</x:v>
      </x:c>
      <x:c r="C8" s="32" t="n">
        <x:v>3.4447260526391412</x:v>
      </x:c>
      <x:c r="D8" s="32" t="n">
        <x:f>IF(C8="","",(1/'Metadata'!$B$5)^(C8-1))</x:f>
        <x:v>278.4364273483092</x:v>
      </x:c>
      <x:c r="E8" s="31" t="n">
        <x:f>IF(B8=0,"",B8*D8)</x:f>
        <x:v>214417892.07502553</x:v>
      </x:c>
    </x:row>
    <x:row r="9" ht="18" customHeight="1">
      <x:c r="A9" s="24" t="str">
        <x:v>Perch-likes</x:v>
      </x:c>
      <x:c r="B9" s="31" t="n">
        <x:v>334718.76992059965</x:v>
      </x:c>
      <x:c r="C9" s="32" t="n">
        <x:v>3.6986200266081095</x:v>
      </x:c>
      <x:c r="D9" s="32" t="n">
        <x:f>IF(C9="","",(1/'Metadata'!$B$5)^(C9-1))</x:f>
        <x:v>499.59723555678227</x:v>
      </x:c>
      <x:c r="E9" s="31" t="n">
        <x:f>IF(B9=0,"",B9*D9)</x:f>
        <x:v>167224572.14129823</x:v>
      </x:c>
    </x:row>
    <x:row r="10" ht="18" customHeight="1">
      <x:c r="A10" s="24" t="str">
        <x:v>Scorpionfishes</x:v>
      </x:c>
      <x:c r="B10" s="31" t="n">
        <x:v>30342.6622833721</x:v>
      </x:c>
      <x:c r="C10" s="32" t="n">
        <x:v>3.594874476458923</x:v>
      </x:c>
      <x:c r="D10" s="32" t="n">
        <x:f>IF(C10="","",(1/'Metadata'!$B$5)^(C10-1))</x:f>
        <x:v>393.4363446513808</x:v>
      </x:c>
      <x:c r="E10" s="31" t="n">
        <x:f>IF(B10=0,"",B10*D10)</x:f>
        <x:v>11937906.135761239</x:v>
      </x:c>
    </x:row>
    <x:row r="11" ht="18" customHeight="1">
      <x:c r="A11" s="24" t="str">
        <x:v>Sharks &amp; rays</x:v>
      </x:c>
      <x:c r="B11" s="31" t="n">
        <x:v>51169.99068966109</x:v>
      </x:c>
      <x:c r="C11" s="32" t="n">
        <x:v>4.038833102598189</x:v>
      </x:c>
      <x:c r="D11" s="32" t="n">
        <x:f>IF(C11="","",(1/'Metadata'!$B$5)^(C11-1))</x:f>
        <x:v>1093.5360445657748</x:v>
      </x:c>
      <x:c r="E11" s="31" t="n">
        <x:f>IF(B11=0,"",B11*D11)</x:f>
        <x:v>55956229.21923951</x:v>
      </x:c>
    </x:row>
    <x:row r="12" ht="18" customHeight="1">
      <x:c r="A12" s="24" t="str">
        <x:v>Tuna &amp; billfishes</x:v>
      </x:c>
      <x:c r="B12" s="31" t="n">
        <x:v>56538.515952865506</x:v>
      </x:c>
      <x:c r="C12" s="32" t="n">
        <x:v>4.365199561180799</x:v>
      </x:c>
      <x:c r="D12" s="32" t="n">
        <x:f>IF(C12="","",(1/'Metadata'!$B$5)^(C12-1))</x:f>
        <x:v>2318.459752797205</x:v>
      </x:c>
      <x:c r="E12" s="31" t="n">
        <x:f>IF(B12=0,"",B12*D12)</x:f>
        <x:v>131082273.7196014</x:v>
      </x:c>
    </x:row>
  </x:sheetData>
  <x:pageMargins left="0.7" right="0.7" top="0.75" bottom="0.75" header="0.3" footer="0.3"/>
  <x:tableParts count="1">
    <x:tablePart xmlns:r="http://schemas.openxmlformats.org/officeDocument/2006/relationships" r:id="R5ef73d3b144f42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15884</x:v>
      </x:c>
      <x:c r="C2" s="32" t="n">
        <x:v>3.9952228657768822</x:v>
      </x:c>
      <x:c r="D2" s="32" t="n">
        <x:f>IF(C2="","",(1/'Metadata'!$B$5)^(C2-1))</x:f>
        <x:v>989.0605180791426</x:v>
      </x:c>
      <x:c r="E2" s="31" t="n">
        <x:f>IF(B2=0,"",B2*D2)</x:f>
        <x:v>15710237.269169101</x:v>
      </x:c>
    </x:row>
    <x:row r="3" ht="18" customHeight="1">
      <x:c r="A3" s="24" t="str">
        <x:v>Jellyfish</x:v>
      </x:c>
      <x:c r="B3" s="31" t="n">
        <x:v>144859.8609894506</x:v>
      </x:c>
      <x:c r="C3" s="32" t="n">
        <x:v>3.430276088424329</x:v>
      </x:c>
      <x:c r="D3" s="32" t="n">
        <x:f>IF(C3="","",(1/'Metadata'!$B$5)^(C3-1))</x:f>
        <x:v>269.32464025892784</x:v>
      </x:c>
      <x:c r="E3" s="31" t="n">
        <x:f>IF(B3=0,"",B3*D3)</x:f>
        <x:v>39014329.94894207</x:v>
      </x:c>
    </x:row>
    <x:row r="4" ht="18" customHeight="1">
      <x:c r="A4" s="24" t="str">
        <x:v>Large bathydemersals (&gt;=90 cm)</x:v>
      </x:c>
      <x:c r="B4" s="31" t="n">
        <x:v>201.4679504609</x:v>
      </x:c>
      <x:c r="C4" s="32" t="n">
        <x:v>4.35</x:v>
      </x:c>
      <x:c r="D4" s="32" t="n">
        <x:f>IF(C4="","",(1/'Metadata'!$B$5)^(C4-1))</x:f>
        <x:v>2238.7211385683377</x:v>
      </x:c>
      <x:c r="E4" s="31" t="n">
        <x:f>IF(B4=0,"",B4*D4)</x:f>
        <x:v>451030.5594408555</x:v>
      </x:c>
    </x:row>
    <x:row r="5" ht="18" customHeight="1">
      <x:c r="A5" s="24" t="str">
        <x:v>Large benthopelagics (&gt;=90 cm)</x:v>
      </x:c>
      <x:c r="B5" s="31" t="n">
        <x:v>18905.7583357119</x:v>
      </x:c>
      <x:c r="C5" s="32" t="n">
        <x:v>2.0852421851728864</x:v>
      </x:c>
      <x:c r="D5" s="32" t="n">
        <x:f>IF(C5="","",(1/'Metadata'!$B$5)^(C5-1))</x:f>
        <x:v>12.168643983014084</x:v>
      </x:c>
      <x:c r="E5" s="31" t="n">
        <x:f>IF(B5=0,"",B5*D5)</x:f>
        <x:v>230057.44241617896</x:v>
      </x:c>
    </x:row>
    <x:row r="6" ht="18" customHeight="1">
      <x:c r="A6" s="24" t="str">
        <x:v>Large demersals (&gt;=90 cm)</x:v>
      </x:c>
      <x:c r="B6" s="31" t="n">
        <x:v>1268.7575989292</x:v>
      </x:c>
      <x:c r="C6" s="32" t="n">
        <x:v>4.424999999999999</x:v>
      </x:c>
      <x:c r="D6" s="32" t="n">
        <x:f>IF(C6="","",(1/'Metadata'!$B$5)^(C6-1))</x:f>
        <x:v>2660.725059798803</x:v>
      </x:c>
      <x:c r="E6" s="31" t="n">
        <x:f>IF(B6=0,"",B6*D6)</x:f>
        <x:v>3375815.1382810813</x:v>
      </x:c>
    </x:row>
    <x:row r="7" ht="18" customHeight="1">
      <x:c r="A7" s="24" t="str">
        <x:v>Large pelagics (&gt;=90 cm)</x:v>
      </x:c>
      <x:c r="B7" s="31" t="n">
        <x:v>82978.68761039329</x:v>
      </x:c>
      <x:c r="C7" s="32" t="n">
        <x:v>4.388444374874288</x:v>
      </x:c>
      <x:c r="D7" s="32" t="n">
        <x:f>IF(C7="","",(1/'Metadata'!$B$5)^(C7-1))</x:f>
        <x:v>2445.9319771427245</x:v>
      </x:c>
      <x:c r="E7" s="31" t="n">
        <x:f>IF(B7=0,"",B7*D7)</x:f>
        <x:v>202960225.44759774</x:v>
      </x:c>
    </x:row>
    <x:row r="8" ht="18" customHeight="1">
      <x:c r="A8" s="24" t="str">
        <x:v>Large rays (&gt;=90 cm)</x:v>
      </x:c>
      <x:c r="B8" s="31" t="n">
        <x:v>10996.4621928257</x:v>
      </x:c>
      <x:c r="C8" s="32" t="n">
        <x:v>3.6037909268773896</x:v>
      </x:c>
      <x:c r="D8" s="32" t="n">
        <x:f>IF(C8="","",(1/'Metadata'!$B$5)^(C8-1))</x:f>
        <x:v>401.597431825812</x:v>
      </x:c>
      <x:c r="E8" s="31" t="n">
        <x:f>IF(B8=0,"",B8*D8)</x:f>
        <x:v>4416150.975808438</x:v>
      </x:c>
    </x:row>
    <x:row r="9" ht="18" customHeight="1">
      <x:c r="A9" s="24" t="str">
        <x:v>Large reef assoc. fish (&gt;=90 cm)</x:v>
      </x:c>
      <x:c r="B9" s="31" t="n">
        <x:v>10696.894637037803</x:v>
      </x:c>
      <x:c r="C9" s="32" t="n">
        <x:v>3.555347493741763</x:v>
      </x:c>
      <x:c r="D9" s="32" t="n">
        <x:f>IF(C9="","",(1/'Metadata'!$B$5)^(C9-1))</x:f>
        <x:v>359.2092351799692</x:v>
      </x:c>
      <x:c r="E9" s="31" t="n">
        <x:f>IF(B9=0,"",B9*D9)</x:f>
        <x:v>3842423.3413710636</x:v>
      </x:c>
    </x:row>
    <x:row r="10" ht="18" customHeight="1">
      <x:c r="A10" s="24" t="str">
        <x:v>Large sharks (&gt;=90 cm)</x:v>
      </x:c>
      <x:c r="B10" s="31" t="n">
        <x:v>40173.52849683539</x:v>
      </x:c>
      <x:c r="C10" s="32" t="n">
        <x:v>4.15791462260894</x:v>
      </x:c>
      <x:c r="D10" s="32" t="n">
        <x:f>IF(C10="","",(1/'Metadata'!$B$5)^(C10-1))</x:f>
        <x:v>1438.5157545032594</x:v>
      </x:c>
      <x:c r="E10" s="31" t="n">
        <x:f>IF(B10=0,"",B10*D10)</x:f>
        <x:v>57790253.65668335</x:v>
      </x:c>
    </x:row>
    <x:row r="11" ht="18" customHeight="1">
      <x:c r="A11" s="24" t="str">
        <x:v>Lobsters, crabs</x:v>
      </x:c>
      <x:c r="B11" s="31" t="n">
        <x:v>59245.6288788689</x:v>
      </x:c>
      <x:c r="C11" s="32" t="n">
        <x:v>3.50738929566514</x:v>
      </x:c>
      <x:c r="D11" s="32" t="n">
        <x:f>IF(C11="","",(1/'Metadata'!$B$5)^(C11-1))</x:f>
        <x:v>321.65425117140785</x:v>
      </x:c>
      <x:c r="E11" s="31" t="n">
        <x:f>IF(B11=0,"",B11*D11)</x:f>
        <x:v>19056608.39221171</x:v>
      </x:c>
    </x:row>
    <x:row r="12" ht="18" customHeight="1">
      <x:c r="A12" s="24" t="str">
        <x:v>Medium benthopelagics (30 - 89 cm)</x:v>
      </x:c>
      <x:c r="B12" s="31" t="n">
        <x:v>14108.2772191283</x:v>
      </x:c>
      <x:c r="C12" s="32" t="n">
        <x:v>3.984933378219125</x:v>
      </x:c>
      <x:c r="D12" s="32" t="n">
        <x:f>IF(C12="","",(1/'Metadata'!$B$5)^(C12-1))</x:f>
        <x:v>965.9026959103153</x:v>
      </x:c>
      <x:c r="E12" s="31" t="n">
        <x:f>IF(B12=0,"",B12*D12)</x:f>
        <x:v>13627223.00060611</x:v>
      </x:c>
    </x:row>
    <x:row r="13" ht="18" customHeight="1">
      <x:c r="A13" s="24" t="str">
        <x:v>Medium demersals (30 - 89 cm)</x:v>
      </x:c>
      <x:c r="B13" s="31" t="n">
        <x:v>621583.0467917802</x:v>
      </x:c>
      <x:c r="C13" s="32" t="n">
        <x:v>3.4745978412325913</x:v>
      </x:c>
      <x:c r="D13" s="32" t="n">
        <x:f>IF(C13="","",(1/'Metadata'!$B$5)^(C13-1))</x:f>
        <x:v>298.26194198994017</x:v>
      </x:c>
      <x:c r="E13" s="31" t="n">
        <x:f>IF(B13=0,"",B13*D13)</x:f>
        <x:v>185394566.6441402</x:v>
      </x:c>
    </x:row>
    <x:row r="14" ht="18" customHeight="1">
      <x:c r="A14" s="24" t="str">
        <x:v>Medium pelagics (30 - 89 cm)</x:v>
      </x:c>
      <x:c r="B14" s="31" t="n">
        <x:v>223157.09814161708</x:v>
      </x:c>
      <x:c r="C14" s="32" t="n">
        <x:v>3.1363818250432933</x:v>
      </x:c>
      <x:c r="D14" s="32" t="n">
        <x:f>IF(C14="","",(1/'Metadata'!$B$5)^(C14-1))</x:f>
        <x:v>136.89318405471815</x:v>
      </x:c>
      <x:c r="E14" s="31" t="n">
        <x:f>IF(B14=0,"",B14*D14)</x:f>
        <x:v>30548685.709017187</x:v>
      </x:c>
    </x:row>
    <x:row r="15" ht="18" customHeight="1">
      <x:c r="A15" s="24" t="str">
        <x:v>Medium reef assoc. fish (30 - 89 cm)</x:v>
      </x:c>
      <x:c r="B15" s="31" t="n">
        <x:v>48367.27341117641</x:v>
      </x:c>
      <x:c r="C15" s="32" t="n">
        <x:v>3.889712146611729</x:v>
      </x:c>
      <x:c r="D15" s="32" t="n">
        <x:f>IF(C15="","",(1/'Metadata'!$B$5)^(C15-1))</x:f>
        <x:v>775.7327851376037</x:v>
      </x:c>
      <x:c r="E15" s="31" t="n">
        <x:f>IF(B15=0,"",B15*D15)</x:f>
        <x:v>37520079.712763846</x:v>
      </x:c>
    </x:row>
    <x:row r="16" ht="18" customHeight="1">
      <x:c r="A16" s="24" t="str">
        <x:v>Other demersal invertebrates</x:v>
      </x:c>
      <x:c r="B16" s="31" t="n">
        <x:v>44614.29266608449</x:v>
      </x:c>
      <x:c r="C16" s="32" t="n">
        <x:v>2.3223515671350405</x:v>
      </x:c>
      <x:c r="D16" s="32" t="n">
        <x:f>IF(C16="","",(1/'Metadata'!$B$5)^(C16-1))</x:f>
        <x:v>21.006396911739092</x:v>
      </x:c>
      <x:c r="E16" s="31" t="n">
        <x:f>IF(B16=0,"",B16*D16)</x:f>
        <x:v>937185.5396802613</x:v>
      </x:c>
    </x:row>
    <x:row r="17" ht="18" customHeight="1">
      <x:c r="A17" s="24" t="str">
        <x:v>Shrimps</x:v>
      </x:c>
      <x:c r="B17" s="31" t="n">
        <x:v>97005.7786621292</x:v>
      </x:c>
      <x:c r="C17" s="32" t="n">
        <x:v>2.884602668512567</x:v>
      </x:c>
      <x:c r="D17" s="32" t="n">
        <x:f>IF(C17="","",(1/'Metadata'!$B$5)^(C17-1))</x:f>
        <x:v>76.66597593981577</x:v>
      </x:c>
      <x:c r="E17" s="31" t="n">
        <x:f>IF(B17=0,"",B17*D17)</x:f>
        <x:v>7437042.692933891</x:v>
      </x:c>
    </x:row>
    <x:row r="18" ht="18" customHeight="1">
      <x:c r="A18" s="24" t="str">
        <x:v>Small benthopelagics (&lt;30 cm)</x:v>
      </x:c>
      <x:c r="B18" s="31" t="n">
        <x:v>4360.0205852899</x:v>
      </x:c>
      <x:c r="C18" s="32" t="n">
        <x:v>3.553366793955011</x:v>
      </x:c>
      <x:c r="D18" s="32" t="n">
        <x:f>IF(C18="","",(1/'Metadata'!$B$5)^(C18-1))</x:f>
        <x:v>357.5747090648849</x:v>
      </x:c>
      <x:c r="E18" s="31" t="n">
        <x:f>IF(B18=0,"",B18*D18)</x:f>
        <x:v>1559033.0923019452</x:v>
      </x:c>
    </x:row>
    <x:row r="19" ht="18" customHeight="1">
      <x:c r="A19" s="24" t="str">
        <x:v>Small demersals (&lt;30 cm)</x:v>
      </x:c>
      <x:c r="B19" s="31" t="n">
        <x:v>47396.5653073851</x:v>
      </x:c>
      <x:c r="C19" s="32" t="n">
        <x:v>3.838265894671331</x:v>
      </x:c>
      <x:c r="D19" s="32" t="n">
        <x:f>IF(C19="","",(1/'Metadata'!$B$5)^(C19-1))</x:f>
        <x:v>689.0740494377617</x:v>
      </x:c>
      <x:c r="E19" s="31" t="n">
        <x:f>IF(B19=0,"",B19*D19)</x:f>
        <x:v>32659743.185801182</x:v>
      </x:c>
    </x:row>
    <x:row r="20" ht="18" customHeight="1">
      <x:c r="A20" s="24" t="str">
        <x:v>Small pelagics (&lt;30 cm)</x:v>
      </x:c>
      <x:c r="B20" s="31" t="n">
        <x:v>638740.3834228248</x:v>
      </x:c>
      <x:c r="C20" s="32" t="n">
        <x:v>2.858626762434253</x:v>
      </x:c>
      <x:c r="D20" s="32" t="n">
        <x:f>IF(C20="","",(1/'Metadata'!$B$5)^(C20-1))</x:f>
        <x:v>72.21489139361545</x:v>
      </x:c>
      <x:c r="E20" s="31" t="n">
        <x:f>IF(B20=0,"",B20*D20)</x:f>
        <x:v>46126567.41759558</x:v>
      </x:c>
    </x:row>
    <x:row r="21" ht="18" customHeight="1">
      <x:c r="A21" s="24" t="str">
        <x:v>Small to medium flatfishes (&lt;90 cm)</x:v>
      </x:c>
      <x:c r="B21" s="31" t="n">
        <x:v>37928.2351066383</x:v>
      </x:c>
      <x:c r="C21" s="32" t="n">
        <x:v>3.7698201660295982</x:v>
      </x:c>
      <x:c r="D21" s="32" t="n">
        <x:f>IF(C21="","",(1/'Metadata'!$B$5)^(C21-1))</x:f>
        <x:v>588.5998756727857</x:v>
      </x:c>
      <x:c r="E21" s="31" t="n">
        <x:f>IF(B21=0,"",B21*D21)</x:f>
        <x:v>22324554.46825549</x:v>
      </x:c>
    </x:row>
  </x:sheetData>
  <x:pageMargins left="0.7" right="0.7" top="0.75" bottom="0.75" header="0.3" footer="0.3"/>
  <x:tableParts count="1">
    <x:tablePart xmlns:r="http://schemas.openxmlformats.org/officeDocument/2006/relationships" r:id="R39d1854e16b84d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EEZ_945</x:v>
      </x:c>
      <x:c r="B2" s="24" t="str">
        <x:v>raw_filtered_tonnes</x:v>
      </x:c>
      <x:c r="C2" s="24" t="n">
        <x:v>2162472.0180045683</x:v>
      </x:c>
      <x:c r="D2" s="24" t="str">
        <x:v>tonnes</x:v>
      </x:c>
    </x:row>
    <x:row r="3" ht="18" customHeight="1">
      <x:c r="A3" s="24" t="str">
        <x:v>EEZ_945</x:v>
      </x:c>
      <x:c r="B3" s="24" t="str">
        <x:v>species_catch_tonnes</x:v>
      </x:c>
      <x:c r="C3" s="24" t="n">
        <x:v>2162472.018004568</x:v>
      </x:c>
      <x:c r="D3" s="24" t="str">
        <x:v>tonnes</x:v>
      </x:c>
    </x:row>
    <x:row r="4" ht="18" customHeight="1">
      <x:c r="A4" s="24" t="str">
        <x:v>EEZ_945</x:v>
      </x:c>
      <x:c r="B4" s="24" t="str">
        <x:v>catch_difference_tonnes</x:v>
      </x:c>
      <x:c r="C4" s="24" t="n">
        <x:v>-4.656612873077393e-10</x:v>
      </x:c>
      <x:c r="D4" s="24" t="str">
        <x:v>tonnes</x:v>
      </x:c>
    </x:row>
    <x:row r="5" ht="18" customHeight="1">
      <x:c r="A5" s="24" t="str">
        <x:v>EEZ_945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EEZ_945</x:v>
      </x:c>
      <x:c r="B6" s="24" t="str">
        <x:v>matched_catch_tonnes</x:v>
      </x:c>
      <x:c r="C6" s="24" t="n">
        <x:v>2162472.018004568</x:v>
      </x:c>
      <x:c r="D6" s="24" t="str">
        <x:v>tonnes</x:v>
      </x:c>
    </x:row>
    <x:row r="7" ht="18" customHeight="1">
      <x:c r="A7" s="24" t="str">
        <x:v>EEZ_945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EEZ_945</x:v>
      </x:c>
      <x:c r="B8" s="24" t="str">
        <x:v>taxa_count</x:v>
      </x:c>
      <x:c r="C8" s="24" t="n">
        <x:v>136</x:v>
      </x:c>
      <x:c r="D8" s="24" t="str">
        <x:v>count</x:v>
      </x:c>
    </x:row>
    <x:row r="9" ht="18" customHeight="1">
      <x:c r="A9" s="24" t="str">
        <x:v>EEZ_945</x:v>
      </x:c>
      <x:c r="B9" s="24" t="str">
        <x:v>matched_taxa_count</x:v>
      </x:c>
      <x:c r="C9" s="24" t="n">
        <x:v>136</x:v>
      </x:c>
      <x:c r="D9" s="24" t="str">
        <x:v>count</x:v>
      </x:c>
    </x:row>
    <x:row r="10" ht="18" customHeight="1">
      <x:c r="A10" s="24" t="str">
        <x:v>EEZ_945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EEZ_945</x:v>
      </x:c>
      <x:c r="B11" s="24" t="str">
        <x:v>species_ppr</x:v>
      </x:c>
      <x:c r="C11" s="24" t="n">
        <x:v>903902972.1574702</x:v>
      </x:c>
      <x:c r="D11" s="24" t="str">
        <x:v>tonnes_primary_production_equivalent</x:v>
      </x:c>
    </x:row>
    <x:row r="12" ht="18" customHeight="1">
      <x:c r="A12" s="24" t="str">
        <x:v>EEZ_945</x:v>
      </x:c>
      <x:c r="B12" s="24" t="str">
        <x:v>commercial_ppr</x:v>
      </x:c>
      <x:c r="C12" s="24" t="n">
        <x:v>690523636.22767</x:v>
      </x:c>
      <x:c r="D12" s="24" t="str">
        <x:v>tonnes_primary_production_equivalent</x:v>
      </x:c>
    </x:row>
    <x:row r="13" ht="18" customHeight="1">
      <x:c r="A13" s="24" t="str">
        <x:v>EEZ_945</x:v>
      </x:c>
      <x:c r="B13" s="24" t="str">
        <x:v>functional_ppr</x:v>
      </x:c>
      <x:c r="C13" s="24" t="n">
        <x:v>724981813.6350174</x:v>
      </x:c>
      <x:c r="D13" s="24" t="str">
        <x:v>tonnes_primary_production_equivalent</x:v>
      </x:c>
    </x:row>
    <x:row r="14" ht="18" customHeight="1">
      <x:c r="A14" s="24" t="str">
        <x:v>EEZ_945</x:v>
      </x:c>
      <x:c r="B14" s="24" t="str">
        <x:v>commercial_ppr_difference</x:v>
      </x:c>
      <x:c r="C14" s="24" t="n">
        <x:v>-213379335.92980027</x:v>
      </x:c>
      <x:c r="D14" s="24" t="str">
        <x:v>tonnes_primary_production_equivalent</x:v>
      </x:c>
    </x:row>
    <x:row r="15" ht="18" customHeight="1">
      <x:c r="A15" s="24" t="str">
        <x:v>EEZ_945</x:v>
      </x:c>
      <x:c r="B15" s="24" t="str">
        <x:v>functional_ppr_difference</x:v>
      </x:c>
      <x:c r="C15" s="24" t="n">
        <x:v>-178921158.52245283</x:v>
      </x:c>
      <x:c r="D15" s="24" t="str">
        <x:v>tonnes_primary_production_equivalent</x:v>
      </x:c>
    </x:row>
    <x:row r="16" ht="18" customHeight="1">
      <x:c r="A16" s="24" t="str">
        <x:v>EEZ_945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0f2a2350ad94b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EEZ_945 - Mexico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