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8bdf5700a48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92e765b2b014622"/>
    <x:sheet xmlns:r="http://schemas.openxmlformats.org/officeDocument/2006/relationships" name="Commercial" sheetId="2" r:id="Rcdd88d6f6c7542b2"/>
    <x:sheet xmlns:r="http://schemas.openxmlformats.org/officeDocument/2006/relationships" name="Functional" sheetId="3" r:id="Rfab8096874d34312"/>
    <x:sheet xmlns:r="http://schemas.openxmlformats.org/officeDocument/2006/relationships" name="Missing TL" sheetId="4" r:id="Rc3e13805b6ef4bfc"/>
    <x:sheet xmlns:r="http://schemas.openxmlformats.org/officeDocument/2006/relationships" name="Validation" sheetId="5" r:id="R2574a48b80eb4f95"/>
    <x:sheet xmlns:r="http://schemas.openxmlformats.org/officeDocument/2006/relationships" name="Metadata" sheetId="6" r:id="Rf61e5ea4a0004f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e63518ec74669" /><Relationship Type="http://schemas.openxmlformats.org/officeDocument/2006/relationships/theme" Target="/xl/theme/theme1.xml" Id="R0e5f79ed67444b64" /><Relationship Type="http://schemas.microsoft.com/office/2022/11/relationships/FeaturePropertyBag" Target="/xl/featurePropertyBag/featurePropertyBag.xml" Id="R622384cc552d4b02" /><Relationship Type="http://schemas.openxmlformats.org/officeDocument/2006/relationships/sharedStrings" Target="/xl/sharedStrings.xml" Id="Rf2d4b238794e41be" /><Relationship Type="http://schemas.openxmlformats.org/officeDocument/2006/relationships/worksheet" Target="/xl/worksheets/sheet1.xml" Id="Ra92e765b2b014622" /><Relationship Type="http://schemas.openxmlformats.org/officeDocument/2006/relationships/worksheet" Target="/xl/worksheets/sheet2.xml" Id="Rcdd88d6f6c7542b2" /><Relationship Type="http://schemas.openxmlformats.org/officeDocument/2006/relationships/worksheet" Target="/xl/worksheets/sheet3.xml" Id="Rfab8096874d34312" /><Relationship Type="http://schemas.openxmlformats.org/officeDocument/2006/relationships/worksheet" Target="/xl/worksheets/sheet4.xml" Id="Rc3e13805b6ef4bfc" /><Relationship Type="http://schemas.openxmlformats.org/officeDocument/2006/relationships/worksheet" Target="/xl/worksheets/sheet5.xml" Id="R2574a48b80eb4f95" /><Relationship Type="http://schemas.openxmlformats.org/officeDocument/2006/relationships/worksheet" Target="/xl/worksheets/sheet6.xml" Id="Rf61e5ea4a0004f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38SpeciesTable" displayName="EEZ638SpeciesTable" ref="A1:U27" headerRowCount="1" totalsRowCount="0" totalsRowShown="0">
  <x:autoFilter ref="A1:U2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38CommercialTable" displayName="EEZ638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38FunctionalTable" displayName="EEZ638FunctionalTable" ref="A1:E11" headerRowCount="1" totalsRowCount="0" totalsRowShown="0">
  <x:autoFilter ref="A1:E1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38ValidationTable" displayName="EEZ63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f8e585a35645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cd6f46ff9749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721dfe842044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519567c22747f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EEZ_638</x:v>
      </x:c>
      <x:c r="B2" s="24" t="str">
        <x:v>Réunion (France)</x:v>
      </x:c>
      <x:c r="C2" s="24" t="str">
        <x:v>EEZ</x:v>
      </x:c>
      <x:c r="D2" s="30" t="n">
        <x:v>2019</x:v>
      </x:c>
      <x:c r="E2" s="24" t="str">
        <x:v>Coryphaena hippurus</x:v>
      </x:c>
      <x:c r="F2" s="24" t="str">
        <x:v>Common dolphinfish</x:v>
      </x:c>
      <x:c r="G2" s="24" t="str">
        <x:v>Large pelagics (&gt;=90 cm)</x:v>
      </x:c>
      <x:c r="H2" s="24" t="str">
        <x:v>Perch-likes</x:v>
      </x:c>
      <x:c r="I2" s="31" t="n">
        <x:v>283.1902718588</x:v>
      </x:c>
      <x:c r="J2" s="31" t="n">
        <x:v>283.1902718588</x:v>
      </x:c>
      <x:c r="K2" s="31" t="n">
        <x:v>0</x:v>
      </x:c>
      <x:c r="L2" s="31" t="n">
        <x:v>78.98152577879999</x:v>
      </x:c>
      <x:c r="M2" s="31" t="n">
        <x:v>204.20874608</x:v>
      </x:c>
      <x:c r="N2" s="24" t="str">
        <x:v>coryphaena hippurus</x:v>
      </x:c>
      <x:c r="O2" s="32" t="n">
        <x:v>4.37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Coryphaena hippurus</x:v>
      </x:c>
      <x:c r="T2" s="32" t="n">
        <x:f>IF(O2="","",(1/'Metadata'!$B$5)^(O2-1))</x:f>
        <x:v>2344.228815319923</x:v>
      </x:c>
      <x:c r="U2" s="31" t="n">
        <x:f>IF(T2="","",I2*T2)</x:f>
        <x:v>663862.7955096816</x:v>
      </x:c>
    </x:row>
    <x:row r="3" ht="18" customHeight="1">
      <x:c r="A3" s="24" t="str">
        <x:v>EEZ_638</x:v>
      </x:c>
      <x:c r="B3" s="24" t="str">
        <x:v>Réunion (France)</x:v>
      </x:c>
      <x:c r="C3" s="24" t="str">
        <x:v>EEZ</x:v>
      </x:c>
      <x:c r="D3" s="30" t="n">
        <x:v>2019</x:v>
      </x:c>
      <x:c r="E3" s="24" t="str">
        <x:v>Acanthocybium solandri</x:v>
      </x:c>
      <x:c r="F3" s="24" t="str">
        <x:v>Wahoo</x:v>
      </x:c>
      <x:c r="G3" s="24" t="str">
        <x:v>Large pelagics (&gt;=90 cm)</x:v>
      </x:c>
      <x:c r="H3" s="24" t="str">
        <x:v>Perch-likes</x:v>
      </x:c>
      <x:c r="I3" s="31" t="n">
        <x:v>154.5017887871</x:v>
      </x:c>
      <x:c r="J3" s="31" t="n">
        <x:v>154.1850816461</x:v>
      </x:c>
      <x:c r="K3" s="31" t="n">
        <x:v>0.316707141</x:v>
      </x:c>
      <x:c r="L3" s="31" t="n">
        <x:v>85.68485185709999</x:v>
      </x:c>
      <x:c r="M3" s="31" t="n">
        <x:v>68.81693693</x:v>
      </x:c>
      <x:c r="N3" s="24" t="str">
        <x:v>acanthocybium solandri</x:v>
      </x:c>
      <x:c r="O3" s="32" t="n">
        <x:v>4.26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Acanthocybium solandri</x:v>
      </x:c>
      <x:c r="T3" s="32" t="n">
        <x:f>IF(O3="","",(1/'Metadata'!$B$5)^(O3-1))</x:f>
        <x:v>1819.7008586099826</x:v>
      </x:c>
      <x:c r="U3" s="31" t="n">
        <x:f>IF(T3="","",I3*T3)</x:f>
        <x:v>281147.03771266405</x:v>
      </x:c>
    </x:row>
    <x:row r="4" ht="18" customHeight="1">
      <x:c r="A4" s="24" t="str">
        <x:v>EEZ_638</x:v>
      </x:c>
      <x:c r="B4" s="24" t="str">
        <x:v>Réunion (France)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40.599664461799996</x:v>
      </x:c>
      <x:c r="J4" s="31" t="n">
        <x:v>40.432401307</x:v>
      </x:c>
      <x:c r="K4" s="31" t="n">
        <x:v>0.1672631548</x:v>
      </x:c>
      <x:c r="L4" s="31" t="n">
        <x:v>1.883943661</x:v>
      </x:c>
      <x:c r="M4" s="31" t="n">
        <x:v>38.7157208008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7736.106579444832</x:v>
      </x:c>
    </x:row>
    <x:row r="5" ht="18" customHeight="1">
      <x:c r="A5" s="24" t="str">
        <x:v>EEZ_638</x:v>
      </x:c>
      <x:c r="B5" s="24" t="str">
        <x:v>Réunion (France)</x:v>
      </x:c>
      <x:c r="C5" s="24" t="str">
        <x:v>EEZ</x:v>
      </x:c>
      <x:c r="D5" s="30" t="n">
        <x:v>2019</x:v>
      </x:c>
      <x:c r="E5" s="24" t="str">
        <x:v>Elasmobranchii</x:v>
      </x:c>
      <x:c r="F5" s="24" t="str">
        <x:v>Sharks, rays, skates</x:v>
      </x:c>
      <x:c r="G5" s="24" t="str">
        <x:v>Large sharks (&gt;=90 cm)</x:v>
      </x:c>
      <x:c r="H5" s="24" t="str">
        <x:v>Sharks &amp; rays</x:v>
      </x:c>
      <x:c r="I5" s="31" t="n">
        <x:v>17.302208522</x:v>
      </x:c>
      <x:c r="J5" s="31" t="n">
        <x:v>17.302208522</x:v>
      </x:c>
      <x:c r="K5" s="31" t="n">
        <x:v>0</x:v>
      </x:c>
      <x:c r="L5" s="31" t="n">
        <x:v>10.556447772999999</x:v>
      </x:c>
      <x:c r="M5" s="31" t="n">
        <x:v>6.7457607490000004</x:v>
      </x:c>
      <x:c r="N5" s="24" t="str">
        <x:v>elasmobranchii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Elasmobranchii</x:v>
      </x:c>
      <x:c r="T5" s="32" t="n">
        <x:f>IF(O5="","",(1/'Metadata'!$B$5)^(O5-1))</x:f>
        <x:v>1122.018454301963</x:v>
      </x:c>
      <x:c r="U5" s="31" t="n">
        <x:f>IF(T5="","",I5*T5)</x:f>
        <x:v>19413.39726186469</x:v>
      </x:c>
    </x:row>
    <x:row r="6" ht="18" customHeight="1">
      <x:c r="A6" s="24" t="str">
        <x:v>EEZ_638</x:v>
      </x:c>
      <x:c r="B6" s="24" t="str">
        <x:v>Réunion (France)</x:v>
      </x:c>
      <x:c r="C6" s="24" t="str">
        <x:v>EEZ</x:v>
      </x:c>
      <x:c r="D6" s="30" t="n">
        <x:v>2019</x:v>
      </x:c>
      <x:c r="E6" s="24" t="str">
        <x:v>Auxis</x:v>
      </x:c>
      <x:c r="F6" s="24" t="str">
        <x:v>Bullet and frigate tunas</x:v>
      </x:c>
      <x:c r="G6" s="24" t="str">
        <x:v>Medium pelagics (30 - 89 cm)</x:v>
      </x:c>
      <x:c r="H6" s="24" t="str">
        <x:v>Tuna &amp; billfishes</x:v>
      </x:c>
      <x:c r="I6" s="31" t="n">
        <x:v>12.5249677582</x:v>
      </x:c>
      <x:c r="J6" s="31" t="n">
        <x:v>12.5249677582</x:v>
      </x:c>
      <x:c r="K6" s="31" t="n">
        <x:v>0</x:v>
      </x:c>
      <x:c r="L6" s="31" t="n">
        <x:v>12.5249677582</x:v>
      </x:c>
      <x:c r="M6" s="31" t="n">
        <x:v>0</x:v>
      </x:c>
      <x:c r="N6" s="24" t="str">
        <x:v>auxis</x:v>
      </x:c>
      <x:c r="O6" s="32" t="n">
        <x:v>4.24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Auxis</x:v>
      </x:c>
      <x:c r="T6" s="32" t="n">
        <x:f>IF(O6="","",(1/'Metadata'!$B$5)^(O6-1))</x:f>
        <x:v>1737.8008287493763</x:v>
      </x:c>
      <x:c r="U6" s="31" t="n">
        <x:f>IF(T6="","",I6*T6)</x:f>
        <x:v>21765.89935025918</x:v>
      </x:c>
    </x:row>
    <x:row r="7" ht="18" customHeight="1">
      <x:c r="A7" s="24" t="str">
        <x:v>EEZ_638</x:v>
      </x:c>
      <x:c r="B7" s="24" t="str">
        <x:v>Réunion (France)</x:v>
      </x:c>
      <x:c r="C7" s="24" t="str">
        <x:v>EEZ</x:v>
      </x:c>
      <x:c r="D7" s="30" t="n">
        <x:v>2019</x:v>
      </x:c>
      <x:c r="E7" s="24" t="str">
        <x:v>Prionace glauca</x:v>
      </x:c>
      <x:c r="F7" s="24" t="str">
        <x:v>Blue shark</x:v>
      </x:c>
      <x:c r="G7" s="24" t="str">
        <x:v>Large sharks (&gt;=90 cm)</x:v>
      </x:c>
      <x:c r="H7" s="24" t="str">
        <x:v>Sharks &amp; rays</x:v>
      </x:c>
      <x:c r="I7" s="31" t="n">
        <x:v>7.5716312393</x:v>
      </x:c>
      <x:c r="J7" s="31" t="n">
        <x:v>7.5716312393</x:v>
      </x:c>
      <x:c r="K7" s="31" t="n">
        <x:v>0</x:v>
      </x:c>
      <x:c r="L7" s="31" t="n">
        <x:v>7.5716312393</x:v>
      </x:c>
      <x:c r="M7" s="31" t="n">
        <x:v>0</x:v>
      </x:c>
      <x:c r="N7" s="24" t="str">
        <x:v>prionace glauca</x:v>
      </x:c>
      <x:c r="O7" s="32" t="n">
        <x:v>4.35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Prionace glauca</x:v>
      </x:c>
      <x:c r="T7" s="32" t="n">
        <x:f>IF(O7="","",(1/'Metadata'!$B$5)^(O7-1))</x:f>
        <x:v>2238.7211385683377</x:v>
      </x:c>
      <x:c r="U7" s="31" t="n">
        <x:f>IF(T7="","",I7*T7)</x:f>
        <x:v>16950.770908865292</x:v>
      </x:c>
    </x:row>
    <x:row r="8" ht="18" customHeight="1">
      <x:c r="A8" s="24" t="str">
        <x:v>EEZ_638</x:v>
      </x:c>
      <x:c r="B8" s="24" t="str">
        <x:v>Réunion (France)</x:v>
      </x:c>
      <x:c r="C8" s="24" t="str">
        <x:v>EEZ</x:v>
      </x:c>
      <x:c r="D8" s="30" t="n">
        <x:v>2019</x:v>
      </x:c>
      <x:c r="E8" s="24" t="str">
        <x:v>Carangidae</x:v>
      </x:c>
      <x:c r="F8" s="24" t="str">
        <x:v>Jacks, pompanos</x:v>
      </x:c>
      <x:c r="G8" s="24" t="str">
        <x:v>Medium pelagics (30 - 89 cm)</x:v>
      </x:c>
      <x:c r="H8" s="24" t="str">
        <x:v>Perch-likes</x:v>
      </x:c>
      <x:c r="I8" s="31" t="n">
        <x:v>6.931673018</x:v>
      </x:c>
      <x:c r="J8" s="31" t="n">
        <x:v>6.931673018</x:v>
      </x:c>
      <x:c r="K8" s="31" t="n">
        <x:v>0</x:v>
      </x:c>
      <x:c r="L8" s="31" t="n">
        <x:v>3.000000001</x:v>
      </x:c>
      <x:c r="M8" s="31" t="n">
        <x:v>3.931673017</x:v>
      </x:c>
      <x:c r="N8" s="24" t="str">
        <x:v>carangidae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Carangidae</x:v>
      </x:c>
      <x:c r="T8" s="32" t="n">
        <x:f>IF(O8="","",(1/'Metadata'!$B$5)^(O8-1))</x:f>
        <x:v>1122.018454301963</x:v>
      </x:c>
      <x:c r="U8" s="31" t="n">
        <x:f>IF(T8="","",I8*T8)</x:f>
        <x:v>7777.465045382983</x:v>
      </x:c>
    </x:row>
    <x:row r="9" ht="18" customHeight="1">
      <x:c r="A9" s="24" t="str">
        <x:v>EEZ_638</x:v>
      </x:c>
      <x:c r="B9" s="24" t="str">
        <x:v>Réunion (France)</x:v>
      </x:c>
      <x:c r="C9" s="24" t="str">
        <x:v>EEZ</x:v>
      </x:c>
      <x:c r="D9" s="30" t="n">
        <x:v>2019</x:v>
      </x:c>
      <x:c r="E9" s="24" t="str">
        <x:v>Lutjanidae</x:v>
      </x:c>
      <x:c r="F9" s="24" t="str">
        <x:v>Snappers</x:v>
      </x:c>
      <x:c r="G9" s="24" t="str">
        <x:v>Medium reef assoc. fish (30 - 89 cm)</x:v>
      </x:c>
      <x:c r="H9" s="24" t="str">
        <x:v>Perch-likes</x:v>
      </x:c>
      <x:c r="I9" s="31" t="n">
        <x:v>4.6345983330000005</x:v>
      </x:c>
      <x:c r="J9" s="31" t="n">
        <x:v>4.6345983330000005</x:v>
      </x:c>
      <x:c r="K9" s="31" t="n">
        <x:v>0</x:v>
      </x:c>
      <x:c r="L9" s="31" t="n">
        <x:v>4.3958685420000005</x:v>
      </x:c>
      <x:c r="M9" s="31" t="n">
        <x:v>0.238729791</x:v>
      </x:c>
      <x:c r="N9" s="24" t="str">
        <x:v>lutjanidae</x:v>
      </x:c>
      <x:c r="O9" s="32" t="n">
        <x:v>4.02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Lutjanidae</x:v>
      </x:c>
      <x:c r="T9" s="32" t="n">
        <x:f>IF(O9="","",(1/'Metadata'!$B$5)^(O9-1))</x:f>
        <x:v>1047.1285480508984</x:v>
      </x:c>
      <x:c r="U9" s="31" t="n">
        <x:f>IF(T9="","",I9*T9)</x:f>
        <x:v>4853.020223233405</x:v>
      </x:c>
    </x:row>
    <x:row r="10" ht="18" customHeight="1">
      <x:c r="A10" s="24" t="str">
        <x:v>EEZ_638</x:v>
      </x:c>
      <x:c r="B10" s="24" t="str">
        <x:v>Réunion (France)</x:v>
      </x:c>
      <x:c r="C10" s="24" t="str">
        <x:v>EEZ</x:v>
      </x:c>
      <x:c r="D10" s="30" t="n">
        <x:v>2019</x:v>
      </x:c>
      <x:c r="E10" s="24" t="str">
        <x:v>Epinephelus fasciatus</x:v>
      </x:c>
      <x:c r="F10" s="24" t="str">
        <x:v>Blacktip grouper</x:v>
      </x:c>
      <x:c r="G10" s="24" t="str">
        <x:v>Medium reef assoc. fish (30 - 89 cm)</x:v>
      </x:c>
      <x:c r="H10" s="24" t="str">
        <x:v>Perch-likes</x:v>
      </x:c>
      <x:c r="I10" s="31" t="n">
        <x:v>3.473171814</x:v>
      </x:c>
      <x:c r="J10" s="31" t="n">
        <x:v>3.473171814</x:v>
      </x:c>
      <x:c r="K10" s="31" t="n">
        <x:v>0</x:v>
      </x:c>
      <x:c r="L10" s="31" t="n">
        <x:v>0</x:v>
      </x:c>
      <x:c r="M10" s="31" t="n">
        <x:v>3.473171814</x:v>
      </x:c>
      <x:c r="N10" s="24" t="str">
        <x:v>epinephelus fasciatus</x:v>
      </x:c>
      <x:c r="O10" s="32" t="n">
        <x:v>3.72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Epinephelus fasciatus</x:v>
      </x:c>
      <x:c r="T10" s="32" t="n">
        <x:f>IF(O10="","",(1/'Metadata'!$B$5)^(O10-1))</x:f>
        <x:v>524.8074602497728</x:v>
      </x:c>
      <x:c r="U10" s="31" t="n">
        <x:f>IF(T10="","",I10*T10)</x:f>
        <x:v>1822.7464787164363</x:v>
      </x:c>
    </x:row>
    <x:row r="11" ht="18" customHeight="1">
      <x:c r="A11" s="24" t="str">
        <x:v>EEZ_638</x:v>
      </x:c>
      <x:c r="B11" s="24" t="str">
        <x:v>Réunion (France)</x:v>
      </x:c>
      <x:c r="C11" s="24" t="str">
        <x:v>EEZ</x:v>
      </x:c>
      <x:c r="D11" s="30" t="n">
        <x:v>2019</x:v>
      </x:c>
      <x:c r="E11" s="24" t="str">
        <x:v>Gymnosarda unicolor</x:v>
      </x:c>
      <x:c r="F11" s="24" t="str">
        <x:v>Dogtooth tuna</x:v>
      </x:c>
      <x:c r="G11" s="24" t="str">
        <x:v>Large reef assoc. fish (&gt;=90 cm)</x:v>
      </x:c>
      <x:c r="H11" s="24" t="str">
        <x:v>Tuna &amp; billfishes</x:v>
      </x:c>
      <x:c r="I11" s="31" t="n">
        <x:v>2.568354475</x:v>
      </x:c>
      <x:c r="J11" s="31" t="n">
        <x:v>2.568354475</x:v>
      </x:c>
      <x:c r="K11" s="31" t="n">
        <x:v>0</x:v>
      </x:c>
      <x:c r="L11" s="31" t="n">
        <x:v>0</x:v>
      </x:c>
      <x:c r="M11" s="31" t="n">
        <x:v>2.568354475</x:v>
      </x:c>
      <x:c r="N11" s="24" t="str">
        <x:v>gymnosarda unicolor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Gymnosarda unicolor</x:v>
      </x:c>
      <x:c r="T11" s="32" t="n">
        <x:f>IF(O11="","",(1/'Metadata'!$B$5)^(O11-1))</x:f>
        <x:v>3162.2776601683795</x:v>
      </x:c>
      <x:c r="U11" s="31" t="n">
        <x:f>IF(T11="","",I11*T11)</x:f>
        <x:v>8121.849979685987</x:v>
      </x:c>
    </x:row>
    <x:row r="12" ht="18" customHeight="1">
      <x:c r="A12" s="24" t="str">
        <x:v>EEZ_638</x:v>
      </x:c>
      <x:c r="B12" s="24" t="str">
        <x:v>Réunion (France)</x:v>
      </x:c>
      <x:c r="C12" s="24" t="str">
        <x:v>EEZ</x:v>
      </x:c>
      <x:c r="D12" s="30" t="n">
        <x:v>2019</x:v>
      </x:c>
      <x:c r="E12" s="24" t="str">
        <x:v>Sparidae</x:v>
      </x:c>
      <x:c r="F12" s="24" t="str">
        <x:v>Porgies, seabreams</x:v>
      </x:c>
      <x:c r="G12" s="24" t="str">
        <x:v>Medium benthopelagics (30 - 89 cm)</x:v>
      </x:c>
      <x:c r="H12" s="24" t="str">
        <x:v>Perch-likes</x:v>
      </x:c>
      <x:c r="I12" s="31" t="n">
        <x:v>1.179643321</x:v>
      </x:c>
      <x:c r="J12" s="31" t="n">
        <x:v>1.179643321</x:v>
      </x:c>
      <x:c r="K12" s="31" t="n">
        <x:v>0</x:v>
      </x:c>
      <x:c r="L12" s="31" t="n">
        <x:v>0</x:v>
      </x:c>
      <x:c r="M12" s="31" t="n">
        <x:v>1.179643321</x:v>
      </x:c>
      <x:c r="N12" s="24" t="str">
        <x:v>sparidae</x:v>
      </x:c>
      <x:c r="O12" s="32" t="n">
        <x:v>3.31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Sparidae</x:v>
      </x:c>
      <x:c r="T12" s="32" t="n">
        <x:f>IF(O12="","",(1/'Metadata'!$B$5)^(O12-1))</x:f>
        <x:v>204.17379446695296</x:v>
      </x:c>
      <x:c r="U12" s="31" t="n">
        <x:f>IF(T12="","",I12*T12)</x:f>
        <x:v>240.85225296616778</x:v>
      </x:c>
    </x:row>
    <x:row r="13" ht="18" customHeight="1">
      <x:c r="A13" s="24" t="str">
        <x:v>EEZ_638</x:v>
      </x:c>
      <x:c r="B13" s="24" t="str">
        <x:v>Réunion (France)</x:v>
      </x:c>
      <x:c r="C13" s="24" t="str">
        <x:v>EEZ</x:v>
      </x:c>
      <x:c r="D13" s="30" t="n">
        <x:v>2019</x:v>
      </x:c>
      <x:c r="E13" s="24" t="str">
        <x:v>Ranina ranina</x:v>
      </x:c>
      <x:c r="F13" s="24" t="str">
        <x:v>Kona crab </x:v>
      </x:c>
      <x:c r="G13" s="24" t="str">
        <x:v>Lobsters, crabs</x:v>
      </x:c>
      <x:c r="H13" s="24" t="str">
        <x:v>Crustaceans</x:v>
      </x:c>
      <x:c r="I13" s="31" t="n">
        <x:v>0.8770166779999999</x:v>
      </x:c>
      <x:c r="J13" s="31" t="n">
        <x:v>0.8770166779999999</x:v>
      </x:c>
      <x:c r="K13" s="31" t="n">
        <x:v>0</x:v>
      </x:c>
      <x:c r="L13" s="31" t="n">
        <x:v>0</x:v>
      </x:c>
      <x:c r="M13" s="31" t="n">
        <x:v>0.8770166779999999</x:v>
      </x:c>
      <x:c r="N13" s="24" t="str">
        <x:v>ranina ranina</x:v>
      </x:c>
      <x:c r="O13" s="32" t="n">
        <x:v>3.92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Ranina ranina</x:v>
      </x:c>
      <x:c r="T13" s="32" t="n">
        <x:f>IF(O13="","",(1/'Metadata'!$B$5)^(O13-1))</x:f>
        <x:v>831.7637711026708</x:v>
      </x:c>
      <x:c r="U13" s="31" t="n">
        <x:f>IF(T13="","",I13*T13)</x:f>
        <x:v>729.4706994132167</x:v>
      </x:c>
    </x:row>
    <x:row r="14" ht="18" customHeight="1">
      <x:c r="A14" s="24" t="str">
        <x:v>EEZ_638</x:v>
      </x:c>
      <x:c r="B14" s="24" t="str">
        <x:v>Réunion (France)</x:v>
      </x:c>
      <x:c r="C14" s="24" t="str">
        <x:v>EEZ</x:v>
      </x:c>
      <x:c r="D14" s="30" t="n">
        <x:v>2019</x:v>
      </x:c>
      <x:c r="E14" s="24" t="str">
        <x:v>Serranidae</x:v>
      </x:c>
      <x:c r="F14" s="24" t="str">
        <x:v>Basses, groupers, hinds</x:v>
      </x:c>
      <x:c r="G14" s="24" t="str">
        <x:v>Medium reef assoc. fish (30 - 89 cm)</x:v>
      </x:c>
      <x:c r="H14" s="24" t="str">
        <x:v>Perch-likes</x:v>
      </x:c>
      <x:c r="I14" s="31" t="n">
        <x:v>0.627981221</x:v>
      </x:c>
      <x:c r="J14" s="31" t="n">
        <x:v>0.627981221</x:v>
      </x:c>
      <x:c r="K14" s="31" t="n">
        <x:v>0</x:v>
      </x:c>
      <x:c r="L14" s="31" t="n">
        <x:v>0.627981221</x:v>
      </x:c>
      <x:c r="M14" s="31" t="n">
        <x:v>0</x:v>
      </x:c>
      <x:c r="N14" s="24" t="str">
        <x:v>serranidae</x:v>
      </x:c>
      <x:c r="O14" s="32" t="n">
        <x:v>3.98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Serranidae</x:v>
      </x:c>
      <x:c r="T14" s="32" t="n">
        <x:f>IF(O14="","",(1/'Metadata'!$B$5)^(O14-1))</x:f>
        <x:v>954.992586021436</x:v>
      </x:c>
      <x:c r="U14" s="31" t="n">
        <x:f>IF(T14="","",I14*T14)</x:f>
        <x:v>599.7174102156889</x:v>
      </x:c>
    </x:row>
    <x:row r="15" ht="18" customHeight="1">
      <x:c r="A15" s="24" t="str">
        <x:v>EEZ_638</x:v>
      </x:c>
      <x:c r="B15" s="24" t="str">
        <x:v>Réunion (France)</x:v>
      </x:c>
      <x:c r="C15" s="24" t="str">
        <x:v>EEZ</x:v>
      </x:c>
      <x:c r="D15" s="30" t="n">
        <x:v>2019</x:v>
      </x:c>
      <x:c r="E15" s="24" t="str">
        <x:v>Scomberomorus commerson</x:v>
      </x:c>
      <x:c r="F15" s="24" t="str">
        <x:v>Narrow-barred Spanish mackerel</x:v>
      </x:c>
      <x:c r="G15" s="24" t="str">
        <x:v>Large pelagics (&gt;=90 cm)</x:v>
      </x:c>
      <x:c r="H15" s="24" t="str">
        <x:v>Perch-likes</x:v>
      </x:c>
      <x:c r="I15" s="31" t="n">
        <x:v>0.595615306</x:v>
      </x:c>
      <x:c r="J15" s="31" t="n">
        <x:v>0.595615306</x:v>
      </x:c>
      <x:c r="K15" s="31" t="n">
        <x:v>0</x:v>
      </x:c>
      <x:c r="L15" s="31" t="n">
        <x:v>0.595615306</x:v>
      </x:c>
      <x:c r="M15" s="31" t="n">
        <x:v>0</x:v>
      </x:c>
      <x:c r="N15" s="24" t="str">
        <x:v>scomberomorus commerson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Scomberomorus commerson</x:v>
      </x:c>
      <x:c r="T15" s="32" t="n">
        <x:f>IF(O15="","",(1/'Metadata'!$B$5)^(O15-1))</x:f>
        <x:v>3162.2776601683795</x:v>
      </x:c>
      <x:c r="U15" s="31" t="n">
        <x:f>IF(T15="","",I15*T15)</x:f>
        <x:v>1883.5009762181535</x:v>
      </x:c>
    </x:row>
    <x:row r="16" ht="18" customHeight="1">
      <x:c r="A16" s="24" t="str">
        <x:v>EEZ_638</x:v>
      </x:c>
      <x:c r="B16" s="24" t="str">
        <x:v>Réunion (France)</x:v>
      </x:c>
      <x:c r="C16" s="24" t="str">
        <x:v>EEZ</x:v>
      </x:c>
      <x:c r="D16" s="30" t="n">
        <x:v>2019</x:v>
      </x:c>
      <x:c r="E16" s="24" t="str">
        <x:v>Thunnus obesus</x:v>
      </x:c>
      <x:c r="F16" s="24" t="str">
        <x:v>Bigeye tuna</x:v>
      </x:c>
      <x:c r="G16" s="24" t="str">
        <x:v>Large pelagics (&gt;=90 cm)</x:v>
      </x:c>
      <x:c r="H16" s="24" t="str">
        <x:v>Tuna &amp; billfishes</x:v>
      </x:c>
      <x:c r="I16" s="31" t="n">
        <x:v>0.3663599064</x:v>
      </x:c>
      <x:c r="J16" s="31" t="n">
        <x:v>0.3663599064</x:v>
      </x:c>
      <x:c r="K16" s="31" t="n">
        <x:v>0</x:v>
      </x:c>
      <x:c r="L16" s="31" t="n">
        <x:v>0.3663599064</x:v>
      </x:c>
      <x:c r="M16" s="31" t="n">
        <x:v>0</x:v>
      </x:c>
      <x:c r="N16" s="24" t="str">
        <x:v>thunnus obesus</x:v>
      </x:c>
      <x:c r="O16" s="32" t="n">
        <x:v>4.49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Thunnus obesus</x:v>
      </x:c>
      <x:c r="T16" s="32" t="n">
        <x:f>IF(O16="","",(1/'Metadata'!$B$5)^(O16-1))</x:f>
        <x:v>3090.295432513592</x:v>
      </x:c>
      <x:c r="U16" s="31" t="n">
        <x:f>IF(T16="","",I16*T16)</x:f>
        <x:v>1132.160345404027</x:v>
      </x:c>
    </x:row>
    <x:row r="17" ht="18" customHeight="1">
      <x:c r="A17" s="24" t="str">
        <x:v>EEZ_638</x:v>
      </x:c>
      <x:c r="B17" s="24" t="str">
        <x:v>Réunion (France)</x:v>
      </x:c>
      <x:c r="C17" s="24" t="str">
        <x:v>EEZ</x:v>
      </x:c>
      <x:c r="D17" s="30" t="n">
        <x:v>2019</x:v>
      </x:c>
      <x:c r="E17" s="24" t="str">
        <x:v>Thunnus alalunga</x:v>
      </x:c>
      <x:c r="F17" s="24" t="str">
        <x:v>Albacore</x:v>
      </x:c>
      <x:c r="G17" s="24" t="str">
        <x:v>Large pelagics (&gt;=90 cm)</x:v>
      </x:c>
      <x:c r="H17" s="24" t="str">
        <x:v>Tuna &amp; billfishes</x:v>
      </x:c>
      <x:c r="I17" s="31" t="n">
        <x:v>0.3394854437</x:v>
      </x:c>
      <x:c r="J17" s="31" t="n">
        <x:v>0.3394854437</x:v>
      </x:c>
      <x:c r="K17" s="31" t="n">
        <x:v>0</x:v>
      </x:c>
      <x:c r="L17" s="31" t="n">
        <x:v>0.3394854437</x:v>
      </x:c>
      <x:c r="M17" s="31" t="n">
        <x:v>0</x:v>
      </x:c>
      <x:c r="N17" s="24" t="str">
        <x:v>thunnus alalunga</x:v>
      </x:c>
      <x:c r="O17" s="32" t="n">
        <x:v>4.3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alalunga</x:v>
      </x:c>
      <x:c r="T17" s="32" t="n">
        <x:f>IF(O17="","",(1/'Metadata'!$B$5)^(O17-1))</x:f>
        <x:v>1995.2623149688789</x:v>
      </x:c>
      <x:c r="U17" s="31" t="n">
        <x:f>IF(T17="","",I17*T17)</x:f>
        <x:v>677.362512295099</x:v>
      </x:c>
    </x:row>
    <x:row r="18" ht="18" customHeight="1">
      <x:c r="A18" s="24" t="str">
        <x:v>EEZ_638</x:v>
      </x:c>
      <x:c r="B18" s="24" t="str">
        <x:v>Réunion (France)</x:v>
      </x:c>
      <x:c r="C18" s="24" t="str">
        <x:v>EEZ</x:v>
      </x:c>
      <x:c r="D18" s="30" t="n">
        <x:v>2019</x:v>
      </x:c>
      <x:c r="E18" s="24" t="str">
        <x:v>Clupeidae</x:v>
      </x:c>
      <x:c r="F18" s="24" t="str">
        <x:v>Herrings, sardines, menhadens</x:v>
      </x:c>
      <x:c r="G18" s="24" t="str">
        <x:v>Small pelagics (&lt;30 cm)</x:v>
      </x:c>
      <x:c r="H18" s="24" t="str">
        <x:v>Herring-likes</x:v>
      </x:c>
      <x:c r="I18" s="31" t="n">
        <x:v>0.20739655</x:v>
      </x:c>
      <x:c r="J18" s="31" t="n">
        <x:v>0.20739655</x:v>
      </x:c>
      <x:c r="K18" s="31" t="n">
        <x:v>0</x:v>
      </x:c>
      <x:c r="L18" s="31" t="n">
        <x:v>0</x:v>
      </x:c>
      <x:c r="M18" s="31" t="n">
        <x:v>0.20739655</x:v>
      </x:c>
      <x:c r="N18" s="24" t="str">
        <x:v>clupeidae</x:v>
      </x:c>
      <x:c r="O18" s="32" t="n">
        <x:v>3.16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Clupeidae</x:v>
      </x:c>
      <x:c r="T18" s="32" t="n">
        <x:f>IF(O18="","",(1/'Metadata'!$B$5)^(O18-1))</x:f>
        <x:v>144.5439770745928</x:v>
      </x:c>
      <x:c r="U18" s="31" t="n">
        <x:f>IF(T18="","",I18*T18)</x:f>
        <x:v>29.97792216854964</x:v>
      </x:c>
    </x:row>
    <x:row r="19" ht="18" customHeight="1">
      <x:c r="A19" s="24" t="str">
        <x:v>EEZ_638</x:v>
      </x:c>
      <x:c r="B19" s="24" t="str">
        <x:v>Réunion (France)</x:v>
      </x:c>
      <x:c r="C19" s="24" t="str">
        <x:v>EEZ</x:v>
      </x:c>
      <x:c r="D19" s="30" t="n">
        <x:v>2019</x:v>
      </x:c>
      <x:c r="E19" s="24" t="str">
        <x:v>Sphyraenidae</x:v>
      </x:c>
      <x:c r="F19" s="24" t="str">
        <x:v>Barracudas</x:v>
      </x:c>
      <x:c r="G19" s="24" t="str">
        <x:v>Medium reef assoc. fish (30 - 89 cm)</x:v>
      </x:c>
      <x:c r="H19" s="24" t="str">
        <x:v>Perch-likes</x:v>
      </x:c>
      <x:c r="I19" s="31" t="n">
        <x:v>0.158172539</x:v>
      </x:c>
      <x:c r="J19" s="31" t="n">
        <x:v>0.158172539</x:v>
      </x:c>
      <x:c r="K19" s="31" t="n">
        <x:v>0</x:v>
      </x:c>
      <x:c r="L19" s="31" t="n">
        <x:v>0</x:v>
      </x:c>
      <x:c r="M19" s="31" t="n">
        <x:v>0.158172539</x:v>
      </x:c>
      <x:c r="N19" s="24" t="str">
        <x:v>sphyraenidae</x:v>
      </x:c>
      <x:c r="O19" s="32" t="n">
        <x:v>4.4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Sphyraenidae</x:v>
      </x:c>
      <x:c r="T19" s="32" t="n">
        <x:f>IF(O19="","",(1/'Metadata'!$B$5)^(O19-1))</x:f>
        <x:v>2511.886431509582</x:v>
      </x:c>
      <x:c r="U19" s="31" t="n">
        <x:f>IF(T19="","",I19*T19)</x:f>
        <x:v>397.31145455152017</x:v>
      </x:c>
    </x:row>
    <x:row r="20" ht="18" customHeight="1">
      <x:c r="A20" s="24" t="str">
        <x:v>EEZ_638</x:v>
      </x:c>
      <x:c r="B20" s="24" t="str">
        <x:v>Réunion (France)</x:v>
      </x:c>
      <x:c r="C20" s="24" t="str">
        <x:v>EEZ</x:v>
      </x:c>
      <x:c r="D20" s="30" t="n">
        <x:v>2019</x:v>
      </x:c>
      <x:c r="E20" s="24" t="str">
        <x:v>Decapoda</x:v>
      </x:c>
      <x:c r="F20" s="24" t="str">
        <x:v>Crabs, lobsters, shrimps</x:v>
      </x:c>
      <x:c r="G20" s="24" t="str">
        <x:v>Lobsters, crabs</x:v>
      </x:c>
      <x:c r="H20" s="24" t="str">
        <x:v>Crustaceans</x:v>
      </x:c>
      <x:c r="I20" s="31" t="n">
        <x:v>0.13150584799999998</x:v>
      </x:c>
      <x:c r="J20" s="31" t="n">
        <x:v>0.13150584799999998</x:v>
      </x:c>
      <x:c r="K20" s="31" t="n">
        <x:v>0</x:v>
      </x:c>
      <x:c r="L20" s="31" t="n">
        <x:v>0</x:v>
      </x:c>
      <x:c r="M20" s="31" t="n">
        <x:v>0.13150584799999998</x:v>
      </x:c>
      <x:c r="N20" s="24" t="str">
        <x:v>decapoda</x:v>
      </x:c>
      <x:c r="O20" s="32" t="n">
        <x:v>3.43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Decapoda</x:v>
      </x:c>
      <x:c r="T20" s="32" t="n">
        <x:f>IF(O20="","",(1/'Metadata'!$B$5)^(O20-1))</x:f>
        <x:v>269.1534803926917</x:v>
      </x:c>
      <x:c r="U20" s="31" t="n">
        <x:f>IF(T20="","",I20*T20)</x:f>
        <x:v>35.395256681192286</x:v>
      </x:c>
    </x:row>
    <x:row r="21" ht="18" customHeight="1">
      <x:c r="A21" s="24" t="str">
        <x:v>EEZ_638</x:v>
      </x:c>
      <x:c r="B21" s="24" t="str">
        <x:v>Réunion (France)</x:v>
      </x:c>
      <x:c r="C21" s="24" t="str">
        <x:v>EEZ</x:v>
      </x:c>
      <x:c r="D21" s="30" t="n">
        <x:v>2019</x:v>
      </x:c>
      <x:c r="E21" s="24" t="str">
        <x:v>Mullidae</x:v>
      </x:c>
      <x:c r="F21" s="24" t="str">
        <x:v>Goatfishes</x:v>
      </x:c>
      <x:c r="G21" s="24" t="str">
        <x:v>Medium reef assoc. fish (30 - 89 cm)</x:v>
      </x:c>
      <x:c r="H21" s="24" t="str">
        <x:v>Perch-likes</x:v>
      </x:c>
      <x:c r="I21" s="31" t="n">
        <x:v>0.118163503</x:v>
      </x:c>
      <x:c r="J21" s="31" t="n">
        <x:v>0.118163503</x:v>
      </x:c>
      <x:c r="K21" s="31" t="n">
        <x:v>0</x:v>
      </x:c>
      <x:c r="L21" s="31" t="n">
        <x:v>0</x:v>
      </x:c>
      <x:c r="M21" s="31" t="n">
        <x:v>0.118163503</x:v>
      </x:c>
      <x:c r="N21" s="24" t="str">
        <x:v>mullidae</x:v>
      </x:c>
      <x:c r="O21" s="32" t="n">
        <x:v>3.46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Mullidae</x:v>
      </x:c>
      <x:c r="T21" s="32" t="n">
        <x:f>IF(O21="","",(1/'Metadata'!$B$5)^(O21-1))</x:f>
        <x:v>288.40315031266056</x:v>
      </x:c>
      <x:c r="U21" s="31" t="n">
        <x:f>IF(T21="","",I21*T21)</x:f>
        <x:v>34.07872651717952</x:v>
      </x:c>
    </x:row>
    <x:row r="22" ht="18" customHeight="1">
      <x:c r="A22" s="24" t="str">
        <x:v>EEZ_638</x:v>
      </x:c>
      <x:c r="B22" s="24" t="str">
        <x:v>Réunion (France)</x:v>
      </x:c>
      <x:c r="C22" s="24" t="str">
        <x:v>EEZ</x:v>
      </x:c>
      <x:c r="D22" s="30" t="n">
        <x:v>2019</x:v>
      </x:c>
      <x:c r="E22" s="24" t="str">
        <x:v>Octopoda</x:v>
      </x:c>
      <x:c r="F22" s="24" t="str">
        <x:v>Octopuses, argonauts</x:v>
      </x:c>
      <x:c r="G22" s="24" t="str">
        <x:v>Cephalopods</x:v>
      </x:c>
      <x:c r="H22" s="24" t="str">
        <x:v>Other fishes &amp; inverts</x:v>
      </x:c>
      <x:c r="I22" s="31" t="n">
        <x:v>0.059813873</x:v>
      </x:c>
      <x:c r="J22" s="31" t="n">
        <x:v>0.059813873</x:v>
      </x:c>
      <x:c r="K22" s="31" t="n">
        <x:v>0</x:v>
      </x:c>
      <x:c r="L22" s="31" t="n">
        <x:v>0</x:v>
      </x:c>
      <x:c r="M22" s="31" t="n">
        <x:v>0.059813873</x:v>
      </x:c>
      <x:c r="N22" s="24" t="str">
        <x:v>octopoda</x:v>
      </x:c>
      <x:c r="O22" s="32" t="n">
        <x:v>3.58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Octopoda</x:v>
      </x:c>
      <x:c r="T22" s="32" t="n">
        <x:f>IF(O22="","",(1/'Metadata'!$B$5)^(O22-1))</x:f>
        <x:v>380.1893963205613</x:v>
      </x:c>
      <x:c r="U22" s="31" t="n">
        <x:f>IF(T22="","",I22*T22)</x:f>
        <x:v>22.740600267464718</x:v>
      </x:c>
    </x:row>
    <x:row r="23" ht="18" customHeight="1">
      <x:c r="A23" s="24" t="str">
        <x:v>EEZ_638</x:v>
      </x:c>
      <x:c r="B23" s="24" t="str">
        <x:v>Réunion (France)</x:v>
      </x:c>
      <x:c r="C23" s="24" t="str">
        <x:v>EEZ</x:v>
      </x:c>
      <x:c r="D23" s="30" t="n">
        <x:v>2019</x:v>
      </x:c>
      <x:c r="E23" s="24" t="str">
        <x:v>Thunnus albacares</x:v>
      </x:c>
      <x:c r="F23" s="24" t="str">
        <x:v>Yellowfin tuna</x:v>
      </x:c>
      <x:c r="G23" s="24" t="str">
        <x:v>Large pelagics (&gt;=90 cm)</x:v>
      </x:c>
      <x:c r="H23" s="24" t="str">
        <x:v>Tuna &amp; billfishes</x:v>
      </x:c>
      <x:c r="I23" s="31" t="n">
        <x:v>0.0085391427</x:v>
      </x:c>
      <x:c r="J23" s="31" t="n">
        <x:v>0.0085391427</x:v>
      </x:c>
      <x:c r="K23" s="31" t="n">
        <x:v>0</x:v>
      </x:c>
      <x:c r="L23" s="31" t="n">
        <x:v>0.0085391427</x:v>
      </x:c>
      <x:c r="M23" s="31" t="n">
        <x:v>0</x:v>
      </x:c>
      <x:c r="N23" s="24" t="str">
        <x:v>thunnus albacares</x:v>
      </x:c>
      <x:c r="O23" s="32" t="n">
        <x:v>4.41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albacares</x:v>
      </x:c>
      <x:c r="T23" s="32" t="n">
        <x:f>IF(O23="","",(1/'Metadata'!$B$5)^(O23-1))</x:f>
        <x:v>2570.3957827688646</x:v>
      </x:c>
      <x:c r="U23" s="31" t="n">
        <x:f>IF(T23="","",I23*T23)</x:f>
        <x:v>21.948976384541538</x:v>
      </x:c>
    </x:row>
    <x:row r="24" ht="18" customHeight="1">
      <x:c r="A24" s="24" t="str">
        <x:v>EEZ_638</x:v>
      </x:c>
      <x:c r="B24" s="24" t="str">
        <x:v>Réunion (France)</x:v>
      </x:c>
      <x:c r="C24" s="24" t="str">
        <x:v>EEZ</x:v>
      </x:c>
      <x:c r="D24" s="30" t="n">
        <x:v>2019</x:v>
      </x:c>
      <x:c r="E24" s="24" t="str">
        <x:v>Sphyrna lewini</x:v>
      </x:c>
      <x:c r="F24" s="24" t="str">
        <x:v>Scalloped hammerhead</x:v>
      </x:c>
      <x:c r="G24" s="24" t="str">
        <x:v>Large sharks (&gt;=90 cm)</x:v>
      </x:c>
      <x:c r="H24" s="24" t="str">
        <x:v>Sharks &amp; rays</x:v>
      </x:c>
      <x:c r="I24" s="31" t="n">
        <x:v>0.0083809527</x:v>
      </x:c>
      <x:c r="J24" s="31" t="n">
        <x:v>0.0083809527</x:v>
      </x:c>
      <x:c r="K24" s="31" t="n">
        <x:v>0</x:v>
      </x:c>
      <x:c r="L24" s="31" t="n">
        <x:v>0.0083809527</x:v>
      </x:c>
      <x:c r="M24" s="31" t="n">
        <x:v>0</x:v>
      </x:c>
      <x:c r="N24" s="24" t="str">
        <x:v>sphyrna lewini</x:v>
      </x:c>
      <x:c r="O24" s="32" t="n">
        <x:v>4.08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Sphyrna lewini</x:v>
      </x:c>
      <x:c r="T24" s="32" t="n">
        <x:f>IF(O24="","",(1/'Metadata'!$B$5)^(O24-1))</x:f>
        <x:v>1202.2644346174131</x:v>
      </x:c>
      <x:c r="U24" s="31" t="n">
        <x:f>IF(T24="","",I24*T24)</x:f>
        <x:v>10.076121359420782</x:v>
      </x:c>
    </x:row>
    <x:row r="25" ht="18" customHeight="1">
      <x:c r="A25" s="24" t="str">
        <x:v>EEZ_638</x:v>
      </x:c>
      <x:c r="B25" s="24" t="str">
        <x:v>Réunion (France)</x:v>
      </x:c>
      <x:c r="C25" s="24" t="str">
        <x:v>EEZ</x:v>
      </x:c>
      <x:c r="D25" s="30" t="n">
        <x:v>2019</x:v>
      </x:c>
      <x:c r="E25" s="24" t="str">
        <x:v>Xiphias gladius</x:v>
      </x:c>
      <x:c r="F25" s="24" t="str">
        <x:v>Swordfish</x:v>
      </x:c>
      <x:c r="G25" s="24" t="str">
        <x:v>Large pelagics (&gt;=90 cm)</x:v>
      </x:c>
      <x:c r="H25" s="24" t="str">
        <x:v>Tuna &amp; billfishes</x:v>
      </x:c>
      <x:c r="I25" s="31" t="n">
        <x:v>0.0070328778</x:v>
      </x:c>
      <x:c r="J25" s="31" t="n">
        <x:v>0.0070328778</x:v>
      </x:c>
      <x:c r="K25" s="31" t="n">
        <x:v>0</x:v>
      </x:c>
      <x:c r="L25" s="31" t="n">
        <x:v>0.0070328778</x:v>
      </x:c>
      <x:c r="M25" s="31" t="n">
        <x:v>0</x:v>
      </x:c>
      <x:c r="N25" s="24" t="str">
        <x:v>xiphias gladius</x:v>
      </x:c>
      <x:c r="O25" s="32" t="n">
        <x:v>4.53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Xiphias gladius</x:v>
      </x:c>
      <x:c r="T25" s="32" t="n">
        <x:f>IF(O25="","",(1/'Metadata'!$B$5)^(O25-1))</x:f>
        <x:v>3388.4415613920273</x:v>
      </x:c>
      <x:c r="U25" s="31" t="n">
        <x:f>IF(T25="","",I25*T25)</x:f>
        <x:v>23.830495433711327</x:v>
      </x:c>
    </x:row>
    <x:row r="26" ht="18" customHeight="1">
      <x:c r="A26" s="24" t="str">
        <x:v>EEZ_638</x:v>
      </x:c>
      <x:c r="B26" s="24" t="str">
        <x:v>Réunion (France)</x:v>
      </x:c>
      <x:c r="C26" s="24" t="str">
        <x:v>EEZ</x:v>
      </x:c>
      <x:c r="D26" s="30" t="n">
        <x:v>2019</x:v>
      </x:c>
      <x:c r="E26" s="24" t="str">
        <x:v>Isurus oxyrinchus</x:v>
      </x:c>
      <x:c r="F26" s="24" t="str">
        <x:v>Shortfin mako</x:v>
      </x:c>
      <x:c r="G26" s="24" t="str">
        <x:v>Large sharks (&gt;=90 cm)</x:v>
      </x:c>
      <x:c r="H26" s="24" t="str">
        <x:v>Sharks &amp; rays</x:v>
      </x:c>
      <x:c r="I26" s="31" t="n">
        <x:v>0.0018117331</x:v>
      </x:c>
      <x:c r="J26" s="31" t="n">
        <x:v>0.0018117331</x:v>
      </x:c>
      <x:c r="K26" s="31" t="n">
        <x:v>0</x:v>
      </x:c>
      <x:c r="L26" s="31" t="n">
        <x:v>0.0018117331</x:v>
      </x:c>
      <x:c r="M26" s="31" t="n">
        <x:v>0</x:v>
      </x:c>
      <x:c r="N26" s="24" t="str">
        <x:v>isurus oxyrinchus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Isurus oxyrinchus</x:v>
      </x:c>
      <x:c r="T26" s="32" t="n">
        <x:f>IF(O26="","",(1/'Metadata'!$B$5)^(O26-1))</x:f>
        <x:v>3162.2776601683795</x:v>
      </x:c>
      <x:c r="U26" s="31" t="n">
        <x:f>IF(T26="","",I26*T26)</x:f>
        <x:v>5.729203108317605</x:v>
      </x:c>
    </x:row>
    <x:row r="27" ht="18" customHeight="1">
      <x:c r="A27" s="24" t="str">
        <x:v>EEZ_638</x:v>
      </x:c>
      <x:c r="B27" s="24" t="str">
        <x:v>Réunion (France)</x:v>
      </x:c>
      <x:c r="C27" s="24" t="str">
        <x:v>EEZ</x:v>
      </x:c>
      <x:c r="D27" s="30" t="n">
        <x:v>2019</x:v>
      </x:c>
      <x:c r="E27" s="24" t="str">
        <x:v>Marine pelagic fishes not identified</x:v>
      </x:c>
      <x:c r="F27" s="24" t="str">
        <x:v>Pelagic fishes</x:v>
      </x:c>
      <x:c r="G27" s="24" t="str">
        <x:v>Medium pelagics (30 - 89 cm)</x:v>
      </x:c>
      <x:c r="H27" s="24" t="str">
        <x:v>Other fishes &amp; inverts</x:v>
      </x:c>
      <x:c r="I27" s="31" t="n">
        <x:v>0.0013185618</x:v>
      </x:c>
      <x:c r="J27" s="31" t="n">
        <x:v>0.0013185618</x:v>
      </x:c>
      <x:c r="K27" s="31" t="n">
        <x:v>0</x:v>
      </x:c>
      <x:c r="L27" s="31" t="n">
        <x:v>0.0013185618</x:v>
      </x:c>
      <x:c r="M27" s="31" t="n">
        <x:v>0</x:v>
      </x:c>
      <x:c r="N27" s="24" t="str">
        <x:v>marine pelagic fishes not identified</x:v>
      </x:c>
      <x:c r="O27" s="32" t="n">
        <x:v>3.35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Marine pelagic fishes not identified</x:v>
      </x:c>
      <x:c r="T27" s="32" t="n">
        <x:f>IF(O27="","",(1/'Metadata'!$B$5)^(O27-1))</x:f>
        <x:v>223.872113856834</x:v>
      </x:c>
      <x:c r="U27" s="31" t="n">
        <x:f>IF(T27="","",I27*T27)</x:f>
        <x:v>0.295189217416872</x:v>
      </x:c>
    </x:row>
  </x:sheetData>
  <x:conditionalFormatting sqref="R2:R2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7f8e585a356459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1.008522526</x:v>
      </x:c>
      <x:c r="C2" s="32" t="n">
        <x:v>3.8561066670711126</x:v>
      </x:c>
      <x:c r="D2" s="32" t="n">
        <x:f>IF(C2="","",(1/'Metadata'!$B$5)^(C2-1))</x:f>
        <x:v>717.9706103848638</x:v>
      </x:c>
      <x:c r="E2" s="31" t="n">
        <x:f>IF(B2=0,"",B2*D2)</x:f>
        <x:v>724.0895335791046</x:v>
      </x:c>
    </x:row>
    <x:row r="3" ht="18" customHeight="1">
      <x:c r="A3" s="24" t="str">
        <x:v>Herring-likes</x:v>
      </x:c>
      <x:c r="B3" s="31" t="n">
        <x:v>0.20739655</x:v>
      </x:c>
      <x:c r="C3" s="32" t="n">
        <x:v>3.16</x:v>
      </x:c>
      <x:c r="D3" s="32" t="n">
        <x:f>IF(C3="","",(1/'Metadata'!$B$5)^(C3-1))</x:f>
        <x:v>144.5439770745928</x:v>
      </x:c>
      <x:c r="E3" s="31" t="n">
        <x:f>IF(B3=0,"",B3*D3)</x:f>
        <x:v>29.97792216854964</x:v>
      </x:c>
    </x:row>
    <x:row r="4" ht="18" customHeight="1">
      <x:c r="A4" s="24" t="str">
        <x:v>Other fishes &amp; inverts</x:v>
      </x:c>
      <x:c r="B4" s="31" t="n">
        <x:v>40.6607968966</x:v>
      </x:c>
      <x:c r="C4" s="32" t="n">
        <x:v>3.280443583564579</x:v>
      </x:c>
      <x:c r="D4" s="32" t="n">
        <x:f>IF(C4="","",(1/'Metadata'!$B$5)^(C4-1))</x:f>
        <x:v>190.74079286566564</x:v>
      </x:c>
      <x:c r="E4" s="31" t="n">
        <x:f>IF(B4=0,"",B4*D4)</x:f>
        <x:v>7755.6726386072805</x:v>
      </x:c>
    </x:row>
    <x:row r="5" ht="18" customHeight="1">
      <x:c r="A5" s="24" t="str">
        <x:v>Perch-likes</x:v>
      </x:c>
      <x:c r="B5" s="31" t="n">
        <x:v>455.4110797009</x:v>
      </x:c>
      <x:c r="C5" s="32" t="n">
        <x:v>4.315952804963843</x:v>
      </x:c>
      <x:c r="D5" s="32" t="n">
        <x:f>IF(C5="","",(1/'Metadata'!$B$5)^(C5-1))</x:f>
        <x:v>2069.9163975390943</x:v>
      </x:c>
      <x:c r="E5" s="31" t="n">
        <x:f>IF(B5=0,"",B5*D5)</x:f>
        <x:v>942662.8614938763</x:v>
      </x:c>
    </x:row>
    <x:row r="6" ht="18" customHeight="1">
      <x:c r="A6" s="24" t="str">
        <x:v>Sharks &amp; rays</x:v>
      </x:c>
      <x:c r="B6" s="31" t="n">
        <x:v>24.8840324471</x:v>
      </x:c>
      <x:c r="C6" s="32" t="n">
        <x:v>4.141325876748358</x:v>
      </x:c>
      <x:c r="D6" s="32" t="n">
        <x:f>IF(C6="","",(1/'Metadata'!$B$5)^(C6-1))</x:f>
        <x:v>1384.6049399754074</x:v>
      </x:c>
      <x:c r="E6" s="31" t="n">
        <x:f>IF(B6=0,"",B6*D6)</x:f>
        <x:v>34454.55425276299</x:v>
      </x:c>
    </x:row>
    <x:row r="7" ht="18" customHeight="1">
      <x:c r="A7" s="24" t="str">
        <x:v>Tuna &amp; billfishes</x:v>
      </x:c>
      <x:c r="B7" s="31" t="n">
        <x:v>15.8147396038</x:v>
      </x:c>
      <x:c r="C7" s="32" t="n">
        <x:v>4.289524840444089</x:v>
      </x:c>
      <x:c r="D7" s="32" t="n">
        <x:f>IF(C7="","",(1/'Metadata'!$B$5)^(C7-1))</x:f>
        <x:v>1947.7124505256904</x:v>
      </x:c>
      <x:c r="E7" s="31" t="n">
        <x:f>IF(B7=0,"",B7*D7)</x:f>
        <x:v>30802.565228142983</x:v>
      </x:c>
    </x:row>
  </x:sheetData>
  <x:pageMargins left="0.7" right="0.7" top="0.75" bottom="0.75" header="0.3" footer="0.3"/>
  <x:tableParts count="1">
    <x:tablePart xmlns:r="http://schemas.openxmlformats.org/officeDocument/2006/relationships" r:id="Rdccd6f46ff9749d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0.059813873</x:v>
      </x:c>
      <x:c r="C2" s="32" t="n">
        <x:v>3.58</x:v>
      </x:c>
      <x:c r="D2" s="32" t="n">
        <x:f>IF(C2="","",(1/'Metadata'!$B$5)^(C2-1))</x:f>
        <x:v>380.1893963205613</x:v>
      </x:c>
      <x:c r="E2" s="31" t="n">
        <x:f>IF(B2=0,"",B2*D2)</x:f>
        <x:v>22.740600267464718</x:v>
      </x:c>
    </x:row>
    <x:row r="3" ht="18" customHeight="1">
      <x:c r="A3" s="24" t="str">
        <x:v>Large pelagics (&gt;=90 cm)</x:v>
      </x:c>
      <x:c r="B3" s="31" t="n">
        <x:v>439.0090933225</x:v>
      </x:c>
      <x:c r="C3" s="32" t="n">
        <x:v>4.331513096197932</x:v>
      </x:c>
      <x:c r="D3" s="32" t="n">
        <x:f>IF(C3="","",(1/'Metadata'!$B$5)^(C3-1))</x:f>
        <x:v>2145.4238103315497</x:v>
      </x:c>
      <x:c r="E3" s="31" t="n">
        <x:f>IF(B3=0,"",B3*D3)</x:f>
        <x:v>941860.5617661568</x:v>
      </x:c>
    </x:row>
    <x:row r="4" ht="18" customHeight="1">
      <x:c r="A4" s="24" t="str">
        <x:v>Large reef assoc. fish (&gt;=90 cm)</x:v>
      </x:c>
      <x:c r="B4" s="31" t="n">
        <x:v>2.568354475</x:v>
      </x:c>
      <x:c r="C4" s="32" t="n">
        <x:v>4.5</x:v>
      </x:c>
      <x:c r="D4" s="32" t="n">
        <x:f>IF(C4="","",(1/'Metadata'!$B$5)^(C4-1))</x:f>
        <x:v>3162.2776601683795</x:v>
      </x:c>
      <x:c r="E4" s="31" t="n">
        <x:f>IF(B4=0,"",B4*D4)</x:f>
        <x:v>8121.849979685987</x:v>
      </x:c>
    </x:row>
    <x:row r="5" ht="18" customHeight="1">
      <x:c r="A5" s="24" t="str">
        <x:v>Large sharks (&gt;=90 cm)</x:v>
      </x:c>
      <x:c r="B5" s="31" t="n">
        <x:v>24.8840324471</x:v>
      </x:c>
      <x:c r="C5" s="32" t="n">
        <x:v>4.141325876748358</x:v>
      </x:c>
      <x:c r="D5" s="32" t="n">
        <x:f>IF(C5="","",(1/'Metadata'!$B$5)^(C5-1))</x:f>
        <x:v>1384.6049399754074</x:v>
      </x:c>
      <x:c r="E5" s="31" t="n">
        <x:f>IF(B5=0,"",B5*D5)</x:f>
        <x:v>34454.55425276299</x:v>
      </x:c>
    </x:row>
    <x:row r="6" ht="18" customHeight="1">
      <x:c r="A6" s="24" t="str">
        <x:v>Lobsters, crabs</x:v>
      </x:c>
      <x:c r="B6" s="31" t="n">
        <x:v>1.008522526</x:v>
      </x:c>
      <x:c r="C6" s="32" t="n">
        <x:v>3.8561066670711126</x:v>
      </x:c>
      <x:c r="D6" s="32" t="n">
        <x:f>IF(C6="","",(1/'Metadata'!$B$5)^(C6-1))</x:f>
        <x:v>717.9706103848638</x:v>
      </x:c>
      <x:c r="E6" s="31" t="n">
        <x:f>IF(B6=0,"",B6*D6)</x:f>
        <x:v>724.0895335791046</x:v>
      </x:c>
    </x:row>
    <x:row r="7" ht="18" customHeight="1">
      <x:c r="A7" s="24" t="str">
        <x:v>Medium benthopelagics (30 - 89 cm)</x:v>
      </x:c>
      <x:c r="B7" s="31" t="n">
        <x:v>1.179643321</x:v>
      </x:c>
      <x:c r="C7" s="32" t="n">
        <x:v>3.31</x:v>
      </x:c>
      <x:c r="D7" s="32" t="n">
        <x:f>IF(C7="","",(1/'Metadata'!$B$5)^(C7-1))</x:f>
        <x:v>204.17379446695296</x:v>
      </x:c>
      <x:c r="E7" s="31" t="n">
        <x:f>IF(B7=0,"",B7*D7)</x:f>
        <x:v>240.85225296616778</x:v>
      </x:c>
    </x:row>
    <x:row r="8" ht="18" customHeight="1">
      <x:c r="A8" s="24" t="str">
        <x:v>Medium demersals (30 - 89 cm)</x:v>
      </x:c>
      <x:c r="B8" s="31" t="n">
        <x:v>40.599664461799996</x:v>
      </x:c>
      <x:c r="C8" s="32" t="n">
        <x:v>3.2800000000000002</x:v>
      </x:c>
      <x:c r="D8" s="32" t="n">
        <x:f>IF(C8="","",(1/'Metadata'!$B$5)^(C8-1))</x:f>
        <x:v>190.54607179632484</x:v>
      </x:c>
      <x:c r="E8" s="31" t="n">
        <x:f>IF(B8=0,"",B8*D8)</x:f>
        <x:v>7736.1065794448405</x:v>
      </x:c>
    </x:row>
    <x:row r="9" ht="18" customHeight="1">
      <x:c r="A9" s="24" t="str">
        <x:v>Medium pelagics (30 - 89 cm)</x:v>
      </x:c>
      <x:c r="B9" s="31" t="n">
        <x:v>19.457959338000002</x:v>
      </x:c>
      <x:c r="C9" s="32" t="n">
        <x:v>4.172254386468592</x:v>
      </x:c>
      <x:c r="D9" s="32" t="n">
        <x:f>IF(C9="","",(1/'Metadata'!$B$5)^(C9-1))</x:f>
        <x:v>1486.8062788357536</x:v>
      </x:c>
      <x:c r="E9" s="31" t="n">
        <x:f>IF(B9=0,"",B9*D9)</x:f>
        <x:v>28930.216117069187</x:v>
      </x:c>
    </x:row>
    <x:row r="10" ht="18" customHeight="1">
      <x:c r="A10" s="24" t="str">
        <x:v>Medium reef assoc. fish (30 - 89 cm)</x:v>
      </x:c>
      <x:c r="B10" s="31" t="n">
        <x:v>9.012087410000001</x:v>
      </x:c>
      <x:c r="C10" s="32" t="n">
        <x:v>3.900922505399889</x:v>
      </x:c>
      <x:c r="D10" s="32" t="n">
        <x:f>IF(C10="","",(1/'Metadata'!$B$5)^(C10-1))</x:f>
        <x:v>796.0172980801428</x:v>
      </x:c>
      <x:c r="E10" s="31" t="n">
        <x:f>IF(B10=0,"",B10*D10)</x:f>
        <x:v>7173.777470170274</x:v>
      </x:c>
    </x:row>
    <x:row r="11" ht="18" customHeight="1">
      <x:c r="A11" s="24" t="str">
        <x:v>Small pelagics (&lt;30 cm)</x:v>
      </x:c>
      <x:c r="B11" s="31" t="n">
        <x:v>0.20739655</x:v>
      </x:c>
      <x:c r="C11" s="32" t="n">
        <x:v>3.16</x:v>
      </x:c>
      <x:c r="D11" s="32" t="n">
        <x:f>IF(C11="","",(1/'Metadata'!$B$5)^(C11-1))</x:f>
        <x:v>144.5439770745928</x:v>
      </x:c>
      <x:c r="E11" s="31" t="n">
        <x:f>IF(B11=0,"",B11*D11)</x:f>
        <x:v>29.97792216854964</x:v>
      </x:c>
    </x:row>
  </x:sheetData>
  <x:pageMargins left="0.7" right="0.7" top="0.75" bottom="0.75" header="0.3" footer="0.3"/>
  <x:tableParts count="1">
    <x:tablePart xmlns:r="http://schemas.openxmlformats.org/officeDocument/2006/relationships" r:id="R1a721dfe8420440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EEZ_638</x:v>
      </x:c>
      <x:c r="B2" s="24" t="str">
        <x:v>raw_filtered_tonnes</x:v>
      </x:c>
      <x:c r="C2" s="24" t="n">
        <x:v>537.9865677244001</x:v>
      </x:c>
      <x:c r="D2" s="24" t="str">
        <x:v>tonnes</x:v>
      </x:c>
    </x:row>
    <x:row r="3" ht="18" customHeight="1">
      <x:c r="A3" s="24" t="str">
        <x:v>EEZ_638</x:v>
      </x:c>
      <x:c r="B3" s="24" t="str">
        <x:v>species_catch_tonnes</x:v>
      </x:c>
      <x:c r="C3" s="24" t="n">
        <x:v>537.9865677244</x:v>
      </x:c>
      <x:c r="D3" s="24" t="str">
        <x:v>tonnes</x:v>
      </x:c>
    </x:row>
    <x:row r="4" ht="18" customHeight="1">
      <x:c r="A4" s="24" t="str">
        <x:v>EEZ_638</x:v>
      </x:c>
      <x:c r="B4" s="24" t="str">
        <x:v>catch_difference_tonnes</x:v>
      </x:c>
      <x:c r="C4" s="24" t="n">
        <x:v>-1.1368683772161603e-13</x:v>
      </x:c>
      <x:c r="D4" s="24" t="str">
        <x:v>tonnes</x:v>
      </x:c>
    </x:row>
    <x:row r="5" ht="18" customHeight="1">
      <x:c r="A5" s="24" t="str">
        <x:v>EEZ_638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EEZ_638</x:v>
      </x:c>
      <x:c r="B6" s="24" t="str">
        <x:v>matched_catch_tonnes</x:v>
      </x:c>
      <x:c r="C6" s="24" t="n">
        <x:v>537.9865677244</x:v>
      </x:c>
      <x:c r="D6" s="24" t="str">
        <x:v>tonnes</x:v>
      </x:c>
    </x:row>
    <x:row r="7" ht="18" customHeight="1">
      <x:c r="A7" s="24" t="str">
        <x:v>EEZ_638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EEZ_638</x:v>
      </x:c>
      <x:c r="B8" s="24" t="str">
        <x:v>taxa_count</x:v>
      </x:c>
      <x:c r="C8" s="24" t="n">
        <x:v>26</x:v>
      </x:c>
      <x:c r="D8" s="24" t="str">
        <x:v>count</x:v>
      </x:c>
    </x:row>
    <x:row r="9" ht="18" customHeight="1">
      <x:c r="A9" s="24" t="str">
        <x:v>EEZ_638</x:v>
      </x:c>
      <x:c r="B9" s="24" t="str">
        <x:v>matched_taxa_count</x:v>
      </x:c>
      <x:c r="C9" s="24" t="n">
        <x:v>26</x:v>
      </x:c>
      <x:c r="D9" s="24" t="str">
        <x:v>count</x:v>
      </x:c>
    </x:row>
    <x:row r="10" ht="18" customHeight="1">
      <x:c r="A10" s="24" t="str">
        <x:v>EEZ_638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EEZ_638</x:v>
      </x:c>
      <x:c r="B11" s="24" t="str">
        <x:v>species_ppr</x:v>
      </x:c>
      <x:c r="C11" s="24" t="n">
        <x:v>1039295.5371920002</x:v>
      </x:c>
      <x:c r="D11" s="24" t="str">
        <x:v>tonnes_primary_production_equivalent</x:v>
      </x:c>
    </x:row>
    <x:row r="12" ht="18" customHeight="1">
      <x:c r="A12" s="24" t="str">
        <x:v>EEZ_638</x:v>
      </x:c>
      <x:c r="B12" s="24" t="str">
        <x:v>commercial_ppr</x:v>
      </x:c>
      <x:c r="C12" s="24" t="n">
        <x:v>1016429.7210691373</x:v>
      </x:c>
      <x:c r="D12" s="24" t="str">
        <x:v>tonnes_primary_production_equivalent</x:v>
      </x:c>
    </x:row>
    <x:row r="13" ht="18" customHeight="1">
      <x:c r="A13" s="24" t="str">
        <x:v>EEZ_638</x:v>
      </x:c>
      <x:c r="B13" s="24" t="str">
        <x:v>functional_ppr</x:v>
      </x:c>
      <x:c r="C13" s="24" t="n">
        <x:v>1029294.7264742714</x:v>
      </x:c>
      <x:c r="D13" s="24" t="str">
        <x:v>tonnes_primary_production_equivalent</x:v>
      </x:c>
    </x:row>
    <x:row r="14" ht="18" customHeight="1">
      <x:c r="A14" s="24" t="str">
        <x:v>EEZ_638</x:v>
      </x:c>
      <x:c r="B14" s="24" t="str">
        <x:v>commercial_ppr_difference</x:v>
      </x:c>
      <x:c r="C14" s="24" t="n">
        <x:v>-22865.81612286286</x:v>
      </x:c>
      <x:c r="D14" s="24" t="str">
        <x:v>tonnes_primary_production_equivalent</x:v>
      </x:c>
    </x:row>
    <x:row r="15" ht="18" customHeight="1">
      <x:c r="A15" s="24" t="str">
        <x:v>EEZ_638</x:v>
      </x:c>
      <x:c r="B15" s="24" t="str">
        <x:v>functional_ppr_difference</x:v>
      </x:c>
      <x:c r="C15" s="24" t="n">
        <x:v>-10000.810717728804</x:v>
      </x:c>
      <x:c r="D15" s="24" t="str">
        <x:v>tonnes_primary_production_equivalent</x:v>
      </x:c>
    </x:row>
    <x:row r="16" ht="18" customHeight="1">
      <x:c r="A16" s="24" t="str">
        <x:v>EEZ_638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EEZ_638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2519567c22747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EEZ_638 - Réunion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EEZ_638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raw_data/SAU_downloads/EEZ_638-catch.zip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