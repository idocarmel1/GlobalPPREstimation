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0babbe5f7d42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974a9caca36a421b"/>
    <x:sheet xmlns:r="http://schemas.openxmlformats.org/officeDocument/2006/relationships" name="Commercial" sheetId="2" r:id="R864af4f2a8fb47dc"/>
    <x:sheet xmlns:r="http://schemas.openxmlformats.org/officeDocument/2006/relationships" name="Functional" sheetId="3" r:id="R2335b842b6b2401c"/>
    <x:sheet xmlns:r="http://schemas.openxmlformats.org/officeDocument/2006/relationships" name="Missing TL" sheetId="4" r:id="R1ed530c6245f4df9"/>
    <x:sheet xmlns:r="http://schemas.openxmlformats.org/officeDocument/2006/relationships" name="Validation" sheetId="5" r:id="R241a75e273f84e33"/>
    <x:sheet xmlns:r="http://schemas.openxmlformats.org/officeDocument/2006/relationships" name="Metadata" sheetId="6" r:id="R52c8c5153f39498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d2b7205e3648ca" /><Relationship Type="http://schemas.openxmlformats.org/officeDocument/2006/relationships/theme" Target="/xl/theme/theme1.xml" Id="Rf2ba28952e514f07" /><Relationship Type="http://schemas.microsoft.com/office/2022/11/relationships/FeaturePropertyBag" Target="/xl/featurePropertyBag/featurePropertyBag.xml" Id="R13dae045987a4856" /><Relationship Type="http://schemas.openxmlformats.org/officeDocument/2006/relationships/sharedStrings" Target="/xl/sharedStrings.xml" Id="R9ca641f2621943cc" /><Relationship Type="http://schemas.openxmlformats.org/officeDocument/2006/relationships/worksheet" Target="/xl/worksheets/sheet1.xml" Id="R974a9caca36a421b" /><Relationship Type="http://schemas.openxmlformats.org/officeDocument/2006/relationships/worksheet" Target="/xl/worksheets/sheet2.xml" Id="R864af4f2a8fb47dc" /><Relationship Type="http://schemas.openxmlformats.org/officeDocument/2006/relationships/worksheet" Target="/xl/worksheets/sheet3.xml" Id="R2335b842b6b2401c" /><Relationship Type="http://schemas.openxmlformats.org/officeDocument/2006/relationships/worksheet" Target="/xl/worksheets/sheet4.xml" Id="R1ed530c6245f4df9" /><Relationship Type="http://schemas.openxmlformats.org/officeDocument/2006/relationships/worksheet" Target="/xl/worksheets/sheet5.xml" Id="R241a75e273f84e33" /><Relationship Type="http://schemas.openxmlformats.org/officeDocument/2006/relationships/worksheet" Target="/xl/worksheets/sheet6.xml" Id="R52c8c5153f39498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53SpeciesTable" displayName="EEZ953SpeciesTable" ref="A1:U101" headerRowCount="1" totalsRowCount="0" totalsRowShown="0">
  <x:autoFilter ref="A1:U101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53CommercialTable" displayName="EEZ953CommercialTable" ref="A1:E12" headerRowCount="1" totalsRowCount="0" totalsRowShown="0">
  <x:autoFilter ref="A1:E12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53FunctionalTable" displayName="EEZ953FunctionalTable" ref="A1:E19" headerRowCount="1" totalsRowCount="0" totalsRowShown="0">
  <x:autoFilter ref="A1:E19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53ValidationTable" displayName="EEZ953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f471829b7e4fc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cd5b5ad349841c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74479202368641d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d47ccef78ab402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EEZ_953</x:v>
      </x:c>
      <x:c r="B2" s="24" t="str">
        <x:v>South Africa (Atlantic and Cape)</x:v>
      </x:c>
      <x:c r="C2" s="24" t="str">
        <x:v>EEZ</x:v>
      </x:c>
      <x:c r="D2" s="30" t="n">
        <x:v>2019</x:v>
      </x:c>
      <x:c r="E2" s="24" t="str">
        <x:v>Engraulis capensis</x:v>
      </x:c>
      <x:c r="F2" s="24" t="str">
        <x:v>Southern African anchovy</x:v>
      </x:c>
      <x:c r="G2" s="24" t="str">
        <x:v>Small pelagics (&lt;30 cm)</x:v>
      </x:c>
      <x:c r="H2" s="24" t="str">
        <x:v>Anchovies</x:v>
      </x:c>
      <x:c r="I2" s="31" t="n">
        <x:v>329343.663495</x:v>
      </x:c>
      <x:c r="J2" s="31" t="n">
        <x:v>329343.663495</x:v>
      </x:c>
      <x:c r="K2" s="31" t="n">
        <x:v>0</x:v>
      </x:c>
      <x:c r="L2" s="31" t="n">
        <x:v>329343.663495</x:v>
      </x:c>
      <x:c r="M2" s="31" t="n">
        <x:v>0</x:v>
      </x:c>
      <x:c r="N2" s="24" t="str">
        <x:v>engraulis capensis</x:v>
      </x:c>
      <x:c r="O2" s="32" t="n">
        <x:v>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Engraulis capensis</x:v>
      </x:c>
      <x:c r="T2" s="32" t="n">
        <x:f>IF(O2="","",(1/'Metadata'!$B$5)^(O2-1))</x:f>
        <x:v>100</x:v>
      </x:c>
      <x:c r="U2" s="31" t="n">
        <x:f>IF(T2="","",I2*T2)</x:f>
        <x:v>32934366.3495</x:v>
      </x:c>
    </x:row>
    <x:row r="3" ht="18" customHeight="1">
      <x:c r="A3" s="24" t="str">
        <x:v>EEZ_953</x:v>
      </x:c>
      <x:c r="B3" s="24" t="str">
        <x:v>South Africa (Atlantic and Cape)</x:v>
      </x:c>
      <x:c r="C3" s="24" t="str">
        <x:v>EEZ</x:v>
      </x:c>
      <x:c r="D3" s="30" t="n">
        <x:v>2019</x:v>
      </x:c>
      <x:c r="E3" s="24" t="str">
        <x:v>Merluccius</x:v>
      </x:c>
      <x:c r="F3" s="24" t="str">
        <x:v>Hakes</x:v>
      </x:c>
      <x:c r="G3" s="24" t="str">
        <x:v>Medium bathydemersals (30 - 89 cm)</x:v>
      </x:c>
      <x:c r="H3" s="24" t="str">
        <x:v>Cod-likes</x:v>
      </x:c>
      <x:c r="I3" s="31" t="n">
        <x:v>133667.97</x:v>
      </x:c>
      <x:c r="J3" s="31" t="n">
        <x:v>133667.97</x:v>
      </x:c>
      <x:c r="K3" s="31" t="n">
        <x:v>0</x:v>
      </x:c>
      <x:c r="L3" s="31" t="n">
        <x:v>133667.97</x:v>
      </x:c>
      <x:c r="M3" s="31" t="n">
        <x:v>0</x:v>
      </x:c>
      <x:c r="N3" s="24" t="str">
        <x:v>merluccius</x:v>
      </x:c>
      <x:c r="O3" s="32" t="n">
        <x:v>4.27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Merluccius</x:v>
      </x:c>
      <x:c r="T3" s="32" t="n">
        <x:f>IF(O3="","",(1/'Metadata'!$B$5)^(O3-1))</x:f>
        <x:v>1862.0871366628655</x:v>
      </x:c>
      <x:c r="U3" s="31" t="n">
        <x:f>IF(T3="","",I3*T3)</x:f>
        <x:v>248901407.5208378</x:v>
      </x:c>
    </x:row>
    <x:row r="4" ht="18" customHeight="1">
      <x:c r="A4" s="24" t="str">
        <x:v>EEZ_953</x:v>
      </x:c>
      <x:c r="B4" s="24" t="str">
        <x:v>South Africa (Atlantic and Cape)</x:v>
      </x:c>
      <x:c r="C4" s="24" t="str">
        <x:v>EEZ</x:v>
      </x:c>
      <x:c r="D4" s="30" t="n">
        <x:v>2019</x:v>
      </x:c>
      <x:c r="E4" s="24" t="str">
        <x:v>Etrumeus whiteheadi</x:v>
      </x:c>
      <x:c r="F4" s="24" t="str">
        <x:v>Whitehead's round herring</x:v>
      </x:c>
      <x:c r="G4" s="24" t="str">
        <x:v>Small pelagics (&lt;30 cm)</x:v>
      </x:c>
      <x:c r="H4" s="24" t="str">
        <x:v>Herring-likes</x:v>
      </x:c>
      <x:c r="I4" s="31" t="n">
        <x:v>47438.9</x:v>
      </x:c>
      <x:c r="J4" s="31" t="n">
        <x:v>47438.9</x:v>
      </x:c>
      <x:c r="K4" s="31" t="n">
        <x:v>0</x:v>
      </x:c>
      <x:c r="L4" s="31" t="n">
        <x:v>47438.9</x:v>
      </x:c>
      <x:c r="M4" s="31" t="n">
        <x:v>0</x:v>
      </x:c>
      <x:c r="N4" s="24" t="str">
        <x:v>etrumeus whiteheadi</x:v>
      </x:c>
      <x:c r="O4" s="32" t="n">
        <x:v>3.4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Etrumeus whiteheadi</x:v>
      </x:c>
      <x:c r="T4" s="32" t="n">
        <x:f>IF(O4="","",(1/'Metadata'!$B$5)^(O4-1))</x:f>
        <x:v>251.18864315095797</x:v>
      </x:c>
      <x:c r="U4" s="31" t="n">
        <x:f>IF(T4="","",I4*T4)</x:f>
        <x:v>11916112.92357398</x:v>
      </x:c>
    </x:row>
    <x:row r="5" ht="18" customHeight="1">
      <x:c r="A5" s="24" t="str">
        <x:v>EEZ_953</x:v>
      </x:c>
      <x:c r="B5" s="24" t="str">
        <x:v>South Africa (Atlantic and Cape)</x:v>
      </x:c>
      <x:c r="C5" s="24" t="str">
        <x:v>EEZ</x:v>
      </x:c>
      <x:c r="D5" s="30" t="n">
        <x:v>2019</x:v>
      </x:c>
      <x:c r="E5" s="24" t="str">
        <x:v>Trachurus capensis</x:v>
      </x:c>
      <x:c r="F5" s="24" t="str">
        <x:v>Cape horse mackerel</x:v>
      </x:c>
      <x:c r="G5" s="24" t="str">
        <x:v>Medium pelagics (30 - 89 cm)</x:v>
      </x:c>
      <x:c r="H5" s="24" t="str">
        <x:v>Perch-likes</x:v>
      </x:c>
      <x:c r="I5" s="31" t="n">
        <x:v>22669.65</x:v>
      </x:c>
      <x:c r="J5" s="31" t="n">
        <x:v>22669.65</x:v>
      </x:c>
      <x:c r="K5" s="31" t="n">
        <x:v>0</x:v>
      </x:c>
      <x:c r="L5" s="31" t="n">
        <x:v>22669.65</x:v>
      </x:c>
      <x:c r="M5" s="31" t="n">
        <x:v>0</x:v>
      </x:c>
      <x:c r="N5" s="24" t="str">
        <x:v>trachurus capensis</x:v>
      </x:c>
      <x:c r="O5" s="32" t="n">
        <x:v>3.47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Trachurus capensis</x:v>
      </x:c>
      <x:c r="T5" s="32" t="n">
        <x:f>IF(O5="","",(1/'Metadata'!$B$5)^(O5-1))</x:f>
        <x:v>295.1209226666387</x:v>
      </x:c>
      <x:c r="U5" s="31" t="n">
        <x:f>IF(T5="","",I5*T5)</x:f>
        <x:v>6690288.024529766</x:v>
      </x:c>
    </x:row>
    <x:row r="6" ht="18" customHeight="1">
      <x:c r="A6" s="24" t="str">
        <x:v>EEZ_953</x:v>
      </x:c>
      <x:c r="B6" s="24" t="str">
        <x:v>South Africa (Atlantic and Cape)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18220.599948525498</x:v>
      </x:c>
      <x:c r="J6" s="31" t="n">
        <x:v>16039.8234285928</x:v>
      </x:c>
      <x:c r="K6" s="31" t="n">
        <x:v>2180.7765199327</x:v>
      </x:c>
      <x:c r="L6" s="31" t="n">
        <x:v>15223.5700000001</x:v>
      </x:c>
      <x:c r="M6" s="31" t="n">
        <x:v>2997.0299485254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3471863.7459638487</x:v>
      </x:c>
    </x:row>
    <x:row r="7" ht="18" customHeight="1">
      <x:c r="A7" s="24" t="str">
        <x:v>EEZ_953</x:v>
      </x:c>
      <x:c r="B7" s="24" t="str">
        <x:v>South Africa (Atlantic and Cape)</x:v>
      </x:c>
      <x:c r="C7" s="24" t="str">
        <x:v>EEZ</x:v>
      </x:c>
      <x:c r="D7" s="30" t="n">
        <x:v>2019</x:v>
      </x:c>
      <x:c r="E7" s="24" t="str">
        <x:v>Merluccius capensis</x:v>
      </x:c>
      <x:c r="F7" s="24" t="str">
        <x:v>Shallow-water Cape hake</x:v>
      </x:c>
      <x:c r="G7" s="24" t="str">
        <x:v>Large bathydemersals (&gt;=90 cm)</x:v>
      </x:c>
      <x:c r="H7" s="24" t="str">
        <x:v>Cod-likes</x:v>
      </x:c>
      <x:c r="I7" s="31" t="n">
        <x:v>13137.5272539247</x:v>
      </x:c>
      <x:c r="J7" s="31" t="n">
        <x:v>0</x:v>
      </x:c>
      <x:c r="K7" s="31" t="n">
        <x:v>13137.5272539247</x:v>
      </x:c>
      <x:c r="L7" s="31" t="n">
        <x:v>0</x:v>
      </x:c>
      <x:c r="M7" s="31" t="n">
        <x:v>13137.5272539247</x:v>
      </x:c>
      <x:c r="N7" s="24" t="str">
        <x:v>merluccius capensis</x:v>
      </x:c>
      <x:c r="O7" s="32" t="n">
        <x:v>4.46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Merluccius capensis</x:v>
      </x:c>
      <x:c r="T7" s="32" t="n">
        <x:f>IF(O7="","",(1/'Metadata'!$B$5)^(O7-1))</x:f>
        <x:v>2884.031503126606</x:v>
      </x:c>
      <x:c r="U7" s="31" t="n">
        <x:f>IF(T7="","",I7*T7)</x:f>
        <x:v>37889042.4735032</x:v>
      </x:c>
    </x:row>
    <x:row r="8" ht="18" customHeight="1">
      <x:c r="A8" s="24" t="str">
        <x:v>EEZ_953</x:v>
      </x:c>
      <x:c r="B8" s="24" t="str">
        <x:v>South Africa (Atlantic and Cape)</x:v>
      </x:c>
      <x:c r="C8" s="24" t="str">
        <x:v>EEZ</x:v>
      </x:c>
      <x:c r="D8" s="30" t="n">
        <x:v>2019</x:v>
      </x:c>
      <x:c r="E8" s="24" t="str">
        <x:v>Lophius vomerinus</x:v>
      </x:c>
      <x:c r="F8" s="24" t="str">
        <x:v>Devil anglerfish</x:v>
      </x:c>
      <x:c r="G8" s="24" t="str">
        <x:v>Medium demersals (30 - 89 cm)</x:v>
      </x:c>
      <x:c r="H8" s="24" t="str">
        <x:v>Other fishes &amp; inverts</x:v>
      </x:c>
      <x:c r="I8" s="31" t="n">
        <x:v>8787.98</x:v>
      </x:c>
      <x:c r="J8" s="31" t="n">
        <x:v>8787.98</x:v>
      </x:c>
      <x:c r="K8" s="31" t="n">
        <x:v>0</x:v>
      </x:c>
      <x:c r="L8" s="31" t="n">
        <x:v>8787.98</x:v>
      </x:c>
      <x:c r="M8" s="31" t="n">
        <x:v>0</x:v>
      </x:c>
      <x:c r="N8" s="24" t="str">
        <x:v>lophius vomerinus</x:v>
      </x:c>
      <x:c r="O8" s="32" t="n">
        <x:v>4.46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Lophius vomerinus</x:v>
      </x:c>
      <x:c r="T8" s="32" t="n">
        <x:f>IF(O8="","",(1/'Metadata'!$B$5)^(O8-1))</x:f>
        <x:v>2884.031503126606</x:v>
      </x:c>
      <x:c r="U8" s="31" t="n">
        <x:f>IF(T8="","",I8*T8)</x:f>
        <x:v>25344811.168846548</x:v>
      </x:c>
    </x:row>
    <x:row r="9" ht="18" customHeight="1">
      <x:c r="A9" s="24" t="str">
        <x:v>EEZ_953</x:v>
      </x:c>
      <x:c r="B9" s="24" t="str">
        <x:v>South Africa (Atlantic and Cape)</x:v>
      </x:c>
      <x:c r="C9" s="24" t="str">
        <x:v>EEZ</x:v>
      </x:c>
      <x:c r="D9" s="30" t="n">
        <x:v>2019</x:v>
      </x:c>
      <x:c r="E9" s="24" t="str">
        <x:v>Thyrsites atun</x:v>
      </x:c>
      <x:c r="F9" s="24" t="str">
        <x:v>Snoek</x:v>
      </x:c>
      <x:c r="G9" s="24" t="str">
        <x:v>Large benthopelagics (&gt;=90 cm)</x:v>
      </x:c>
      <x:c r="H9" s="24" t="str">
        <x:v>Perch-likes</x:v>
      </x:c>
      <x:c r="I9" s="31" t="n">
        <x:v>7765.575014061</x:v>
      </x:c>
      <x:c r="J9" s="31" t="n">
        <x:v>7765.575014061</x:v>
      </x:c>
      <x:c r="K9" s="31" t="n">
        <x:v>0</x:v>
      </x:c>
      <x:c r="L9" s="31" t="n">
        <x:v>6813.15</x:v>
      </x:c>
      <x:c r="M9" s="31" t="n">
        <x:v>952.425014061</x:v>
      </x:c>
      <x:c r="N9" s="24" t="str">
        <x:v>thyrsites atun</x:v>
      </x:c>
      <x:c r="O9" s="32" t="n">
        <x:v>3.63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Thyrsites atun</x:v>
      </x:c>
      <x:c r="T9" s="32" t="n">
        <x:f>IF(O9="","",(1/'Metadata'!$B$5)^(O9-1))</x:f>
        <x:v>426.57951880159254</x:v>
      </x:c>
      <x:c r="U9" s="31" t="n">
        <x:f>IF(T9="","",I9*T9)</x:f>
        <x:v>3312635.2527158116</x:v>
      </x:c>
    </x:row>
    <x:row r="10" ht="18" customHeight="1">
      <x:c r="A10" s="24" t="str">
        <x:v>EEZ_953</x:v>
      </x:c>
      <x:c r="B10" s="24" t="str">
        <x:v>South Africa (Atlantic and Cape)</x:v>
      </x:c>
      <x:c r="C10" s="24" t="str">
        <x:v>EEZ</x:v>
      </x:c>
      <x:c r="D10" s="30" t="n">
        <x:v>2019</x:v>
      </x:c>
      <x:c r="E10" s="24" t="str">
        <x:v>Thunnus alalunga</x:v>
      </x:c>
      <x:c r="F10" s="24" t="str">
        <x:v>Albacore</x:v>
      </x:c>
      <x:c r="G10" s="24" t="str">
        <x:v>Large pelagics (&gt;=90 cm)</x:v>
      </x:c>
      <x:c r="H10" s="24" t="str">
        <x:v>Tuna &amp; billfishes</x:v>
      </x:c>
      <x:c r="I10" s="31" t="n">
        <x:v>7428.3812253057995</x:v>
      </x:c>
      <x:c r="J10" s="31" t="n">
        <x:v>7428.3812253057995</x:v>
      </x:c>
      <x:c r="K10" s="31" t="n">
        <x:v>0</x:v>
      </x:c>
      <x:c r="L10" s="31" t="n">
        <x:v>7114.7448797778</x:v>
      </x:c>
      <x:c r="M10" s="31" t="n">
        <x:v>313.636345528</x:v>
      </x:c>
      <x:c r="N10" s="24" t="str">
        <x:v>thunnus alalunga</x:v>
      </x:c>
      <x:c r="O10" s="32" t="n">
        <x:v>4.3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Thunnus alalunga</x:v>
      </x:c>
      <x:c r="T10" s="32" t="n">
        <x:f>IF(O10="","",(1/'Metadata'!$B$5)^(O10-1))</x:f>
        <x:v>1995.2623149688789</x:v>
      </x:c>
      <x:c r="U10" s="31" t="n">
        <x:f>IF(T10="","",I10*T10)</x:f>
        <x:v>14821569.120075006</x:v>
      </x:c>
    </x:row>
    <x:row r="11" ht="18" customHeight="1">
      <x:c r="A11" s="24" t="str">
        <x:v>EEZ_953</x:v>
      </x:c>
      <x:c r="B11" s="24" t="str">
        <x:v>South Africa (Atlantic and Cape)</x:v>
      </x:c>
      <x:c r="C11" s="24" t="str">
        <x:v>EEZ</x:v>
      </x:c>
      <x:c r="D11" s="30" t="n">
        <x:v>2019</x:v>
      </x:c>
      <x:c r="E11" s="24" t="str">
        <x:v>Loligo</x:v>
      </x:c>
      <x:c r="F11" s="24" t="str">
        <x:v>Common squids</x:v>
      </x:c>
      <x:c r="G11" s="24" t="str">
        <x:v>Cephalopods</x:v>
      </x:c>
      <x:c r="H11" s="24" t="str">
        <x:v>Other fishes &amp; inverts</x:v>
      </x:c>
      <x:c r="I11" s="31" t="n">
        <x:v>7311.1900000000005</x:v>
      </x:c>
      <x:c r="J11" s="31" t="n">
        <x:v>7311.1900000000005</x:v>
      </x:c>
      <x:c r="K11" s="31" t="n">
        <x:v>0</x:v>
      </x:c>
      <x:c r="L11" s="31" t="n">
        <x:v>7311.1900000000005</x:v>
      </x:c>
      <x:c r="M11" s="31" t="n">
        <x:v>0</x:v>
      </x:c>
      <x:c r="N11" s="24" t="str">
        <x:v>loligo</x:v>
      </x:c>
      <x:c r="O11" s="32" t="n">
        <x:v>3.99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Loligo</x:v>
      </x:c>
      <x:c r="T11" s="32" t="n">
        <x:f>IF(O11="","",(1/'Metadata'!$B$5)^(O11-1))</x:f>
        <x:v>977.2372209558112</x:v>
      </x:c>
      <x:c r="U11" s="31" t="n">
        <x:f>IF(T11="","",I11*T11)</x:f>
        <x:v>7144766.9974799175</x:v>
      </x:c>
    </x:row>
    <x:row r="12" ht="18" customHeight="1">
      <x:c r="A12" s="24" t="str">
        <x:v>EEZ_953</x:v>
      </x:c>
      <x:c r="B12" s="24" t="str">
        <x:v>South Africa (Atlantic and Cape)</x:v>
      </x:c>
      <x:c r="C12" s="24" t="str">
        <x:v>EEZ</x:v>
      </x:c>
      <x:c r="D12" s="30" t="n">
        <x:v>2019</x:v>
      </x:c>
      <x:c r="E12" s="24" t="str">
        <x:v>Sardinops sagax</x:v>
      </x:c>
      <x:c r="F12" s="24" t="str">
        <x:v>South American pilchard</x:v>
      </x:c>
      <x:c r="G12" s="24" t="str">
        <x:v>Medium pelagics (30 - 89 cm)</x:v>
      </x:c>
      <x:c r="H12" s="24" t="str">
        <x:v>Herring-likes</x:v>
      </x:c>
      <x:c r="I12" s="31" t="n">
        <x:v>5219.82</x:v>
      </x:c>
      <x:c r="J12" s="31" t="n">
        <x:v>5219.82</x:v>
      </x:c>
      <x:c r="K12" s="31" t="n">
        <x:v>0</x:v>
      </x:c>
      <x:c r="L12" s="31" t="n">
        <x:v>5219.82</x:v>
      </x:c>
      <x:c r="M12" s="31" t="n">
        <x:v>0</x:v>
      </x:c>
      <x:c r="N12" s="24" t="str">
        <x:v>sardinops sagax</x:v>
      </x:c>
      <x:c r="O12" s="32" t="n">
        <x:v>2.84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Sardinops sagax</x:v>
      </x:c>
      <x:c r="T12" s="32" t="n">
        <x:f>IF(O12="","",(1/'Metadata'!$B$5)^(O12-1))</x:f>
        <x:v>69.18309709189363</x:v>
      </x:c>
      <x:c r="U12" s="31" t="n">
        <x:f>IF(T12="","",I12*T12)</x:f>
        <x:v>361123.31386220816</x:v>
      </x:c>
    </x:row>
    <x:row r="13" ht="18" customHeight="1">
      <x:c r="A13" s="24" t="str">
        <x:v>EEZ_953</x:v>
      </x:c>
      <x:c r="B13" s="24" t="str">
        <x:v>South Africa (Atlantic and Cape)</x:v>
      </x:c>
      <x:c r="C13" s="24" t="str">
        <x:v>EEZ</x:v>
      </x:c>
      <x:c r="D13" s="30" t="n">
        <x:v>2019</x:v>
      </x:c>
      <x:c r="E13" s="24" t="str">
        <x:v>Triglidae</x:v>
      </x:c>
      <x:c r="F13" s="24" t="str">
        <x:v>Searobins, gurnards</x:v>
      </x:c>
      <x:c r="G13" s="24" t="str">
        <x:v>Medium demersals (30 - 89 cm)</x:v>
      </x:c>
      <x:c r="H13" s="24" t="str">
        <x:v>Scorpionfishes</x:v>
      </x:c>
      <x:c r="I13" s="31" t="n">
        <x:v>5140.7715346314</x:v>
      </x:c>
      <x:c r="J13" s="31" t="n">
        <x:v>0</x:v>
      </x:c>
      <x:c r="K13" s="31" t="n">
        <x:v>5140.7715346314</x:v>
      </x:c>
      <x:c r="L13" s="31" t="n">
        <x:v>0</x:v>
      </x:c>
      <x:c r="M13" s="31" t="n">
        <x:v>5140.7715346314</x:v>
      </x:c>
      <x:c r="N13" s="24" t="str">
        <x:v>triglidae</x:v>
      </x:c>
      <x:c r="O13" s="32" t="n">
        <x:v>3.74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Triglidae</x:v>
      </x:c>
      <x:c r="T13" s="32" t="n">
        <x:f>IF(O13="","",(1/'Metadata'!$B$5)^(O13-1))</x:f>
        <x:v>549.5408738576248</x:v>
      </x:c>
      <x:c r="U13" s="31" t="n">
        <x:f>IF(T13="","",I13*T13)</x:f>
        <x:v>2825064.0814437424</x:v>
      </x:c>
    </x:row>
    <x:row r="14" ht="18" customHeight="1">
      <x:c r="A14" s="24" t="str">
        <x:v>EEZ_953</x:v>
      </x:c>
      <x:c r="B14" s="24" t="str">
        <x:v>South Africa (Atlantic and Cape)</x:v>
      </x:c>
      <x:c r="C14" s="24" t="str">
        <x:v>EEZ</x:v>
      </x:c>
      <x:c r="D14" s="30" t="n">
        <x:v>2019</x:v>
      </x:c>
      <x:c r="E14" s="24" t="str">
        <x:v>Squalus</x:v>
      </x:c>
      <x:c r="F14" s="24" t="str">
        <x:v>Dogfishes</x:v>
      </x:c>
      <x:c r="G14" s="24" t="str">
        <x:v>Large sharks (&gt;=90 cm)</x:v>
      </x:c>
      <x:c r="H14" s="24" t="str">
        <x:v>Sharks &amp; rays</x:v>
      </x:c>
      <x:c r="I14" s="31" t="n">
        <x:v>3712.7794414272</x:v>
      </x:c>
      <x:c r="J14" s="31" t="n">
        <x:v>0</x:v>
      </x:c>
      <x:c r="K14" s="31" t="n">
        <x:v>3712.7794414272</x:v>
      </x:c>
      <x:c r="L14" s="31" t="n">
        <x:v>0</x:v>
      </x:c>
      <x:c r="M14" s="31" t="n">
        <x:v>3712.7794414272</x:v>
      </x:c>
      <x:c r="N14" s="24" t="str">
        <x:v>squalus</x:v>
      </x:c>
      <x:c r="O14" s="32" t="n">
        <x:v>4.23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Squalus</x:v>
      </x:c>
      <x:c r="T14" s="32" t="n">
        <x:f>IF(O14="","",(1/'Metadata'!$B$5)^(O14-1))</x:f>
        <x:v>1698.243652461746</x:v>
      </x:c>
      <x:c r="U14" s="31" t="n">
        <x:f>IF(T14="","",I14*T14)</x:f>
        <x:v>6305204.119394209</x:v>
      </x:c>
    </x:row>
    <x:row r="15" ht="18" customHeight="1">
      <x:c r="A15" s="24" t="str">
        <x:v>EEZ_953</x:v>
      </x:c>
      <x:c r="B15" s="24" t="str">
        <x:v>South Africa (Atlantic and Cape)</x:v>
      </x:c>
      <x:c r="C15" s="24" t="str">
        <x:v>EEZ</x:v>
      </x:c>
      <x:c r="D15" s="30" t="n">
        <x:v>2019</x:v>
      </x:c>
      <x:c r="E15" s="24" t="str">
        <x:v>Lepidopus caudatus</x:v>
      </x:c>
      <x:c r="F15" s="24" t="str">
        <x:v>Silver scabbardfish</x:v>
      </x:c>
      <x:c r="G15" s="24" t="str">
        <x:v>Large bathydemersals (&gt;=90 cm)</x:v>
      </x:c>
      <x:c r="H15" s="24" t="str">
        <x:v>Perch-likes</x:v>
      </x:c>
      <x:c r="I15" s="31" t="n">
        <x:v>3568.96</x:v>
      </x:c>
      <x:c r="J15" s="31" t="n">
        <x:v>3568.96</x:v>
      </x:c>
      <x:c r="K15" s="31" t="n">
        <x:v>0</x:v>
      </x:c>
      <x:c r="L15" s="31" t="n">
        <x:v>3568.96</x:v>
      </x:c>
      <x:c r="M15" s="31" t="n">
        <x:v>0</x:v>
      </x:c>
      <x:c r="N15" s="24" t="str">
        <x:v>lepidopus caudatus</x:v>
      </x:c>
      <x:c r="O15" s="32" t="n">
        <x:v>3.82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Lepidopus caudatus</x:v>
      </x:c>
      <x:c r="T15" s="32" t="n">
        <x:f>IF(O15="","",(1/'Metadata'!$B$5)^(O15-1))</x:f>
        <x:v>660.6934480075957</x:v>
      </x:c>
      <x:c r="U15" s="31" t="n">
        <x:f>IF(T15="","",I15*T15)</x:f>
        <x:v>2357988.488201189</x:v>
      </x:c>
    </x:row>
    <x:row r="16" ht="18" customHeight="1">
      <x:c r="A16" s="24" t="str">
        <x:v>EEZ_953</x:v>
      </x:c>
      <x:c r="B16" s="24" t="str">
        <x:v>South Africa (Atlantic and Cape)</x:v>
      </x:c>
      <x:c r="C16" s="24" t="str">
        <x:v>EEZ</x:v>
      </x:c>
      <x:c r="D16" s="30" t="n">
        <x:v>2019</x:v>
      </x:c>
      <x:c r="E16" s="24" t="str">
        <x:v>Lampanyctodes hectoris</x:v>
      </x:c>
      <x:c r="F16" s="24" t="str">
        <x:v>Hector's lanternfish</x:v>
      </x:c>
      <x:c r="G16" s="24" t="str">
        <x:v>Small pelagics (&lt;30 cm)</x:v>
      </x:c>
      <x:c r="H16" s="24" t="str">
        <x:v>Other fishes &amp; inverts</x:v>
      </x:c>
      <x:c r="I16" s="31" t="n">
        <x:v>3341.0052812425</x:v>
      </x:c>
      <x:c r="J16" s="31" t="n">
        <x:v>3341.0052812425</x:v>
      </x:c>
      <x:c r="K16" s="31" t="n">
        <x:v>0</x:v>
      </x:c>
      <x:c r="L16" s="31" t="n">
        <x:v>3319.2600000001003</x:v>
      </x:c>
      <x:c r="M16" s="31" t="n">
        <x:v>21.7452812424</x:v>
      </x:c>
      <x:c r="N16" s="24" t="str">
        <x:v>lampanyctodes hectoris</x:v>
      </x:c>
      <x:c r="O16" s="32" t="n">
        <x:v>3.17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Lampanyctodes hectoris</x:v>
      </x:c>
      <x:c r="T16" s="32" t="n">
        <x:f>IF(O16="","",(1/'Metadata'!$B$5)^(O16-1))</x:f>
        <x:v>147.91083881682073</x:v>
      </x:c>
      <x:c r="U16" s="31" t="n">
        <x:f>IF(T16="","",I16*T16)</x:f>
        <x:v>494170.89364000625</x:v>
      </x:c>
    </x:row>
    <x:row r="17" ht="18" customHeight="1">
      <x:c r="A17" s="24" t="str">
        <x:v>EEZ_953</x:v>
      </x:c>
      <x:c r="B17" s="24" t="str">
        <x:v>South Africa (Atlantic and Cape)</x:v>
      </x:c>
      <x:c r="C17" s="24" t="str">
        <x:v>EEZ</x:v>
      </x:c>
      <x:c r="D17" s="30" t="n">
        <x:v>2019</x:v>
      </x:c>
      <x:c r="E17" s="24" t="str">
        <x:v>Raja</x:v>
      </x:c>
      <x:c r="F17" s="24" t="str">
        <x:v>Stingrays, skates</x:v>
      </x:c>
      <x:c r="G17" s="24" t="str">
        <x:v>Small to medium rays (&lt;90 cm)</x:v>
      </x:c>
      <x:c r="H17" s="24" t="str">
        <x:v>Sharks &amp; rays</x:v>
      </x:c>
      <x:c r="I17" s="31" t="n">
        <x:v>2855.9841861323</x:v>
      </x:c>
      <x:c r="J17" s="31" t="n">
        <x:v>0</x:v>
      </x:c>
      <x:c r="K17" s="31" t="n">
        <x:v>2855.9841861323</x:v>
      </x:c>
      <x:c r="L17" s="31" t="n">
        <x:v>0</x:v>
      </x:c>
      <x:c r="M17" s="31" t="n">
        <x:v>2855.9841861323</x:v>
      </x:c>
      <x:c r="N17" s="24" t="str">
        <x:v>raja</x:v>
      </x:c>
      <x:c r="O17" s="32" t="n">
        <x:v>3.8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Raja</x:v>
      </x:c>
      <x:c r="T17" s="32" t="n">
        <x:f>IF(O17="","",(1/'Metadata'!$B$5)^(O17-1))</x:f>
        <x:v>630.957344480193</x:v>
      </x:c>
      <x:c r="U17" s="31" t="n">
        <x:f>IF(T17="","",I17*T17)</x:f>
        <x:v>1802004.197959461</x:v>
      </x:c>
    </x:row>
    <x:row r="18" ht="18" customHeight="1">
      <x:c r="A18" s="24" t="str">
        <x:v>EEZ_953</x:v>
      </x:c>
      <x:c r="B18" s="24" t="str">
        <x:v>South Africa (Atlantic and Cape)</x:v>
      </x:c>
      <x:c r="C18" s="24" t="str">
        <x:v>EEZ</x:v>
      </x:c>
      <x:c r="D18" s="30" t="n">
        <x:v>2019</x:v>
      </x:c>
      <x:c r="E18" s="24" t="str">
        <x:v>Zeidae</x:v>
      </x:c>
      <x:c r="F18" s="24" t="str">
        <x:v>Dories</x:v>
      </x:c>
      <x:c r="G18" s="24" t="str">
        <x:v>Medium bathydemersals (30 - 89 cm)</x:v>
      </x:c>
      <x:c r="H18" s="24" t="str">
        <x:v>Other fishes &amp; inverts</x:v>
      </x:c>
      <x:c r="I18" s="31" t="n">
        <x:v>2851.5268371792</x:v>
      </x:c>
      <x:c r="J18" s="31" t="n">
        <x:v>2280.33</x:v>
      </x:c>
      <x:c r="K18" s="31" t="n">
        <x:v>571.1968371792</x:v>
      </x:c>
      <x:c r="L18" s="31" t="n">
        <x:v>2280.33</x:v>
      </x:c>
      <x:c r="M18" s="31" t="n">
        <x:v>571.1968371792</x:v>
      </x:c>
      <x:c r="N18" s="24" t="str">
        <x:v>zeidae</x:v>
      </x:c>
      <x:c r="O18" s="32" t="n">
        <x:v>4.49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Zeidae</x:v>
      </x:c>
      <x:c r="T18" s="32" t="n">
        <x:f>IF(O18="","",(1/'Metadata'!$B$5)^(O18-1))</x:f>
        <x:v>3090.295432513592</x:v>
      </x:c>
      <x:c r="U18" s="31" t="n">
        <x:f>IF(T18="","",I18*T18)</x:f>
        <x:v>8812060.36062481</x:v>
      </x:c>
    </x:row>
    <x:row r="19" ht="18" customHeight="1">
      <x:c r="A19" s="24" t="str">
        <x:v>EEZ_953</x:v>
      </x:c>
      <x:c r="B19" s="24" t="str">
        <x:v>South Africa (Atlantic and Cape)</x:v>
      </x:c>
      <x:c r="C19" s="24" t="str">
        <x:v>EEZ</x:v>
      </x:c>
      <x:c r="D19" s="30" t="n">
        <x:v>2019</x:v>
      </x:c>
      <x:c r="E19" s="24" t="str">
        <x:v>Genypterus capensis</x:v>
      </x:c>
      <x:c r="F19" s="24" t="str">
        <x:v>Kingklip</x:v>
      </x:c>
      <x:c r="G19" s="24" t="str">
        <x:v>Large bathydemersals (&gt;=90 cm)</x:v>
      </x:c>
      <x:c r="H19" s="24" t="str">
        <x:v>Other fishes &amp; inverts</x:v>
      </x:c>
      <x:c r="I19" s="31" t="n">
        <x:v>2790.53</x:v>
      </x:c>
      <x:c r="J19" s="31" t="n">
        <x:v>2790.53</x:v>
      </x:c>
      <x:c r="K19" s="31" t="n">
        <x:v>0</x:v>
      </x:c>
      <x:c r="L19" s="31" t="n">
        <x:v>2790.53</x:v>
      </x:c>
      <x:c r="M19" s="31" t="n">
        <x:v>0</x:v>
      </x:c>
      <x:c r="N19" s="24" t="str">
        <x:v>genypterus capensis</x:v>
      </x:c>
      <x:c r="O19" s="32" t="n">
        <x:v>4.44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Genypterus capensis</x:v>
      </x:c>
      <x:c r="T19" s="32" t="n">
        <x:f>IF(O19="","",(1/'Metadata'!$B$5)^(O19-1))</x:f>
        <x:v>2754.228703338169</x:v>
      </x:c>
      <x:c r="U19" s="31" t="n">
        <x:f>IF(T19="","",I19*T19)</x:f>
        <x:v>7685757.823526261</x:v>
      </x:c>
    </x:row>
    <x:row r="20" ht="18" customHeight="1">
      <x:c r="A20" s="24" t="str">
        <x:v>EEZ_953</x:v>
      </x:c>
      <x:c r="B20" s="24" t="str">
        <x:v>South Africa (Atlantic and Cape)</x:v>
      </x:c>
      <x:c r="C20" s="24" t="str">
        <x:v>EEZ</x:v>
      </x:c>
      <x:c r="D20" s="30" t="n">
        <x:v>2019</x:v>
      </x:c>
      <x:c r="E20" s="24" t="str">
        <x:v>Pterogymnus laniarius</x:v>
      </x:c>
      <x:c r="F20" s="24" t="str">
        <x:v>Panga seabream</x:v>
      </x:c>
      <x:c r="G20" s="24" t="str">
        <x:v>Medium benthopelagics (30 - 89 cm)</x:v>
      </x:c>
      <x:c r="H20" s="24" t="str">
        <x:v>Perch-likes</x:v>
      </x:c>
      <x:c r="I20" s="31" t="n">
        <x:v>2049.8348207087</x:v>
      </x:c>
      <x:c r="J20" s="31" t="n">
        <x:v>1478.6379835295002</x:v>
      </x:c>
      <x:c r="K20" s="31" t="n">
        <x:v>571.1968371792</x:v>
      </x:c>
      <x:c r="L20" s="31" t="n">
        <x:v>1331.7400000002</x:v>
      </x:c>
      <x:c r="M20" s="31" t="n">
        <x:v>718.0948207084999</x:v>
      </x:c>
      <x:c r="N20" s="24" t="str">
        <x:v>pterogymnus laniarius</x:v>
      </x:c>
      <x:c r="O20" s="32" t="n">
        <x:v>3.54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Pterogymnus laniarius</x:v>
      </x:c>
      <x:c r="T20" s="32" t="n">
        <x:f>IF(O20="","",(1/'Metadata'!$B$5)^(O20-1))</x:f>
        <x:v>346.73685045253166</x:v>
      </x:c>
      <x:c r="U20" s="31" t="n">
        <x:f>IF(T20="","",I20*T20)</x:f>
        <x:v>710753.2696804646</x:v>
      </x:c>
    </x:row>
    <x:row r="21" ht="18" customHeight="1">
      <x:c r="A21" s="24" t="str">
        <x:v>EEZ_953</x:v>
      </x:c>
      <x:c r="B21" s="24" t="str">
        <x:v>South Africa (Atlantic and Cape)</x:v>
      </x:c>
      <x:c r="C21" s="24" t="str">
        <x:v>EEZ</x:v>
      </x:c>
      <x:c r="D21" s="30" t="n">
        <x:v>2019</x:v>
      </x:c>
      <x:c r="E21" s="24" t="str">
        <x:v>Brama brama</x:v>
      </x:c>
      <x:c r="F21" s="24" t="str">
        <x:v>Atlantic pomfret</x:v>
      </x:c>
      <x:c r="G21" s="24" t="str">
        <x:v>Medium bathypelagics (30 - 89 cm)</x:v>
      </x:c>
      <x:c r="H21" s="24" t="str">
        <x:v>Perch-likes</x:v>
      </x:c>
      <x:c r="I21" s="31" t="n">
        <x:v>1776.28</x:v>
      </x:c>
      <x:c r="J21" s="31" t="n">
        <x:v>1776.28</x:v>
      </x:c>
      <x:c r="K21" s="31" t="n">
        <x:v>0</x:v>
      </x:c>
      <x:c r="L21" s="31" t="n">
        <x:v>1776.28</x:v>
      </x:c>
      <x:c r="M21" s="31" t="n">
        <x:v>0</x:v>
      </x:c>
      <x:c r="N21" s="24" t="str">
        <x:v>brama brama</x:v>
      </x:c>
      <x:c r="O21" s="32" t="n">
        <x:v>4.08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Brama brama</x:v>
      </x:c>
      <x:c r="T21" s="32" t="n">
        <x:f>IF(O21="","",(1/'Metadata'!$B$5)^(O21-1))</x:f>
        <x:v>1202.2644346174131</x:v>
      </x:c>
      <x:c r="U21" s="31" t="n">
        <x:f>IF(T21="","",I21*T21)</x:f>
        <x:v>2135558.2699222188</x:v>
      </x:c>
    </x:row>
    <x:row r="22" ht="18" customHeight="1">
      <x:c r="A22" s="24" t="str">
        <x:v>EEZ_953</x:v>
      </x:c>
      <x:c r="B22" s="24" t="str">
        <x:v>South Africa (Atlantic and Cape)</x:v>
      </x:c>
      <x:c r="C22" s="24" t="str">
        <x:v>EEZ</x:v>
      </x:c>
      <x:c r="D22" s="30" t="n">
        <x:v>2019</x:v>
      </x:c>
      <x:c r="E22" s="24" t="str">
        <x:v>Thunnus albacares</x:v>
      </x:c>
      <x:c r="F22" s="24" t="str">
        <x:v>Yellowfin tuna</x:v>
      </x:c>
      <x:c r="G22" s="24" t="str">
        <x:v>Large pelagics (&gt;=90 cm)</x:v>
      </x:c>
      <x:c r="H22" s="24" t="str">
        <x:v>Tuna &amp; billfishes</x:v>
      </x:c>
      <x:c r="I22" s="31" t="n">
        <x:v>1648.0782716332</x:v>
      </x:c>
      <x:c r="J22" s="31" t="n">
        <x:v>1648.0782716332</x:v>
      </x:c>
      <x:c r="K22" s="31" t="n">
        <x:v>0</x:v>
      </x:c>
      <x:c r="L22" s="31" t="n">
        <x:v>1533.0464201683</x:v>
      </x:c>
      <x:c r="M22" s="31" t="n">
        <x:v>115.0318514649</x:v>
      </x:c>
      <x:c r="N22" s="24" t="str">
        <x:v>thunnus albacares</x:v>
      </x:c>
      <x:c r="O22" s="32" t="n">
        <x:v>4.41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Thunnus albacares</x:v>
      </x:c>
      <x:c r="T22" s="32" t="n">
        <x:f>IF(O22="","",(1/'Metadata'!$B$5)^(O22-1))</x:f>
        <x:v>2570.3957827688646</x:v>
      </x:c>
      <x:c r="U22" s="31" t="n">
        <x:f>IF(T22="","",I22*T22)</x:f>
        <x:v>4236213.439078976</x:v>
      </x:c>
    </x:row>
    <x:row r="23" ht="18" customHeight="1">
      <x:c r="A23" s="24" t="str">
        <x:v>EEZ_953</x:v>
      </x:c>
      <x:c r="B23" s="24" t="str">
        <x:v>South Africa (Atlantic and Cape)</x:v>
      </x:c>
      <x:c r="C23" s="24" t="str">
        <x:v>EEZ</x:v>
      </x:c>
      <x:c r="D23" s="30" t="n">
        <x:v>2019</x:v>
      </x:c>
      <x:c r="E23" s="24" t="str">
        <x:v>Jasus lalandii</x:v>
      </x:c>
      <x:c r="F23" s="24" t="str">
        <x:v>Cape rock lobster</x:v>
      </x:c>
      <x:c r="G23" s="24" t="str">
        <x:v>Lobsters, crabs</x:v>
      </x:c>
      <x:c r="H23" s="24" t="str">
        <x:v>Crustaceans</x:v>
      </x:c>
      <x:c r="I23" s="31" t="n">
        <x:v>1438.9634270132</x:v>
      </x:c>
      <x:c r="J23" s="31" t="n">
        <x:v>1438.9634270132</x:v>
      </x:c>
      <x:c r="K23" s="31" t="n">
        <x:v>0</x:v>
      </x:c>
      <x:c r="L23" s="31" t="n">
        <x:v>910.18</x:v>
      </x:c>
      <x:c r="M23" s="31" t="n">
        <x:v>528.7834270132</x:v>
      </x:c>
      <x:c r="N23" s="24" t="str">
        <x:v>jasus lalandii</x:v>
      </x:c>
      <x:c r="O23" s="32" t="n">
        <x:v>2.6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Jasus lalandii</x:v>
      </x:c>
      <x:c r="T23" s="32" t="n">
        <x:f>IF(O23="","",(1/'Metadata'!$B$5)^(O23-1))</x:f>
        <x:v>39.810717055349734</x:v>
      </x:c>
      <x:c r="U23" s="31" t="n">
        <x:f>IF(T23="","",I23*T23)</x:f>
        <x:v>57286.165845818905</x:v>
      </x:c>
    </x:row>
    <x:row r="24" ht="18" customHeight="1">
      <x:c r="A24" s="24" t="str">
        <x:v>EEZ_953</x:v>
      </x:c>
      <x:c r="B24" s="24" t="str">
        <x:v>South Africa (Atlantic and Cape)</x:v>
      </x:c>
      <x:c r="C24" s="24" t="str">
        <x:v>EEZ</x:v>
      </x:c>
      <x:c r="D24" s="30" t="n">
        <x:v>2019</x:v>
      </x:c>
      <x:c r="E24" s="24" t="str">
        <x:v>Haliotis midae</x:v>
      </x:c>
      <x:c r="F24" s="24" t="str">
        <x:v>Perlemoen abalone</x:v>
      </x:c>
      <x:c r="G24" s="24" t="str">
        <x:v>Other demersal invertebrates</x:v>
      </x:c>
      <x:c r="H24" s="24" t="str">
        <x:v>Molluscs</x:v>
      </x:c>
      <x:c r="I24" s="31" t="n">
        <x:v>1344.4319903352</x:v>
      </x:c>
      <x:c r="J24" s="31" t="n">
        <x:v>1344.4319903352</x:v>
      </x:c>
      <x:c r="K24" s="31" t="n">
        <x:v>0</x:v>
      </x:c>
      <x:c r="L24" s="31" t="n">
        <x:v>6</x:v>
      </x:c>
      <x:c r="M24" s="31" t="n">
        <x:v>1338.4319903352</x:v>
      </x:c>
      <x:c r="N24" s="24" t="str">
        <x:v>haliotis midae</x:v>
      </x:c>
      <x:c r="O24" s="32" t="n">
        <x:v>2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Haliotis midae</x:v>
      </x:c>
      <x:c r="T24" s="32" t="n">
        <x:f>IF(O24="","",(1/'Metadata'!$B$5)^(O24-1))</x:f>
        <x:v>10</x:v>
      </x:c>
      <x:c r="U24" s="31" t="n">
        <x:f>IF(T24="","",I24*T24)</x:f>
        <x:v>13444.319903352</x:v>
      </x:c>
    </x:row>
    <x:row r="25" ht="18" customHeight="1">
      <x:c r="A25" s="24" t="str">
        <x:v>EEZ_953</x:v>
      </x:c>
      <x:c r="B25" s="24" t="str">
        <x:v>South Africa (Atlantic and Cape)</x:v>
      </x:c>
      <x:c r="C25" s="24" t="str">
        <x:v>EEZ</x:v>
      </x:c>
      <x:c r="D25" s="30" t="n">
        <x:v>2019</x:v>
      </x:c>
      <x:c r="E25" s="24" t="str">
        <x:v>Thunnus obesus</x:v>
      </x:c>
      <x:c r="F25" s="24" t="str">
        <x:v>Bigeye tuna</x:v>
      </x:c>
      <x:c r="G25" s="24" t="str">
        <x:v>Large pelagics (&gt;=90 cm)</x:v>
      </x:c>
      <x:c r="H25" s="24" t="str">
        <x:v>Tuna &amp; billfishes</x:v>
      </x:c>
      <x:c r="I25" s="31" t="n">
        <x:v>1031.6080907357</x:v>
      </x:c>
      <x:c r="J25" s="31" t="n">
        <x:v>1031.6080907357</x:v>
      </x:c>
      <x:c r="K25" s="31" t="n">
        <x:v>0</x:v>
      </x:c>
      <x:c r="L25" s="31" t="n">
        <x:v>1031.6080907357</x:v>
      </x:c>
      <x:c r="M25" s="31" t="n">
        <x:v>0</x:v>
      </x:c>
      <x:c r="N25" s="24" t="str">
        <x:v>thunnus obesus</x:v>
      </x:c>
      <x:c r="O25" s="32" t="n">
        <x:v>4.49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Thunnus obesus</x:v>
      </x:c>
      <x:c r="T25" s="32" t="n">
        <x:f>IF(O25="","",(1/'Metadata'!$B$5)^(O25-1))</x:f>
        <x:v>3090.295432513592</x:v>
      </x:c>
      <x:c r="U25" s="31" t="n">
        <x:f>IF(T25="","",I25*T25)</x:f>
        <x:v>3187973.770944601</x:v>
      </x:c>
    </x:row>
    <x:row r="26" ht="18" customHeight="1">
      <x:c r="A26" s="24" t="str">
        <x:v>EEZ_953</x:v>
      </x:c>
      <x:c r="B26" s="24" t="str">
        <x:v>South Africa (Atlantic and Cape)</x:v>
      </x:c>
      <x:c r="C26" s="24" t="str">
        <x:v>EEZ</x:v>
      </x:c>
      <x:c r="D26" s="30" t="n">
        <x:v>2019</x:v>
      </x:c>
      <x:c r="E26" s="24" t="str">
        <x:v>Helicolenus dactylopterus</x:v>
      </x:c>
      <x:c r="F26" s="24" t="str">
        <x:v>Blackbelly rosefish</x:v>
      </x:c>
      <x:c r="G26" s="24" t="str">
        <x:v>Medium bathydemersals (30 - 89 cm)</x:v>
      </x:c>
      <x:c r="H26" s="24" t="str">
        <x:v>Scorpionfishes</x:v>
      </x:c>
      <x:c r="I26" s="31" t="n">
        <x:v>1010.98</x:v>
      </x:c>
      <x:c r="J26" s="31" t="n">
        <x:v>1010.98</x:v>
      </x:c>
      <x:c r="K26" s="31" t="n">
        <x:v>0</x:v>
      </x:c>
      <x:c r="L26" s="31" t="n">
        <x:v>1010.98</x:v>
      </x:c>
      <x:c r="M26" s="31" t="n">
        <x:v>0</x:v>
      </x:c>
      <x:c r="N26" s="24" t="str">
        <x:v>helicolenus dactylopterus</x:v>
      </x:c>
      <x:c r="O26" s="32" t="n">
        <x:v>3.54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Helicolenus dactylopterus</x:v>
      </x:c>
      <x:c r="T26" s="32" t="n">
        <x:f>IF(O26="","",(1/'Metadata'!$B$5)^(O26-1))</x:f>
        <x:v>346.73685045253166</x:v>
      </x:c>
      <x:c r="U26" s="31" t="n">
        <x:f>IF(T26="","",I26*T26)</x:f>
        <x:v>350544.0210705005</x:v>
      </x:c>
    </x:row>
    <x:row r="27" ht="18" customHeight="1">
      <x:c r="A27" s="24" t="str">
        <x:v>EEZ_953</x:v>
      </x:c>
      <x:c r="B27" s="24" t="str">
        <x:v>South Africa (Atlantic and Cape)</x:v>
      </x:c>
      <x:c r="C27" s="24" t="str">
        <x:v>EEZ</x:v>
      </x:c>
      <x:c r="D27" s="30" t="n">
        <x:v>2019</x:v>
      </x:c>
      <x:c r="E27" s="24" t="str">
        <x:v>Callorhinchus capensis</x:v>
      </x:c>
      <x:c r="F27" s="24" t="str">
        <x:v>Cape elephantfish</x:v>
      </x:c>
      <x:c r="G27" s="24" t="str">
        <x:v>Small to medium rays (&lt;90 cm)</x:v>
      </x:c>
      <x:c r="H27" s="24" t="str">
        <x:v>Sharks &amp; rays</x:v>
      </x:c>
      <x:c r="I27" s="31" t="n">
        <x:v>984.6827482706</x:v>
      </x:c>
      <x:c r="J27" s="31" t="n">
        <x:v>984.6827482706</x:v>
      </x:c>
      <x:c r="K27" s="31" t="n">
        <x:v>0</x:v>
      </x:c>
      <x:c r="L27" s="31" t="n">
        <x:v>737.1800000000001</x:v>
      </x:c>
      <x:c r="M27" s="31" t="n">
        <x:v>247.50274827059997</x:v>
      </x:c>
      <x:c r="N27" s="24" t="str">
        <x:v>callorhinchus capensis</x:v>
      </x:c>
      <x:c r="O27" s="32" t="n">
        <x:v>3.45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Callorhinchus capensis</x:v>
      </x:c>
      <x:c r="T27" s="32" t="n">
        <x:f>IF(O27="","",(1/'Metadata'!$B$5)^(O27-1))</x:f>
        <x:v>281.8382931264455</x:v>
      </x:c>
      <x:c r="U27" s="31" t="n">
        <x:f>IF(T27="","",I27*T27)</x:f>
        <x:v>277521.3050436433</x:v>
      </x:c>
    </x:row>
    <x:row r="28" ht="18" customHeight="1">
      <x:c r="A28" s="24" t="str">
        <x:v>EEZ_953</x:v>
      </x:c>
      <x:c r="B28" s="24" t="str">
        <x:v>South Africa (Atlantic and Cape)</x:v>
      </x:c>
      <x:c r="C28" s="24" t="str">
        <x:v>EEZ</x:v>
      </x:c>
      <x:c r="D28" s="30" t="n">
        <x:v>2019</x:v>
      </x:c>
      <x:c r="E28" s="24" t="str">
        <x:v>Argyrozona argyrozona</x:v>
      </x:c>
      <x:c r="F28" s="24" t="str">
        <x:v>Carpenter seabream</x:v>
      </x:c>
      <x:c r="G28" s="24" t="str">
        <x:v>Medium benthopelagics (30 - 89 cm)</x:v>
      </x:c>
      <x:c r="H28" s="24" t="str">
        <x:v>Perch-likes</x:v>
      </x:c>
      <x:c r="I28" s="31" t="n">
        <x:v>810.92</x:v>
      </x:c>
      <x:c r="J28" s="31" t="n">
        <x:v>810.92</x:v>
      </x:c>
      <x:c r="K28" s="31" t="n">
        <x:v>0</x:v>
      </x:c>
      <x:c r="L28" s="31" t="n">
        <x:v>810.92</x:v>
      </x:c>
      <x:c r="M28" s="31" t="n">
        <x:v>0</x:v>
      </x:c>
      <x:c r="N28" s="24" t="str">
        <x:v>argyrozona argyrozona</x:v>
      </x:c>
      <x:c r="O28" s="32" t="n">
        <x:v>3.05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Argyrozona argyrozona</x:v>
      </x:c>
      <x:c r="T28" s="32" t="n">
        <x:f>IF(O28="","",(1/'Metadata'!$B$5)^(O28-1))</x:f>
        <x:v>112.2018454301963</x:v>
      </x:c>
      <x:c r="U28" s="31" t="n">
        <x:f>IF(T28="","",I28*T28)</x:f>
        <x:v>90986.72049625478</x:v>
      </x:c>
    </x:row>
    <x:row r="29" ht="18" customHeight="1">
      <x:c r="A29" s="24" t="str">
        <x:v>EEZ_953</x:v>
      </x:c>
      <x:c r="B29" s="24" t="str">
        <x:v>South Africa (Atlantic and Cape)</x:v>
      </x:c>
      <x:c r="C29" s="24" t="str">
        <x:v>EEZ</x:v>
      </x:c>
      <x:c r="D29" s="30" t="n">
        <x:v>2019</x:v>
      </x:c>
      <x:c r="E29" s="24" t="str">
        <x:v>Mugilidae</x:v>
      </x:c>
      <x:c r="F29" s="24" t="str">
        <x:v>Mullets, grey mullets</x:v>
      </x:c>
      <x:c r="G29" s="24" t="str">
        <x:v>Medium reef assoc. fish (30 - 89 cm)</x:v>
      </x:c>
      <x:c r="H29" s="24" t="str">
        <x:v>Perch-likes</x:v>
      </x:c>
      <x:c r="I29" s="31" t="n">
        <x:v>792.2795120300001</x:v>
      </x:c>
      <x:c r="J29" s="31" t="n">
        <x:v>792.2795120300001</x:v>
      </x:c>
      <x:c r="K29" s="31" t="n">
        <x:v>0</x:v>
      </x:c>
      <x:c r="L29" s="31" t="n">
        <x:v>390.71000000000004</x:v>
      </x:c>
      <x:c r="M29" s="31" t="n">
        <x:v>401.56951203</x:v>
      </x:c>
      <x:c r="N29" s="24" t="str">
        <x:v>mugilidae</x:v>
      </x:c>
      <x:c r="O29" s="32" t="n">
        <x:v>2.53</x:v>
      </x:c>
      <x:c r="P29" s="24" t="str">
        <x:v>exact_sea_around_us</x:v>
      </x:c>
      <x:c r="Q29" s="32" t="str">
        <x:v>Sea Around Us exploited organisms</x:v>
      </x:c>
      <x:c r="R29" s="24" t="str">
        <x:v>high</x:v>
      </x:c>
      <x:c r="S29" s="24" t="str">
        <x:v>Mugilidae</x:v>
      </x:c>
      <x:c r="T29" s="32" t="n">
        <x:f>IF(O29="","",(1/'Metadata'!$B$5)^(O29-1))</x:f>
        <x:v>33.88441561392024</x:v>
      </x:c>
      <x:c r="U29" s="31" t="n">
        <x:f>IF(T29="","",I29*T29)</x:f>
        <x:v>26845.928268018444</x:v>
      </x:c>
    </x:row>
    <x:row r="30" ht="18" customHeight="1">
      <x:c r="A30" s="24" t="str">
        <x:v>EEZ_953</x:v>
      </x:c>
      <x:c r="B30" s="24" t="str">
        <x:v>South Africa (Atlantic and Cape)</x:v>
      </x:c>
      <x:c r="C30" s="24" t="str">
        <x:v>EEZ</x:v>
      </x:c>
      <x:c r="D30" s="30" t="n">
        <x:v>2019</x:v>
      </x:c>
      <x:c r="E30" s="24" t="str">
        <x:v>Seriola lalandi</x:v>
      </x:c>
      <x:c r="F30" s="24" t="str">
        <x:v>Yellowtail amberjack</x:v>
      </x:c>
      <x:c r="G30" s="24" t="str">
        <x:v>Large benthopelagics (&gt;=90 cm)</x:v>
      </x:c>
      <x:c r="H30" s="24" t="str">
        <x:v>Perch-likes</x:v>
      </x:c>
      <x:c r="I30" s="31" t="n">
        <x:v>774.2254658995</x:v>
      </x:c>
      <x:c r="J30" s="31" t="n">
        <x:v>774.2254658995</x:v>
      </x:c>
      <x:c r="K30" s="31" t="n">
        <x:v>0</x:v>
      </x:c>
      <x:c r="L30" s="31" t="n">
        <x:v>641.25</x:v>
      </x:c>
      <x:c r="M30" s="31" t="n">
        <x:v>132.9754658995</x:v>
      </x:c>
      <x:c r="N30" s="24" t="str">
        <x:v>seriola lalandi</x:v>
      </x:c>
      <x:c r="O30" s="32" t="n">
        <x:v>4.16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Seriola lalandi</x:v>
      </x:c>
      <x:c r="T30" s="32" t="n">
        <x:f>IF(O30="","",(1/'Metadata'!$B$5)^(O30-1))</x:f>
        <x:v>1445.439770745928</x:v>
      </x:c>
      <x:c r="U30" s="31" t="n">
        <x:f>IF(T30="","",I30*T30)</x:f>
        <x:v>1119096.2799354326</x:v>
      </x:c>
    </x:row>
    <x:row r="31" ht="18" customHeight="1">
      <x:c r="A31" s="24" t="str">
        <x:v>EEZ_953</x:v>
      </x:c>
      <x:c r="B31" s="24" t="str">
        <x:v>South Africa (Atlantic and Cape)</x:v>
      </x:c>
      <x:c r="C31" s="24" t="str">
        <x:v>EEZ</x:v>
      </x:c>
      <x:c r="D31" s="30" t="n">
        <x:v>2019</x:v>
      </x:c>
      <x:c r="E31" s="24" t="str">
        <x:v>Chelidonichthys capensis</x:v>
      </x:c>
      <x:c r="F31" s="24" t="str">
        <x:v>Cape gurnard</x:v>
      </x:c>
      <x:c r="G31" s="24" t="str">
        <x:v>Medium demersals (30 - 89 cm)</x:v>
      </x:c>
      <x:c r="H31" s="24" t="str">
        <x:v>Scorpionfishes</x:v>
      </x:c>
      <x:c r="I31" s="31" t="n">
        <x:v>672.8000000000001</x:v>
      </x:c>
      <x:c r="J31" s="31" t="n">
        <x:v>672.8000000000001</x:v>
      </x:c>
      <x:c r="K31" s="31" t="n">
        <x:v>0</x:v>
      </x:c>
      <x:c r="L31" s="31" t="n">
        <x:v>672.8000000000001</x:v>
      </x:c>
      <x:c r="M31" s="31" t="n">
        <x:v>0</x:v>
      </x:c>
      <x:c r="N31" s="24" t="str">
        <x:v>chelidonichthys capensis</x:v>
      </x:c>
      <x:c r="O31" s="32" t="n">
        <x:v>4.1</x:v>
      </x:c>
      <x:c r="P31" s="24" t="str">
        <x:v>exact_2020_supplement</x:v>
      </x:c>
      <x:c r="Q31" s="32" t="str">
        <x:v>2020 supplement MeanTL</x:v>
      </x:c>
      <x:c r="R31" s="24" t="str">
        <x:v>high</x:v>
      </x:c>
      <x:c r="S31" s="24" t="str">
        <x:v>Chelidonichthys capensis</x:v>
      </x:c>
      <x:c r="T31" s="32" t="n">
        <x:f>IF(O31="","",(1/'Metadata'!$B$5)^(O31-1))</x:f>
        <x:v>1258.9254117941662</x:v>
      </x:c>
      <x:c r="U31" s="31" t="n">
        <x:f>IF(T31="","",I31*T31)</x:f>
        <x:v>847005.0170551151</x:v>
      </x:c>
    </x:row>
    <x:row r="32" ht="18" customHeight="1">
      <x:c r="A32" s="24" t="str">
        <x:v>EEZ_953</x:v>
      </x:c>
      <x:c r="B32" s="24" t="str">
        <x:v>South Africa (Atlantic and Cape)</x:v>
      </x:c>
      <x:c r="C32" s="24" t="str">
        <x:v>EEZ</x:v>
      </x:c>
      <x:c r="D32" s="30" t="n">
        <x:v>2019</x:v>
      </x:c>
      <x:c r="E32" s="24" t="str">
        <x:v>Prionace glauca</x:v>
      </x:c>
      <x:c r="F32" s="24" t="str">
        <x:v>Blue shark</x:v>
      </x:c>
      <x:c r="G32" s="24" t="str">
        <x:v>Large sharks (&gt;=90 cm)</x:v>
      </x:c>
      <x:c r="H32" s="24" t="str">
        <x:v>Sharks &amp; rays</x:v>
      </x:c>
      <x:c r="I32" s="31" t="n">
        <x:v>667.1648159829999</x:v>
      </x:c>
      <x:c r="J32" s="31" t="n">
        <x:v>667.1648159829999</x:v>
      </x:c>
      <x:c r="K32" s="31" t="n">
        <x:v>0</x:v>
      </x:c>
      <x:c r="L32" s="31" t="n">
        <x:v>532.2092645989</x:v>
      </x:c>
      <x:c r="M32" s="31" t="n">
        <x:v>134.9555513841</x:v>
      </x:c>
      <x:c r="N32" s="24" t="str">
        <x:v>prionace glauca</x:v>
      </x:c>
      <x:c r="O32" s="32" t="n">
        <x:v>4.35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Prionace glauca</x:v>
      </x:c>
      <x:c r="T32" s="32" t="n">
        <x:f>IF(O32="","",(1/'Metadata'!$B$5)^(O32-1))</x:f>
        <x:v>2238.7211385683377</x:v>
      </x:c>
      <x:c r="U32" s="31" t="n">
        <x:f>IF(T32="","",I32*T32)</x:f>
        <x:v>1493595.9764501972</x:v>
      </x:c>
    </x:row>
    <x:row r="33" ht="18" customHeight="1">
      <x:c r="A33" s="24" t="str">
        <x:v>EEZ_953</x:v>
      </x:c>
      <x:c r="B33" s="24" t="str">
        <x:v>South Africa (Atlantic and Cape)</x:v>
      </x:c>
      <x:c r="C33" s="24" t="str">
        <x:v>EEZ</x:v>
      </x:c>
      <x:c r="D33" s="30" t="n">
        <x:v>2019</x:v>
      </x:c>
      <x:c r="E33" s="24" t="str">
        <x:v>Elasmobranchii</x:v>
      </x:c>
      <x:c r="F33" s="24" t="str">
        <x:v>Sharks, rays, skates</x:v>
      </x:c>
      <x:c r="G33" s="24" t="str">
        <x:v>Large sharks (&gt;=90 cm)</x:v>
      </x:c>
      <x:c r="H33" s="24" t="str">
        <x:v>Sharks &amp; rays</x:v>
      </x:c>
      <x:c r="I33" s="31" t="n">
        <x:v>614.7174174301</x:v>
      </x:c>
      <x:c r="J33" s="31" t="n">
        <x:v>614.7174174301</x:v>
      </x:c>
      <x:c r="K33" s="31" t="n">
        <x:v>0</x:v>
      </x:c>
      <x:c r="L33" s="31" t="n">
        <x:v>614.7174174301</x:v>
      </x:c>
      <x:c r="M33" s="31" t="n">
        <x:v>0</x:v>
      </x:c>
      <x:c r="N33" s="24" t="str">
        <x:v>elasmobranchii</x:v>
      </x:c>
      <x:c r="O33" s="32" t="n">
        <x:v>4.05</x:v>
      </x:c>
      <x:c r="P33" s="24" t="str">
        <x:v>exact_sea_around_us</x:v>
      </x:c>
      <x:c r="Q33" s="32" t="str">
        <x:v>Sea Around Us exploited organisms</x:v>
      </x:c>
      <x:c r="R33" s="24" t="str">
        <x:v>high</x:v>
      </x:c>
      <x:c r="S33" s="24" t="str">
        <x:v>Elasmobranchii</x:v>
      </x:c>
      <x:c r="T33" s="32" t="n">
        <x:f>IF(O33="","",(1/'Metadata'!$B$5)^(O33-1))</x:f>
        <x:v>1122.018454301963</x:v>
      </x:c>
      <x:c r="U33" s="31" t="n">
        <x:f>IF(T33="","",I33*T33)</x:f>
        <x:v>689724.2865374153</x:v>
      </x:c>
    </x:row>
    <x:row r="34" ht="18" customHeight="1">
      <x:c r="A34" s="24" t="str">
        <x:v>EEZ_953</x:v>
      </x:c>
      <x:c r="B34" s="24" t="str">
        <x:v>South Africa (Atlantic and Cape)</x:v>
      </x:c>
      <x:c r="C34" s="24" t="str">
        <x:v>EEZ</x:v>
      </x:c>
      <x:c r="D34" s="30" t="n">
        <x:v>2019</x:v>
      </x:c>
      <x:c r="E34" s="24" t="str">
        <x:v>Isurus oxyrinchus</x:v>
      </x:c>
      <x:c r="F34" s="24" t="str">
        <x:v>Shortfin mako</x:v>
      </x:c>
      <x:c r="G34" s="24" t="str">
        <x:v>Large sharks (&gt;=90 cm)</x:v>
      </x:c>
      <x:c r="H34" s="24" t="str">
        <x:v>Sharks &amp; rays</x:v>
      </x:c>
      <x:c r="I34" s="31" t="n">
        <x:v>610.8722382016</x:v>
      </x:c>
      <x:c r="J34" s="31" t="n">
        <x:v>610.8722382016</x:v>
      </x:c>
      <x:c r="K34" s="31" t="n">
        <x:v>0</x:v>
      </x:c>
      <x:c r="L34" s="31" t="n">
        <x:v>375.5599524472</x:v>
      </x:c>
      <x:c r="M34" s="31" t="n">
        <x:v>235.31228575440002</x:v>
      </x:c>
      <x:c r="N34" s="24" t="str">
        <x:v>isurus oxyrinchus</x:v>
      </x:c>
      <x:c r="O34" s="32" t="n">
        <x:v>4.5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Isurus oxyrinchus</x:v>
      </x:c>
      <x:c r="T34" s="32" t="n">
        <x:f>IF(O34="","",(1/'Metadata'!$B$5)^(O34-1))</x:f>
        <x:v>3162.2776601683795</x:v>
      </x:c>
      <x:c r="U34" s="31" t="n">
        <x:f>IF(T34="","",I34*T34)</x:f>
        <x:v>1931747.6320819766</x:v>
      </x:c>
    </x:row>
    <x:row r="35" ht="18" customHeight="1">
      <x:c r="A35" s="24" t="str">
        <x:v>EEZ_953</x:v>
      </x:c>
      <x:c r="B35" s="24" t="str">
        <x:v>South Africa (Atlantic and Cape)</x:v>
      </x:c>
      <x:c r="C35" s="24" t="str">
        <x:v>EEZ</x:v>
      </x:c>
      <x:c r="D35" s="30" t="n">
        <x:v>2019</x:v>
      </x:c>
      <x:c r="E35" s="24" t="str">
        <x:v>Sparidae</x:v>
      </x:c>
      <x:c r="F35" s="24" t="str">
        <x:v>Porgies, seabreams</x:v>
      </x:c>
      <x:c r="G35" s="24" t="str">
        <x:v>Medium benthopelagics (30 - 89 cm)</x:v>
      </x:c>
      <x:c r="H35" s="24" t="str">
        <x:v>Perch-likes</x:v>
      </x:c>
      <x:c r="I35" s="31" t="n">
        <x:v>605.7870785909</x:v>
      </x:c>
      <x:c r="J35" s="31" t="n">
        <x:v>605.7870785909</x:v>
      </x:c>
      <x:c r="K35" s="31" t="n">
        <x:v>0</x:v>
      </x:c>
      <x:c r="L35" s="31" t="n">
        <x:v>0</x:v>
      </x:c>
      <x:c r="M35" s="31" t="n">
        <x:v>605.7870785909</x:v>
      </x:c>
      <x:c r="N35" s="24" t="str">
        <x:v>sparidae</x:v>
      </x:c>
      <x:c r="O35" s="32" t="n">
        <x:v>3.31</x:v>
      </x:c>
      <x:c r="P35" s="24" t="str">
        <x:v>exact_sea_around_us</x:v>
      </x:c>
      <x:c r="Q35" s="32" t="str">
        <x:v>Sea Around Us exploited organisms</x:v>
      </x:c>
      <x:c r="R35" s="24" t="str">
        <x:v>high</x:v>
      </x:c>
      <x:c r="S35" s="24" t="str">
        <x:v>Sparidae</x:v>
      </x:c>
      <x:c r="T35" s="32" t="n">
        <x:f>IF(O35="","",(1/'Metadata'!$B$5)^(O35-1))</x:f>
        <x:v>204.17379446695296</x:v>
      </x:c>
      <x:c r="U35" s="31" t="n">
        <x:f>IF(T35="","",I35*T35)</x:f>
        <x:v>123685.8464749543</x:v>
      </x:c>
    </x:row>
    <x:row r="36" ht="18" customHeight="1">
      <x:c r="A36" s="24" t="str">
        <x:v>EEZ_953</x:v>
      </x:c>
      <x:c r="B36" s="24" t="str">
        <x:v>South Africa (Atlantic and Cape)</x:v>
      </x:c>
      <x:c r="C36" s="24" t="str">
        <x:v>EEZ</x:v>
      </x:c>
      <x:c r="D36" s="30" t="n">
        <x:v>2019</x:v>
      </x:c>
      <x:c r="E36" s="24" t="str">
        <x:v>Scorpaeniformes</x:v>
      </x:c>
      <x:c r="F36" s="24" t="str">
        <x:v>Scorpionfishes, flatheads</x:v>
      </x:c>
      <x:c r="G36" s="24" t="str">
        <x:v>Medium demersals (30 - 89 cm)</x:v>
      </x:c>
      <x:c r="H36" s="24" t="str">
        <x:v>Scorpionfishes</x:v>
      </x:c>
      <x:c r="I36" s="31" t="n">
        <x:v>571.1968371792</x:v>
      </x:c>
      <x:c r="J36" s="31" t="n">
        <x:v>0</x:v>
      </x:c>
      <x:c r="K36" s="31" t="n">
        <x:v>571.1968371792</x:v>
      </x:c>
      <x:c r="L36" s="31" t="n">
        <x:v>0</x:v>
      </x:c>
      <x:c r="M36" s="31" t="n">
        <x:v>571.1968371792</x:v>
      </x:c>
      <x:c r="N36" s="24" t="str">
        <x:v>scorpaeniformes</x:v>
      </x:c>
      <x:c r="O36" s="32" t="n">
        <x:v>3.78</x:v>
      </x:c>
      <x:c r="P36" s="24" t="str">
        <x:v>exact_sea_around_us</x:v>
      </x:c>
      <x:c r="Q36" s="32" t="str">
        <x:v>Sea Around Us exploited organisms</x:v>
      </x:c>
      <x:c r="R36" s="24" t="str">
        <x:v>high</x:v>
      </x:c>
      <x:c r="S36" s="24" t="str">
        <x:v>Scorpaeniformes</x:v>
      </x:c>
      <x:c r="T36" s="32" t="n">
        <x:f>IF(O36="","",(1/'Metadata'!$B$5)^(O36-1))</x:f>
        <x:v>602.5595860743575</x:v>
      </x:c>
      <x:c r="U36" s="31" t="n">
        <x:f>IF(T36="","",I36*T36)</x:f>
        <x:v>344180.1297776809</x:v>
      </x:c>
    </x:row>
    <x:row r="37" ht="18" customHeight="1">
      <x:c r="A37" s="24" t="str">
        <x:v>EEZ_953</x:v>
      </x:c>
      <x:c r="B37" s="24" t="str">
        <x:v>South Africa (Atlantic and Cape)</x:v>
      </x:c>
      <x:c r="C37" s="24" t="str">
        <x:v>EEZ</x:v>
      </x:c>
      <x:c r="D37" s="30" t="n">
        <x:v>2019</x:v>
      </x:c>
      <x:c r="E37" s="24" t="str">
        <x:v>Pomatomus saltatrix</x:v>
      </x:c>
      <x:c r="F37" s="24" t="str">
        <x:v>Bluefish</x:v>
      </x:c>
      <x:c r="G37" s="24" t="str">
        <x:v>Large pelagics (&gt;=90 cm)</x:v>
      </x:c>
      <x:c r="H37" s="24" t="str">
        <x:v>Perch-likes</x:v>
      </x:c>
      <x:c r="I37" s="31" t="n">
        <x:v>544.3865763458</x:v>
      </x:c>
      <x:c r="J37" s="31" t="n">
        <x:v>544.3865763458</x:v>
      </x:c>
      <x:c r="K37" s="31" t="n">
        <x:v>0</x:v>
      </x:c>
      <x:c r="L37" s="31" t="n">
        <x:v>4.279999999999999</x:v>
      </x:c>
      <x:c r="M37" s="31" t="n">
        <x:v>540.1065763458</x:v>
      </x:c>
      <x:c r="N37" s="24" t="str">
        <x:v>pomatomus saltatrix</x:v>
      </x:c>
      <x:c r="O37" s="32" t="n">
        <x:v>4.53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Pomatomus saltatrix</x:v>
      </x:c>
      <x:c r="T37" s="32" t="n">
        <x:f>IF(O37="","",(1/'Metadata'!$B$5)^(O37-1))</x:f>
        <x:v>3388.4415613920273</x:v>
      </x:c>
      <x:c r="U37" s="31" t="n">
        <x:f>IF(T37="","",I37*T37)</x:f>
        <x:v>1844622.1007540226</x:v>
      </x:c>
    </x:row>
    <x:row r="38" ht="18" customHeight="1">
      <x:c r="A38" s="24" t="str">
        <x:v>EEZ_953</x:v>
      </x:c>
      <x:c r="B38" s="24" t="str">
        <x:v>South Africa (Atlantic and Cape)</x:v>
      </x:c>
      <x:c r="C38" s="24" t="str">
        <x:v>EEZ</x:v>
      </x:c>
      <x:c r="D38" s="30" t="n">
        <x:v>2019</x:v>
      </x:c>
      <x:c r="E38" s="24" t="str">
        <x:v>Teuthida</x:v>
      </x:c>
      <x:c r="F38" s="24" t="str">
        <x:v>Squids</x:v>
      </x:c>
      <x:c r="G38" s="24" t="str">
        <x:v>Cephalopods</x:v>
      </x:c>
      <x:c r="H38" s="24" t="str">
        <x:v>Other fishes &amp; inverts</x:v>
      </x:c>
      <x:c r="I38" s="31" t="n">
        <x:v>540.8</x:v>
      </x:c>
      <x:c r="J38" s="31" t="n">
        <x:v>540.8</x:v>
      </x:c>
      <x:c r="K38" s="31" t="n">
        <x:v>0</x:v>
      </x:c>
      <x:c r="L38" s="31" t="n">
        <x:v>540.8</x:v>
      </x:c>
      <x:c r="M38" s="31" t="n">
        <x:v>0</x:v>
      </x:c>
      <x:c r="N38" s="24" t="str">
        <x:v>teuthida</x:v>
      </x:c>
      <x:c r="O38" s="32" t="n">
        <x:v>4.13</x:v>
      </x:c>
      <x:c r="P38" s="24" t="str">
        <x:v>exact_sea_around_us</x:v>
      </x:c>
      <x:c r="Q38" s="32" t="str">
        <x:v>Sea Around Us exploited organisms</x:v>
      </x:c>
      <x:c r="R38" s="24" t="str">
        <x:v>high</x:v>
      </x:c>
      <x:c r="S38" s="24" t="str">
        <x:v>Teuthida</x:v>
      </x:c>
      <x:c r="T38" s="32" t="n">
        <x:f>IF(O38="","",(1/'Metadata'!$B$5)^(O38-1))</x:f>
        <x:v>1348.9628825916532</x:v>
      </x:c>
      <x:c r="U38" s="31" t="n">
        <x:f>IF(T38="","",I38*T38)</x:f>
        <x:v>729519.126905566</x:v>
      </x:c>
    </x:row>
    <x:row r="39" ht="18" customHeight="1">
      <x:c r="A39" s="24" t="str">
        <x:v>EEZ_953</x:v>
      </x:c>
      <x:c r="B39" s="24" t="str">
        <x:v>South Africa (Atlantic and Cape)</x:v>
      </x:c>
      <x:c r="C39" s="24" t="str">
        <x:v>EEZ</x:v>
      </x:c>
      <x:c r="D39" s="30" t="n">
        <x:v>2019</x:v>
      </x:c>
      <x:c r="E39" s="24" t="str">
        <x:v>Sciaenidae</x:v>
      </x:c>
      <x:c r="F39" s="24" t="str">
        <x:v>Drums, croakers</x:v>
      </x:c>
      <x:c r="G39" s="24" t="str">
        <x:v>Medium demersals (30 - 89 cm)</x:v>
      </x:c>
      <x:c r="H39" s="24" t="str">
        <x:v>Perch-likes</x:v>
      </x:c>
      <x:c r="I39" s="31" t="n">
        <x:v>414.64366807010003</x:v>
      </x:c>
      <x:c r="J39" s="31" t="n">
        <x:v>414.64366807010003</x:v>
      </x:c>
      <x:c r="K39" s="31" t="n">
        <x:v>0</x:v>
      </x:c>
      <x:c r="L39" s="31" t="n">
        <x:v>0</x:v>
      </x:c>
      <x:c r="M39" s="31" t="n">
        <x:v>414.64366807010003</x:v>
      </x:c>
      <x:c r="N39" s="24" t="str">
        <x:v>sciaenidae</x:v>
      </x:c>
      <x:c r="O39" s="32" t="n">
        <x:v>3.76</x:v>
      </x:c>
      <x:c r="P39" s="24" t="str">
        <x:v>exact_sea_around_us</x:v>
      </x:c>
      <x:c r="Q39" s="32" t="str">
        <x:v>Sea Around Us exploited organisms</x:v>
      </x:c>
      <x:c r="R39" s="24" t="str">
        <x:v>high</x:v>
      </x:c>
      <x:c r="S39" s="24" t="str">
        <x:v>Sciaenidae</x:v>
      </x:c>
      <x:c r="T39" s="32" t="n">
        <x:f>IF(O39="","",(1/'Metadata'!$B$5)^(O39-1))</x:f>
        <x:v>575.4399373371566</x:v>
      </x:c>
      <x:c r="U39" s="31" t="n">
        <x:f>IF(T39="","",I39*T39)</x:f>
        <x:v>238602.52637150712</x:v>
      </x:c>
    </x:row>
    <x:row r="40" ht="18" customHeight="1">
      <x:c r="A40" s="24" t="str">
        <x:v>EEZ_953</x:v>
      </x:c>
      <x:c r="B40" s="24" t="str">
        <x:v>South Africa (Atlantic and Cape)</x:v>
      </x:c>
      <x:c r="C40" s="24" t="str">
        <x:v>EEZ</x:v>
      </x:c>
      <x:c r="D40" s="30" t="n">
        <x:v>2019</x:v>
      </x:c>
      <x:c r="E40" s="24" t="str">
        <x:v>Xiphiidae</x:v>
      </x:c>
      <x:c r="F40" s="24" t="str">
        <x:v>Swordfishes</x:v>
      </x:c>
      <x:c r="G40" s="24" t="str">
        <x:v>Large pelagics (&gt;=90 cm)</x:v>
      </x:c>
      <x:c r="H40" s="24" t="str">
        <x:v>Tuna &amp; billfishes</x:v>
      </x:c>
      <x:c r="I40" s="31" t="n">
        <x:v>413.6119089563</x:v>
      </x:c>
      <x:c r="J40" s="31" t="n">
        <x:v>413.6119089563</x:v>
      </x:c>
      <x:c r="K40" s="31" t="n">
        <x:v>0</x:v>
      </x:c>
      <x:c r="L40" s="31" t="n">
        <x:v>368.2799999752</x:v>
      </x:c>
      <x:c r="M40" s="31" t="n">
        <x:v>45.3319089811</x:v>
      </x:c>
      <x:c r="N40" s="24" t="str">
        <x:v>xiphiidae</x:v>
      </x:c>
      <x:c r="O40" s="32" t="n">
        <x:v>4.5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Xiphiidae</x:v>
      </x:c>
      <x:c r="T40" s="32" t="n">
        <x:f>IF(O40="","",(1/'Metadata'!$B$5)^(O40-1))</x:f>
        <x:v>3162.2776601683795</x:v>
      </x:c>
      <x:c r="U40" s="31" t="n">
        <x:f>IF(T40="","",I40*T40)</x:f>
        <x:v>1307955.6996721053</x:v>
      </x:c>
    </x:row>
    <x:row r="41" ht="18" customHeight="1">
      <x:c r="A41" s="24" t="str">
        <x:v>EEZ_953</x:v>
      </x:c>
      <x:c r="B41" s="24" t="str">
        <x:v>South Africa (Atlantic and Cape)</x:v>
      </x:c>
      <x:c r="C41" s="24" t="str">
        <x:v>EEZ</x:v>
      </x:c>
      <x:c r="D41" s="30" t="n">
        <x:v>2019</x:v>
      </x:c>
      <x:c r="E41" s="24" t="str">
        <x:v>Palinurus gilchristi</x:v>
      </x:c>
      <x:c r="F41" s="24" t="str">
        <x:v>Southern spiny lobster</x:v>
      </x:c>
      <x:c r="G41" s="24" t="str">
        <x:v>Lobsters, crabs</x:v>
      </x:c>
      <x:c r="H41" s="24" t="str">
        <x:v>Crustaceans</x:v>
      </x:c>
      <x:c r="I41" s="31" t="n">
        <x:v>408.96</x:v>
      </x:c>
      <x:c r="J41" s="31" t="n">
        <x:v>408.96</x:v>
      </x:c>
      <x:c r="K41" s="31" t="n">
        <x:v>0</x:v>
      </x:c>
      <x:c r="L41" s="31" t="n">
        <x:v>408.96</x:v>
      </x:c>
      <x:c r="M41" s="31" t="n">
        <x:v>0</x:v>
      </x:c>
      <x:c r="N41" s="24" t="str">
        <x:v>palinurus gilchristi</x:v>
      </x:c>
      <x:c r="O41" s="32" t="n">
        <x:v>2.6</x:v>
      </x:c>
      <x:c r="P41" s="24" t="str">
        <x:v>exact_sea_around_us</x:v>
      </x:c>
      <x:c r="Q41" s="32" t="str">
        <x:v>Sea Around Us exploited organisms</x:v>
      </x:c>
      <x:c r="R41" s="24" t="str">
        <x:v>high</x:v>
      </x:c>
      <x:c r="S41" s="24" t="str">
        <x:v>Palinurus gilchristi</x:v>
      </x:c>
      <x:c r="T41" s="32" t="n">
        <x:f>IF(O41="","",(1/'Metadata'!$B$5)^(O41-1))</x:f>
        <x:v>39.810717055349734</x:v>
      </x:c>
      <x:c r="U41" s="31" t="n">
        <x:f>IF(T41="","",I41*T41)</x:f>
        <x:v>16280.990846955827</x:v>
      </x:c>
    </x:row>
    <x:row r="42" ht="18" customHeight="1">
      <x:c r="A42" s="24" t="str">
        <x:v>EEZ_953</x:v>
      </x:c>
      <x:c r="B42" s="24" t="str">
        <x:v>South Africa (Atlantic and Cape)</x:v>
      </x:c>
      <x:c r="C42" s="24" t="str">
        <x:v>EEZ</x:v>
      </x:c>
      <x:c r="D42" s="30" t="n">
        <x:v>2019</x:v>
      </x:c>
      <x:c r="E42" s="24" t="str">
        <x:v>Haemulidae</x:v>
      </x:c>
      <x:c r="F42" s="24" t="str">
        <x:v>Grunts, sweetlips, bonnetmouths</x:v>
      </x:c>
      <x:c r="G42" s="24" t="str">
        <x:v>Medium demersals (30 - 89 cm)</x:v>
      </x:c>
      <x:c r="H42" s="24" t="str">
        <x:v>Perch-likes</x:v>
      </x:c>
      <x:c r="I42" s="31" t="n">
        <x:v>372.5030705951</x:v>
      </x:c>
      <x:c r="J42" s="31" t="n">
        <x:v>372.5030705951</x:v>
      </x:c>
      <x:c r="K42" s="31" t="n">
        <x:v>0</x:v>
      </x:c>
      <x:c r="L42" s="31" t="n">
        <x:v>2.65</x:v>
      </x:c>
      <x:c r="M42" s="31" t="n">
        <x:v>369.8530705951</x:v>
      </x:c>
      <x:c r="N42" s="24" t="str">
        <x:v>haemulidae</x:v>
      </x:c>
      <x:c r="O42" s="32" t="n">
        <x:v>3.36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Haemulidae</x:v>
      </x:c>
      <x:c r="T42" s="32" t="n">
        <x:f>IF(O42="","",(1/'Metadata'!$B$5)^(O42-1))</x:f>
        <x:v>229.08676527677724</x:v>
      </x:c>
      <x:c r="U42" s="31" t="n">
        <x:f>IF(T42="","",I42*T42)</x:f>
        <x:v>85335.52349829845</x:v>
      </x:c>
    </x:row>
    <x:row r="43" ht="18" customHeight="1">
      <x:c r="A43" s="24" t="str">
        <x:v>EEZ_953</x:v>
      </x:c>
      <x:c r="B43" s="24" t="str">
        <x:v>South Africa (Atlantic and Cape)</x:v>
      </x:c>
      <x:c r="C43" s="24" t="str">
        <x:v>EEZ</x:v>
      </x:c>
      <x:c r="D43" s="30" t="n">
        <x:v>2019</x:v>
      </x:c>
      <x:c r="E43" s="24" t="str">
        <x:v>Galeichthys feliceps</x:v>
      </x:c>
      <x:c r="F43" s="24" t="str">
        <x:v>White barbel</x:v>
      </x:c>
      <x:c r="G43" s="24" t="str">
        <x:v>Medium demersals (30 - 89 cm)</x:v>
      </x:c>
      <x:c r="H43" s="24" t="str">
        <x:v>Other fishes &amp; inverts</x:v>
      </x:c>
      <x:c r="I43" s="31" t="n">
        <x:v>285.5984186132</x:v>
      </x:c>
      <x:c r="J43" s="31" t="n">
        <x:v>0</x:v>
      </x:c>
      <x:c r="K43" s="31" t="n">
        <x:v>285.5984186132</x:v>
      </x:c>
      <x:c r="L43" s="31" t="n">
        <x:v>0</x:v>
      </x:c>
      <x:c r="M43" s="31" t="n">
        <x:v>285.5984186132</x:v>
      </x:c>
      <x:c r="N43" s="24" t="str">
        <x:v>galeichthys feliceps</x:v>
      </x:c>
      <x:c r="O43" s="32" t="n">
        <x:v>3.75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Galeichthys feliceps</x:v>
      </x:c>
      <x:c r="T43" s="32" t="n">
        <x:f>IF(O43="","",(1/'Metadata'!$B$5)^(O43-1))</x:f>
        <x:v>562.341325190349</x:v>
      </x:c>
      <x:c r="U43" s="31" t="n">
        <x:f>IF(T43="","",I43*T43)</x:f>
        <x:v>160603.79319521494</x:v>
      </x:c>
    </x:row>
    <x:row r="44" ht="18" customHeight="1">
      <x:c r="A44" s="24" t="str">
        <x:v>EEZ_953</x:v>
      </x:c>
      <x:c r="B44" s="24" t="str">
        <x:v>South Africa (Atlantic and Cape)</x:v>
      </x:c>
      <x:c r="C44" s="24" t="str">
        <x:v>EEZ</x:v>
      </x:c>
      <x:c r="D44" s="30" t="n">
        <x:v>2019</x:v>
      </x:c>
      <x:c r="E44" s="24" t="str">
        <x:v>Xiphias gladius</x:v>
      </x:c>
      <x:c r="F44" s="24" t="str">
        <x:v>Swordfish</x:v>
      </x:c>
      <x:c r="G44" s="24" t="str">
        <x:v>Large pelagics (&gt;=90 cm)</x:v>
      </x:c>
      <x:c r="H44" s="24" t="str">
        <x:v>Tuna &amp; billfishes</x:v>
      </x:c>
      <x:c r="I44" s="31" t="n">
        <x:v>249.26900796339999</x:v>
      </x:c>
      <x:c r="J44" s="31" t="n">
        <x:v>249.26900796339999</x:v>
      </x:c>
      <x:c r="K44" s="31" t="n">
        <x:v>0</x:v>
      </x:c>
      <x:c r="L44" s="31" t="n">
        <x:v>249.26900796339999</x:v>
      </x:c>
      <x:c r="M44" s="31" t="n">
        <x:v>0</x:v>
      </x:c>
      <x:c r="N44" s="24" t="str">
        <x:v>xiphias gladius</x:v>
      </x:c>
      <x:c r="O44" s="32" t="n">
        <x:v>4.53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Xiphias gladius</x:v>
      </x:c>
      <x:c r="T44" s="32" t="n">
        <x:f>IF(O44="","",(1/'Metadata'!$B$5)^(O44-1))</x:f>
        <x:v>3388.4415613920273</x:v>
      </x:c>
      <x:c r="U44" s="31" t="n">
        <x:f>IF(T44="","",I44*T44)</x:f>
        <x:v>844633.4665501447</x:v>
      </x:c>
    </x:row>
    <x:row r="45" ht="18" customHeight="1">
      <x:c r="A45" s="24" t="str">
        <x:v>EEZ_953</x:v>
      </x:c>
      <x:c r="B45" s="24" t="str">
        <x:v>South Africa (Atlantic and Cape)</x:v>
      </x:c>
      <x:c r="C45" s="24" t="str">
        <x:v>EEZ</x:v>
      </x:c>
      <x:c r="D45" s="30" t="n">
        <x:v>2019</x:v>
      </x:c>
      <x:c r="E45" s="24" t="str">
        <x:v>Thunnus maccoyii</x:v>
      </x:c>
      <x:c r="F45" s="24" t="str">
        <x:v>Southern bluefin tuna</x:v>
      </x:c>
      <x:c r="G45" s="24" t="str">
        <x:v>Large pelagics (&gt;=90 cm)</x:v>
      </x:c>
      <x:c r="H45" s="24" t="str">
        <x:v>Tuna &amp; billfishes</x:v>
      </x:c>
      <x:c r="I45" s="31" t="n">
        <x:v>242.8138823755</x:v>
      </x:c>
      <x:c r="J45" s="31" t="n">
        <x:v>242.8138823755</x:v>
      </x:c>
      <x:c r="K45" s="31" t="n">
        <x:v>0</x:v>
      </x:c>
      <x:c r="L45" s="31" t="n">
        <x:v>242.8138823755</x:v>
      </x:c>
      <x:c r="M45" s="31" t="n">
        <x:v>0</x:v>
      </x:c>
      <x:c r="N45" s="24" t="str">
        <x:v>thunnus maccoyii</x:v>
      </x:c>
      <x:c r="O45" s="32" t="n">
        <x:v>3.93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Thunnus maccoyii</x:v>
      </x:c>
      <x:c r="T45" s="32" t="n">
        <x:f>IF(O45="","",(1/'Metadata'!$B$5)^(O45-1))</x:f>
        <x:v>851.1380382023768</x:v>
      </x:c>
      <x:c r="U45" s="31" t="n">
        <x:f>IF(T45="","",I45*T45)</x:f>
        <x:v>206668.13149338574</x:v>
      </x:c>
    </x:row>
    <x:row r="46" ht="18" customHeight="1">
      <x:c r="A46" s="24" t="str">
        <x:v>EEZ_953</x:v>
      </x:c>
      <x:c r="B46" s="24" t="str">
        <x:v>South Africa (Atlantic and Cape)</x:v>
      </x:c>
      <x:c r="C46" s="24" t="str">
        <x:v>EEZ</x:v>
      </x:c>
      <x:c r="D46" s="30" t="n">
        <x:v>2019</x:v>
      </x:c>
      <x:c r="E46" s="24" t="str">
        <x:v>Epinephelus</x:v>
      </x:c>
      <x:c r="F46" s="24" t="str">
        <x:v>Seabasses, hinds</x:v>
      </x:c>
      <x:c r="G46" s="24" t="str">
        <x:v>Medium reef assoc. fish (30 - 89 cm)</x:v>
      </x:c>
      <x:c r="H46" s="24" t="str">
        <x:v>Perch-likes</x:v>
      </x:c>
      <x:c r="I46" s="31" t="n">
        <x:v>221.6072684602</x:v>
      </x:c>
      <x:c r="J46" s="31" t="n">
        <x:v>221.6072684602</x:v>
      </x:c>
      <x:c r="K46" s="31" t="n">
        <x:v>0</x:v>
      </x:c>
      <x:c r="L46" s="31" t="n">
        <x:v>0</x:v>
      </x:c>
      <x:c r="M46" s="31" t="n">
        <x:v>221.6072684602</x:v>
      </x:c>
      <x:c r="N46" s="24" t="str">
        <x:v>epinephelus</x:v>
      </x:c>
      <x:c r="O46" s="32" t="n">
        <x:v>3.84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Epinephelus</x:v>
      </x:c>
      <x:c r="T46" s="32" t="n">
        <x:f>IF(O46="","",(1/'Metadata'!$B$5)^(O46-1))</x:f>
        <x:v>691.8309709189363</x:v>
      </x:c>
      <x:c r="U46" s="31" t="n">
        <x:f>IF(T46="","",I46*T46)</x:f>
        <x:v>153314.77170151353</x:v>
      </x:c>
    </x:row>
    <x:row r="47" ht="18" customHeight="1">
      <x:c r="A47" s="24" t="str">
        <x:v>EEZ_953</x:v>
      </x:c>
      <x:c r="B47" s="24" t="str">
        <x:v>South Africa (Atlantic and Cape)</x:v>
      </x:c>
      <x:c r="C47" s="24" t="str">
        <x:v>EEZ</x:v>
      </x:c>
      <x:c r="D47" s="30" t="n">
        <x:v>2019</x:v>
      </x:c>
      <x:c r="E47" s="24" t="str">
        <x:v>Diplodus</x:v>
      </x:c>
      <x:c r="F47" s="24" t="str">
        <x:v>Two-toothed seabreams</x:v>
      </x:c>
      <x:c r="G47" s="24" t="str">
        <x:v>Medium benthopelagics (30 - 89 cm)</x:v>
      </x:c>
      <x:c r="H47" s="24" t="str">
        <x:v>Perch-likes</x:v>
      </x:c>
      <x:c r="I47" s="31" t="n">
        <x:v>219.04000000000002</x:v>
      </x:c>
      <x:c r="J47" s="31" t="n">
        <x:v>219.04000000000002</x:v>
      </x:c>
      <x:c r="K47" s="31" t="n">
        <x:v>0</x:v>
      </x:c>
      <x:c r="L47" s="31" t="n">
        <x:v>219.04000000000002</x:v>
      </x:c>
      <x:c r="M47" s="31" t="n">
        <x:v>0</x:v>
      </x:c>
      <x:c r="N47" s="24" t="str">
        <x:v>diplodus</x:v>
      </x:c>
      <x:c r="O47" s="32" t="n">
        <x:v>2.97</x:v>
      </x:c>
      <x:c r="P47" s="24" t="str">
        <x:v>exact_sea_around_us</x:v>
      </x:c>
      <x:c r="Q47" s="32" t="str">
        <x:v>Sea Around Us exploited organisms</x:v>
      </x:c>
      <x:c r="R47" s="24" t="str">
        <x:v>high</x:v>
      </x:c>
      <x:c r="S47" s="24" t="str">
        <x:v>Diplodus</x:v>
      </x:c>
      <x:c r="T47" s="32" t="n">
        <x:f>IF(O47="","",(1/'Metadata'!$B$5)^(O47-1))</x:f>
        <x:v>93.32543007969915</x:v>
      </x:c>
      <x:c r="U47" s="31" t="n">
        <x:f>IF(T47="","",I47*T47)</x:f>
        <x:v>20442.002204657303</x:v>
      </x:c>
    </x:row>
    <x:row r="48" ht="18" customHeight="1">
      <x:c r="A48" s="24" t="str">
        <x:v>EEZ_953</x:v>
      </x:c>
      <x:c r="B48" s="24" t="str">
        <x:v>South Africa (Atlantic and Cape)</x:v>
      </x:c>
      <x:c r="C48" s="24" t="str">
        <x:v>EEZ</x:v>
      </x:c>
      <x:c r="D48" s="30" t="n">
        <x:v>2019</x:v>
      </x:c>
      <x:c r="E48" s="24" t="str">
        <x:v>Perciformes</x:v>
      </x:c>
      <x:c r="F48" s="24" t="str">
        <x:v>Perch-likes</x:v>
      </x:c>
      <x:c r="G48" s="24" t="str">
        <x:v>Medium demersals (30 - 89 cm)</x:v>
      </x:c>
      <x:c r="H48" s="24" t="str">
        <x:v>Perch-likes</x:v>
      </x:c>
      <x:c r="I48" s="31" t="n">
        <x:v>217.09794053410002</x:v>
      </x:c>
      <x:c r="J48" s="31" t="n">
        <x:v>217.09794053410002</x:v>
      </x:c>
      <x:c r="K48" s="31" t="n">
        <x:v>0</x:v>
      </x:c>
      <x:c r="L48" s="31" t="n">
        <x:v>0</x:v>
      </x:c>
      <x:c r="M48" s="31" t="n">
        <x:v>217.09794053410002</x:v>
      </x:c>
      <x:c r="N48" s="24" t="str">
        <x:v>perciformes</x:v>
      </x:c>
      <x:c r="O48" s="32" t="n">
        <x:v>3.53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Perciformes</x:v>
      </x:c>
      <x:c r="T48" s="32" t="n">
        <x:f>IF(O48="","",(1/'Metadata'!$B$5)^(O48-1))</x:f>
        <x:v>338.84415613920237</x:v>
      </x:c>
      <x:c r="U48" s="31" t="n">
        <x:f>IF(T48="","",I48*T48)</x:f>
        <x:v>73562.36845983585</x:v>
      </x:c>
    </x:row>
    <x:row r="49" ht="18" customHeight="1">
      <x:c r="A49" s="24" t="str">
        <x:v>EEZ_953</x:v>
      </x:c>
      <x:c r="B49" s="24" t="str">
        <x:v>South Africa (Atlantic and Cape)</x:v>
      </x:c>
      <x:c r="C49" s="24" t="str">
        <x:v>EEZ</x:v>
      </x:c>
      <x:c r="D49" s="30" t="n">
        <x:v>2019</x:v>
      </x:c>
      <x:c r="E49" s="24" t="str">
        <x:v>Octopoda</x:v>
      </x:c>
      <x:c r="F49" s="24" t="str">
        <x:v>Octopuses, argonauts</x:v>
      </x:c>
      <x:c r="G49" s="24" t="str">
        <x:v>Cephalopods</x:v>
      </x:c>
      <x:c r="H49" s="24" t="str">
        <x:v>Other fishes &amp; inverts</x:v>
      </x:c>
      <x:c r="I49" s="31" t="n">
        <x:v>199.31</x:v>
      </x:c>
      <x:c r="J49" s="31" t="n">
        <x:v>199.31</x:v>
      </x:c>
      <x:c r="K49" s="31" t="n">
        <x:v>0</x:v>
      </x:c>
      <x:c r="L49" s="31" t="n">
        <x:v>199.31</x:v>
      </x:c>
      <x:c r="M49" s="31" t="n">
        <x:v>0</x:v>
      </x:c>
      <x:c r="N49" s="24" t="str">
        <x:v>octopoda</x:v>
      </x:c>
      <x:c r="O49" s="32" t="n">
        <x:v>3.58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Octopoda</x:v>
      </x:c>
      <x:c r="T49" s="32" t="n">
        <x:f>IF(O49="","",(1/'Metadata'!$B$5)^(O49-1))</x:f>
        <x:v>380.1893963205613</x:v>
      </x:c>
      <x:c r="U49" s="31" t="n">
        <x:f>IF(T49="","",I49*T49)</x:f>
        <x:v>75775.54858065107</x:v>
      </x:c>
    </x:row>
    <x:row r="50" ht="18" customHeight="1">
      <x:c r="A50" s="24" t="str">
        <x:v>EEZ_953</x:v>
      </x:c>
      <x:c r="B50" s="24" t="str">
        <x:v>South Africa (Atlantic and Cape)</x:v>
      </x:c>
      <x:c r="C50" s="24" t="str">
        <x:v>EEZ</x:v>
      </x:c>
      <x:c r="D50" s="30" t="n">
        <x:v>2019</x:v>
      </x:c>
      <x:c r="E50" s="24" t="str">
        <x:v>Austroglossus pectoralis</x:v>
      </x:c>
      <x:c r="F50" s="24" t="str">
        <x:v>Mud sole</x:v>
      </x:c>
      <x:c r="G50" s="24" t="str">
        <x:v>Small to medium flatfishes (&lt;90 cm)</x:v>
      </x:c>
      <x:c r="H50" s="24" t="str">
        <x:v>Flatfishes</x:v>
      </x:c>
      <x:c r="I50" s="31" t="n">
        <x:v>190.13000000000002</x:v>
      </x:c>
      <x:c r="J50" s="31" t="n">
        <x:v>190.13000000000002</x:v>
      </x:c>
      <x:c r="K50" s="31" t="n">
        <x:v>0</x:v>
      </x:c>
      <x:c r="L50" s="31" t="n">
        <x:v>190.13000000000002</x:v>
      </x:c>
      <x:c r="M50" s="31" t="n">
        <x:v>0</x:v>
      </x:c>
      <x:c r="N50" s="24" t="str">
        <x:v>austroglossus pectoralis</x:v>
      </x:c>
      <x:c r="O50" s="32" t="n">
        <x:v>4.03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Austroglossus pectoralis</x:v>
      </x:c>
      <x:c r="T50" s="32" t="n">
        <x:f>IF(O50="","",(1/'Metadata'!$B$5)^(O50-1))</x:f>
        <x:v>1071.519305237607</x:v>
      </x:c>
      <x:c r="U50" s="31" t="n">
        <x:f>IF(T50="","",I50*T50)</x:f>
        <x:v>203727.96550482628</x:v>
      </x:c>
    </x:row>
    <x:row r="51" ht="18" customHeight="1">
      <x:c r="A51" s="24" t="str">
        <x:v>EEZ_953</x:v>
      </x:c>
      <x:c r="B51" s="24" t="str">
        <x:v>South Africa (Atlantic and Cape)</x:v>
      </x:c>
      <x:c r="C51" s="24" t="str">
        <x:v>EEZ</x:v>
      </x:c>
      <x:c r="D51" s="30" t="n">
        <x:v>2019</x:v>
      </x:c>
      <x:c r="E51" s="24" t="str">
        <x:v>Emmelichthys nitidus</x:v>
      </x:c>
      <x:c r="F51" s="24" t="str">
        <x:v>Cape bonnetmouth</x:v>
      </x:c>
      <x:c r="G51" s="24" t="str">
        <x:v>Medium bathydemersals (30 - 89 cm)</x:v>
      </x:c>
      <x:c r="H51" s="24" t="str">
        <x:v>Perch-likes</x:v>
      </x:c>
      <x:c r="I51" s="31" t="n">
        <x:v>190.02</x:v>
      </x:c>
      <x:c r="J51" s="31" t="n">
        <x:v>190.02</x:v>
      </x:c>
      <x:c r="K51" s="31" t="n">
        <x:v>0</x:v>
      </x:c>
      <x:c r="L51" s="31" t="n">
        <x:v>190.02</x:v>
      </x:c>
      <x:c r="M51" s="31" t="n">
        <x:v>0</x:v>
      </x:c>
      <x:c r="N51" s="24" t="str">
        <x:v>emmelichthys nitidus</x:v>
      </x:c>
      <x:c r="O51" s="32" t="n">
        <x:v>3.61</x:v>
      </x:c>
      <x:c r="P51" s="24" t="str">
        <x:v>exact_sea_around_us</x:v>
      </x:c>
      <x:c r="Q51" s="32" t="str">
        <x:v>Sea Around Us exploited organisms</x:v>
      </x:c>
      <x:c r="R51" s="24" t="str">
        <x:v>high</x:v>
      </x:c>
      <x:c r="S51" s="24" t="str">
        <x:v>Emmelichthys nitidus</x:v>
      </x:c>
      <x:c r="T51" s="32" t="n">
        <x:f>IF(O51="","",(1/'Metadata'!$B$5)^(O51-1))</x:f>
        <x:v>407.3802778041126</x:v>
      </x:c>
      <x:c r="U51" s="31" t="n">
        <x:f>IF(T51="","",I51*T51)</x:f>
        <x:v>77410.40038833748</x:v>
      </x:c>
    </x:row>
    <x:row r="52" ht="18" customHeight="1">
      <x:c r="A52" s="24" t="str">
        <x:v>EEZ_953</x:v>
      </x:c>
      <x:c r="B52" s="24" t="str">
        <x:v>South Africa (Atlantic and Cape)</x:v>
      </x:c>
      <x:c r="C52" s="24" t="str">
        <x:v>EEZ</x:v>
      </x:c>
      <x:c r="D52" s="30" t="n">
        <x:v>2019</x:v>
      </x:c>
      <x:c r="E52" s="24" t="str">
        <x:v>Mustelus</x:v>
      </x:c>
      <x:c r="F52" s="24" t="str">
        <x:v>Smoothhounds</x:v>
      </x:c>
      <x:c r="G52" s="24" t="str">
        <x:v>Large sharks (&gt;=90 cm)</x:v>
      </x:c>
      <x:c r="H52" s="24" t="str">
        <x:v>Sharks &amp; rays</x:v>
      </x:c>
      <x:c r="I52" s="31" t="n">
        <x:v>186.147378257</x:v>
      </x:c>
      <x:c r="J52" s="31" t="n">
        <x:v>186.147378257</x:v>
      </x:c>
      <x:c r="K52" s="31" t="n">
        <x:v>0</x:v>
      </x:c>
      <x:c r="L52" s="31" t="n">
        <x:v>54.74</x:v>
      </x:c>
      <x:c r="M52" s="31" t="n">
        <x:v>131.407378257</x:v>
      </x:c>
      <x:c r="N52" s="24" t="str">
        <x:v>mustelus</x:v>
      </x:c>
      <x:c r="O52" s="32" t="n">
        <x:v>3.73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Mustelus</x:v>
      </x:c>
      <x:c r="T52" s="32" t="n">
        <x:f>IF(O52="","",(1/'Metadata'!$B$5)^(O52-1))</x:f>
        <x:v>537.0317963702527</x:v>
      </x:c>
      <x:c r="U52" s="31" t="n">
        <x:f>IF(T52="","",I52*T52)</x:f>
        <x:v>99967.06093496963</x:v>
      </x:c>
    </x:row>
    <x:row r="53" ht="18" customHeight="1">
      <x:c r="A53" s="24" t="str">
        <x:v>EEZ_953</x:v>
      </x:c>
      <x:c r="B53" s="24" t="str">
        <x:v>South Africa (Atlantic and Cape)</x:v>
      </x:c>
      <x:c r="C53" s="24" t="str">
        <x:v>EEZ</x:v>
      </x:c>
      <x:c r="D53" s="30" t="n">
        <x:v>2019</x:v>
      </x:c>
      <x:c r="E53" s="24" t="str">
        <x:v>Galeorhinus galeus</x:v>
      </x:c>
      <x:c r="F53" s="24" t="str">
        <x:v>Tope shark</x:v>
      </x:c>
      <x:c r="G53" s="24" t="str">
        <x:v>Large sharks (&gt;=90 cm)</x:v>
      </x:c>
      <x:c r="H53" s="24" t="str">
        <x:v>Sharks &amp; rays</x:v>
      </x:c>
      <x:c r="I53" s="31" t="n">
        <x:v>161.0332289394</x:v>
      </x:c>
      <x:c r="J53" s="31" t="n">
        <x:v>161.0332289394</x:v>
      </x:c>
      <x:c r="K53" s="31" t="n">
        <x:v>0</x:v>
      </x:c>
      <x:c r="L53" s="31" t="n">
        <x:v>127.3099999998</x:v>
      </x:c>
      <x:c r="M53" s="31" t="n">
        <x:v>33.7232289396</x:v>
      </x:c>
      <x:c r="N53" s="24" t="str">
        <x:v>galeorhinus galeus</x:v>
      </x:c>
      <x:c r="O53" s="32" t="n">
        <x:v>4.34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Galeorhinus galeus</x:v>
      </x:c>
      <x:c r="T53" s="32" t="n">
        <x:f>IF(O53="","",(1/'Metadata'!$B$5)^(O53-1))</x:f>
        <x:v>2187.761623949552</x:v>
      </x:c>
      <x:c r="U53" s="31" t="n">
        <x:f>IF(T53="","",I53*T53)</x:f>
        <x:v>352302.31845430174</x:v>
      </x:c>
    </x:row>
    <x:row r="54" ht="18" customHeight="1">
      <x:c r="A54" s="24" t="str">
        <x:v>EEZ_953</x:v>
      </x:c>
      <x:c r="B54" s="24" t="str">
        <x:v>South Africa (Atlantic and Cape)</x:v>
      </x:c>
      <x:c r="C54" s="24" t="str">
        <x:v>EEZ</x:v>
      </x:c>
      <x:c r="D54" s="30" t="n">
        <x:v>2019</x:v>
      </x:c>
      <x:c r="E54" s="24" t="str">
        <x:v>Scombridae</x:v>
      </x:c>
      <x:c r="F54" s="24" t="str">
        <x:v>Mackerels, tunas, bonitos</x:v>
      </x:c>
      <x:c r="G54" s="24" t="str">
        <x:v>Medium pelagics (30 - 89 cm)</x:v>
      </x:c>
      <x:c r="H54" s="24" t="str">
        <x:v>Perch-likes</x:v>
      </x:c>
      <x:c r="I54" s="31" t="n">
        <x:v>153.7611719517</x:v>
      </x:c>
      <x:c r="J54" s="31" t="n">
        <x:v>153.7611719517</x:v>
      </x:c>
      <x:c r="K54" s="31" t="n">
        <x:v>0</x:v>
      </x:c>
      <x:c r="L54" s="31" t="n">
        <x:v>9.5699999998</x:v>
      </x:c>
      <x:c r="M54" s="31" t="n">
        <x:v>144.1911719519</x:v>
      </x:c>
      <x:c r="N54" s="24" t="str">
        <x:v>scombridae</x:v>
      </x:c>
      <x:c r="O54" s="32" t="n">
        <x:v>4.26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Scombridae</x:v>
      </x:c>
      <x:c r="T54" s="32" t="n">
        <x:f>IF(O54="","",(1/'Metadata'!$B$5)^(O54-1))</x:f>
        <x:v>1819.7008586099826</x:v>
      </x:c>
      <x:c r="U54" s="31" t="n">
        <x:f>IF(T54="","",I54*T54)</x:f>
        <x:v>279799.33662138565</x:v>
      </x:c>
    </x:row>
    <x:row r="55" ht="18" customHeight="1">
      <x:c r="A55" s="24" t="str">
        <x:v>EEZ_953</x:v>
      </x:c>
      <x:c r="B55" s="24" t="str">
        <x:v>South Africa (Atlantic and Cape)</x:v>
      </x:c>
      <x:c r="C55" s="24" t="str">
        <x:v>EEZ</x:v>
      </x:c>
      <x:c r="D55" s="30" t="n">
        <x:v>2019</x:v>
      </x:c>
      <x:c r="E55" s="24" t="str">
        <x:v>Serranidae</x:v>
      </x:c>
      <x:c r="F55" s="24" t="str">
        <x:v>Basses, groupers, hinds</x:v>
      </x:c>
      <x:c r="G55" s="24" t="str">
        <x:v>Medium reef assoc. fish (30 - 89 cm)</x:v>
      </x:c>
      <x:c r="H55" s="24" t="str">
        <x:v>Perch-likes</x:v>
      </x:c>
      <x:c r="I55" s="31" t="n">
        <x:v>145.69</x:v>
      </x:c>
      <x:c r="J55" s="31" t="n">
        <x:v>145.69</x:v>
      </x:c>
      <x:c r="K55" s="31" t="n">
        <x:v>0</x:v>
      </x:c>
      <x:c r="L55" s="31" t="n">
        <x:v>145.69</x:v>
      </x:c>
      <x:c r="M55" s="31" t="n">
        <x:v>0</x:v>
      </x:c>
      <x:c r="N55" s="24" t="str">
        <x:v>serranidae</x:v>
      </x:c>
      <x:c r="O55" s="32" t="n">
        <x:v>3.98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Serranidae</x:v>
      </x:c>
      <x:c r="T55" s="32" t="n">
        <x:f>IF(O55="","",(1/'Metadata'!$B$5)^(O55-1))</x:f>
        <x:v>954.992586021436</x:v>
      </x:c>
      <x:c r="U55" s="31" t="n">
        <x:f>IF(T55="","",I55*T55)</x:f>
        <x:v>139132.869857463</x:v>
      </x:c>
    </x:row>
    <x:row r="56" ht="18" customHeight="1">
      <x:c r="A56" s="24" t="str">
        <x:v>EEZ_953</x:v>
      </x:c>
      <x:c r="B56" s="24" t="str">
        <x:v>South Africa (Atlantic and Cape)</x:v>
      </x:c>
      <x:c r="C56" s="24" t="str">
        <x:v>EEZ</x:v>
      </x:c>
      <x:c r="D56" s="30" t="n">
        <x:v>2019</x:v>
      </x:c>
      <x:c r="E56" s="24" t="str">
        <x:v>Scombroidei</x:v>
      </x:c>
      <x:c r="F56" s="24" t="str">
        <x:v>Tunas, bonitos, billfishes</x:v>
      </x:c>
      <x:c r="G56" s="24" t="str">
        <x:v>Large pelagics (&gt;=90 cm)</x:v>
      </x:c>
      <x:c r="H56" s="24" t="str">
        <x:v>Tuna &amp; billfishes</x:v>
      </x:c>
      <x:c r="I56" s="31" t="n">
        <x:v>140.7543215944</x:v>
      </x:c>
      <x:c r="J56" s="31" t="n">
        <x:v>140.7543215944</x:v>
      </x:c>
      <x:c r="K56" s="31" t="n">
        <x:v>0</x:v>
      </x:c>
      <x:c r="L56" s="31" t="n">
        <x:v>140.7543215944</x:v>
      </x:c>
      <x:c r="M56" s="31" t="n">
        <x:v>0</x:v>
      </x:c>
      <x:c r="N56" s="24" t="str">
        <x:v>scombroidei</x:v>
      </x:c>
      <x:c r="O56" s="32" t="n">
        <x:v>4.2</x:v>
      </x:c>
      <x:c r="P56" s="24" t="str">
        <x:v>exact_sea_around_us</x:v>
      </x:c>
      <x:c r="Q56" s="32" t="str">
        <x:v>Sea Around Us exploited organisms</x:v>
      </x:c>
      <x:c r="R56" s="24" t="str">
        <x:v>high</x:v>
      </x:c>
      <x:c r="S56" s="24" t="str">
        <x:v>Scombroidei</x:v>
      </x:c>
      <x:c r="T56" s="32" t="n">
        <x:f>IF(O56="","",(1/'Metadata'!$B$5)^(O56-1))</x:f>
        <x:v>1584.893192461114</x:v>
      </x:c>
      <x:c r="U56" s="31" t="n">
        <x:f>IF(T56="","",I56*T56)</x:f>
        <x:v>223080.56610444695</x:v>
      </x:c>
    </x:row>
    <x:row r="57" ht="18" customHeight="1">
      <x:c r="A57" s="24" t="str">
        <x:v>EEZ_953</x:v>
      </x:c>
      <x:c r="B57" s="24" t="str">
        <x:v>South Africa (Atlantic and Cape)</x:v>
      </x:c>
      <x:c r="C57" s="24" t="str">
        <x:v>EEZ</x:v>
      </x:c>
      <x:c r="D57" s="30" t="n">
        <x:v>2019</x:v>
      </x:c>
      <x:c r="E57" s="24" t="str">
        <x:v>Rhabdosargus globiceps</x:v>
      </x:c>
      <x:c r="F57" s="24" t="str">
        <x:v>White stumpnose</x:v>
      </x:c>
      <x:c r="G57" s="24" t="str">
        <x:v>Medium benthopelagics (30 - 89 cm)</x:v>
      </x:c>
      <x:c r="H57" s="24" t="str">
        <x:v>Perch-likes</x:v>
      </x:c>
      <x:c r="I57" s="31" t="n">
        <x:v>127.6997710134</x:v>
      </x:c>
      <x:c r="J57" s="31" t="n">
        <x:v>127.6997710134</x:v>
      </x:c>
      <x:c r="K57" s="31" t="n">
        <x:v>0</x:v>
      </x:c>
      <x:c r="L57" s="31" t="n">
        <x:v>112.6999999999</x:v>
      </x:c>
      <x:c r="M57" s="31" t="n">
        <x:v>14.9997710135</x:v>
      </x:c>
      <x:c r="N57" s="24" t="str">
        <x:v>rhabdosargus globiceps</x:v>
      </x:c>
      <x:c r="O57" s="32" t="n">
        <x:v>3.04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Rhabdosargus globiceps</x:v>
      </x:c>
      <x:c r="T57" s="32" t="n">
        <x:f>IF(O57="","",(1/'Metadata'!$B$5)^(O57-1))</x:f>
        <x:v>109.64781961431851</x:v>
      </x:c>
      <x:c r="U57" s="31" t="n">
        <x:f>IF(T57="","",I57*T57)</x:f>
        <x:v>14002.001456867061</x:v>
      </x:c>
    </x:row>
    <x:row r="58" ht="18" customHeight="1">
      <x:c r="A58" s="24" t="str">
        <x:v>EEZ_953</x:v>
      </x:c>
      <x:c r="B58" s="24" t="str">
        <x:v>South Africa (Atlantic and Cape)</x:v>
      </x:c>
      <x:c r="C58" s="24" t="str">
        <x:v>EEZ</x:v>
      </x:c>
      <x:c r="D58" s="30" t="n">
        <x:v>2019</x:v>
      </x:c>
      <x:c r="E58" s="24" t="str">
        <x:v>Bivalvia</x:v>
      </x:c>
      <x:c r="F58" s="24" t="str">
        <x:v>Clams</x:v>
      </x:c>
      <x:c r="G58" s="24" t="str">
        <x:v>Other demersal invertebrates</x:v>
      </x:c>
      <x:c r="H58" s="24" t="str">
        <x:v>Molluscs</x:v>
      </x:c>
      <x:c r="I58" s="31" t="n">
        <x:v>120.42387816079999</x:v>
      </x:c>
      <x:c r="J58" s="31" t="n">
        <x:v>120.42387816079999</x:v>
      </x:c>
      <x:c r="K58" s="31" t="n">
        <x:v>0</x:v>
      </x:c>
      <x:c r="L58" s="31" t="n">
        <x:v>0</x:v>
      </x:c>
      <x:c r="M58" s="31" t="n">
        <x:v>120.42387816079999</x:v>
      </x:c>
      <x:c r="N58" s="24" t="str">
        <x:v>bivalvia</x:v>
      </x:c>
      <x:c r="O58" s="32" t="n">
        <x:v>2.23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Bivalvia</x:v>
      </x:c>
      <x:c r="T58" s="32" t="n">
        <x:f>IF(O58="","",(1/'Metadata'!$B$5)^(O58-1))</x:f>
        <x:v>16.982436524617444</x:v>
      </x:c>
      <x:c r="U58" s="31" t="n">
        <x:f>IF(T58="","",I58*T58)</x:f>
        <x:v>2045.0908669140506</x:v>
      </x:c>
    </x:row>
    <x:row r="59" ht="18" customHeight="1">
      <x:c r="A59" s="24" t="str">
        <x:v>EEZ_953</x:v>
      </x:c>
      <x:c r="B59" s="24" t="str">
        <x:v>South Africa (Atlantic and Cape)</x:v>
      </x:c>
      <x:c r="C59" s="24" t="str">
        <x:v>EEZ</x:v>
      </x:c>
      <x:c r="D59" s="30" t="n">
        <x:v>2019</x:v>
      </x:c>
      <x:c r="E59" s="24" t="str">
        <x:v>Cephalopoda</x:v>
      </x:c>
      <x:c r="F59" s="24" t="str">
        <x:v>Squids, cuttlefishes, octopuses</x:v>
      </x:c>
      <x:c r="G59" s="24" t="str">
        <x:v>Cephalopods</x:v>
      </x:c>
      <x:c r="H59" s="24" t="str">
        <x:v>Other fishes &amp; inverts</x:v>
      </x:c>
      <x:c r="I59" s="31" t="n">
        <x:v>120.4238781496</x:v>
      </x:c>
      <x:c r="J59" s="31" t="n">
        <x:v>120.4238781496</x:v>
      </x:c>
      <x:c r="K59" s="31" t="n">
        <x:v>0</x:v>
      </x:c>
      <x:c r="L59" s="31" t="n">
        <x:v>0</x:v>
      </x:c>
      <x:c r="M59" s="31" t="n">
        <x:v>120.4238781496</x:v>
      </x:c>
      <x:c r="N59" s="24" t="str">
        <x:v>cephalopoda</x:v>
      </x:c>
      <x:c r="O59" s="32" t="n">
        <x:v>3.81</x:v>
      </x:c>
      <x:c r="P59" s="24" t="str">
        <x:v>exact_sea_around_us</x:v>
      </x:c>
      <x:c r="Q59" s="32" t="str">
        <x:v>Sea Around Us exploited organisms</x:v>
      </x:c>
      <x:c r="R59" s="24" t="str">
        <x:v>high</x:v>
      </x:c>
      <x:c r="S59" s="24" t="str">
        <x:v>Cephalopoda</x:v>
      </x:c>
      <x:c r="T59" s="32" t="n">
        <x:f>IF(O59="","",(1/'Metadata'!$B$5)^(O59-1))</x:f>
        <x:v>645.6542290346556</x:v>
      </x:c>
      <x:c r="U59" s="31" t="n">
        <x:f>IF(T59="","",I59*T59)</x:f>
        <x:v>77752.18620404329</x:v>
      </x:c>
    </x:row>
    <x:row r="60" ht="18" customHeight="1">
      <x:c r="A60" s="24" t="str">
        <x:v>EEZ_953</x:v>
      </x:c>
      <x:c r="B60" s="24" t="str">
        <x:v>South Africa (Atlantic and Cape)</x:v>
      </x:c>
      <x:c r="C60" s="24" t="str">
        <x:v>EEZ</x:v>
      </x:c>
      <x:c r="D60" s="30" t="n">
        <x:v>2019</x:v>
      </x:c>
      <x:c r="E60" s="24" t="str">
        <x:v>Gempylidae</x:v>
      </x:c>
      <x:c r="F60" s="24" t="str">
        <x:v>Snake mackerels</x:v>
      </x:c>
      <x:c r="G60" s="24" t="str">
        <x:v>Large benthopelagics (&gt;=90 cm)</x:v>
      </x:c>
      <x:c r="H60" s="24" t="str">
        <x:v>Perch-likes</x:v>
      </x:c>
      <x:c r="I60" s="31" t="n">
        <x:v>83.7006688023</x:v>
      </x:c>
      <x:c r="J60" s="31" t="n">
        <x:v>83.7006688023</x:v>
      </x:c>
      <x:c r="K60" s="31" t="n">
        <x:v>0</x:v>
      </x:c>
      <x:c r="L60" s="31" t="n">
        <x:v>0</x:v>
      </x:c>
      <x:c r="M60" s="31" t="n">
        <x:v>83.7006688023</x:v>
      </x:c>
      <x:c r="N60" s="24" t="str">
        <x:v>gempylidae</x:v>
      </x:c>
      <x:c r="O60" s="32" t="n">
        <x:v>4.21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Gempylidae</x:v>
      </x:c>
      <x:c r="T60" s="32" t="n">
        <x:f>IF(O60="","",(1/'Metadata'!$B$5)^(O60-1))</x:f>
        <x:v>1621.8100973589299</x:v>
      </x:c>
      <x:c r="U60" s="31" t="n">
        <x:f>IF(T60="","",I60*T60)</x:f>
        <x:v>135746.5898192657</x:v>
      </x:c>
    </x:row>
    <x:row r="61" ht="18" customHeight="1">
      <x:c r="A61" s="24" t="str">
        <x:v>EEZ_953</x:v>
      </x:c>
      <x:c r="B61" s="24" t="str">
        <x:v>South Africa (Atlantic and Cape)</x:v>
      </x:c>
      <x:c r="C61" s="24" t="str">
        <x:v>EEZ</x:v>
      </x:c>
      <x:c r="D61" s="30" t="n">
        <x:v>2019</x:v>
      </x:c>
      <x:c r="E61" s="24" t="str">
        <x:v>Mustelus mustelus</x:v>
      </x:c>
      <x:c r="F61" s="24" t="str">
        <x:v>Smooth-hound</x:v>
      </x:c>
      <x:c r="G61" s="24" t="str">
        <x:v>Large sharks (&gt;=90 cm)</x:v>
      </x:c>
      <x:c r="H61" s="24" t="str">
        <x:v>Sharks &amp; rays</x:v>
      </x:c>
      <x:c r="I61" s="31" t="n">
        <x:v>82.59712597049999</x:v>
      </x:c>
      <x:c r="J61" s="31" t="n">
        <x:v>82.59712597049999</x:v>
      </x:c>
      <x:c r="K61" s="31" t="n">
        <x:v>0</x:v>
      </x:c>
      <x:c r="L61" s="31" t="n">
        <x:v>57.859999999799996</x:v>
      </x:c>
      <x:c r="M61" s="31" t="n">
        <x:v>24.7371259707</x:v>
      </x:c>
      <x:c r="N61" s="24" t="str">
        <x:v>mustelus mustelus</x:v>
      </x:c>
      <x:c r="O61" s="32" t="n">
        <x:v>3.75</x:v>
      </x:c>
      <x:c r="P61" s="24" t="str">
        <x:v>exact_2020_supplement</x:v>
      </x:c>
      <x:c r="Q61" s="32" t="str">
        <x:v>2020 supplement MeanTL</x:v>
      </x:c>
      <x:c r="R61" s="24" t="str">
        <x:v>high</x:v>
      </x:c>
      <x:c r="S61" s="24" t="str">
        <x:v>Mustelus mustelus</x:v>
      </x:c>
      <x:c r="T61" s="32" t="n">
        <x:f>IF(O61="","",(1/'Metadata'!$B$5)^(O61-1))</x:f>
        <x:v>562.341325190349</x:v>
      </x:c>
      <x:c r="U61" s="31" t="n">
        <x:f>IF(T61="","",I61*T61)</x:f>
        <x:v>46447.77727516516</x:v>
      </x:c>
    </x:row>
    <x:row r="62" ht="18" customHeight="1">
      <x:c r="A62" s="24" t="str">
        <x:v>EEZ_953</x:v>
      </x:c>
      <x:c r="B62" s="24" t="str">
        <x:v>South Africa (Atlantic and Cape)</x:v>
      </x:c>
      <x:c r="C62" s="24" t="str">
        <x:v>EEZ</x:v>
      </x:c>
      <x:c r="D62" s="30" t="n">
        <x:v>2019</x:v>
      </x:c>
      <x:c r="E62" s="24" t="str">
        <x:v>Oreosomatidae</x:v>
      </x:c>
      <x:c r="F62" s="24" t="str">
        <x:v>Oreos</x:v>
      </x:c>
      <x:c r="G62" s="24" t="str">
        <x:v>Medium bathypelagics (30 - 89 cm)</x:v>
      </x:c>
      <x:c r="H62" s="24" t="str">
        <x:v>Other fishes &amp; inverts</x:v>
      </x:c>
      <x:c r="I62" s="31" t="n">
        <x:v>72.08</x:v>
      </x:c>
      <x:c r="J62" s="31" t="n">
        <x:v>72.08</x:v>
      </x:c>
      <x:c r="K62" s="31" t="n">
        <x:v>0</x:v>
      </x:c>
      <x:c r="L62" s="31" t="n">
        <x:v>72.08</x:v>
      </x:c>
      <x:c r="M62" s="31" t="n">
        <x:v>0</x:v>
      </x:c>
      <x:c r="N62" s="24" t="str">
        <x:v>oreosomatidae</x:v>
      </x:c>
      <x:c r="O62" s="32" t="n">
        <x:v>3.69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Oreosomatidae</x:v>
      </x:c>
      <x:c r="T62" s="32" t="n">
        <x:f>IF(O62="","",(1/'Metadata'!$B$5)^(O62-1))</x:f>
        <x:v>489.77881936844614</x:v>
      </x:c>
      <x:c r="U62" s="31" t="n">
        <x:f>IF(T62="","",I62*T62)</x:f>
        <x:v>35303.257300077596</x:v>
      </x:c>
    </x:row>
    <x:row r="63" ht="18" customHeight="1">
      <x:c r="A63" s="24" t="str">
        <x:v>EEZ_953</x:v>
      </x:c>
      <x:c r="B63" s="24" t="str">
        <x:v>South Africa (Atlantic and Cape)</x:v>
      </x:c>
      <x:c r="C63" s="24" t="str">
        <x:v>EEZ</x:v>
      </x:c>
      <x:c r="D63" s="30" t="n">
        <x:v>2019</x:v>
      </x:c>
      <x:c r="E63" s="24" t="str">
        <x:v>Beryx</x:v>
      </x:c>
      <x:c r="F63" s="24" t="str">
        <x:v>Alfonsinos</x:v>
      </x:c>
      <x:c r="G63" s="24" t="str">
        <x:v>Medium benthopelagics (30 - 89 cm)</x:v>
      </x:c>
      <x:c r="H63" s="24" t="str">
        <x:v>Other fishes &amp; inverts</x:v>
      </x:c>
      <x:c r="I63" s="31" t="n">
        <x:v>50.02</x:v>
      </x:c>
      <x:c r="J63" s="31" t="n">
        <x:v>50.02</x:v>
      </x:c>
      <x:c r="K63" s="31" t="n">
        <x:v>0</x:v>
      </x:c>
      <x:c r="L63" s="31" t="n">
        <x:v>50.02</x:v>
      </x:c>
      <x:c r="M63" s="31" t="n">
        <x:v>0</x:v>
      </x:c>
      <x:c r="N63" s="24" t="str">
        <x:v>beryx</x:v>
      </x:c>
      <x:c r="O63" s="32" t="n">
        <x:v>3.97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Beryx</x:v>
      </x:c>
      <x:c r="T63" s="32" t="n">
        <x:f>IF(O63="","",(1/'Metadata'!$B$5)^(O63-1))</x:f>
        <x:v>933.2543007969915</x:v>
      </x:c>
      <x:c r="U63" s="31" t="n">
        <x:f>IF(T63="","",I63*T63)</x:f>
        <x:v>46681.38012586552</x:v>
      </x:c>
    </x:row>
    <x:row r="64" ht="18" customHeight="1">
      <x:c r="A64" s="24" t="str">
        <x:v>EEZ_953</x:v>
      </x:c>
      <x:c r="B64" s="24" t="str">
        <x:v>South Africa (Atlantic and Cape)</x:v>
      </x:c>
      <x:c r="C64" s="24" t="str">
        <x:v>EEZ</x:v>
      </x:c>
      <x:c r="D64" s="30" t="n">
        <x:v>2019</x:v>
      </x:c>
      <x:c r="E64" s="24" t="str">
        <x:v>Kyphosidae</x:v>
      </x:c>
      <x:c r="F64" s="24" t="str">
        <x:v>Sea chubs, knifefishes, niblers</x:v>
      </x:c>
      <x:c r="G64" s="24" t="str">
        <x:v>Medium reef assoc. fish (30 - 89 cm)</x:v>
      </x:c>
      <x:c r="H64" s="24" t="str">
        <x:v>Perch-likes</x:v>
      </x:c>
      <x:c r="I64" s="31" t="n">
        <x:v>40.3256380349</x:v>
      </x:c>
      <x:c r="J64" s="31" t="n">
        <x:v>40.3256380349</x:v>
      </x:c>
      <x:c r="K64" s="31" t="n">
        <x:v>0</x:v>
      </x:c>
      <x:c r="L64" s="31" t="n">
        <x:v>0</x:v>
      </x:c>
      <x:c r="M64" s="31" t="n">
        <x:v>40.3256380349</x:v>
      </x:c>
      <x:c r="N64" s="24" t="str">
        <x:v>kyphosidae</x:v>
      </x:c>
      <x:c r="O64" s="32" t="n">
        <x:v>2.19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Kyphosidae</x:v>
      </x:c>
      <x:c r="T64" s="32" t="n">
        <x:f>IF(O64="","",(1/'Metadata'!$B$5)^(O64-1))</x:f>
        <x:v>15.488166189124811</x:v>
      </x:c>
      <x:c r="U64" s="31" t="n">
        <x:f>IF(T64="","",I64*T64)</x:f>
        <x:v>624.5701835670237</x:v>
      </x:c>
    </x:row>
    <x:row r="65" ht="18" customHeight="1">
      <x:c r="A65" s="24" t="str">
        <x:v>EEZ_953</x:v>
      </x:c>
      <x:c r="B65" s="24" t="str">
        <x:v>South Africa (Atlantic and Cape)</x:v>
      </x:c>
      <x:c r="C65" s="24" t="str">
        <x:v>EEZ</x:v>
      </x:c>
      <x:c r="D65" s="30" t="n">
        <x:v>2019</x:v>
      </x:c>
      <x:c r="E65" s="24" t="str">
        <x:v>Carangidae</x:v>
      </x:c>
      <x:c r="F65" s="24" t="str">
        <x:v>Jacks, pompanos</x:v>
      </x:c>
      <x:c r="G65" s="24" t="str">
        <x:v>Medium pelagics (30 - 89 cm)</x:v>
      </x:c>
      <x:c r="H65" s="24" t="str">
        <x:v>Perch-likes</x:v>
      </x:c>
      <x:c r="I65" s="31" t="n">
        <x:v>34.0061682439</x:v>
      </x:c>
      <x:c r="J65" s="31" t="n">
        <x:v>34.0061682439</x:v>
      </x:c>
      <x:c r="K65" s="31" t="n">
        <x:v>0</x:v>
      </x:c>
      <x:c r="L65" s="31" t="n">
        <x:v>0</x:v>
      </x:c>
      <x:c r="M65" s="31" t="n">
        <x:v>34.0061682439</x:v>
      </x:c>
      <x:c r="N65" s="24" t="str">
        <x:v>carangidae</x:v>
      </x:c>
      <x:c r="O65" s="32" t="n">
        <x:v>4.05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Carangidae</x:v>
      </x:c>
      <x:c r="T65" s="32" t="n">
        <x:f>IF(O65="","",(1/'Metadata'!$B$5)^(O65-1))</x:f>
        <x:v>1122.018454301963</x:v>
      </x:c>
      <x:c r="U65" s="31" t="n">
        <x:f>IF(T65="","",I65*T65)</x:f>
        <x:v>38155.548329753175</x:v>
      </x:c>
    </x:row>
    <x:row r="66" ht="18" customHeight="1">
      <x:c r="A66" s="24" t="str">
        <x:v>EEZ_953</x:v>
      </x:c>
      <x:c r="B66" s="24" t="str">
        <x:v>South Africa (Atlantic and Cape)</x:v>
      </x:c>
      <x:c r="C66" s="24" t="str">
        <x:v>EEZ</x:v>
      </x:c>
      <x:c r="D66" s="30" t="n">
        <x:v>2019</x:v>
      </x:c>
      <x:c r="E66" s="24" t="str">
        <x:v>Chrysoblephus</x:v>
      </x:c>
      <x:c r="F66" s="24" t="str">
        <x:v>Golden seabreams</x:v>
      </x:c>
      <x:c r="G66" s="24" t="str">
        <x:v>Medium demersals (30 - 89 cm)</x:v>
      </x:c>
      <x:c r="H66" s="24" t="str">
        <x:v>Perch-likes</x:v>
      </x:c>
      <x:c r="I66" s="31" t="n">
        <x:v>29.0344643627</x:v>
      </x:c>
      <x:c r="J66" s="31" t="n">
        <x:v>29.0344643627</x:v>
      </x:c>
      <x:c r="K66" s="31" t="n">
        <x:v>0</x:v>
      </x:c>
      <x:c r="L66" s="31" t="n">
        <x:v>1.0100000002</x:v>
      </x:c>
      <x:c r="M66" s="31" t="n">
        <x:v>28.0244643625</x:v>
      </x:c>
      <x:c r="N66" s="24" t="str">
        <x:v>chrysoblephus</x:v>
      </x:c>
      <x:c r="O66" s="32" t="n">
        <x:v>3.59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Chrysoblephus</x:v>
      </x:c>
      <x:c r="T66" s="32" t="n">
        <x:f>IF(O66="","",(1/'Metadata'!$B$5)^(O66-1))</x:f>
        <x:v>389.04514499428046</x:v>
      </x:c>
      <x:c r="U66" s="31" t="n">
        <x:f>IF(T66="","",I66*T66)</x:f>
        <x:v>11295.71739781789</x:v>
      </x:c>
    </x:row>
    <x:row r="67" ht="18" customHeight="1">
      <x:c r="A67" s="24" t="str">
        <x:v>EEZ_953</x:v>
      </x:c>
      <x:c r="B67" s="24" t="str">
        <x:v>South Africa (Atlantic and Cape)</x:v>
      </x:c>
      <x:c r="C67" s="24" t="str">
        <x:v>EEZ</x:v>
      </x:c>
      <x:c r="D67" s="30" t="n">
        <x:v>2019</x:v>
      </x:c>
      <x:c r="E67" s="24" t="str">
        <x:v>Marine pelagic fishes not identified</x:v>
      </x:c>
      <x:c r="F67" s="24" t="str">
        <x:v>Pelagic fishes</x:v>
      </x:c>
      <x:c r="G67" s="24" t="str">
        <x:v>Medium pelagics (30 - 89 cm)</x:v>
      </x:c>
      <x:c r="H67" s="24" t="str">
        <x:v>Other fishes &amp; inverts</x:v>
      </x:c>
      <x:c r="I67" s="31" t="n">
        <x:v>27.5167605</x:v>
      </x:c>
      <x:c r="J67" s="31" t="n">
        <x:v>27.5167605</x:v>
      </x:c>
      <x:c r="K67" s="31" t="n">
        <x:v>0</x:v>
      </x:c>
      <x:c r="L67" s="31" t="n">
        <x:v>27.5167605</x:v>
      </x:c>
      <x:c r="M67" s="31" t="n">
        <x:v>0</x:v>
      </x:c>
      <x:c r="N67" s="24" t="str">
        <x:v>marine pelagic fishes not identified</x:v>
      </x:c>
      <x:c r="O67" s="32" t="n">
        <x:v>3.35</x:v>
      </x:c>
      <x:c r="P67" s="24" t="str">
        <x:v>exact_sea_around_us</x:v>
      </x:c>
      <x:c r="Q67" s="32" t="str">
        <x:v>Sea Around Us exploited organisms</x:v>
      </x:c>
      <x:c r="R67" s="24" t="str">
        <x:v>high</x:v>
      </x:c>
      <x:c r="S67" s="24" t="str">
        <x:v>Marine pelagic fishes not identified</x:v>
      </x:c>
      <x:c r="T67" s="32" t="n">
        <x:f>IF(O67="","",(1/'Metadata'!$B$5)^(O67-1))</x:f>
        <x:v>223.872113856834</x:v>
      </x:c>
      <x:c r="U67" s="31" t="n">
        <x:f>IF(T67="","",I67*T67)</x:f>
        <x:v>6160.235339627233</x:v>
      </x:c>
    </x:row>
    <x:row r="68" ht="18" customHeight="1">
      <x:c r="A68" s="24" t="str">
        <x:v>EEZ_953</x:v>
      </x:c>
      <x:c r="B68" s="24" t="str">
        <x:v>South Africa (Atlantic and Cape)</x:v>
      </x:c>
      <x:c r="C68" s="24" t="str">
        <x:v>EEZ</x:v>
      </x:c>
      <x:c r="D68" s="30" t="n">
        <x:v>2019</x:v>
      </x:c>
      <x:c r="E68" s="24" t="str">
        <x:v>Merlucciidae</x:v>
      </x:c>
      <x:c r="F68" s="24" t="str">
        <x:v>Merluccid hakes</x:v>
      </x:c>
      <x:c r="G68" s="24" t="str">
        <x:v>Large bathydemersals (&gt;=90 cm)</x:v>
      </x:c>
      <x:c r="H68" s="24" t="str">
        <x:v>Cod-likes</x:v>
      </x:c>
      <x:c r="I68" s="31" t="n">
        <x:v>25.1102006493</x:v>
      </x:c>
      <x:c r="J68" s="31" t="n">
        <x:v>25.1102006493</x:v>
      </x:c>
      <x:c r="K68" s="31" t="n">
        <x:v>0</x:v>
      </x:c>
      <x:c r="L68" s="31" t="n">
        <x:v>0</x:v>
      </x:c>
      <x:c r="M68" s="31" t="n">
        <x:v>25.1102006493</x:v>
      </x:c>
      <x:c r="N68" s="24" t="str">
        <x:v>merlucciidae</x:v>
      </x:c>
      <x:c r="O68" s="32" t="n">
        <x:v>4.35</x:v>
      </x:c>
      <x:c r="P68" s="24" t="str">
        <x:v>exact_sea_around_us</x:v>
      </x:c>
      <x:c r="Q68" s="32" t="str">
        <x:v>Sea Around Us exploited organisms</x:v>
      </x:c>
      <x:c r="R68" s="24" t="str">
        <x:v>high</x:v>
      </x:c>
      <x:c r="S68" s="24" t="str">
        <x:v>Merlucciidae</x:v>
      </x:c>
      <x:c r="T68" s="32" t="n">
        <x:f>IF(O68="","",(1/'Metadata'!$B$5)^(O68-1))</x:f>
        <x:v>2238.7211385683377</x:v>
      </x:c>
      <x:c r="U68" s="31" t="n">
        <x:f>IF(T68="","",I68*T68)</x:f>
        <x:v>56214.73698728031</x:v>
      </x:c>
    </x:row>
    <x:row r="69" ht="18" customHeight="1">
      <x:c r="A69" s="24" t="str">
        <x:v>EEZ_953</x:v>
      </x:c>
      <x:c r="B69" s="24" t="str">
        <x:v>South Africa (Atlantic and Cape)</x:v>
      </x:c>
      <x:c r="C69" s="24" t="str">
        <x:v>EEZ</x:v>
      </x:c>
      <x:c r="D69" s="30" t="n">
        <x:v>2019</x:v>
      </x:c>
      <x:c r="E69" s="24" t="str">
        <x:v>Dendrobranchiata</x:v>
      </x:c>
      <x:c r="F69" s="24" t="str">
        <x:v>Shrimps and prawns</x:v>
      </x:c>
      <x:c r="G69" s="24" t="str">
        <x:v>Shrimps</x:v>
      </x:c>
      <x:c r="H69" s="24" t="str">
        <x:v>Crustaceans</x:v>
      </x:c>
      <x:c r="I69" s="31" t="n">
        <x:v>24.765712074</x:v>
      </x:c>
      <x:c r="J69" s="31" t="n">
        <x:v>24.765712074</x:v>
      </x:c>
      <x:c r="K69" s="31" t="n">
        <x:v>0</x:v>
      </x:c>
      <x:c r="L69" s="31" t="n">
        <x:v>0</x:v>
      </x:c>
      <x:c r="M69" s="31" t="n">
        <x:v>24.765712074</x:v>
      </x:c>
      <x:c r="N69" s="24" t="str">
        <x:v>dendrobranchiata</x:v>
      </x:c>
      <x:c r="O69" s="32" t="n">
        <x:v>3.24</x:v>
      </x:c>
      <x:c r="P69" s="24" t="str">
        <x:v>exact_sea_around_us</x:v>
      </x:c>
      <x:c r="Q69" s="32" t="str">
        <x:v>Sea Around Us exploited organisms</x:v>
      </x:c>
      <x:c r="R69" s="24" t="str">
        <x:v>high</x:v>
      </x:c>
      <x:c r="S69" s="24" t="str">
        <x:v>Dendrobranchiata</x:v>
      </x:c>
      <x:c r="T69" s="32" t="n">
        <x:f>IF(O69="","",(1/'Metadata'!$B$5)^(O69-1))</x:f>
        <x:v>173.78008287493762</x:v>
      </x:c>
      <x:c r="U69" s="31" t="n">
        <x:f>IF(T69="","",I69*T69)</x:f>
        <x:v>4303.787496676563</x:v>
      </x:c>
    </x:row>
    <x:row r="70" ht="18" customHeight="1">
      <x:c r="A70" s="24" t="str">
        <x:v>EEZ_953</x:v>
      </x:c>
      <x:c r="B70" s="24" t="str">
        <x:v>South Africa (Atlantic and Cape)</x:v>
      </x:c>
      <x:c r="C70" s="24" t="str">
        <x:v>EEZ</x:v>
      </x:c>
      <x:c r="D70" s="30" t="n">
        <x:v>2019</x:v>
      </x:c>
      <x:c r="E70" s="24" t="str">
        <x:v>Palinuridae</x:v>
      </x:c>
      <x:c r="F70" s="24" t="str">
        <x:v>Spiny lobsters</x:v>
      </x:c>
      <x:c r="G70" s="24" t="str">
        <x:v>Lobsters, crabs</x:v>
      </x:c>
      <x:c r="H70" s="24" t="str">
        <x:v>Crustaceans</x:v>
      </x:c>
      <x:c r="I70" s="31" t="n">
        <x:v>24.1010020063</x:v>
      </x:c>
      <x:c r="J70" s="31" t="n">
        <x:v>24.1010020063</x:v>
      </x:c>
      <x:c r="K70" s="31" t="n">
        <x:v>0</x:v>
      </x:c>
      <x:c r="L70" s="31" t="n">
        <x:v>0</x:v>
      </x:c>
      <x:c r="M70" s="31" t="n">
        <x:v>24.1010020063</x:v>
      </x:c>
      <x:c r="N70" s="24" t="str">
        <x:v>palinuridae</x:v>
      </x:c>
      <x:c r="O70" s="32" t="n">
        <x:v>3.14</x:v>
      </x:c>
      <x:c r="P70" s="24" t="str">
        <x:v>exact_sea_around_us</x:v>
      </x:c>
      <x:c r="Q70" s="32" t="str">
        <x:v>Sea Around Us exploited organisms</x:v>
      </x:c>
      <x:c r="R70" s="24" t="str">
        <x:v>high</x:v>
      </x:c>
      <x:c r="S70" s="24" t="str">
        <x:v>Palinuridae</x:v>
      </x:c>
      <x:c r="T70" s="32" t="n">
        <x:f>IF(O70="","",(1/'Metadata'!$B$5)^(O70-1))</x:f>
        <x:v>138.03842646028852</x:v>
      </x:c>
      <x:c r="U70" s="31" t="n">
        <x:f>IF(T70="","",I70*T70)</x:f>
        <x:v>3326.8643930659086</x:v>
      </x:c>
    </x:row>
    <x:row r="71" ht="18" customHeight="1">
      <x:c r="A71" s="24" t="str">
        <x:v>EEZ_953</x:v>
      </x:c>
      <x:c r="B71" s="24" t="str">
        <x:v>South Africa (Atlantic and Cape)</x:v>
      </x:c>
      <x:c r="C71" s="24" t="str">
        <x:v>EEZ</x:v>
      </x:c>
      <x:c r="D71" s="30" t="n">
        <x:v>2019</x:v>
      </x:c>
      <x:c r="E71" s="24" t="str">
        <x:v>Crassostrea</x:v>
      </x:c>
      <x:c r="F71" s="24" t="str">
        <x:v>Cupped oysters</x:v>
      </x:c>
      <x:c r="G71" s="24" t="str">
        <x:v>Other demersal invertebrates</x:v>
      </x:c>
      <x:c r="H71" s="24" t="str">
        <x:v>Molluscs</x:v>
      </x:c>
      <x:c r="I71" s="31" t="n">
        <x:v>23.099999999999998</x:v>
      </x:c>
      <x:c r="J71" s="31" t="n">
        <x:v>23.099999999999998</x:v>
      </x:c>
      <x:c r="K71" s="31" t="n">
        <x:v>0</x:v>
      </x:c>
      <x:c r="L71" s="31" t="n">
        <x:v>23.099999999999998</x:v>
      </x:c>
      <x:c r="M71" s="31" t="n">
        <x:v>0</x:v>
      </x:c>
      <x:c r="N71" s="24" t="str">
        <x:v>crassostrea</x:v>
      </x:c>
      <x:c r="O71" s="32" t="n">
        <x:v>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Crassostrea</x:v>
      </x:c>
      <x:c r="T71" s="32" t="n">
        <x:f>IF(O71="","",(1/'Metadata'!$B$5)^(O71-1))</x:f>
        <x:v>10</x:v>
      </x:c>
      <x:c r="U71" s="31" t="n">
        <x:f>IF(T71="","",I71*T71)</x:f>
        <x:v>230.99999999999997</x:v>
      </x:c>
    </x:row>
    <x:row r="72" ht="18" customHeight="1">
      <x:c r="A72" s="24" t="str">
        <x:v>EEZ_953</x:v>
      </x:c>
      <x:c r="B72" s="24" t="str">
        <x:v>South Africa (Atlantic and Cape)</x:v>
      </x:c>
      <x:c r="C72" s="24" t="str">
        <x:v>EEZ</x:v>
      </x:c>
      <x:c r="D72" s="30" t="n">
        <x:v>2019</x:v>
      </x:c>
      <x:c r="E72" s="24" t="str">
        <x:v>Carcharhinus brachyurus</x:v>
      </x:c>
      <x:c r="F72" s="24" t="str">
        <x:v>Copper shark</x:v>
      </x:c>
      <x:c r="G72" s="24" t="str">
        <x:v>Large sharks (&gt;=90 cm)</x:v>
      </x:c>
      <x:c r="H72" s="24" t="str">
        <x:v>Sharks &amp; rays</x:v>
      </x:c>
      <x:c r="I72" s="31" t="n">
        <x:v>22.6645298136</x:v>
      </x:c>
      <x:c r="J72" s="31" t="n">
        <x:v>22.6645298136</x:v>
      </x:c>
      <x:c r="K72" s="31" t="n">
        <x:v>0</x:v>
      </x:c>
      <x:c r="L72" s="31" t="n">
        <x:v>7.8499999998000005</x:v>
      </x:c>
      <x:c r="M72" s="31" t="n">
        <x:v>14.8145298138</x:v>
      </x:c>
      <x:c r="N72" s="24" t="str">
        <x:v>carcharhinus brachyurus</x:v>
      </x:c>
      <x:c r="O72" s="32" t="n">
        <x:v>4.5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Carcharhinus brachyurus</x:v>
      </x:c>
      <x:c r="T72" s="32" t="n">
        <x:f>IF(O72="","",(1/'Metadata'!$B$5)^(O72-1))</x:f>
        <x:v>3162.2776601683795</x:v>
      </x:c>
      <x:c r="U72" s="31" t="n">
        <x:f>IF(T72="","",I72*T72)</x:f>
        <x:v>71671.53630776748</x:v>
      </x:c>
    </x:row>
    <x:row r="73" ht="18" customHeight="1">
      <x:c r="A73" s="24" t="str">
        <x:v>EEZ_953</x:v>
      </x:c>
      <x:c r="B73" s="24" t="str">
        <x:v>South Africa (Atlantic and Cape)</x:v>
      </x:c>
      <x:c r="C73" s="24" t="str">
        <x:v>EEZ</x:v>
      </x:c>
      <x:c r="D73" s="30" t="n">
        <x:v>2019</x:v>
      </x:c>
      <x:c r="E73" s="24" t="str">
        <x:v>Donax</x:v>
      </x:c>
      <x:c r="F73" s="24" t="str">
        <x:v>Bean clams</x:v>
      </x:c>
      <x:c r="G73" s="24" t="str">
        <x:v>Other demersal invertebrates</x:v>
      </x:c>
      <x:c r="H73" s="24" t="str">
        <x:v>Molluscs</x:v>
      </x:c>
      <x:c r="I73" s="31" t="n">
        <x:v>18.9</x:v>
      </x:c>
      <x:c r="J73" s="31" t="n">
        <x:v>18.9</x:v>
      </x:c>
      <x:c r="K73" s="31" t="n">
        <x:v>0</x:v>
      </x:c>
      <x:c r="L73" s="31" t="n">
        <x:v>18.9</x:v>
      </x:c>
      <x:c r="M73" s="31" t="n">
        <x:v>0</x:v>
      </x:c>
      <x:c r="N73" s="24" t="str">
        <x:v>donax</x:v>
      </x:c>
      <x:c r="O73" s="32" t="n">
        <x:v>2</x:v>
      </x:c>
      <x:c r="P73" s="24" t="str">
        <x:v>exact_sea_around_us</x:v>
      </x:c>
      <x:c r="Q73" s="32" t="str">
        <x:v>Sea Around Us exploited organisms</x:v>
      </x:c>
      <x:c r="R73" s="24" t="str">
        <x:v>high</x:v>
      </x:c>
      <x:c r="S73" s="24" t="str">
        <x:v>Donax</x:v>
      </x:c>
      <x:c r="T73" s="32" t="n">
        <x:f>IF(O73="","",(1/'Metadata'!$B$5)^(O73-1))</x:f>
        <x:v>10</x:v>
      </x:c>
      <x:c r="U73" s="31" t="n">
        <x:f>IF(T73="","",I73*T73)</x:f>
        <x:v>189</x:v>
      </x:c>
    </x:row>
    <x:row r="74" ht="18" customHeight="1">
      <x:c r="A74" s="24" t="str">
        <x:v>EEZ_953</x:v>
      </x:c>
      <x:c r="B74" s="24" t="str">
        <x:v>South Africa (Atlantic and Cape)</x:v>
      </x:c>
      <x:c r="C74" s="24" t="str">
        <x:v>EEZ</x:v>
      </x:c>
      <x:c r="D74" s="30" t="n">
        <x:v>2019</x:v>
      </x:c>
      <x:c r="E74" s="24" t="str">
        <x:v>Hoplostethus atlanticus</x:v>
      </x:c>
      <x:c r="F74" s="24" t="str">
        <x:v>Orange roughy</x:v>
      </x:c>
      <x:c r="G74" s="24" t="str">
        <x:v>Medium bathypelagics (30 - 89 cm)</x:v>
      </x:c>
      <x:c r="H74" s="24" t="str">
        <x:v>Other fishes &amp; inverts</x:v>
      </x:c>
      <x:c r="I74" s="31" t="n">
        <x:v>17.92</x:v>
      </x:c>
      <x:c r="J74" s="31" t="n">
        <x:v>17.92</x:v>
      </x:c>
      <x:c r="K74" s="31" t="n">
        <x:v>0</x:v>
      </x:c>
      <x:c r="L74" s="31" t="n">
        <x:v>17.92</x:v>
      </x:c>
      <x:c r="M74" s="31" t="n">
        <x:v>0</x:v>
      </x:c>
      <x:c r="N74" s="24" t="str">
        <x:v>hoplostethus atlanticus</x:v>
      </x:c>
      <x:c r="O74" s="32" t="n">
        <x:v>4.25</x:v>
      </x:c>
      <x:c r="P74" s="24" t="str">
        <x:v>exact_2020_supplement</x:v>
      </x:c>
      <x:c r="Q74" s="32" t="str">
        <x:v>2020 supplement MeanTL</x:v>
      </x:c>
      <x:c r="R74" s="24" t="str">
        <x:v>high</x:v>
      </x:c>
      <x:c r="S74" s="24" t="str">
        <x:v>Hoplostethus atlanticus</x:v>
      </x:c>
      <x:c r="T74" s="32" t="n">
        <x:f>IF(O74="","",(1/'Metadata'!$B$5)^(O74-1))</x:f>
        <x:v>1778.2794100389228</x:v>
      </x:c>
      <x:c r="U74" s="31" t="n">
        <x:f>IF(T74="","",I74*T74)</x:f>
        <x:v>31866.767027897502</x:v>
      </x:c>
    </x:row>
    <x:row r="75" ht="18" customHeight="1">
      <x:c r="A75" s="24" t="str">
        <x:v>EEZ_953</x:v>
      </x:c>
      <x:c r="B75" s="24" t="str">
        <x:v>South Africa (Atlantic and Cape)</x:v>
      </x:c>
      <x:c r="C75" s="24" t="str">
        <x:v>EEZ</x:v>
      </x:c>
      <x:c r="D75" s="30" t="n">
        <x:v>2019</x:v>
      </x:c>
      <x:c r="E75" s="24" t="str">
        <x:v>Coryphaena</x:v>
      </x:c>
      <x:c r="F75" s="24" t="str">
        <x:v>Dolphinfishes</x:v>
      </x:c>
      <x:c r="G75" s="24" t="str">
        <x:v>Large pelagics (&gt;=90 cm)</x:v>
      </x:c>
      <x:c r="H75" s="24" t="str">
        <x:v>Perch-likes</x:v>
      </x:c>
      <x:c r="I75" s="31" t="n">
        <x:v>15.520653818</x:v>
      </x:c>
      <x:c r="J75" s="31" t="n">
        <x:v>15.520653818</x:v>
      </x:c>
      <x:c r="K75" s="31" t="n">
        <x:v>0</x:v>
      </x:c>
      <x:c r="L75" s="31" t="n">
        <x:v>0</x:v>
      </x:c>
      <x:c r="M75" s="31" t="n">
        <x:v>15.520653818</x:v>
      </x:c>
      <x:c r="N75" s="24" t="str">
        <x:v>coryphaena</x:v>
      </x:c>
      <x:c r="O75" s="32" t="n">
        <x:v>4.49</x:v>
      </x:c>
      <x:c r="P75" s="24" t="str">
        <x:v>exact_sea_around_us</x:v>
      </x:c>
      <x:c r="Q75" s="32" t="str">
        <x:v>Sea Around Us exploited organisms</x:v>
      </x:c>
      <x:c r="R75" s="24" t="str">
        <x:v>high</x:v>
      </x:c>
      <x:c r="S75" s="24" t="str">
        <x:v>Coryphaena</x:v>
      </x:c>
      <x:c r="T75" s="32" t="n">
        <x:f>IF(O75="","",(1/'Metadata'!$B$5)^(O75-1))</x:f>
        <x:v>3090.295432513592</x:v>
      </x:c>
      <x:c r="U75" s="31" t="n">
        <x:f>IF(T75="","",I75*T75)</x:f>
        <x:v>47963.40560339004</x:v>
      </x:c>
    </x:row>
    <x:row r="76" ht="18" customHeight="1">
      <x:c r="A76" s="24" t="str">
        <x:v>EEZ_953</x:v>
      </x:c>
      <x:c r="B76" s="24" t="str">
        <x:v>South Africa (Atlantic and Cape)</x:v>
      </x:c>
      <x:c r="C76" s="24" t="str">
        <x:v>EEZ</x:v>
      </x:c>
      <x:c r="D76" s="30" t="n">
        <x:v>2019</x:v>
      </x:c>
      <x:c r="E76" s="24" t="str">
        <x:v>Lethrinidae</x:v>
      </x:c>
      <x:c r="F76" s="24" t="str">
        <x:v>Emperors, scavengers</x:v>
      </x:c>
      <x:c r="G76" s="24" t="str">
        <x:v>Medium reef assoc. fish (30 - 89 cm)</x:v>
      </x:c>
      <x:c r="H76" s="24" t="str">
        <x:v>Perch-likes</x:v>
      </x:c>
      <x:c r="I76" s="31" t="n">
        <x:v>12.41652306</x:v>
      </x:c>
      <x:c r="J76" s="31" t="n">
        <x:v>12.41652306</x:v>
      </x:c>
      <x:c r="K76" s="31" t="n">
        <x:v>0</x:v>
      </x:c>
      <x:c r="L76" s="31" t="n">
        <x:v>0</x:v>
      </x:c>
      <x:c r="M76" s="31" t="n">
        <x:v>12.41652306</x:v>
      </x:c>
      <x:c r="N76" s="24" t="str">
        <x:v>lethrinidae</x:v>
      </x:c>
      <x:c r="O76" s="32" t="n">
        <x:v>3.59</x:v>
      </x:c>
      <x:c r="P76" s="24" t="str">
        <x:v>exact_sea_around_us</x:v>
      </x:c>
      <x:c r="Q76" s="32" t="str">
        <x:v>Sea Around Us exploited organisms</x:v>
      </x:c>
      <x:c r="R76" s="24" t="str">
        <x:v>high</x:v>
      </x:c>
      <x:c r="S76" s="24" t="str">
        <x:v>Lethrinidae</x:v>
      </x:c>
      <x:c r="T76" s="32" t="n">
        <x:f>IF(O76="","",(1/'Metadata'!$B$5)^(O76-1))</x:f>
        <x:v>389.04514499428046</x:v>
      </x:c>
      <x:c r="U76" s="31" t="n">
        <x:f>IF(T76="","",I76*T76)</x:f>
        <x:v>4830.588014202527</x:v>
      </x:c>
    </x:row>
    <x:row r="77" ht="18" customHeight="1">
      <x:c r="A77" s="24" t="str">
        <x:v>EEZ_953</x:v>
      </x:c>
      <x:c r="B77" s="24" t="str">
        <x:v>South Africa (Atlantic and Cape)</x:v>
      </x:c>
      <x:c r="C77" s="24" t="str">
        <x:v>EEZ</x:v>
      </x:c>
      <x:c r="D77" s="30" t="n">
        <x:v>2019</x:v>
      </x:c>
      <x:c r="E77" s="24" t="str">
        <x:v>Sarda sarda</x:v>
      </x:c>
      <x:c r="F77" s="24" t="str">
        <x:v>Atlantic bonito</x:v>
      </x:c>
      <x:c r="G77" s="24" t="str">
        <x:v>Medium pelagics (30 - 89 cm)</x:v>
      </x:c>
      <x:c r="H77" s="24" t="str">
        <x:v>Tuna &amp; billfishes</x:v>
      </x:c>
      <x:c r="I77" s="31" t="n">
        <x:v>10.030000000000001</x:v>
      </x:c>
      <x:c r="J77" s="31" t="n">
        <x:v>10.030000000000001</x:v>
      </x:c>
      <x:c r="K77" s="31" t="n">
        <x:v>0</x:v>
      </x:c>
      <x:c r="L77" s="31" t="n">
        <x:v>10.030000000000001</x:v>
      </x:c>
      <x:c r="M77" s="31" t="n">
        <x:v>0</x:v>
      </x:c>
      <x:c r="N77" s="24" t="str">
        <x:v>sarda sarda</x:v>
      </x:c>
      <x:c r="O77" s="32" t="n">
        <x:v>4.5</x:v>
      </x:c>
      <x:c r="P77" s="24" t="str">
        <x:v>exact_2020_supplement</x:v>
      </x:c>
      <x:c r="Q77" s="32" t="str">
        <x:v>2020 supplement MeanTL</x:v>
      </x:c>
      <x:c r="R77" s="24" t="str">
        <x:v>high</x:v>
      </x:c>
      <x:c r="S77" s="24" t="str">
        <x:v>Sarda sarda</x:v>
      </x:c>
      <x:c r="T77" s="32" t="n">
        <x:f>IF(O77="","",(1/'Metadata'!$B$5)^(O77-1))</x:f>
        <x:v>3162.2776601683795</x:v>
      </x:c>
      <x:c r="U77" s="31" t="n">
        <x:f>IF(T77="","",I77*T77)</x:f>
        <x:v>31717.64493148885</x:v>
      </x:c>
    </x:row>
    <x:row r="78" ht="18" customHeight="1">
      <x:c r="A78" s="24" t="str">
        <x:v>EEZ_953</x:v>
      </x:c>
      <x:c r="B78" s="24" t="str">
        <x:v>South Africa (Atlantic and Cape)</x:v>
      </x:c>
      <x:c r="C78" s="24" t="str">
        <x:v>EEZ</x:v>
      </x:c>
      <x:c r="D78" s="30" t="n">
        <x:v>2019</x:v>
      </x:c>
      <x:c r="E78" s="24" t="str">
        <x:v>Ruvettus pretiosus</x:v>
      </x:c>
      <x:c r="F78" s="24" t="str">
        <x:v>Oilfish</x:v>
      </x:c>
      <x:c r="G78" s="24" t="str">
        <x:v>Large benthopelagics (&gt;=90 cm)</x:v>
      </x:c>
      <x:c r="H78" s="24" t="str">
        <x:v>Perch-likes</x:v>
      </x:c>
      <x:c r="I78" s="31" t="n">
        <x:v>8.0681539556</x:v>
      </x:c>
      <x:c r="J78" s="31" t="n">
        <x:v>8.0681539556</x:v>
      </x:c>
      <x:c r="K78" s="31" t="n">
        <x:v>0</x:v>
      </x:c>
      <x:c r="L78" s="31" t="n">
        <x:v>8.0681539556</x:v>
      </x:c>
      <x:c r="M78" s="31" t="n">
        <x:v>0</x:v>
      </x:c>
      <x:c r="N78" s="24" t="str">
        <x:v>ruvettus pretiosus</x:v>
      </x:c>
      <x:c r="O78" s="32" t="n">
        <x:v>4.18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Ruvettus pretiosus</x:v>
      </x:c>
      <x:c r="T78" s="32" t="n">
        <x:f>IF(O78="","",(1/'Metadata'!$B$5)^(O78-1))</x:f>
        <x:v>1513.5612484362073</x:v>
      </x:c>
      <x:c r="U78" s="31" t="n">
        <x:f>IF(T78="","",I78*T78)</x:f>
        <x:v>12211.64517361346</x:v>
      </x:c>
    </x:row>
    <x:row r="79" ht="18" customHeight="1">
      <x:c r="A79" s="24" t="str">
        <x:v>EEZ_953</x:v>
      </x:c>
      <x:c r="B79" s="24" t="str">
        <x:v>South Africa (Atlantic and Cape)</x:v>
      </x:c>
      <x:c r="C79" s="24" t="str">
        <x:v>EEZ</x:v>
      </x:c>
      <x:c r="D79" s="30" t="n">
        <x:v>2019</x:v>
      </x:c>
      <x:c r="E79" s="24" t="str">
        <x:v>Katsuwonus pelamis</x:v>
      </x:c>
      <x:c r="F79" s="24" t="str">
        <x:v>Skipjack tuna</x:v>
      </x:c>
      <x:c r="G79" s="24" t="str">
        <x:v>Large pelagics (&gt;=90 cm)</x:v>
      </x:c>
      <x:c r="H79" s="24" t="str">
        <x:v>Tuna &amp; billfishes</x:v>
      </x:c>
      <x:c r="I79" s="31" t="n">
        <x:v>7.6817789043</x:v>
      </x:c>
      <x:c r="J79" s="31" t="n">
        <x:v>7.6817789043</x:v>
      </x:c>
      <x:c r="K79" s="31" t="n">
        <x:v>0</x:v>
      </x:c>
      <x:c r="L79" s="31" t="n">
        <x:v>5.6833653014</x:v>
      </x:c>
      <x:c r="M79" s="31" t="n">
        <x:v>1.9984136029000001</x:v>
      </x:c>
      <x:c r="N79" s="24" t="str">
        <x:v>katsuwonus pelamis</x:v>
      </x:c>
      <x:c r="O79" s="32" t="n">
        <x:v>4.43</x:v>
      </x:c>
      <x:c r="P79" s="24" t="str">
        <x:v>exact_2020_supplement</x:v>
      </x:c>
      <x:c r="Q79" s="32" t="str">
        <x:v>2020 supplement MeanTL</x:v>
      </x:c>
      <x:c r="R79" s="24" t="str">
        <x:v>high</x:v>
      </x:c>
      <x:c r="S79" s="24" t="str">
        <x:v>Katsuwonus pelamis</x:v>
      </x:c>
      <x:c r="T79" s="32" t="n">
        <x:f>IF(O79="","",(1/'Metadata'!$B$5)^(O79-1))</x:f>
        <x:v>2691.534803926914</x:v>
      </x:c>
      <x:c r="U79" s="31" t="n">
        <x:f>IF(T79="","",I79*T79)</x:f>
        <x:v>20675.775276995002</x:v>
      </x:c>
    </x:row>
    <x:row r="80" ht="18" customHeight="1">
      <x:c r="A80" s="24" t="str">
        <x:v>EEZ_953</x:v>
      </x:c>
      <x:c r="B80" s="24" t="str">
        <x:v>South Africa (Atlantic and Cape)</x:v>
      </x:c>
      <x:c r="C80" s="24" t="str">
        <x:v>EEZ</x:v>
      </x:c>
      <x:c r="D80" s="30" t="n">
        <x:v>2019</x:v>
      </x:c>
      <x:c r="E80" s="24" t="str">
        <x:v>Cymatoceps nasutus</x:v>
      </x:c>
      <x:c r="F80" s="24" t="str">
        <x:v>Black musselcracker</x:v>
      </x:c>
      <x:c r="G80" s="24" t="str">
        <x:v>Large demersals (&gt;=90 cm)</x:v>
      </x:c>
      <x:c r="H80" s="24" t="str">
        <x:v>Perch-likes</x:v>
      </x:c>
      <x:c r="I80" s="31" t="n">
        <x:v>5.04</x:v>
      </x:c>
      <x:c r="J80" s="31" t="n">
        <x:v>5.04</x:v>
      </x:c>
      <x:c r="K80" s="31" t="n">
        <x:v>0</x:v>
      </x:c>
      <x:c r="L80" s="31" t="n">
        <x:v>5.04</x:v>
      </x:c>
      <x:c r="M80" s="31" t="n">
        <x:v>0</x:v>
      </x:c>
      <x:c r="N80" s="24" t="str">
        <x:v>cymatoceps nasutus</x:v>
      </x:c>
      <x:c r="O80" s="32" t="n">
        <x:v>3.56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Cymatoceps nasutus</x:v>
      </x:c>
      <x:c r="T80" s="32" t="n">
        <x:f>IF(O80="","",(1/'Metadata'!$B$5)^(O80-1))</x:f>
        <x:v>363.0780547701014</x:v>
      </x:c>
      <x:c r="U80" s="31" t="n">
        <x:f>IF(T80="","",I80*T80)</x:f>
        <x:v>1829.913396041311</x:v>
      </x:c>
    </x:row>
    <x:row r="81" ht="18" customHeight="1">
      <x:c r="A81" s="24" t="str">
        <x:v>EEZ_953</x:v>
      </x:c>
      <x:c r="B81" s="24" t="str">
        <x:v>South Africa (Atlantic and Cape)</x:v>
      </x:c>
      <x:c r="C81" s="24" t="str">
        <x:v>EEZ</x:v>
      </x:c>
      <x:c r="D81" s="30" t="n">
        <x:v>2019</x:v>
      </x:c>
      <x:c r="E81" s="24" t="str">
        <x:v>Isurus</x:v>
      </x:c>
      <x:c r="F81" s="24" t="str">
        <x:v>Mako sharks</x:v>
      </x:c>
      <x:c r="G81" s="24" t="str">
        <x:v>Large sharks (&gt;=90 cm)</x:v>
      </x:c>
      <x:c r="H81" s="24" t="str">
        <x:v>Sharks &amp; rays</x:v>
      </x:c>
      <x:c r="I81" s="31" t="n">
        <x:v>3.7462014183</x:v>
      </x:c>
      <x:c r="J81" s="31" t="n">
        <x:v>3.7462014183</x:v>
      </x:c>
      <x:c r="K81" s="31" t="n">
        <x:v>0</x:v>
      </x:c>
      <x:c r="L81" s="31" t="n">
        <x:v>3.7462014183</x:v>
      </x:c>
      <x:c r="M81" s="31" t="n">
        <x:v>0</x:v>
      </x:c>
      <x:c r="N81" s="24" t="str">
        <x:v>isurus</x:v>
      </x:c>
      <x:c r="O81" s="32" t="n">
        <x:v>4.5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Isurus</x:v>
      </x:c>
      <x:c r="T81" s="32" t="n">
        <x:f>IF(O81="","",(1/'Metadata'!$B$5)^(O81-1))</x:f>
        <x:v>3162.2776601683795</x:v>
      </x:c>
      <x:c r="U81" s="31" t="n">
        <x:f>IF(T81="","",I81*T81)</x:f>
        <x:v>11846.52905558119</x:v>
      </x:c>
    </x:row>
    <x:row r="82" ht="18" customHeight="1">
      <x:c r="A82" s="24" t="str">
        <x:v>EEZ_953</x:v>
      </x:c>
      <x:c r="B82" s="24" t="str">
        <x:v>South Africa (Atlantic and Cape)</x:v>
      </x:c>
      <x:c r="C82" s="24" t="str">
        <x:v>EEZ</x:v>
      </x:c>
      <x:c r="D82" s="30" t="n">
        <x:v>2019</x:v>
      </x:c>
      <x:c r="E82" s="24" t="str">
        <x:v>Notorynchus cepedianus</x:v>
      </x:c>
      <x:c r="F82" s="24" t="str">
        <x:v>Broadnose sevengill shark</x:v>
      </x:c>
      <x:c r="G82" s="24" t="str">
        <x:v>Large sharks (&gt;=90 cm)</x:v>
      </x:c>
      <x:c r="H82" s="24" t="str">
        <x:v>Sharks &amp; rays</x:v>
      </x:c>
      <x:c r="I82" s="31" t="n">
        <x:v>2.2607852532</x:v>
      </x:c>
      <x:c r="J82" s="31" t="n">
        <x:v>2.2607852532</x:v>
      </x:c>
      <x:c r="K82" s="31" t="n">
        <x:v>0</x:v>
      </x:c>
      <x:c r="L82" s="31" t="n">
        <x:v>1.6600000002000002</x:v>
      </x:c>
      <x:c r="M82" s="31" t="n">
        <x:v>0.600785253</x:v>
      </x:c>
      <x:c r="N82" s="24" t="str">
        <x:v>notorynchus cepedianus</x:v>
      </x:c>
      <x:c r="O82" s="32" t="n">
        <x:v>4.68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Notorynchus cepedianus</x:v>
      </x:c>
      <x:c r="T82" s="32" t="n">
        <x:f>IF(O82="","",(1/'Metadata'!$B$5)^(O82-1))</x:f>
        <x:v>4786.30092322638</x:v>
      </x:c>
      <x:c r="U82" s="31" t="n">
        <x:f>IF(T82="","",I82*T82)</x:f>
        <x:v>10820.798544607745</x:v>
      </x:c>
    </x:row>
    <x:row r="83" ht="18" customHeight="1">
      <x:c r="A83" s="24" t="str">
        <x:v>EEZ_953</x:v>
      </x:c>
      <x:c r="B83" s="24" t="str">
        <x:v>South Africa (Atlantic and Cape)</x:v>
      </x:c>
      <x:c r="C83" s="24" t="str">
        <x:v>EEZ</x:v>
      </x:c>
      <x:c r="D83" s="30" t="n">
        <x:v>2019</x:v>
      </x:c>
      <x:c r="E83" s="24" t="str">
        <x:v>Istiompax indica</x:v>
      </x:c>
      <x:c r="F83" s="24" t="str">
        <x:v>Black marlin</x:v>
      </x:c>
      <x:c r="G83" s="24" t="str">
        <x:v>Large pelagics (&gt;=90 cm)</x:v>
      </x:c>
      <x:c r="H83" s="24" t="str">
        <x:v>Tuna &amp; billfishes</x:v>
      </x:c>
      <x:c r="I83" s="31" t="n">
        <x:v>1.9084417834999998</x:v>
      </x:c>
      <x:c r="J83" s="31" t="n">
        <x:v>1.9084417834999998</x:v>
      </x:c>
      <x:c r="K83" s="31" t="n">
        <x:v>0</x:v>
      </x:c>
      <x:c r="L83" s="31" t="n">
        <x:v>1.7748585227999998</x:v>
      </x:c>
      <x:c r="M83" s="31" t="n">
        <x:v>0.1335832607</x:v>
      </x:c>
      <x:c r="N83" s="24" t="str">
        <x:v>istiompax indica</x:v>
      </x:c>
      <x:c r="O83" s="32" t="n">
        <x:v>4.5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Istiompax indica</x:v>
      </x:c>
      <x:c r="T83" s="32" t="n">
        <x:f>IF(O83="","",(1/'Metadata'!$B$5)^(O83-1))</x:f>
        <x:v>3162.2776601683795</x:v>
      </x:c>
      <x:c r="U83" s="31" t="n">
        <x:f>IF(T83="","",I83*T83)</x:f>
        <x:v>6035.022817693948</x:v>
      </x:c>
    </x:row>
    <x:row r="84" ht="18" customHeight="1">
      <x:c r="A84" s="24" t="str">
        <x:v>EEZ_953</x:v>
      </x:c>
      <x:c r="B84" s="24" t="str">
        <x:v>South Africa (Atlantic and Cape)</x:v>
      </x:c>
      <x:c r="C84" s="24" t="str">
        <x:v>EEZ</x:v>
      </x:c>
      <x:c r="D84" s="30" t="n">
        <x:v>2019</x:v>
      </x:c>
      <x:c r="E84" s="24" t="str">
        <x:v>Decapoda</x:v>
      </x:c>
      <x:c r="F84" s="24" t="str">
        <x:v>Crabs, lobsters, shrimps</x:v>
      </x:c>
      <x:c r="G84" s="24" t="str">
        <x:v>Lobsters, crabs</x:v>
      </x:c>
      <x:c r="H84" s="24" t="str">
        <x:v>Crustaceans</x:v>
      </x:c>
      <x:c r="I84" s="31" t="n">
        <x:v>1.6794417737</x:v>
      </x:c>
      <x:c r="J84" s="31" t="n">
        <x:v>1.6794417737</x:v>
      </x:c>
      <x:c r="K84" s="31" t="n">
        <x:v>0</x:v>
      </x:c>
      <x:c r="L84" s="31" t="n">
        <x:v>0</x:v>
      </x:c>
      <x:c r="M84" s="31" t="n">
        <x:v>1.6794417737</x:v>
      </x:c>
      <x:c r="N84" s="24" t="str">
        <x:v>decapoda</x:v>
      </x:c>
      <x:c r="O84" s="32" t="n">
        <x:v>3.43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Decapoda</x:v>
      </x:c>
      <x:c r="T84" s="32" t="n">
        <x:f>IF(O84="","",(1/'Metadata'!$B$5)^(O84-1))</x:f>
        <x:v>269.1534803926917</x:v>
      </x:c>
      <x:c r="U84" s="31" t="n">
        <x:f>IF(T84="","",I84*T84)</x:f>
        <x:v>452.0275985082303</x:v>
      </x:c>
    </x:row>
    <x:row r="85" ht="18" customHeight="1">
      <x:c r="A85" s="24" t="str">
        <x:v>EEZ_953</x:v>
      </x:c>
      <x:c r="B85" s="24" t="str">
        <x:v>South Africa (Atlantic and Cape)</x:v>
      </x:c>
      <x:c r="C85" s="24" t="str">
        <x:v>EEZ</x:v>
      </x:c>
      <x:c r="D85" s="30" t="n">
        <x:v>2019</x:v>
      </x:c>
      <x:c r="E85" s="24" t="str">
        <x:v>Polyprion americanus</x:v>
      </x:c>
      <x:c r="F85" s="24" t="str">
        <x:v>Wreckfish</x:v>
      </x:c>
      <x:c r="G85" s="24" t="str">
        <x:v>Large bathydemersals (&gt;=90 cm)</x:v>
      </x:c>
      <x:c r="H85" s="24" t="str">
        <x:v>Perch-likes</x:v>
      </x:c>
      <x:c r="I85" s="31" t="n">
        <x:v>1.29</x:v>
      </x:c>
      <x:c r="J85" s="31" t="n">
        <x:v>1.29</x:v>
      </x:c>
      <x:c r="K85" s="31" t="n">
        <x:v>0</x:v>
      </x:c>
      <x:c r="L85" s="31" t="n">
        <x:v>1.29</x:v>
      </x:c>
      <x:c r="M85" s="31" t="n">
        <x:v>0</x:v>
      </x:c>
      <x:c r="N85" s="24" t="str">
        <x:v>polyprion americanus</x:v>
      </x:c>
      <x:c r="O85" s="32" t="n">
        <x:v>4.14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Polyprion americanus</x:v>
      </x:c>
      <x:c r="T85" s="32" t="n">
        <x:f>IF(O85="","",(1/'Metadata'!$B$5)^(O85-1))</x:f>
        <x:v>1380.3842646028838</x:v>
      </x:c>
      <x:c r="U85" s="31" t="n">
        <x:f>IF(T85="","",I85*T85)</x:f>
        <x:v>1780.6957013377203</x:v>
      </x:c>
    </x:row>
    <x:row r="86" ht="18" customHeight="1">
      <x:c r="A86" s="24" t="str">
        <x:v>EEZ_953</x:v>
      </x:c>
      <x:c r="B86" s="24" t="str">
        <x:v>South Africa (Atlantic and Cape)</x:v>
      </x:c>
      <x:c r="C86" s="24" t="str">
        <x:v>EEZ</x:v>
      </x:c>
      <x:c r="D86" s="30" t="n">
        <x:v>2019</x:v>
      </x:c>
      <x:c r="E86" s="24" t="str">
        <x:v>Makaira nigricans</x:v>
      </x:c>
      <x:c r="F86" s="24" t="str">
        <x:v>Blue marlin</x:v>
      </x:c>
      <x:c r="G86" s="24" t="str">
        <x:v>Large pelagics (&gt;=90 cm)</x:v>
      </x:c>
      <x:c r="H86" s="24" t="str">
        <x:v>Tuna &amp; billfishes</x:v>
      </x:c>
      <x:c r="I86" s="31" t="n">
        <x:v>1.1137701294</x:v>
      </x:c>
      <x:c r="J86" s="31" t="n">
        <x:v>1.1137701294</x:v>
      </x:c>
      <x:c r="K86" s="31" t="n">
        <x:v>0</x:v>
      </x:c>
      <x:c r="L86" s="31" t="n">
        <x:v>0.6702699282</x:v>
      </x:c>
      <x:c r="M86" s="31" t="n">
        <x:v>0.4435002012</x:v>
      </x:c>
      <x:c r="N86" s="24" t="str">
        <x:v>makaira nigricans</x:v>
      </x:c>
      <x:c r="O86" s="32" t="n">
        <x:v>4.49</x:v>
      </x:c>
      <x:c r="P86" s="24" t="str">
        <x:v>exact_2020_supplement</x:v>
      </x:c>
      <x:c r="Q86" s="32" t="str">
        <x:v>2020 supplement MeanTL</x:v>
      </x:c>
      <x:c r="R86" s="24" t="str">
        <x:v>high</x:v>
      </x:c>
      <x:c r="S86" s="24" t="str">
        <x:v>Makaira nigricans</x:v>
      </x:c>
      <x:c r="T86" s="32" t="n">
        <x:f>IF(O86="","",(1/'Metadata'!$B$5)^(O86-1))</x:f>
        <x:v>3090.295432513592</x:v>
      </x:c>
      <x:c r="U86" s="31" t="n">
        <x:f>IF(T86="","",I86*T86)</x:f>
        <x:v>3441.878743754892</x:v>
      </x:c>
    </x:row>
    <x:row r="87" ht="18" customHeight="1">
      <x:c r="A87" s="24" t="str">
        <x:v>EEZ_953</x:v>
      </x:c>
      <x:c r="B87" s="24" t="str">
        <x:v>South Africa (Atlantic and Cape)</x:v>
      </x:c>
      <x:c r="C87" s="24" t="str">
        <x:v>EEZ</x:v>
      </x:c>
      <x:c r="D87" s="30" t="n">
        <x:v>2019</x:v>
      </x:c>
      <x:c r="E87" s="24" t="str">
        <x:v>Alopias vulpinus</x:v>
      </x:c>
      <x:c r="F87" s="24" t="str">
        <x:v>Thresher</x:v>
      </x:c>
      <x:c r="G87" s="24" t="str">
        <x:v>Large sharks (&gt;=90 cm)</x:v>
      </x:c>
      <x:c r="H87" s="24" t="str">
        <x:v>Sharks &amp; rays</x:v>
      </x:c>
      <x:c r="I87" s="31" t="n">
        <x:v>1.02</x:v>
      </x:c>
      <x:c r="J87" s="31" t="n">
        <x:v>1.02</x:v>
      </x:c>
      <x:c r="K87" s="31" t="n">
        <x:v>0</x:v>
      </x:c>
      <x:c r="L87" s="31" t="n">
        <x:v>1.02</x:v>
      </x:c>
      <x:c r="M87" s="31" t="n">
        <x:v>0</x:v>
      </x:c>
      <x:c r="N87" s="24" t="str">
        <x:v>alopias vulpinus</x:v>
      </x:c>
      <x:c r="O87" s="32" t="n">
        <x:v>4.5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Alopias vulpinus</x:v>
      </x:c>
      <x:c r="T87" s="32" t="n">
        <x:f>IF(O87="","",(1/'Metadata'!$B$5)^(O87-1))</x:f>
        <x:v>3162.2776601683795</x:v>
      </x:c>
      <x:c r="U87" s="31" t="n">
        <x:f>IF(T87="","",I87*T87)</x:f>
        <x:v>3225.5232133717473</x:v>
      </x:c>
    </x:row>
    <x:row r="88" ht="18" customHeight="1">
      <x:c r="A88" s="24" t="str">
        <x:v>EEZ_953</x:v>
      </x:c>
      <x:c r="B88" s="24" t="str">
        <x:v>South Africa (Atlantic and Cape)</x:v>
      </x:c>
      <x:c r="C88" s="24" t="str">
        <x:v>EEZ</x:v>
      </x:c>
      <x:c r="D88" s="30" t="n">
        <x:v>2019</x:v>
      </x:c>
      <x:c r="E88" s="24" t="str">
        <x:v>Coryphaena hippurus</x:v>
      </x:c>
      <x:c r="F88" s="24" t="str">
        <x:v>Common dolphinfish</x:v>
      </x:c>
      <x:c r="G88" s="24" t="str">
        <x:v>Large pelagics (&gt;=90 cm)</x:v>
      </x:c>
      <x:c r="H88" s="24" t="str">
        <x:v>Perch-likes</x:v>
      </x:c>
      <x:c r="I88" s="31" t="n">
        <x:v>0.9400000000000001</x:v>
      </x:c>
      <x:c r="J88" s="31" t="n">
        <x:v>0.9400000000000001</x:v>
      </x:c>
      <x:c r="K88" s="31" t="n">
        <x:v>0</x:v>
      </x:c>
      <x:c r="L88" s="31" t="n">
        <x:v>0.9400000000000001</x:v>
      </x:c>
      <x:c r="M88" s="31" t="n">
        <x:v>0</x:v>
      </x:c>
      <x:c r="N88" s="24" t="str">
        <x:v>coryphaena hippurus</x:v>
      </x:c>
      <x:c r="O88" s="32" t="n">
        <x:v>4.37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Coryphaena hippurus</x:v>
      </x:c>
      <x:c r="T88" s="32" t="n">
        <x:f>IF(O88="","",(1/'Metadata'!$B$5)^(O88-1))</x:f>
        <x:v>2344.228815319923</x:v>
      </x:c>
      <x:c r="U88" s="31" t="n">
        <x:f>IF(T88="","",I88*T88)</x:f>
        <x:v>2203.5750864007277</x:v>
      </x:c>
    </x:row>
    <x:row r="89" ht="18" customHeight="1">
      <x:c r="A89" s="24" t="str">
        <x:v>EEZ_953</x:v>
      </x:c>
      <x:c r="B89" s="24" t="str">
        <x:v>South Africa (Atlantic and Cape)</x:v>
      </x:c>
      <x:c r="C89" s="24" t="str">
        <x:v>EEZ</x:v>
      </x:c>
      <x:c r="D89" s="30" t="n">
        <x:v>2019</x:v>
      </x:c>
      <x:c r="E89" s="24" t="str">
        <x:v>Acanthocybium solandri</x:v>
      </x:c>
      <x:c r="F89" s="24" t="str">
        <x:v>Wahoo</x:v>
      </x:c>
      <x:c r="G89" s="24" t="str">
        <x:v>Large pelagics (&gt;=90 cm)</x:v>
      </x:c>
      <x:c r="H89" s="24" t="str">
        <x:v>Perch-likes</x:v>
      </x:c>
      <x:c r="I89" s="31" t="n">
        <x:v>0.403409988</x:v>
      </x:c>
      <x:c r="J89" s="31" t="n">
        <x:v>0.403409988</x:v>
      </x:c>
      <x:c r="K89" s="31" t="n">
        <x:v>0</x:v>
      </x:c>
      <x:c r="L89" s="31" t="n">
        <x:v>0.403409988</x:v>
      </x:c>
      <x:c r="M89" s="31" t="n">
        <x:v>0</x:v>
      </x:c>
      <x:c r="N89" s="24" t="str">
        <x:v>acanthocybium solandri</x:v>
      </x:c>
      <x:c r="O89" s="32" t="n">
        <x:v>4.26</x:v>
      </x:c>
      <x:c r="P89" s="24" t="str">
        <x:v>exact_2020_supplement</x:v>
      </x:c>
      <x:c r="Q89" s="32" t="str">
        <x:v>2020 supplement MeanTL</x:v>
      </x:c>
      <x:c r="R89" s="24" t="str">
        <x:v>high</x:v>
      </x:c>
      <x:c r="S89" s="24" t="str">
        <x:v>Acanthocybium solandri</x:v>
      </x:c>
      <x:c r="T89" s="32" t="n">
        <x:f>IF(O89="","",(1/'Metadata'!$B$5)^(O89-1))</x:f>
        <x:v>1819.7008586099826</x:v>
      </x:c>
      <x:c r="U89" s="31" t="n">
        <x:f>IF(T89="","",I89*T89)</x:f>
        <x:v>734.0855015354427</x:v>
      </x:c>
    </x:row>
    <x:row r="90" ht="18" customHeight="1">
      <x:c r="A90" s="24" t="str">
        <x:v>EEZ_953</x:v>
      </x:c>
      <x:c r="B90" s="24" t="str">
        <x:v>South Africa (Atlantic and Cape)</x:v>
      </x:c>
      <x:c r="C90" s="24" t="str">
        <x:v>EEZ</x:v>
      </x:c>
      <x:c r="D90" s="30" t="n">
        <x:v>2019</x:v>
      </x:c>
      <x:c r="E90" s="24" t="str">
        <x:v>Istiophorus platypterus</x:v>
      </x:c>
      <x:c r="F90" s="24" t="str">
        <x:v>Indo-Pacific sailfish</x:v>
      </x:c>
      <x:c r="G90" s="24" t="str">
        <x:v>Large pelagics (&gt;=90 cm)</x:v>
      </x:c>
      <x:c r="H90" s="24" t="str">
        <x:v>Tuna &amp; billfishes</x:v>
      </x:c>
      <x:c r="I90" s="31" t="n">
        <x:v>0.2256161963</x:v>
      </x:c>
      <x:c r="J90" s="31" t="n">
        <x:v>0.2256161963</x:v>
      </x:c>
      <x:c r="K90" s="31" t="n">
        <x:v>0</x:v>
      </x:c>
      <x:c r="L90" s="31" t="n">
        <x:v>0.2256161963</x:v>
      </x:c>
      <x:c r="M90" s="31" t="n">
        <x:v>0</x:v>
      </x:c>
      <x:c r="N90" s="24" t="str">
        <x:v>istiophorus platypterus</x:v>
      </x:c>
      <x:c r="O90" s="32" t="n">
        <x:v>4.5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Istiophorus platypterus</x:v>
      </x:c>
      <x:c r="T90" s="32" t="n">
        <x:f>IF(O90="","",(1/'Metadata'!$B$5)^(O90-1))</x:f>
        <x:v>3162.2776601683795</x:v>
      </x:c>
      <x:c r="U90" s="31" t="n">
        <x:f>IF(T90="","",I90*T90)</x:f>
        <x:v>713.4610573316537</x:v>
      </x:c>
    </x:row>
    <x:row r="91" ht="18" customHeight="1">
      <x:c r="A91" s="24" t="str">
        <x:v>EEZ_953</x:v>
      </x:c>
      <x:c r="B91" s="24" t="str">
        <x:v>South Africa (Atlantic and Cape)</x:v>
      </x:c>
      <x:c r="C91" s="24" t="str">
        <x:v>EEZ</x:v>
      </x:c>
      <x:c r="D91" s="30" t="n">
        <x:v>2019</x:v>
      </x:c>
      <x:c r="E91" s="24" t="str">
        <x:v>Tetrapturus angustirostris</x:v>
      </x:c>
      <x:c r="F91" s="24" t="str">
        <x:v>Shortbill spearfish</x:v>
      </x:c>
      <x:c r="G91" s="24" t="str">
        <x:v>Large pelagics (&gt;=90 cm)</x:v>
      </x:c>
      <x:c r="H91" s="24" t="str">
        <x:v>Tuna &amp; billfishes</x:v>
      </x:c>
      <x:c r="I91" s="31" t="n">
        <x:v>0.0525487835</x:v>
      </x:c>
      <x:c r="J91" s="31" t="n">
        <x:v>0.0525487835</x:v>
      </x:c>
      <x:c r="K91" s="31" t="n">
        <x:v>0</x:v>
      </x:c>
      <x:c r="L91" s="31" t="n">
        <x:v>0.0525487835</x:v>
      </x:c>
      <x:c r="M91" s="31" t="n">
        <x:v>0</x:v>
      </x:c>
      <x:c r="N91" s="24" t="str">
        <x:v>tetrapturus angustirostris</x:v>
      </x:c>
      <x:c r="O91" s="32" t="n">
        <x:v>4.5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Tetrapturus angustirostris</x:v>
      </x:c>
      <x:c r="T91" s="32" t="n">
        <x:f>IF(O91="","",(1/'Metadata'!$B$5)^(O91-1))</x:f>
        <x:v>3162.2776601683795</x:v>
      </x:c>
      <x:c r="U91" s="31" t="n">
        <x:f>IF(T91="","",I91*T91)</x:f>
        <x:v>166.17384413107476</x:v>
      </x:c>
    </x:row>
    <x:row r="92" ht="18" customHeight="1">
      <x:c r="A92" s="24" t="str">
        <x:v>EEZ_953</x:v>
      </x:c>
      <x:c r="B92" s="24" t="str">
        <x:v>South Africa (Atlantic and Cape)</x:v>
      </x:c>
      <x:c r="C92" s="24" t="str">
        <x:v>EEZ</x:v>
      </x:c>
      <x:c r="D92" s="30" t="n">
        <x:v>2019</x:v>
      </x:c>
      <x:c r="E92" s="24" t="str">
        <x:v>Sphyrna</x:v>
      </x:c>
      <x:c r="F92" s="24" t="str">
        <x:v>Hammerhead sharks</x:v>
      </x:c>
      <x:c r="G92" s="24" t="str">
        <x:v>Large sharks (&gt;=90 cm)</x:v>
      </x:c>
      <x:c r="H92" s="24" t="str">
        <x:v>Sharks &amp; rays</x:v>
      </x:c>
      <x:c r="I92" s="31" t="n">
        <x:v>0.0103661072</x:v>
      </x:c>
      <x:c r="J92" s="31" t="n">
        <x:v>0.0103661072</x:v>
      </x:c>
      <x:c r="K92" s="31" t="n">
        <x:v>0</x:v>
      </x:c>
      <x:c r="L92" s="31" t="n">
        <x:v>0.0103661072</x:v>
      </x:c>
      <x:c r="M92" s="31" t="n">
        <x:v>0</x:v>
      </x:c>
      <x:c r="N92" s="24" t="str">
        <x:v>sphyrna</x:v>
      </x:c>
      <x:c r="O92" s="32" t="n">
        <x:v>4.2</x:v>
      </x:c>
      <x:c r="P92" s="24" t="str">
        <x:v>exact_sea_around_us</x:v>
      </x:c>
      <x:c r="Q92" s="32" t="str">
        <x:v>Sea Around Us exploited organisms</x:v>
      </x:c>
      <x:c r="R92" s="24" t="str">
        <x:v>high</x:v>
      </x:c>
      <x:c r="S92" s="24" t="str">
        <x:v>Sphyrna</x:v>
      </x:c>
      <x:c r="T92" s="32" t="n">
        <x:f>IF(O92="","",(1/'Metadata'!$B$5)^(O92-1))</x:f>
        <x:v>1584.893192461114</x:v>
      </x:c>
      <x:c r="U92" s="31" t="n">
        <x:f>IF(T92="","",I92*T92)</x:f>
        <x:v>16.42917273360214</x:v>
      </x:c>
    </x:row>
    <x:row r="93" ht="18" customHeight="1">
      <x:c r="A93" s="24" t="str">
        <x:v>EEZ_953</x:v>
      </x:c>
      <x:c r="B93" s="24" t="str">
        <x:v>South Africa (Atlantic and Cape)</x:v>
      </x:c>
      <x:c r="C93" s="24" t="str">
        <x:v>EEZ</x:v>
      </x:c>
      <x:c r="D93" s="30" t="n">
        <x:v>2019</x:v>
      </x:c>
      <x:c r="E93" s="24" t="str">
        <x:v>Kajikia audax</x:v>
      </x:c>
      <x:c r="F93" s="24" t="str">
        <x:v>Striped marlin</x:v>
      </x:c>
      <x:c r="G93" s="24" t="str">
        <x:v>Large pelagics (&gt;=90 cm)</x:v>
      </x:c>
      <x:c r="H93" s="24" t="str">
        <x:v>Tuna &amp; billfishes</x:v>
      </x:c>
      <x:c r="I93" s="31" t="n">
        <x:v>0.0070947812</x:v>
      </x:c>
      <x:c r="J93" s="31" t="n">
        <x:v>0.0070947812</x:v>
      </x:c>
      <x:c r="K93" s="31" t="n">
        <x:v>0</x:v>
      </x:c>
      <x:c r="L93" s="31" t="n">
        <x:v>0.0070947812</x:v>
      </x:c>
      <x:c r="M93" s="31" t="n">
        <x:v>0</x:v>
      </x:c>
      <x:c r="N93" s="24" t="str">
        <x:v>kajikia audax</x:v>
      </x:c>
      <x:c r="O93" s="32" t="n">
        <x:v>4.58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Kajikia audax</x:v>
      </x:c>
      <x:c r="T93" s="32" t="n">
        <x:f>IF(O93="","",(1/'Metadata'!$B$5)^(O93-1))</x:f>
        <x:v>3801.8939632056126</x:v>
      </x:c>
      <x:c r="U93" s="31" t="n">
        <x:f>IF(T93="","",I93*T93)</x:f>
        <x:v>26.973605814544673</x:v>
      </x:c>
    </x:row>
    <x:row r="94" ht="18" customHeight="1">
      <x:c r="A94" s="24" t="str">
        <x:v>EEZ_953</x:v>
      </x:c>
      <x:c r="B94" s="24" t="str">
        <x:v>South Africa (Atlantic and Cape)</x:v>
      </x:c>
      <x:c r="C94" s="24" t="str">
        <x:v>EEZ</x:v>
      </x:c>
      <x:c r="D94" s="30" t="n">
        <x:v>2019</x:v>
      </x:c>
      <x:c r="E94" s="24" t="str">
        <x:v>Tetrapturus pfluegeri</x:v>
      </x:c>
      <x:c r="F94" s="24" t="str">
        <x:v>Longbill spearfish</x:v>
      </x:c>
      <x:c r="G94" s="24" t="str">
        <x:v>Large pelagics (&gt;=90 cm)</x:v>
      </x:c>
      <x:c r="H94" s="24" t="str">
        <x:v>Tuna &amp; billfishes</x:v>
      </x:c>
      <x:c r="I94" s="31" t="n">
        <x:v>0.0033419904</x:v>
      </x:c>
      <x:c r="J94" s="31" t="n">
        <x:v>0.0033419904</x:v>
      </x:c>
      <x:c r="K94" s="31" t="n">
        <x:v>0</x:v>
      </x:c>
      <x:c r="L94" s="31" t="n">
        <x:v>0.0033419904</x:v>
      </x:c>
      <x:c r="M94" s="31" t="n">
        <x:v>0</x:v>
      </x:c>
      <x:c r="N94" s="24" t="str">
        <x:v>tetrapturus pfluegeri</x:v>
      </x:c>
      <x:c r="O94" s="32" t="n">
        <x:v>4.4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Tetrapturus pfluegeri</x:v>
      </x:c>
      <x:c r="T94" s="32" t="n">
        <x:f>IF(O94="","",(1/'Metadata'!$B$5)^(O94-1))</x:f>
        <x:v>2511.886431509582</x:v>
      </x:c>
      <x:c r="U94" s="31" t="n">
        <x:f>IF(T94="","",I94*T94)</x:f>
        <x:v>8.39470033999528</x:v>
      </x:c>
    </x:row>
    <x:row r="95" ht="18" customHeight="1">
      <x:c r="A95" s="24" t="str">
        <x:v>EEZ_953</x:v>
      </x:c>
      <x:c r="B95" s="24" t="str">
        <x:v>South Africa (Atlantic and Cape)</x:v>
      </x:c>
      <x:c r="C95" s="24" t="str">
        <x:v>EEZ</x:v>
      </x:c>
      <x:c r="D95" s="30" t="n">
        <x:v>2019</x:v>
      </x:c>
      <x:c r="E95" s="24" t="str">
        <x:v>Istiophorus albicans</x:v>
      </x:c>
      <x:c r="F95" s="24" t="str">
        <x:v>Atlantic sailfish</x:v>
      </x:c>
      <x:c r="G95" s="24" t="str">
        <x:v>Large pelagics (&gt;=90 cm)</x:v>
      </x:c>
      <x:c r="H95" s="24" t="str">
        <x:v>Tuna &amp; billfishes</x:v>
      </x:c>
      <x:c r="I95" s="31" t="n">
        <x:v>0.0017117721</x:v>
      </x:c>
      <x:c r="J95" s="31" t="n">
        <x:v>0.0017117721</x:v>
      </x:c>
      <x:c r="K95" s="31" t="n">
        <x:v>0</x:v>
      </x:c>
      <x:c r="L95" s="31" t="n">
        <x:v>0.0017117721</x:v>
      </x:c>
      <x:c r="M95" s="31" t="n">
        <x:v>0</x:v>
      </x:c>
      <x:c r="N95" s="24" t="str">
        <x:v>istiophorus albicans</x:v>
      </x:c>
      <x:c r="O95" s="32" t="n">
        <x:v>4.5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Istiophorus albicans</x:v>
      </x:c>
      <x:c r="T95" s="32" t="n">
        <x:f>IF(O95="","",(1/'Metadata'!$B$5)^(O95-1))</x:f>
        <x:v>3162.2776601683795</x:v>
      </x:c>
      <x:c r="U95" s="31" t="n">
        <x:f>IF(T95="","",I95*T95)</x:f>
        <x:v>5.413098671129513</x:v>
      </x:c>
    </x:row>
    <x:row r="96" ht="18" customHeight="1">
      <x:c r="A96" s="24" t="str">
        <x:v>EEZ_953</x:v>
      </x:c>
      <x:c r="B96" s="24" t="str">
        <x:v>South Africa (Atlantic and Cape)</x:v>
      </x:c>
      <x:c r="C96" s="24" t="str">
        <x:v>EEZ</x:v>
      </x:c>
      <x:c r="D96" s="30" t="n">
        <x:v>2019</x:v>
      </x:c>
      <x:c r="E96" s="24" t="str">
        <x:v>Istiophoridae</x:v>
      </x:c>
      <x:c r="F96" s="24" t="str">
        <x:v>Billfishes</x:v>
      </x:c>
      <x:c r="G96" s="24" t="str">
        <x:v>Large pelagics (&gt;=90 cm)</x:v>
      </x:c>
      <x:c r="H96" s="24" t="str">
        <x:v>Tuna &amp; billfishes</x:v>
      </x:c>
      <x:c r="I96" s="31" t="n">
        <x:v>0.000612125</x:v>
      </x:c>
      <x:c r="J96" s="31" t="n">
        <x:v>0.000612125</x:v>
      </x:c>
      <x:c r="K96" s="31" t="n">
        <x:v>0</x:v>
      </x:c>
      <x:c r="L96" s="31" t="n">
        <x:v>0.000612125</x:v>
      </x:c>
      <x:c r="M96" s="31" t="n">
        <x:v>0</x:v>
      </x:c>
      <x:c r="N96" s="24" t="str">
        <x:v>istiophoridae</x:v>
      </x:c>
      <x:c r="O96" s="32" t="n">
        <x:v>4.48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Istiophoridae</x:v>
      </x:c>
      <x:c r="T96" s="32" t="n">
        <x:f>IF(O96="","",(1/'Metadata'!$B$5)^(O96-1))</x:f>
        <x:v>3019.951720402019</x:v>
      </x:c>
      <x:c r="U96" s="31" t="n">
        <x:f>IF(T96="","",I96*T96)</x:f>
        <x:v>1.848587946851086</x:v>
      </x:c>
    </x:row>
    <x:row r="97" ht="18" customHeight="1">
      <x:c r="A97" s="24" t="str">
        <x:v>EEZ_953</x:v>
      </x:c>
      <x:c r="B97" s="24" t="str">
        <x:v>South Africa (Atlantic and Cape)</x:v>
      </x:c>
      <x:c r="C97" s="24" t="str">
        <x:v>EEZ</x:v>
      </x:c>
      <x:c r="D97" s="30" t="n">
        <x:v>2019</x:v>
      </x:c>
      <x:c r="E97" s="24" t="str">
        <x:v>Kajikia albida</x:v>
      </x:c>
      <x:c r="F97" s="24" t="str">
        <x:v>Atlantic white marlin</x:v>
      </x:c>
      <x:c r="G97" s="24" t="str">
        <x:v>Large pelagics (&gt;=90 cm)</x:v>
      </x:c>
      <x:c r="H97" s="24" t="str">
        <x:v>Tuna &amp; billfishes</x:v>
      </x:c>
      <x:c r="I97" s="31" t="n">
        <x:v>0.0005403528</x:v>
      </x:c>
      <x:c r="J97" s="31" t="n">
        <x:v>0.0005403528</x:v>
      </x:c>
      <x:c r="K97" s="31" t="n">
        <x:v>0</x:v>
      </x:c>
      <x:c r="L97" s="31" t="n">
        <x:v>0.0005403528</x:v>
      </x:c>
      <x:c r="M97" s="31" t="n">
        <x:v>0</x:v>
      </x:c>
      <x:c r="N97" s="24" t="str">
        <x:v>kajikia albida</x:v>
      </x:c>
      <x:c r="O97" s="32" t="n">
        <x:v>4.49</x:v>
      </x:c>
      <x:c r="P97" s="24" t="str">
        <x:v>exact_2020_supplement</x:v>
      </x:c>
      <x:c r="Q97" s="32" t="str">
        <x:v>2020 supplement MeanTL</x:v>
      </x:c>
      <x:c r="R97" s="24" t="str">
        <x:v>high</x:v>
      </x:c>
      <x:c r="S97" s="24" t="str">
        <x:v>Kajikia albida</x:v>
      </x:c>
      <x:c r="T97" s="32" t="n">
        <x:f>IF(O97="","",(1/'Metadata'!$B$5)^(O97-1))</x:f>
        <x:v>3090.295432513592</x:v>
      </x:c>
      <x:c r="U97" s="31" t="n">
        <x:f>IF(T97="","",I97*T97)</x:f>
        <x:v>1.6698497897859303</x:v>
      </x:c>
    </x:row>
    <x:row r="98" ht="18" customHeight="1">
      <x:c r="A98" s="24" t="str">
        <x:v>EEZ_953</x:v>
      </x:c>
      <x:c r="B98" s="24" t="str">
        <x:v>South Africa (Atlantic and Cape)</x:v>
      </x:c>
      <x:c r="C98" s="24" t="str">
        <x:v>EEZ</x:v>
      </x:c>
      <x:c r="D98" s="30" t="n">
        <x:v>2019</x:v>
      </x:c>
      <x:c r="E98" s="24" t="str">
        <x:v>Lamna nasus</x:v>
      </x:c>
      <x:c r="F98" s="24" t="str">
        <x:v>Porbeagle</x:v>
      </x:c>
      <x:c r="G98" s="24" t="str">
        <x:v>Large sharks (&gt;=90 cm)</x:v>
      </x:c>
      <x:c r="H98" s="24" t="str">
        <x:v>Sharks &amp; rays</x:v>
      </x:c>
      <x:c r="I98" s="31" t="n">
        <x:v>0.0003179078</x:v>
      </x:c>
      <x:c r="J98" s="31" t="n">
        <x:v>0.0003179078</x:v>
      </x:c>
      <x:c r="K98" s="31" t="n">
        <x:v>0</x:v>
      </x:c>
      <x:c r="L98" s="31" t="n">
        <x:v>0.0003179078</x:v>
      </x:c>
      <x:c r="M98" s="31" t="n">
        <x:v>0</x:v>
      </x:c>
      <x:c r="N98" s="24" t="str">
        <x:v>lamna nasus</x:v>
      </x:c>
      <x:c r="O98" s="32" t="n">
        <x:v>4.57</x:v>
      </x:c>
      <x:c r="P98" s="24" t="str">
        <x:v>exact_2020_supplement</x:v>
      </x:c>
      <x:c r="Q98" s="32" t="str">
        <x:v>2020 supplement MeanTL</x:v>
      </x:c>
      <x:c r="R98" s="24" t="str">
        <x:v>high</x:v>
      </x:c>
      <x:c r="S98" s="24" t="str">
        <x:v>Lamna nasus</x:v>
      </x:c>
      <x:c r="T98" s="32" t="n">
        <x:f>IF(O98="","",(1/'Metadata'!$B$5)^(O98-1))</x:f>
        <x:v>3715.3522909717276</x:v>
      </x:c>
      <x:c r="U98" s="31" t="n">
        <x:f>IF(T98="","",I98*T98)</x:f>
        <x:v>1.1811394730477818</x:v>
      </x:c>
    </x:row>
    <x:row r="99" ht="18" customHeight="1">
      <x:c r="A99" s="24" t="str">
        <x:v>EEZ_953</x:v>
      </x:c>
      <x:c r="B99" s="24" t="str">
        <x:v>South Africa (Atlantic and Cape)</x:v>
      </x:c>
      <x:c r="C99" s="24" t="str">
        <x:v>EEZ</x:v>
      </x:c>
      <x:c r="D99" s="30" t="n">
        <x:v>2019</x:v>
      </x:c>
      <x:c r="E99" s="24" t="str">
        <x:v>Scomberomorus commerson</x:v>
      </x:c>
      <x:c r="F99" s="24" t="str">
        <x:v>Narrow-barred Spanish mackerel</x:v>
      </x:c>
      <x:c r="G99" s="24" t="str">
        <x:v>Large pelagics (&gt;=90 cm)</x:v>
      </x:c>
      <x:c r="H99" s="24" t="str">
        <x:v>Perch-likes</x:v>
      </x:c>
      <x:c r="I99" s="31" t="n">
        <x:v>0.0000010995</x:v>
      </x:c>
      <x:c r="J99" s="31" t="n">
        <x:v>0.0000010995</x:v>
      </x:c>
      <x:c r="K99" s="31" t="n">
        <x:v>0</x:v>
      </x:c>
      <x:c r="L99" s="31" t="n">
        <x:v>0.0000010995</x:v>
      </x:c>
      <x:c r="M99" s="31" t="n">
        <x:v>0</x:v>
      </x:c>
      <x:c r="N99" s="24" t="str">
        <x:v>scomberomorus commerson</x:v>
      </x:c>
      <x:c r="O99" s="32" t="n">
        <x:v>4.5</x:v>
      </x:c>
      <x:c r="P99" s="24" t="str">
        <x:v>exact_2020_supplement</x:v>
      </x:c>
      <x:c r="Q99" s="32" t="str">
        <x:v>2020 supplement MeanTL</x:v>
      </x:c>
      <x:c r="R99" s="24" t="str">
        <x:v>high</x:v>
      </x:c>
      <x:c r="S99" s="24" t="str">
        <x:v>Scomberomorus commerson</x:v>
      </x:c>
      <x:c r="T99" s="32" t="n">
        <x:f>IF(O99="","",(1/'Metadata'!$B$5)^(O99-1))</x:f>
        <x:v>3162.2776601683795</x:v>
      </x:c>
      <x:c r="U99" s="31" t="n">
        <x:f>IF(T99="","",I99*T99)</x:f>
        <x:v>0.0034769242873551333</x:v>
      </x:c>
    </x:row>
    <x:row r="100" ht="18" customHeight="1">
      <x:c r="A100" s="24" t="str">
        <x:v>EEZ_953</x:v>
      </x:c>
      <x:c r="B100" s="24" t="str">
        <x:v>South Africa (Atlantic and Cape)</x:v>
      </x:c>
      <x:c r="C100" s="24" t="str">
        <x:v>EEZ</x:v>
      </x:c>
      <x:c r="D100" s="30" t="n">
        <x:v>2019</x:v>
      </x:c>
      <x:c r="E100" s="24" t="str">
        <x:v>Auxis rochei</x:v>
      </x:c>
      <x:c r="F100" s="24" t="str">
        <x:v>Bullet tuna</x:v>
      </x:c>
      <x:c r="G100" s="24" t="str">
        <x:v>Medium pelagics (30 - 89 cm)</x:v>
      </x:c>
      <x:c r="H100" s="24" t="str">
        <x:v>Tuna &amp; billfishes</x:v>
      </x:c>
      <x:c r="I100" s="31" t="n">
        <x:v>3.383e-7</x:v>
      </x:c>
      <x:c r="J100" s="31" t="n">
        <x:v>3.383e-7</x:v>
      </x:c>
      <x:c r="K100" s="31" t="n">
        <x:v>0</x:v>
      </x:c>
      <x:c r="L100" s="31" t="n">
        <x:v>3.383e-7</x:v>
      </x:c>
      <x:c r="M100" s="31" t="n">
        <x:v>0</x:v>
      </x:c>
      <x:c r="N100" s="24" t="str">
        <x:v>auxis rochei</x:v>
      </x:c>
      <x:c r="O100" s="32" t="n">
        <x:v>4.13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Auxis rochei</x:v>
      </x:c>
      <x:c r="T100" s="32" t="n">
        <x:f>IF(O100="","",(1/'Metadata'!$B$5)^(O100-1))</x:f>
        <x:v>1348.9628825916532</x:v>
      </x:c>
      <x:c r="U100" s="31" t="n">
        <x:f>IF(T100="","",I100*T100)</x:f>
        <x:v>0.0004563541431807563</x:v>
      </x:c>
    </x:row>
    <x:row r="101" ht="18" customHeight="1">
      <x:c r="A101" s="24" t="str">
        <x:v>EEZ_953</x:v>
      </x:c>
      <x:c r="B101" s="24" t="str">
        <x:v>South Africa (Atlantic and Cape)</x:v>
      </x:c>
      <x:c r="C101" s="24" t="str">
        <x:v>EEZ</x:v>
      </x:c>
      <x:c r="D101" s="30" t="n">
        <x:v>2019</x:v>
      </x:c>
      <x:c r="E101" s="24" t="str">
        <x:v>Auxis thazard</x:v>
      </x:c>
      <x:c r="F101" s="24" t="str">
        <x:v>Frigate tuna</x:v>
      </x:c>
      <x:c r="G101" s="24" t="str">
        <x:v>Medium pelagics (30 - 89 cm)</x:v>
      </x:c>
      <x:c r="H101" s="24" t="str">
        <x:v>Tuna &amp; billfishes</x:v>
      </x:c>
      <x:c r="I101" s="31" t="n">
        <x:v>2.657e-7</x:v>
      </x:c>
      <x:c r="J101" s="31" t="n">
        <x:v>2.657e-7</x:v>
      </x:c>
      <x:c r="K101" s="31" t="n">
        <x:v>0</x:v>
      </x:c>
      <x:c r="L101" s="31" t="n">
        <x:v>2.657e-7</x:v>
      </x:c>
      <x:c r="M101" s="31" t="n">
        <x:v>0</x:v>
      </x:c>
      <x:c r="N101" s="24" t="str">
        <x:v>auxis thazard</x:v>
      </x:c>
      <x:c r="O101" s="32" t="n">
        <x:v>4.37</x:v>
      </x:c>
      <x:c r="P101" s="24" t="str">
        <x:v>exact_2020_supplement</x:v>
      </x:c>
      <x:c r="Q101" s="32" t="str">
        <x:v>2020 supplement MeanTL</x:v>
      </x:c>
      <x:c r="R101" s="24" t="str">
        <x:v>high</x:v>
      </x:c>
      <x:c r="S101" s="24" t="str">
        <x:v>Auxis thazard</x:v>
      </x:c>
      <x:c r="T101" s="32" t="n">
        <x:f>IF(O101="","",(1/'Metadata'!$B$5)^(O101-1))</x:f>
        <x:v>2344.228815319923</x:v>
      </x:c>
      <x:c r="U101" s="31" t="n">
        <x:f>IF(T101="","",I101*T101)</x:f>
        <x:v>0.0006228615962305035</x:v>
      </x:c>
    </x:row>
  </x:sheetData>
  <x:conditionalFormatting sqref="R2:R101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1ff471829b7e4fcc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329343.663495</x:v>
      </x:c>
      <x:c r="C2" s="32" t="n">
        <x:v>3</x:v>
      </x:c>
      <x:c r="D2" s="32" t="n">
        <x:f>IF(C2="","",(1/'Metadata'!$B$5)^(C2-1))</x:f>
        <x:v>100</x:v>
      </x:c>
      <x:c r="E2" s="31" t="n">
        <x:f>IF(B2=0,"",B2*D2)</x:f>
        <x:v>32934366.3495</x:v>
      </x:c>
    </x:row>
    <x:row r="3" ht="18" customHeight="1">
      <x:c r="A3" s="24" t="str">
        <x:v>Cod-likes</x:v>
      </x:c>
      <x:c r="B3" s="31" t="n">
        <x:v>146830.607454574</x:v>
      </x:c>
      <x:c r="C3" s="32" t="n">
        <x:v>4.287013748275</x:v>
      </x:c>
      <x:c r="D3" s="32" t="n">
        <x:f>IF(C3="","",(1/'Metadata'!$B$5)^(C3-1))</x:f>
        <x:v>1936.4832654002946</x:v>
      </x:c>
      <x:c r="E3" s="31" t="n">
        <x:f>IF(B3=0,"",B3*D3)</x:f>
        <x:v>284335014.1843423</x:v>
      </x:c>
    </x:row>
    <x:row r="4" ht="18" customHeight="1">
      <x:c r="A4" s="24" t="str">
        <x:v>Crustaceans</x:v>
      </x:c>
      <x:c r="B4" s="31" t="n">
        <x:v>1898.4695828672002</x:v>
      </x:c>
      <x:c r="C4" s="32" t="n">
        <x:v>2.6159383820294</x:v>
      </x:c>
      <x:c r="D4" s="32" t="n">
        <x:f>IF(C4="","",(1/'Metadata'!$B$5)^(C4-1))</x:f>
        <x:v>41.298890271140586</x:v>
      </x:c>
      <x:c r="E4" s="31" t="n">
        <x:f>IF(B4=0,"",B4*D4)</x:f>
        <x:v>78404.68698593054</x:v>
      </x:c>
    </x:row>
    <x:row r="5" ht="18" customHeight="1">
      <x:c r="A5" s="24" t="str">
        <x:v>Flatfishes</x:v>
      </x:c>
      <x:c r="B5" s="31" t="n">
        <x:v>190.13000000000002</x:v>
      </x:c>
      <x:c r="C5" s="32" t="n">
        <x:v>4.03</x:v>
      </x:c>
      <x:c r="D5" s="32" t="n">
        <x:f>IF(C5="","",(1/'Metadata'!$B$5)^(C5-1))</x:f>
        <x:v>1071.519305237607</x:v>
      </x:c>
      <x:c r="E5" s="31" t="n">
        <x:f>IF(B5=0,"",B5*D5)</x:f>
        <x:v>203727.96550482628</x:v>
      </x:c>
    </x:row>
    <x:row r="6" ht="18" customHeight="1">
      <x:c r="A6" s="24" t="str">
        <x:v>Herring-likes</x:v>
      </x:c>
      <x:c r="B6" s="31" t="n">
        <x:v>52658.72</x:v>
      </x:c>
      <x:c r="C6" s="32" t="n">
        <x:v>3.3444897407305003</x:v>
      </x:c>
      <x:c r="D6" s="32" t="n">
        <x:f>IF(C6="","",(1/'Metadata'!$B$5)^(C6-1))</x:f>
        <x:v>221.04960374861705</x:v>
      </x:c>
      <x:c r="E6" s="31" t="n">
        <x:f>IF(B6=0,"",B6*D6)</x:f>
        <x:v>11640189.189909376</x:v>
      </x:c>
    </x:row>
    <x:row r="7" ht="18" customHeight="1">
      <x:c r="A7" s="24" t="str">
        <x:v>Molluscs</x:v>
      </x:c>
      <x:c r="B7" s="31" t="n">
        <x:v>1506.855868496</x:v>
      </x:c>
      <x:c r="C7" s="32" t="n">
        <x:v>2.0183809829168524</x:v>
      </x:c>
      <x:c r="D7" s="32" t="n">
        <x:f>IF(C7="","",(1/'Metadata'!$B$5)^(C7-1))</x:f>
        <x:v>10.432321989365464</x:v>
      </x:c>
      <x:c r="E7" s="31" t="n">
        <x:f>IF(B7=0,"",B7*D7)</x:f>
        <x:v>15720.005611715216</x:v>
      </x:c>
    </x:row>
    <x:row r="8" ht="18" customHeight="1">
      <x:c r="A8" s="24" t="str">
        <x:v>Other fishes &amp; inverts</x:v>
      </x:c>
      <x:c r="B8" s="31" t="n">
        <x:v>44616.50112421</x:v>
      </x:c>
      <x:c r="C8" s="32" t="n">
        <x:v>3.788366109083912</x:v>
      </x:c>
      <x:c r="D8" s="32" t="n">
        <x:f>IF(C8="","",(1/'Metadata'!$B$5)^(C8-1))</x:f>
        <x:v>614.2796230342525</x:v>
      </x:c>
      <x:c r="E8" s="31" t="n">
        <x:f>IF(B8=0,"",B8*D8)</x:f>
        <x:v>27407007.491687022</x:v>
      </x:c>
    </x:row>
    <x:row r="9" ht="18" customHeight="1">
      <x:c r="A9" s="24" t="str">
        <x:v>Perch-likes</x:v>
      </x:c>
      <x:c r="B9" s="31" t="n">
        <x:v>43650.707039625406</x:v>
      </x:c>
      <x:c r="C9" s="32" t="n">
        <x:v>3.560238078989383</x:v>
      </x:c>
      <x:c r="D9" s="32" t="n">
        <x:f>IF(C9="","",(1/'Metadata'!$B$5)^(C9-1))</x:f>
        <x:v>363.2771476844816</x:v>
      </x:c>
      <x:c r="E9" s="31" t="n">
        <x:f>IF(B9=0,"",B9*D9)</x:f>
        <x:v>15857304.347766038</x:v>
      </x:c>
    </x:row>
    <x:row r="10" ht="18" customHeight="1">
      <x:c r="A10" s="24" t="str">
        <x:v>Scorpionfishes</x:v>
      </x:c>
      <x:c r="B10" s="31" t="n">
        <x:v>7395.7483718106</x:v>
      </x:c>
      <x:c r="C10" s="32" t="n">
        <x:v>3.7484994608154554</x:v>
      </x:c>
      <x:c r="D10" s="32" t="n">
        <x:f>IF(C10="","",(1/'Metadata'!$B$5)^(C10-1))</x:f>
        <x:v>560.4017216147629</x:v>
      </x:c>
      <x:c r="E10" s="31" t="n">
        <x:f>IF(B10=0,"",B10*D10)</x:f>
        <x:v>4144590.1201922395</x:v>
      </x:c>
    </x:row>
    <x:row r="11" ht="18" customHeight="1">
      <x:c r="A11" s="24" t="str">
        <x:v>Sharks &amp; rays</x:v>
      </x:c>
      <x:c r="B11" s="31" t="n">
        <x:v>9905.680781111801</x:v>
      </x:c>
      <x:c r="C11" s="32" t="n">
        <x:v>4.031289497754129</x:v>
      </x:c>
      <x:c r="D11" s="32" t="n">
        <x:f>IF(C11="","",(1/'Metadata'!$B$5)^(C11-1))</x:f>
        <x:v>1074.7055650592179</x:v>
      </x:c>
      <x:c r="E11" s="31" t="n">
        <x:f>IF(B11=0,"",B11*D11)</x:f>
        <x:v>10645690.261160994</x:v>
      </x:c>
    </x:row>
    <x:row r="12" ht="18" customHeight="1">
      <x:c r="A12" s="24" t="str">
        <x:v>Tuna &amp; billfishes</x:v>
      </x:c>
      <x:c r="B12" s="31" t="n">
        <x:v>11175.542165986799</x:v>
      </x:c>
      <x:c r="C12" s="32" t="n">
        <x:v>4.337321525054145</x:v>
      </x:c>
      <x:c r="D12" s="32" t="n">
        <x:f>IF(C12="","",(1/'Metadata'!$B$5)^(C12-1))</x:f>
        <x:v>2174.3103094174826</x:v>
      </x:c>
      <x:c r="E12" s="31" t="n">
        <x:f>IF(B12=0,"",B12*D12)</x:f>
        <x:v>24299096.544834882</x:v>
      </x:c>
    </x:row>
  </x:sheetData>
  <x:pageMargins left="0.7" right="0.7" top="0.75" bottom="0.75" header="0.3" footer="0.3"/>
  <x:tableParts count="1">
    <x:tablePart xmlns:r="http://schemas.openxmlformats.org/officeDocument/2006/relationships" r:id="R4cd5b5ad349841c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8171.723878149601</x:v>
      </x:c>
      <x:c r="C2" s="32" t="n">
        <x:v>3.9866125387397213</x:v>
      </x:c>
      <x:c r="D2" s="32" t="n">
        <x:f>IF(C2="","",(1/'Metadata'!$B$5)^(C2-1))</x:f>
        <x:v>969.6445007512474</x:v>
      </x:c>
      <x:c r="E2" s="31" t="n">
        <x:f>IF(B2=0,"",B2*D2)</x:f>
        <x:v>7923667.1201054165</x:v>
      </x:c>
    </x:row>
    <x:row r="3" ht="18" customHeight="1">
      <x:c r="A3" s="24" t="str">
        <x:v>Large bathydemersals (&gt;=90 cm)</x:v>
      </x:c>
      <x:c r="B3" s="31" t="n">
        <x:v>19523.417454574</x:v>
      </x:c>
      <x:c r="C3" s="32" t="n">
        <x:v>4.339984130466746</x:v>
      </x:c>
      <x:c r="D3" s="32" t="n">
        <x:f>IF(C3="","",(1/'Metadata'!$B$5)^(C3-1))</x:f>
        <x:v>2187.6816825204783</x:v>
      </x:c>
      <x:c r="E3" s="31" t="n">
        <x:f>IF(B3=0,"",B3*D3)</x:f>
        <x:v>42711022.74557212</x:v>
      </x:c>
    </x:row>
    <x:row r="4" ht="18" customHeight="1">
      <x:c r="A4" s="24" t="str">
        <x:v>Large benthopelagics (&gt;=90 cm)</x:v>
      </x:c>
      <x:c r="B4" s="31" t="n">
        <x:v>8631.5693027184</x:v>
      </x:c>
      <x:c r="C4" s="32" t="n">
        <x:v>3.683677767420778</x:v>
      </x:c>
      <x:c r="D4" s="32" t="n">
        <x:f>IF(C4="","",(1/'Metadata'!$B$5)^(C4-1))</x:f>
        <x:v>482.7005208317359</x:v>
      </x:c>
      <x:c r="E4" s="31" t="n">
        <x:f>IF(B4=0,"",B4*D4)</x:f>
        <x:v>4166462.9980173954</x:v>
      </x:c>
    </x:row>
    <x:row r="5" ht="18" customHeight="1">
      <x:c r="A5" s="24" t="str">
        <x:v>Large demersals (&gt;=90 cm)</x:v>
      </x:c>
      <x:c r="B5" s="31" t="n">
        <x:v>5.04</x:v>
      </x:c>
      <x:c r="C5" s="32" t="n">
        <x:v>3.5599999999999996</x:v>
      </x:c>
      <x:c r="D5" s="32" t="n">
        <x:f>IF(C5="","",(1/'Metadata'!$B$5)^(C5-1))</x:f>
        <x:v>363.078054770101</x:v>
      </x:c>
      <x:c r="E5" s="31" t="n">
        <x:f>IF(B5=0,"",B5*D5)</x:f>
        <x:v>1829.9133960413092</x:v>
      </x:c>
    </x:row>
    <x:row r="6" ht="18" customHeight="1">
      <x:c r="A6" s="24" t="str">
        <x:v>Large pelagics (&gt;=90 cm)</x:v>
      </x:c>
      <x:c r="B6" s="31" t="n">
        <x:v>11726.762806634099</x:v>
      </x:c>
      <x:c r="C6" s="32" t="n">
        <x:v>4.346329049759447</x:v>
      </x:c>
      <x:c r="D6" s="32" t="n">
        <x:f>IF(C6="","",(1/'Metadata'!$B$5)^(C6-1))</x:f>
        <x:v>2219.877706593731</x:v>
      </x:c>
      <x:c r="E6" s="31" t="n">
        <x:f>IF(B6=0,"",B6*D6)</x:f>
        <x:v>26031979.32495957</x:v>
      </x:c>
    </x:row>
    <x:row r="7" ht="18" customHeight="1">
      <x:c r="A7" s="24" t="str">
        <x:v>Large sharks (&gt;=90 cm)</x:v>
      </x:c>
      <x:c r="B7" s="31" t="n">
        <x:v>6065.013846708901</x:v>
      </x:c>
      <x:c r="C7" s="32" t="n">
        <x:v>4.2345775560102</x:v>
      </x:c>
      <x:c r="D7" s="32" t="n">
        <x:f>IF(C7="","",(1/'Metadata'!$B$5)^(C7-1))</x:f>
        <x:v>1716.2381673895231</x:v>
      </x:c>
      <x:c r="E7" s="31" t="n">
        <x:f>IF(B7=0,"",B7*D7)</x:f>
        <x:v>10409008.249467766</x:v>
      </x:c>
    </x:row>
    <x:row r="8" ht="18" customHeight="1">
      <x:c r="A8" s="24" t="str">
        <x:v>Lobsters, crabs</x:v>
      </x:c>
      <x:c r="B8" s="31" t="n">
        <x:v>1873.7038707932002</x:v>
      </x:c>
      <x:c r="C8" s="32" t="n">
        <x:v>2.6076898372150312</x:v>
      </x:c>
      <x:c r="D8" s="32" t="n">
        <x:f>IF(C8="","",(1/'Metadata'!$B$5)^(C8-1))</x:f>
        <x:v>40.52190342911374</x:v>
      </x:c>
      <x:c r="E8" s="31" t="n">
        <x:f>IF(B8=0,"",B8*D8)</x:f>
        <x:v>75926.04730703867</x:v>
      </x:c>
    </x:row>
    <x:row r="9" ht="18" customHeight="1">
      <x:c r="A9" s="24" t="str">
        <x:v>Medium bathydemersals (30 - 89 cm)</x:v>
      </x:c>
      <x:c r="B9" s="31" t="n">
        <x:v>137720.4968371792</x:v>
      </x:c>
      <x:c r="C9" s="32" t="n">
        <x:v>4.268285711268527</x:v>
      </x:c>
      <x:c r="D9" s="32" t="n">
        <x:f>IF(C9="","",(1/'Metadata'!$B$5)^(C9-1))</x:f>
        <x:v>1854.7514158104455</x:v>
      </x:c>
      <x:c r="E9" s="31" t="n">
        <x:f>IF(B9=0,"",B9*D9)</x:f>
        <x:v>255437286.49487612</x:v>
      </x:c>
    </x:row>
    <x:row r="10" ht="18" customHeight="1">
      <x:c r="A10" s="24" t="str">
        <x:v>Medium bathypelagics (30 - 89 cm)</x:v>
      </x:c>
      <x:c r="B10" s="31" t="n">
        <x:v>1866.28</x:v>
      </x:c>
      <x:c r="C10" s="32" t="n">
        <x:v>4.066569646569646</x:v>
      </x:c>
      <x:c r="D10" s="32" t="n">
        <x:f>IF(C10="","",(1/'Metadata'!$B$5)^(C10-1))</x:f>
        <x:v>1165.653968457431</x:v>
      </x:c>
      <x:c r="E10" s="31" t="n">
        <x:f>IF(B10=0,"",B10*D10)</x:f>
        <x:v>2175436.688252734</x:v>
      </x:c>
    </x:row>
    <x:row r="11" ht="18" customHeight="1">
      <x:c r="A11" s="24" t="str">
        <x:v>Medium benthopelagics (30 - 89 cm)</x:v>
      </x:c>
      <x:c r="B11" s="31" t="n">
        <x:v>3863.301670313</x:v>
      </x:c>
      <x:c r="C11" s="32" t="n">
        <x:v>3.357804568824785</x:v>
      </x:c>
      <x:c r="D11" s="32" t="n">
        <x:f>IF(C11="","",(1/'Metadata'!$B$5)^(C11-1))</x:f>
        <x:v>227.9316155959386</x:v>
      </x:c>
      <x:c r="E11" s="31" t="n">
        <x:f>IF(B11=0,"",B11*D11)</x:f>
        <x:v>880568.5912489303</x:v>
      </x:c>
    </x:row>
    <x:row r="12" ht="18" customHeight="1">
      <x:c r="A12" s="24" t="str">
        <x:v>Medium demersals (30 - 89 cm)</x:v>
      </x:c>
      <x:c r="B12" s="31" t="n">
        <x:v>34712.2258825113</x:v>
      </x:c>
      <x:c r="C12" s="32" t="n">
        <x:v>3.6832642966790563</x:v>
      </x:c>
      <x:c r="D12" s="32" t="n">
        <x:f>IF(C12="","",(1/'Metadata'!$B$5)^(C12-1))</x:f>
        <x:v>482.2411837358313</x:v>
      </x:c>
      <x:c r="E12" s="31" t="n">
        <x:f>IF(B12=0,"",B12*D12)</x:f>
        <x:v>16739664.899687812</x:v>
      </x:c>
    </x:row>
    <x:row r="13" ht="18" customHeight="1">
      <x:c r="A13" s="24" t="str">
        <x:v>Medium pelagics (30 - 89 cm)</x:v>
      </x:c>
      <x:c r="B13" s="31" t="n">
        <x:v>28114.784101299603</x:v>
      </x:c>
      <x:c r="C13" s="32" t="n">
        <x:v>3.358305640332869</x:v>
      </x:c>
      <x:c r="D13" s="32" t="n">
        <x:f>IF(C13="","",(1/'Metadata'!$B$5)^(C13-1))</x:f>
        <x:v>228.19474569302517</x:v>
      </x:c>
      <x:c r="E13" s="31" t="n">
        <x:f>IF(B13=0,"",B13*D13)</x:f>
        <x:v>6415646.00821037</x:v>
      </x:c>
    </x:row>
    <x:row r="14" ht="18" customHeight="1">
      <x:c r="A14" s="24" t="str">
        <x:v>Medium reef assoc. fish (30 - 89 cm)</x:v>
      </x:c>
      <x:c r="B14" s="31" t="n">
        <x:v>1212.3189415851</x:v>
      </x:c>
      <x:c r="C14" s="32" t="n">
        <x:v>2.9432632115271025</x:v>
      </x:c>
      <x:c r="D14" s="32" t="n">
        <x:f>IF(C14="","",(1/'Metadata'!$B$5)^(C14-1))</x:f>
        <x:v>87.75325034477225</x:v>
      </x:c>
      <x:c r="E14" s="31" t="n">
        <x:f>IF(B14=0,"",B14*D14)</x:f>
        <x:v>106384.92757862661</x:v>
      </x:c>
    </x:row>
    <x:row r="15" ht="18" customHeight="1">
      <x:c r="A15" s="24" t="str">
        <x:v>Other demersal invertebrates</x:v>
      </x:c>
      <x:c r="B15" s="31" t="n">
        <x:v>1506.855868496</x:v>
      </x:c>
      <x:c r="C15" s="32" t="n">
        <x:v>2.0183809829168524</x:v>
      </x:c>
      <x:c r="D15" s="32" t="n">
        <x:f>IF(C15="","",(1/'Metadata'!$B$5)^(C15-1))</x:f>
        <x:v>10.432321989365464</x:v>
      </x:c>
      <x:c r="E15" s="31" t="n">
        <x:f>IF(B15=0,"",B15*D15)</x:f>
        <x:v>15720.005611715216</x:v>
      </x:c>
    </x:row>
    <x:row r="16" ht="18" customHeight="1">
      <x:c r="A16" s="24" t="str">
        <x:v>Shrimps</x:v>
      </x:c>
      <x:c r="B16" s="31" t="n">
        <x:v>24.765712074</x:v>
      </x:c>
      <x:c r="C16" s="32" t="n">
        <x:v>3.2400000000000007</x:v>
      </x:c>
      <x:c r="D16" s="32" t="n">
        <x:f>IF(C16="","",(1/'Metadata'!$B$5)^(C16-1))</x:f>
        <x:v>173.78008287493782</x:v>
      </x:c>
      <x:c r="E16" s="31" t="n">
        <x:f>IF(B16=0,"",B16*D16)</x:f>
        <x:v>4303.7874966765685</x:v>
      </x:c>
    </x:row>
    <x:row r="17" ht="18" customHeight="1">
      <x:c r="A17" s="24" t="str">
        <x:v>Small pelagics (&lt;30 cm)</x:v>
      </x:c>
      <x:c r="B17" s="31" t="n">
        <x:v>380123.5687762425</x:v>
      </x:c>
      <x:c r="C17" s="32" t="n">
        <x:v>3.0514136257342024</x:v>
      </x:c>
      <x:c r="D17" s="32" t="n">
        <x:f>IF(C17="","",(1/'Metadata'!$B$5)^(C17-1))</x:f>
        <x:v>112.56765674630027</x:v>
      </x:c>
      <x:c r="E17" s="31" t="n">
        <x:f>IF(B17=0,"",B17*D17)</x:f>
        <x:v>42789619.41118273</x:v>
      </x:c>
    </x:row>
    <x:row r="18" ht="18" customHeight="1">
      <x:c r="A18" s="24" t="str">
        <x:v>Small to medium flatfishes (&lt;90 cm)</x:v>
      </x:c>
      <x:c r="B18" s="31" t="n">
        <x:v>190.13000000000002</x:v>
      </x:c>
      <x:c r="C18" s="32" t="n">
        <x:v>4.03</x:v>
      </x:c>
      <x:c r="D18" s="32" t="n">
        <x:f>IF(C18="","",(1/'Metadata'!$B$5)^(C18-1))</x:f>
        <x:v>1071.519305237607</x:v>
      </x:c>
      <x:c r="E18" s="31" t="n">
        <x:f>IF(B18=0,"",B18*D18)</x:f>
        <x:v>203727.96550482628</x:v>
      </x:c>
    </x:row>
    <x:row r="19" ht="18" customHeight="1">
      <x:c r="A19" s="24" t="str">
        <x:v>Small to medium rays (&lt;90 cm)</x:v>
      </x:c>
      <x:c r="B19" s="31" t="n">
        <x:v>3840.6669344028996</x:v>
      </x:c>
      <x:c r="C19" s="32" t="n">
        <x:v>3.7102658554409924</x:v>
      </x:c>
      <x:c r="D19" s="32" t="n">
        <x:f>IF(C19="","",(1/'Metadata'!$B$5)^(C19-1))</x:f>
        <x:v>513.1754306494264</x:v>
      </x:c>
      <x:c r="E19" s="31" t="n">
        <x:f>IF(B19=0,"",B19*D19)</x:f>
        <x:v>1970935.9080432204</x:v>
      </x:c>
    </x:row>
  </x:sheetData>
  <x:pageMargins left="0.7" right="0.7" top="0.75" bottom="0.75" header="0.3" footer="0.3"/>
  <x:tableParts count="1">
    <x:tablePart xmlns:r="http://schemas.openxmlformats.org/officeDocument/2006/relationships" r:id="R74479202368641d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EEZ_953</x:v>
      </x:c>
      <x:c r="B2" s="24" t="str">
        <x:v>raw_filtered_tonnes</x:v>
      </x:c>
      <x:c r="C2" s="24" t="n">
        <x:v>649172.6258836818</x:v>
      </x:c>
      <x:c r="D2" s="24" t="str">
        <x:v>tonnes</x:v>
      </x:c>
    </x:row>
    <x:row r="3" ht="18" customHeight="1">
      <x:c r="A3" s="24" t="str">
        <x:v>EEZ_953</x:v>
      </x:c>
      <x:c r="B3" s="24" t="str">
        <x:v>species_catch_tonnes</x:v>
      </x:c>
      <x:c r="C3" s="24" t="n">
        <x:v>649172.6258836817</x:v>
      </x:c>
      <x:c r="D3" s="24" t="str">
        <x:v>tonnes</x:v>
      </x:c>
    </x:row>
    <x:row r="4" ht="18" customHeight="1">
      <x:c r="A4" s="24" t="str">
        <x:v>EEZ_953</x:v>
      </x:c>
      <x:c r="B4" s="24" t="str">
        <x:v>catch_difference_tonnes</x:v>
      </x:c>
      <x:c r="C4" s="24" t="n">
        <x:v>-1.1641532182693481e-10</x:v>
      </x:c>
      <x:c r="D4" s="24" t="str">
        <x:v>tonnes</x:v>
      </x:c>
    </x:row>
    <x:row r="5" ht="18" customHeight="1">
      <x:c r="A5" s="24" t="str">
        <x:v>EEZ_953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EEZ_953</x:v>
      </x:c>
      <x:c r="B6" s="24" t="str">
        <x:v>matched_catch_tonnes</x:v>
      </x:c>
      <x:c r="C6" s="24" t="n">
        <x:v>649172.6258836817</x:v>
      </x:c>
      <x:c r="D6" s="24" t="str">
        <x:v>tonnes</x:v>
      </x:c>
    </x:row>
    <x:row r="7" ht="18" customHeight="1">
      <x:c r="A7" s="24" t="str">
        <x:v>EEZ_953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EEZ_953</x:v>
      </x:c>
      <x:c r="B8" s="24" t="str">
        <x:v>taxa_count</x:v>
      </x:c>
      <x:c r="C8" s="24" t="n">
        <x:v>100</x:v>
      </x:c>
      <x:c r="D8" s="24" t="str">
        <x:v>count</x:v>
      </x:c>
    </x:row>
    <x:row r="9" ht="18" customHeight="1">
      <x:c r="A9" s="24" t="str">
        <x:v>EEZ_953</x:v>
      </x:c>
      <x:c r="B9" s="24" t="str">
        <x:v>matched_taxa_count</x:v>
      </x:c>
      <x:c r="C9" s="24" t="n">
        <x:v>100</x:v>
      </x:c>
      <x:c r="D9" s="24" t="str">
        <x:v>count</x:v>
      </x:c>
    </x:row>
    <x:row r="10" ht="18" customHeight="1">
      <x:c r="A10" s="24" t="str">
        <x:v>EEZ_953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EEZ_953</x:v>
      </x:c>
      <x:c r="B11" s="24" t="str">
        <x:v>species_ppr</x:v>
      </x:c>
      <x:c r="C11" s="24" t="n">
        <x:v>448581864.5071265</x:v>
      </x:c>
      <x:c r="D11" s="24" t="str">
        <x:v>tonnes_primary_production_equivalent</x:v>
      </x:c>
    </x:row>
    <x:row r="12" ht="18" customHeight="1">
      <x:c r="A12" s="24" t="str">
        <x:v>EEZ_953</x:v>
      </x:c>
      <x:c r="B12" s="24" t="str">
        <x:v>commercial_ppr</x:v>
      </x:c>
      <x:c r="C12" s="24" t="n">
        <x:v>411561111.14749527</x:v>
      </x:c>
      <x:c r="D12" s="24" t="str">
        <x:v>tonnes_primary_production_equivalent</x:v>
      </x:c>
    </x:row>
    <x:row r="13" ht="18" customHeight="1">
      <x:c r="A13" s="24" t="str">
        <x:v>EEZ_953</x:v>
      </x:c>
      <x:c r="B13" s="24" t="str">
        <x:v>functional_ppr</x:v>
      </x:c>
      <x:c r="C13" s="24" t="n">
        <x:v>418059191.08651906</x:v>
      </x:c>
      <x:c r="D13" s="24" t="str">
        <x:v>tonnes_primary_production_equivalent</x:v>
      </x:c>
    </x:row>
    <x:row r="14" ht="18" customHeight="1">
      <x:c r="A14" s="24" t="str">
        <x:v>EEZ_953</x:v>
      </x:c>
      <x:c r="B14" s="24" t="str">
        <x:v>commercial_ppr_difference</x:v>
      </x:c>
      <x:c r="C14" s="24" t="n">
        <x:v>-37020753.35963124</x:v>
      </x:c>
      <x:c r="D14" s="24" t="str">
        <x:v>tonnes_primary_production_equivalent</x:v>
      </x:c>
    </x:row>
    <x:row r="15" ht="18" customHeight="1">
      <x:c r="A15" s="24" t="str">
        <x:v>EEZ_953</x:v>
      </x:c>
      <x:c r="B15" s="24" t="str">
        <x:v>functional_ppr_difference</x:v>
      </x:c>
      <x:c r="C15" s="24" t="n">
        <x:v>-30522673.420607448</x:v>
      </x:c>
      <x:c r="D15" s="24" t="str">
        <x:v>tonnes_primary_production_equivalent</x:v>
      </x:c>
    </x:row>
    <x:row r="16" ht="18" customHeight="1">
      <x:c r="A16" s="24" t="str">
        <x:v>EEZ_953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EEZ_953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dd47ccef78ab402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EEZ_953 - South Africa (Atlantic and Cape)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EEZ_953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raw_data/SAU_downloads/EEZ_953-catch.zip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