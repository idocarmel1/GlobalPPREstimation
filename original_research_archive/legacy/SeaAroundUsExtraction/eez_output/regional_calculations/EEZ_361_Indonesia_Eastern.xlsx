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420212125549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e4812c31fdba4f23"/>
    <x:sheet xmlns:r="http://schemas.openxmlformats.org/officeDocument/2006/relationships" name="Commercial" sheetId="2" r:id="R0abb8b9717f84158"/>
    <x:sheet xmlns:r="http://schemas.openxmlformats.org/officeDocument/2006/relationships" name="Functional" sheetId="3" r:id="Rbb567221fd5c4529"/>
    <x:sheet xmlns:r="http://schemas.openxmlformats.org/officeDocument/2006/relationships" name="Missing TL" sheetId="4" r:id="R3a307007b71142dd"/>
    <x:sheet xmlns:r="http://schemas.openxmlformats.org/officeDocument/2006/relationships" name="Validation" sheetId="5" r:id="R375fa40c2189449e"/>
    <x:sheet xmlns:r="http://schemas.openxmlformats.org/officeDocument/2006/relationships" name="Metadata" sheetId="6" r:id="R66e04c492bf847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8a288d2a364b79" /><Relationship Type="http://schemas.openxmlformats.org/officeDocument/2006/relationships/theme" Target="/xl/theme/theme1.xml" Id="Rf883bed2f91f4315" /><Relationship Type="http://schemas.microsoft.com/office/2022/11/relationships/FeaturePropertyBag" Target="/xl/featurePropertyBag/featurePropertyBag.xml" Id="R1cea43064e954139" /><Relationship Type="http://schemas.openxmlformats.org/officeDocument/2006/relationships/sharedStrings" Target="/xl/sharedStrings.xml" Id="R6d10c891e3724c7b" /><Relationship Type="http://schemas.openxmlformats.org/officeDocument/2006/relationships/worksheet" Target="/xl/worksheets/sheet1.xml" Id="Re4812c31fdba4f23" /><Relationship Type="http://schemas.openxmlformats.org/officeDocument/2006/relationships/worksheet" Target="/xl/worksheets/sheet2.xml" Id="R0abb8b9717f84158" /><Relationship Type="http://schemas.openxmlformats.org/officeDocument/2006/relationships/worksheet" Target="/xl/worksheets/sheet3.xml" Id="Rbb567221fd5c4529" /><Relationship Type="http://schemas.openxmlformats.org/officeDocument/2006/relationships/worksheet" Target="/xl/worksheets/sheet4.xml" Id="R3a307007b71142dd" /><Relationship Type="http://schemas.openxmlformats.org/officeDocument/2006/relationships/worksheet" Target="/xl/worksheets/sheet5.xml" Id="R375fa40c2189449e" /><Relationship Type="http://schemas.openxmlformats.org/officeDocument/2006/relationships/worksheet" Target="/xl/worksheets/sheet6.xml" Id="R66e04c492bf847c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361SpeciesTable" displayName="EEZ361SpeciesTable" ref="A1:U147" headerRowCount="1" totalsRowCount="0" totalsRowShown="0">
  <x:autoFilter ref="A1:U147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361CommercialTable" displayName="EEZ361CommercialTable" ref="A1:E11" headerRowCount="1" totalsRowCount="0" totalsRowShown="0">
  <x:autoFilter ref="A1:E11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361FunctionalTable" displayName="EEZ361FunctionalTable" ref="A1:E20" headerRowCount="1" totalsRowCount="0" totalsRowShown="0">
  <x:autoFilter ref="A1:E20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361ValidationTable" displayName="EEZ361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b397eb12c984ae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79a7066ae404a2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924655897bb41a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9dc3611033542dc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EEZ_361</x:v>
      </x:c>
      <x:c r="B2" s="24" t="str">
        <x:v>Indonesia (Eastern)</x:v>
      </x:c>
      <x:c r="C2" s="24" t="str">
        <x:v>EEZ</x:v>
      </x:c>
      <x:c r="D2" s="30" t="n">
        <x:v>2019</x:v>
      </x:c>
      <x:c r="E2" s="24" t="str">
        <x:v>Marine fishes not identified</x:v>
      </x:c>
      <x:c r="F2" s="24" t="str">
        <x:v>Marine fishes nei</x:v>
      </x:c>
      <x:c r="G2" s="24" t="str">
        <x:v>Medium demersals (30 - 89 cm)</x:v>
      </x:c>
      <x:c r="H2" s="24" t="str">
        <x:v>Other fishes &amp; inverts</x:v>
      </x:c>
      <x:c r="I2" s="31" t="n">
        <x:v>735826.6835360741</x:v>
      </x:c>
      <x:c r="J2" s="31" t="n">
        <x:v>714652.6685791222</x:v>
      </x:c>
      <x:c r="K2" s="31" t="n">
        <x:v>21174.014956951898</x:v>
      </x:c>
      <x:c r="L2" s="31" t="n">
        <x:v>710769.8250436252</x:v>
      </x:c>
      <x:c r="M2" s="31" t="n">
        <x:v>25056.858492448897</x:v>
      </x:c>
      <x:c r="N2" s="24" t="str">
        <x:v>marine fishes not identified</x:v>
      </x:c>
      <x:c r="O2" s="32" t="n">
        <x:v>3.28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Marine fishes not identified</x:v>
      </x:c>
      <x:c r="T2" s="32" t="n">
        <x:f>IF(O2="","",(1/'Metadata'!$B$5)^(O2-1))</x:f>
        <x:v>190.54607179632464</x:v>
      </x:c>
      <x:c r="U2" s="31" t="n">
        <x:f>IF(T2="","",I2*T2)</x:f>
        <x:v>140208884.07071623</x:v>
      </x:c>
    </x:row>
    <x:row r="3" ht="18" customHeight="1">
      <x:c r="A3" s="24" t="str">
        <x:v>EEZ_361</x:v>
      </x:c>
      <x:c r="B3" s="24" t="str">
        <x:v>Indonesia (Eastern)</x:v>
      </x:c>
      <x:c r="C3" s="24" t="str">
        <x:v>EEZ</x:v>
      </x:c>
      <x:c r="D3" s="30" t="n">
        <x:v>2019</x:v>
      </x:c>
      <x:c r="E3" s="24" t="str">
        <x:v>Decapterus</x:v>
      </x:c>
      <x:c r="F3" s="24" t="str">
        <x:v>Scads</x:v>
      </x:c>
      <x:c r="G3" s="24" t="str">
        <x:v>Medium pelagics (30 - 89 cm)</x:v>
      </x:c>
      <x:c r="H3" s="24" t="str">
        <x:v>Perch-likes</x:v>
      </x:c>
      <x:c r="I3" s="31" t="n">
        <x:v>341638.24680418527</x:v>
      </x:c>
      <x:c r="J3" s="31" t="n">
        <x:v>338549.2163477744</x:v>
      </x:c>
      <x:c r="K3" s="31" t="n">
        <x:v>3089.0304564109</x:v>
      </x:c>
      <x:c r="L3" s="31" t="n">
        <x:v>337758.6502326432</x:v>
      </x:c>
      <x:c r="M3" s="31" t="n">
        <x:v>3879.5965715421</x:v>
      </x:c>
      <x:c r="N3" s="24" t="str">
        <x:v>decapterus</x:v>
      </x:c>
      <x:c r="O3" s="32" t="n">
        <x:v>3.63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Decapterus</x:v>
      </x:c>
      <x:c r="T3" s="32" t="n">
        <x:f>IF(O3="","",(1/'Metadata'!$B$5)^(O3-1))</x:f>
        <x:v>426.57951880159254</x:v>
      </x:c>
      <x:c r="U3" s="31" t="n">
        <x:f>IF(T3="","",I3*T3)</x:f>
        <x:v>145735878.92594907</x:v>
      </x:c>
    </x:row>
    <x:row r="4" ht="18" customHeight="1">
      <x:c r="A4" s="24" t="str">
        <x:v>EEZ_361</x:v>
      </x:c>
      <x:c r="B4" s="24" t="str">
        <x:v>Indonesia (Eastern)</x:v>
      </x:c>
      <x:c r="C4" s="24" t="str">
        <x:v>EEZ</x:v>
      </x:c>
      <x:c r="D4" s="30" t="n">
        <x:v>2019</x:v>
      </x:c>
      <x:c r="E4" s="24" t="str">
        <x:v>Rastrelliger brachysoma</x:v>
      </x:c>
      <x:c r="F4" s="24" t="str">
        <x:v>Short mackerel</x:v>
      </x:c>
      <x:c r="G4" s="24" t="str">
        <x:v>Medium pelagics (30 - 89 cm)</x:v>
      </x:c>
      <x:c r="H4" s="24" t="str">
        <x:v>Perch-likes</x:v>
      </x:c>
      <x:c r="I4" s="31" t="n">
        <x:v>210812.2027598478</x:v>
      </x:c>
      <x:c r="J4" s="31" t="n">
        <x:v>209766.5937906958</x:v>
      </x:c>
      <x:c r="K4" s="31" t="n">
        <x:v>1045.6089691519999</x:v>
      </x:c>
      <x:c r="L4" s="31" t="n">
        <x:v>208931.46832477322</x:v>
      </x:c>
      <x:c r="M4" s="31" t="n">
        <x:v>1880.7344350746</x:v>
      </x:c>
      <x:c r="N4" s="24" t="str">
        <x:v>rastrelliger brachysoma</x:v>
      </x:c>
      <x:c r="O4" s="32" t="n">
        <x:v>2.72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Rastrelliger brachysoma</x:v>
      </x:c>
      <x:c r="T4" s="32" t="n">
        <x:f>IF(O4="","",(1/'Metadata'!$B$5)^(O4-1))</x:f>
        <x:v>52.480746024977286</x:v>
      </x:c>
      <x:c r="U4" s="31" t="n">
        <x:f>IF(T4="","",I4*T4)</x:f>
        <x:v>11063581.672005588</x:v>
      </x:c>
    </x:row>
    <x:row r="5" ht="18" customHeight="1">
      <x:c r="A5" s="24" t="str">
        <x:v>EEZ_361</x:v>
      </x:c>
      <x:c r="B5" s="24" t="str">
        <x:v>Indonesia (Eastern)</x:v>
      </x:c>
      <x:c r="C5" s="24" t="str">
        <x:v>EEZ</x:v>
      </x:c>
      <x:c r="D5" s="30" t="n">
        <x:v>2019</x:v>
      </x:c>
      <x:c r="E5" s="24" t="str">
        <x:v>Stolephorus</x:v>
      </x:c>
      <x:c r="F5" s="24" t="str">
        <x:v>Garment anchovies</x:v>
      </x:c>
      <x:c r="G5" s="24" t="str">
        <x:v>Small pelagics (&lt;30 cm)</x:v>
      </x:c>
      <x:c r="H5" s="24" t="str">
        <x:v>Anchovies</x:v>
      </x:c>
      <x:c r="I5" s="31" t="n">
        <x:v>135563.2514777489</x:v>
      </x:c>
      <x:c r="J5" s="31" t="n">
        <x:v>133371.6771360237</x:v>
      </x:c>
      <x:c r="K5" s="31" t="n">
        <x:v>2191.5743417251997</x:v>
      </x:c>
      <x:c r="L5" s="31" t="n">
        <x:v>132753.3942080349</x:v>
      </x:c>
      <x:c r="M5" s="31" t="n">
        <x:v>2809.857269714</x:v>
      </x:c>
      <x:c r="N5" s="24" t="str">
        <x:v>stolephorus</x:v>
      </x:c>
      <x:c r="O5" s="32" t="n">
        <x:v>3.44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Stolephorus</x:v>
      </x:c>
      <x:c r="T5" s="32" t="n">
        <x:f>IF(O5="","",(1/'Metadata'!$B$5)^(O5-1))</x:f>
        <x:v>275.4228703338166</x:v>
      </x:c>
      <x:c r="U5" s="31" t="n">
        <x:f>IF(T5="","",I5*T5)</x:f>
        <x:v>37337219.833786614</x:v>
      </x:c>
    </x:row>
    <x:row r="6" ht="18" customHeight="1">
      <x:c r="A6" s="24" t="str">
        <x:v>EEZ_361</x:v>
      </x:c>
      <x:c r="B6" s="24" t="str">
        <x:v>Indonesia (Eastern)</x:v>
      </x:c>
      <x:c r="C6" s="24" t="str">
        <x:v>EEZ</x:v>
      </x:c>
      <x:c r="D6" s="30" t="n">
        <x:v>2019</x:v>
      </x:c>
      <x:c r="E6" s="24" t="str">
        <x:v>Sardinella</x:v>
      </x:c>
      <x:c r="F6" s="24" t="str">
        <x:v>Sardinellas</x:v>
      </x:c>
      <x:c r="G6" s="24" t="str">
        <x:v>Small pelagics (&lt;30 cm)</x:v>
      </x:c>
      <x:c r="H6" s="24" t="str">
        <x:v>Herring-likes</x:v>
      </x:c>
      <x:c r="I6" s="31" t="n">
        <x:v>133685.7200143311</x:v>
      </x:c>
      <x:c r="J6" s="31" t="n">
        <x:v>131989.4410973016</x:v>
      </x:c>
      <x:c r="K6" s="31" t="n">
        <x:v>1696.2789170295</x:v>
      </x:c>
      <x:c r="L6" s="31" t="n">
        <x:v>130826.19300715541</x:v>
      </x:c>
      <x:c r="M6" s="31" t="n">
        <x:v>2859.5270071757</x:v>
      </x:c>
      <x:c r="N6" s="24" t="str">
        <x:v>sardinella</x:v>
      </x:c>
      <x:c r="O6" s="32" t="n">
        <x:v>2.77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Sardinella</x:v>
      </x:c>
      <x:c r="T6" s="32" t="n">
        <x:f>IF(O6="","",(1/'Metadata'!$B$5)^(O6-1))</x:f>
        <x:v>58.8843655355589</x:v>
      </x:c>
      <x:c r="U6" s="31" t="n">
        <x:f>IF(T6="","",I6*T6)</x:f>
        <x:v>7871998.804208255</x:v>
      </x:c>
    </x:row>
    <x:row r="7" ht="18" customHeight="1">
      <x:c r="A7" s="24" t="str">
        <x:v>EEZ_361</x:v>
      </x:c>
      <x:c r="B7" s="24" t="str">
        <x:v>Indonesia (Eastern)</x:v>
      </x:c>
      <x:c r="C7" s="24" t="str">
        <x:v>EEZ</x:v>
      </x:c>
      <x:c r="D7" s="30" t="n">
        <x:v>2019</x:v>
      </x:c>
      <x:c r="E7" s="24" t="str">
        <x:v>Selaroides leptolepis</x:v>
      </x:c>
      <x:c r="F7" s="24" t="str">
        <x:v>Yellowstripe scad</x:v>
      </x:c>
      <x:c r="G7" s="24" t="str">
        <x:v>Small pelagics (&lt;30 cm)</x:v>
      </x:c>
      <x:c r="H7" s="24" t="str">
        <x:v>Perch-likes</x:v>
      </x:c>
      <x:c r="I7" s="31" t="n">
        <x:v>123929.4298449332</x:v>
      </x:c>
      <x:c r="J7" s="31" t="n">
        <x:v>102790.5153460331</x:v>
      </x:c>
      <x:c r="K7" s="31" t="n">
        <x:v>21138.9144989001</x:v>
      </x:c>
      <x:c r="L7" s="31" t="n">
        <x:v>98631.1100483171</x:v>
      </x:c>
      <x:c r="M7" s="31" t="n">
        <x:v>25298.3197966161</x:v>
      </x:c>
      <x:c r="N7" s="24" t="str">
        <x:v>selaroides leptolepis</x:v>
      </x:c>
      <x:c r="O7" s="32" t="n">
        <x:v>3.84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Selaroides leptolepis</x:v>
      </x:c>
      <x:c r="T7" s="32" t="n">
        <x:f>IF(O7="","",(1/'Metadata'!$B$5)^(O7-1))</x:f>
        <x:v>691.8309709189363</x:v>
      </x:c>
      <x:c r="U7" s="31" t="n">
        <x:f>IF(T7="","",I7*T7)</x:f>
        <x:v>85738217.77505033</x:v>
      </x:c>
    </x:row>
    <x:row r="8" ht="18" customHeight="1">
      <x:c r="A8" s="24" t="str">
        <x:v>EEZ_361</x:v>
      </x:c>
      <x:c r="B8" s="24" t="str">
        <x:v>Indonesia (Eastern)</x:v>
      </x:c>
      <x:c r="C8" s="24" t="str">
        <x:v>EEZ</x:v>
      </x:c>
      <x:c r="D8" s="30" t="n">
        <x:v>2019</x:v>
      </x:c>
      <x:c r="E8" s="24" t="str">
        <x:v>Lutjanus</x:v>
      </x:c>
      <x:c r="F8" s="24" t="str">
        <x:v>Snappers</x:v>
      </x:c>
      <x:c r="G8" s="24" t="str">
        <x:v>Medium reef assoc. fish (30 - 89 cm)</x:v>
      </x:c>
      <x:c r="H8" s="24" t="str">
        <x:v>Perch-likes</x:v>
      </x:c>
      <x:c r="I8" s="31" t="n">
        <x:v>122934.7448627421</x:v>
      </x:c>
      <x:c r="J8" s="31" t="n">
        <x:v>122427.1998104955</x:v>
      </x:c>
      <x:c r="K8" s="31" t="n">
        <x:v>507.5450522466</x:v>
      </x:c>
      <x:c r="L8" s="31" t="n">
        <x:v>119473.5489137141</x:v>
      </x:c>
      <x:c r="M8" s="31" t="n">
        <x:v>3461.1959490279996</x:v>
      </x:c>
      <x:c r="N8" s="24" t="str">
        <x:v>lutjanus</x:v>
      </x:c>
      <x:c r="O8" s="32" t="n">
        <x:v>4.02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Lutjanus</x:v>
      </x:c>
      <x:c r="T8" s="32" t="n">
        <x:f>IF(O8="","",(1/'Metadata'!$B$5)^(O8-1))</x:f>
        <x:v>1047.1285480508984</x:v>
      </x:c>
      <x:c r="U8" s="31" t="n">
        <x:f>IF(T8="","",I8*T8)</x:f>
        <x:v>128728480.89313078</x:v>
      </x:c>
    </x:row>
    <x:row r="9" ht="18" customHeight="1">
      <x:c r="A9" s="24" t="str">
        <x:v>EEZ_361</x:v>
      </x:c>
      <x:c r="B9" s="24" t="str">
        <x:v>Indonesia (Eastern)</x:v>
      </x:c>
      <x:c r="C9" s="24" t="str">
        <x:v>EEZ</x:v>
      </x:c>
      <x:c r="D9" s="30" t="n">
        <x:v>2019</x:v>
      </x:c>
      <x:c r="E9" s="24" t="str">
        <x:v>Auxis thazard</x:v>
      </x:c>
      <x:c r="F9" s="24" t="str">
        <x:v>Frigate tuna</x:v>
      </x:c>
      <x:c r="G9" s="24" t="str">
        <x:v>Medium pelagics (30 - 89 cm)</x:v>
      </x:c>
      <x:c r="H9" s="24" t="str">
        <x:v>Tuna &amp; billfishes</x:v>
      </x:c>
      <x:c r="I9" s="31" t="n">
        <x:v>119584.55788600449</x:v>
      </x:c>
      <x:c r="J9" s="31" t="n">
        <x:v>119175.29744112189</x:v>
      </x:c>
      <x:c r="K9" s="31" t="n">
        <x:v>409.26044488260004</x:v>
      </x:c>
      <x:c r="L9" s="31" t="n">
        <x:v>119034.90917810959</x:v>
      </x:c>
      <x:c r="M9" s="31" t="n">
        <x:v>549.6487078949</x:v>
      </x:c>
      <x:c r="N9" s="24" t="str">
        <x:v>auxis thazard</x:v>
      </x:c>
      <x:c r="O9" s="32" t="n">
        <x:v>4.37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Auxis thazard</x:v>
      </x:c>
      <x:c r="T9" s="32" t="n">
        <x:f>IF(O9="","",(1/'Metadata'!$B$5)^(O9-1))</x:f>
        <x:v>2344.228815319923</x:v>
      </x:c>
      <x:c r="U9" s="31" t="n">
        <x:f>IF(T9="","",I9*T9)</x:f>
        <x:v>280333566.46366507</x:v>
      </x:c>
    </x:row>
    <x:row r="10" ht="18" customHeight="1">
      <x:c r="A10" s="24" t="str">
        <x:v>EEZ_361</x:v>
      </x:c>
      <x:c r="B10" s="24" t="str">
        <x:v>Indonesia (Eastern)</x:v>
      </x:c>
      <x:c r="C10" s="24" t="str">
        <x:v>EEZ</x:v>
      </x:c>
      <x:c r="D10" s="30" t="n">
        <x:v>2019</x:v>
      </x:c>
      <x:c r="E10" s="24" t="str">
        <x:v>Lates calcarifer</x:v>
      </x:c>
      <x:c r="F10" s="24" t="str">
        <x:v>Barramundi</x:v>
      </x:c>
      <x:c r="G10" s="24" t="str">
        <x:v>Large demersals (&gt;=90 cm)</x:v>
      </x:c>
      <x:c r="H10" s="24" t="str">
        <x:v>Perch-likes</x:v>
      </x:c>
      <x:c r="I10" s="31" t="n">
        <x:v>112806.28740688259</x:v>
      </x:c>
      <x:c r="J10" s="31" t="n">
        <x:v>104581.9130748555</x:v>
      </x:c>
      <x:c r="K10" s="31" t="n">
        <x:v>8224.3743320271</x:v>
      </x:c>
      <x:c r="L10" s="31" t="n">
        <x:v>103004.14982605781</x:v>
      </x:c>
      <x:c r="M10" s="31" t="n">
        <x:v>9802.137580824801</x:v>
      </x:c>
      <x:c r="N10" s="24" t="str">
        <x:v>lates calcarifer</x:v>
      </x:c>
      <x:c r="O10" s="32" t="n">
        <x:v>4.35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Lates calcarifer</x:v>
      </x:c>
      <x:c r="T10" s="32" t="n">
        <x:f>IF(O10="","",(1/'Metadata'!$B$5)^(O10-1))</x:f>
        <x:v>2238.7211385683377</x:v>
      </x:c>
      <x:c r="U10" s="31" t="n">
        <x:f>IF(T10="","",I10*T10)</x:f>
        <x:v>252541820.18120334</x:v>
      </x:c>
    </x:row>
    <x:row r="11" ht="18" customHeight="1">
      <x:c r="A11" s="24" t="str">
        <x:v>EEZ_361</x:v>
      </x:c>
      <x:c r="B11" s="24" t="str">
        <x:v>Indonesia (Eastern)</x:v>
      </x:c>
      <x:c r="C11" s="24" t="str">
        <x:v>EEZ</x:v>
      </x:c>
      <x:c r="D11" s="30" t="n">
        <x:v>2019</x:v>
      </x:c>
      <x:c r="E11" s="24" t="str">
        <x:v>Sardinella lemuru</x:v>
      </x:c>
      <x:c r="F11" s="24" t="str">
        <x:v>Bali sardinella</x:v>
      </x:c>
      <x:c r="G11" s="24" t="str">
        <x:v>Small pelagics (&lt;30 cm)</x:v>
      </x:c>
      <x:c r="H11" s="24" t="str">
        <x:v>Herring-likes</x:v>
      </x:c>
      <x:c r="I11" s="31" t="n">
        <x:v>96215.6826677341</x:v>
      </x:c>
      <x:c r="J11" s="31" t="n">
        <x:v>95841.7608989077</x:v>
      </x:c>
      <x:c r="K11" s="31" t="n">
        <x:v>373.9217688264</x:v>
      </x:c>
      <x:c r="L11" s="31" t="n">
        <x:v>95271.1384329329</x:v>
      </x:c>
      <x:c r="M11" s="31" t="n">
        <x:v>944.5442348012</x:v>
      </x:c>
      <x:c r="N11" s="24" t="str">
        <x:v>sardinella lemuru</x:v>
      </x:c>
      <x:c r="O11" s="32" t="n">
        <x:v>2.48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Sardinella lemuru</x:v>
      </x:c>
      <x:c r="T11" s="32" t="n">
        <x:f>IF(O11="","",(1/'Metadata'!$B$5)^(O11-1))</x:f>
        <x:v>30.19951720402016</x:v>
      </x:c>
      <x:c r="U11" s="31" t="n">
        <x:f>IF(T11="","",I11*T11)</x:f>
        <x:v>2905667.1640207805</x:v>
      </x:c>
    </x:row>
    <x:row r="12" ht="18" customHeight="1">
      <x:c r="A12" s="24" t="str">
        <x:v>EEZ_361</x:v>
      </x:c>
      <x:c r="B12" s="24" t="str">
        <x:v>Indonesia (Eastern)</x:v>
      </x:c>
      <x:c r="C12" s="24" t="str">
        <x:v>EEZ</x:v>
      </x:c>
      <x:c r="D12" s="30" t="n">
        <x:v>2019</x:v>
      </x:c>
      <x:c r="E12" s="24" t="str">
        <x:v>Scomberomorus commerson</x:v>
      </x:c>
      <x:c r="F12" s="24" t="str">
        <x:v>Narrow-barred Spanish mackerel</x:v>
      </x:c>
      <x:c r="G12" s="24" t="str">
        <x:v>Large pelagics (&gt;=90 cm)</x:v>
      </x:c>
      <x:c r="H12" s="24" t="str">
        <x:v>Perch-likes</x:v>
      </x:c>
      <x:c r="I12" s="31" t="n">
        <x:v>92784.9489173931</x:v>
      </x:c>
      <x:c r="J12" s="31" t="n">
        <x:v>92379.87155954921</x:v>
      </x:c>
      <x:c r="K12" s="31" t="n">
        <x:v>405.0773578439</x:v>
      </x:c>
      <x:c r="L12" s="31" t="n">
        <x:v>92001.29812053911</x:v>
      </x:c>
      <x:c r="M12" s="31" t="n">
        <x:v>783.6507968540001</x:v>
      </x:c>
      <x:c r="N12" s="24" t="str">
        <x:v>scomberomorus commerson</x:v>
      </x:c>
      <x:c r="O12" s="32" t="n">
        <x:v>4.5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Scomberomorus commerson</x:v>
      </x:c>
      <x:c r="T12" s="32" t="n">
        <x:f>IF(O12="","",(1/'Metadata'!$B$5)^(O12-1))</x:f>
        <x:v>3162.2776601683795</x:v>
      </x:c>
      <x:c r="U12" s="31" t="n">
        <x:f>IF(T12="","",I12*T12)</x:f>
        <x:v>293411771.1613365</x:v>
      </x:c>
    </x:row>
    <x:row r="13" ht="18" customHeight="1">
      <x:c r="A13" s="24" t="str">
        <x:v>EEZ_361</x:v>
      </x:c>
      <x:c r="B13" s="24" t="str">
        <x:v>Indonesia (Eastern)</x:v>
      </x:c>
      <x:c r="C13" s="24" t="str">
        <x:v>EEZ</x:v>
      </x:c>
      <x:c r="D13" s="30" t="n">
        <x:v>2019</x:v>
      </x:c>
      <x:c r="E13" s="24" t="str">
        <x:v>Caranx</x:v>
      </x:c>
      <x:c r="F13" s="24" t="str">
        <x:v>Jacks</x:v>
      </x:c>
      <x:c r="G13" s="24" t="str">
        <x:v>Medium reef assoc. fish (30 - 89 cm)</x:v>
      </x:c>
      <x:c r="H13" s="24" t="str">
        <x:v>Perch-likes</x:v>
      </x:c>
      <x:c r="I13" s="31" t="n">
        <x:v>69650.79382939759</x:v>
      </x:c>
      <x:c r="J13" s="31" t="n">
        <x:v>61344.6926304021</x:v>
      </x:c>
      <x:c r="K13" s="31" t="n">
        <x:v>8306.1011989955</x:v>
      </x:c>
      <x:c r="L13" s="31" t="n">
        <x:v>59667.0686565683</x:v>
      </x:c>
      <x:c r="M13" s="31" t="n">
        <x:v>9983.7251728293</x:v>
      </x:c>
      <x:c r="N13" s="24" t="str">
        <x:v>caranx</x:v>
      </x:c>
      <x:c r="O13" s="32" t="n">
        <x:v>4.12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Caranx</x:v>
      </x:c>
      <x:c r="T13" s="32" t="n">
        <x:f>IF(O13="","",(1/'Metadata'!$B$5)^(O13-1))</x:f>
        <x:v>1318.2567385564075</x:v>
      </x:c>
      <x:c r="U13" s="31" t="n">
        <x:f>IF(T13="","",I13*T13)</x:f>
        <x:v>91817628.31140642</x:v>
      </x:c>
    </x:row>
    <x:row r="14" ht="18" customHeight="1">
      <x:c r="A14" s="24" t="str">
        <x:v>EEZ_361</x:v>
      </x:c>
      <x:c r="B14" s="24" t="str">
        <x:v>Indonesia (Eastern)</x:v>
      </x:c>
      <x:c r="C14" s="24" t="str">
        <x:v>EEZ</x:v>
      </x:c>
      <x:c r="D14" s="30" t="n">
        <x:v>2019</x:v>
      </x:c>
      <x:c r="E14" s="24" t="str">
        <x:v>Caesionidae</x:v>
      </x:c>
      <x:c r="F14" s="24" t="str">
        <x:v>Fusiliers</x:v>
      </x:c>
      <x:c r="G14" s="24" t="str">
        <x:v>Medium reef assoc. fish (30 - 89 cm)</x:v>
      </x:c>
      <x:c r="H14" s="24" t="str">
        <x:v>Perch-likes</x:v>
      </x:c>
      <x:c r="I14" s="31" t="n">
        <x:v>55221.511475310195</x:v>
      </x:c>
      <x:c r="J14" s="31" t="n">
        <x:v>48752.192885469</x:v>
      </x:c>
      <x:c r="K14" s="31" t="n">
        <x:v>6469.3185898412</x:v>
      </x:c>
      <x:c r="L14" s="31" t="n">
        <x:v>47136.8378777801</x:v>
      </x:c>
      <x:c r="M14" s="31" t="n">
        <x:v>8084.673597530101</x:v>
      </x:c>
      <x:c r="N14" s="24" t="str">
        <x:v>caesionidae</x:v>
      </x:c>
      <x:c r="O14" s="32" t="n">
        <x:v>3.39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Caesionidae</x:v>
      </x:c>
      <x:c r="T14" s="32" t="n">
        <x:f>IF(O14="","",(1/'Metadata'!$B$5)^(O14-1))</x:f>
        <x:v>245.4708915685031</x:v>
      </x:c>
      <x:c r="U14" s="31" t="n">
        <x:f>IF(T14="","",I14*T14)</x:f>
        <x:v>13555273.655604718</x:v>
      </x:c>
    </x:row>
    <x:row r="15" ht="18" customHeight="1">
      <x:c r="A15" s="24" t="str">
        <x:v>EEZ_361</x:v>
      </x:c>
      <x:c r="B15" s="24" t="str">
        <x:v>Indonesia (Eastern)</x:v>
      </x:c>
      <x:c r="C15" s="24" t="str">
        <x:v>EEZ</x:v>
      </x:c>
      <x:c r="D15" s="30" t="n">
        <x:v>2019</x:v>
      </x:c>
      <x:c r="E15" s="24" t="str">
        <x:v>Netuma thalassina</x:v>
      </x:c>
      <x:c r="F15" s="24" t="str">
        <x:v>Giant catfish</x:v>
      </x:c>
      <x:c r="G15" s="24" t="str">
        <x:v>Large demersals (&gt;=90 cm)</x:v>
      </x:c>
      <x:c r="H15" s="24" t="str">
        <x:v>Other fishes &amp; inverts</x:v>
      </x:c>
      <x:c r="I15" s="31" t="n">
        <x:v>54867.5850733371</x:v>
      </x:c>
      <x:c r="J15" s="31" t="n">
        <x:v>47182.8895883619</x:v>
      </x:c>
      <x:c r="K15" s="31" t="n">
        <x:v>7684.6954849752</x:v>
      </x:c>
      <x:c r="L15" s="31" t="n">
        <x:v>45585.985405460895</x:v>
      </x:c>
      <x:c r="M15" s="31" t="n">
        <x:v>9281.5996678762</x:v>
      </x:c>
      <x:c r="N15" s="24" t="str">
        <x:v>netuma thalassina</x:v>
      </x:c>
      <x:c r="O15" s="32" t="n">
        <x:v>3.54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Netuma thalassina</x:v>
      </x:c>
      <x:c r="T15" s="32" t="n">
        <x:f>IF(O15="","",(1/'Metadata'!$B$5)^(O15-1))</x:f>
        <x:v>346.73685045253166</x:v>
      </x:c>
      <x:c r="U15" s="31" t="n">
        <x:f>IF(T15="","",I15*T15)</x:f>
        <x:v>19024613.640265245</x:v>
      </x:c>
    </x:row>
    <x:row r="16" ht="18" customHeight="1">
      <x:c r="A16" s="24" t="str">
        <x:v>EEZ_361</x:v>
      </x:c>
      <x:c r="B16" s="24" t="str">
        <x:v>Indonesia (Eastern)</x:v>
      </x:c>
      <x:c r="C16" s="24" t="str">
        <x:v>EEZ</x:v>
      </x:c>
      <x:c r="D16" s="30" t="n">
        <x:v>2019</x:v>
      </x:c>
      <x:c r="E16" s="24" t="str">
        <x:v>Sciaenidae</x:v>
      </x:c>
      <x:c r="F16" s="24" t="str">
        <x:v>Drums, croakers</x:v>
      </x:c>
      <x:c r="G16" s="24" t="str">
        <x:v>Medium demersals (30 - 89 cm)</x:v>
      </x:c>
      <x:c r="H16" s="24" t="str">
        <x:v>Perch-likes</x:v>
      </x:c>
      <x:c r="I16" s="31" t="n">
        <x:v>52972.871571168704</x:v>
      </x:c>
      <x:c r="J16" s="31" t="n">
        <x:v>47806.6917983898</x:v>
      </x:c>
      <x:c r="K16" s="31" t="n">
        <x:v>5166.1797727789</x:v>
      </x:c>
      <x:c r="L16" s="31" t="n">
        <x:v>45890.804006350605</x:v>
      </x:c>
      <x:c r="M16" s="31" t="n">
        <x:v>7082.0675648181</x:v>
      </x:c>
      <x:c r="N16" s="24" t="str">
        <x:v>sciaenidae</x:v>
      </x:c>
      <x:c r="O16" s="32" t="n">
        <x:v>3.76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Sciaenidae</x:v>
      </x:c>
      <x:c r="T16" s="32" t="n">
        <x:f>IF(O16="","",(1/'Metadata'!$B$5)^(O16-1))</x:f>
        <x:v>575.4399373371566</x:v>
      </x:c>
      <x:c r="U16" s="31" t="n">
        <x:f>IF(T16="","",I16*T16)</x:f>
        <x:v>30482705.897482563</x:v>
      </x:c>
    </x:row>
    <x:row r="17" ht="18" customHeight="1">
      <x:c r="A17" s="24" t="str">
        <x:v>EEZ_361</x:v>
      </x:c>
      <x:c r="B17" s="24" t="str">
        <x:v>Indonesia (Eastern)</x:v>
      </x:c>
      <x:c r="C17" s="24" t="str">
        <x:v>EEZ</x:v>
      </x:c>
      <x:c r="D17" s="30" t="n">
        <x:v>2019</x:v>
      </x:c>
      <x:c r="E17" s="24" t="str">
        <x:v>Decapoda</x:v>
      </x:c>
      <x:c r="F17" s="24" t="str">
        <x:v>Crabs, lobsters, shrimps</x:v>
      </x:c>
      <x:c r="G17" s="24" t="str">
        <x:v>Lobsters, crabs</x:v>
      </x:c>
      <x:c r="H17" s="24" t="str">
        <x:v>Crustaceans</x:v>
      </x:c>
      <x:c r="I17" s="31" t="n">
        <x:v>52607.2490995838</x:v>
      </x:c>
      <x:c r="J17" s="31" t="n">
        <x:v>52407.9483182805</x:v>
      </x:c>
      <x:c r="K17" s="31" t="n">
        <x:v>199.3007813033</x:v>
      </x:c>
      <x:c r="L17" s="31" t="n">
        <x:v>30480.9814042473</x:v>
      </x:c>
      <x:c r="M17" s="31" t="n">
        <x:v>22126.2676953365</x:v>
      </x:c>
      <x:c r="N17" s="24" t="str">
        <x:v>decapoda</x:v>
      </x:c>
      <x:c r="O17" s="32" t="n">
        <x:v>3.43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Decapoda</x:v>
      </x:c>
      <x:c r="T17" s="32" t="n">
        <x:f>IF(O17="","",(1/'Metadata'!$B$5)^(O17-1))</x:f>
        <x:v>269.1534803926917</x:v>
      </x:c>
      <x:c r="U17" s="31" t="n">
        <x:f>IF(T17="","",I17*T17)</x:f>
        <x:v>14159424.189038275</x:v>
      </x:c>
    </x:row>
    <x:row r="18" ht="18" customHeight="1">
      <x:c r="A18" s="24" t="str">
        <x:v>EEZ_361</x:v>
      </x:c>
      <x:c r="B18" s="24" t="str">
        <x:v>Indonesia (Eastern)</x:v>
      </x:c>
      <x:c r="C18" s="24" t="str">
        <x:v>EEZ</x:v>
      </x:c>
      <x:c r="D18" s="30" t="n">
        <x:v>2019</x:v>
      </x:c>
      <x:c r="E18" s="24" t="str">
        <x:v>Nemipterus hexodon</x:v>
      </x:c>
      <x:c r="F18" s="24" t="str">
        <x:v>Ornate threadfin bream</x:v>
      </x:c>
      <x:c r="G18" s="24" t="str">
        <x:v>Small demersals (&lt;30 cm)</x:v>
      </x:c>
      <x:c r="H18" s="24" t="str">
        <x:v>Perch-likes</x:v>
      </x:c>
      <x:c r="I18" s="31" t="n">
        <x:v>51798.626023842895</x:v>
      </x:c>
      <x:c r="J18" s="31" t="n">
        <x:v>47432.01837801399</x:v>
      </x:c>
      <x:c r="K18" s="31" t="n">
        <x:v>4366.6076458289</x:v>
      </x:c>
      <x:c r="L18" s="31" t="n">
        <x:v>46956.0864512547</x:v>
      </x:c>
      <x:c r="M18" s="31" t="n">
        <x:v>4842.5395725882</x:v>
      </x:c>
      <x:c r="N18" s="24" t="str">
        <x:v>nemipterus hexodon</x:v>
      </x:c>
      <x:c r="O18" s="32" t="n">
        <x:v>3.93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Nemipterus hexodon</x:v>
      </x:c>
      <x:c r="T18" s="32" t="n">
        <x:f>IF(O18="","",(1/'Metadata'!$B$5)^(O18-1))</x:f>
        <x:v>851.1380382023768</x:v>
      </x:c>
      <x:c r="U18" s="31" t="n">
        <x:f>IF(T18="","",I18*T18)</x:f>
        <x:v>44087780.93551222</x:v>
      </x:c>
    </x:row>
    <x:row r="19" ht="18" customHeight="1">
      <x:c r="A19" s="24" t="str">
        <x:v>EEZ_361</x:v>
      </x:c>
      <x:c r="B19" s="24" t="str">
        <x:v>Indonesia (Eastern)</x:v>
      </x:c>
      <x:c r="C19" s="24" t="str">
        <x:v>EEZ</x:v>
      </x:c>
      <x:c r="D19" s="30" t="n">
        <x:v>2019</x:v>
      </x:c>
      <x:c r="E19" s="24" t="str">
        <x:v>Miscellaneous marine crustaceans</x:v>
      </x:c>
      <x:c r="F19" s="24" t="str">
        <x:v>Marine crabs, shrimps, lobsters nei</x:v>
      </x:c>
      <x:c r="G19" s="24" t="str">
        <x:v>Shrimps</x:v>
      </x:c>
      <x:c r="H19" s="24" t="str">
        <x:v>Crustaceans</x:v>
      </x:c>
      <x:c r="I19" s="31" t="n">
        <x:v>50318.6305512498</x:v>
      </x:c>
      <x:c r="J19" s="31" t="n">
        <x:v>47525.96137008139</x:v>
      </x:c>
      <x:c r="K19" s="31" t="n">
        <x:v>2792.6691811684</x:v>
      </x:c>
      <x:c r="L19" s="31" t="n">
        <x:v>45818.3374371272</x:v>
      </x:c>
      <x:c r="M19" s="31" t="n">
        <x:v>4500.2931141226</x:v>
      </x:c>
      <x:c r="N19" s="24" t="str">
        <x:v>miscellaneous marine crustaceans</x:v>
      </x:c>
      <x:c r="O19" s="32" t="n">
        <x:v>2.7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Miscellaneous marine crustaceans</x:v>
      </x:c>
      <x:c r="T19" s="32" t="n">
        <x:f>IF(O19="","",(1/'Metadata'!$B$5)^(O19-1))</x:f>
        <x:v>50.11872336272725</x:v>
      </x:c>
      <x:c r="U19" s="31" t="n">
        <x:f>IF(T19="","",I19*T19)</x:f>
        <x:v>2521905.5245893644</x:v>
      </x:c>
    </x:row>
    <x:row r="20" ht="18" customHeight="1">
      <x:c r="A20" s="24" t="str">
        <x:v>EEZ_361</x:v>
      </x:c>
      <x:c r="B20" s="24" t="str">
        <x:v>Indonesia (Eastern)</x:v>
      </x:c>
      <x:c r="C20" s="24" t="str">
        <x:v>EEZ</x:v>
      </x:c>
      <x:c r="D20" s="30" t="n">
        <x:v>2019</x:v>
      </x:c>
      <x:c r="E20" s="24" t="str">
        <x:v>Nemipterus</x:v>
      </x:c>
      <x:c r="F20" s="24" t="str">
        <x:v>Threadfin breams</x:v>
      </x:c>
      <x:c r="G20" s="24" t="str">
        <x:v>Small demersals (&lt;30 cm)</x:v>
      </x:c>
      <x:c r="H20" s="24" t="str">
        <x:v>Perch-likes</x:v>
      </x:c>
      <x:c r="I20" s="31" t="n">
        <x:v>49953.0717872514</x:v>
      </x:c>
      <x:c r="J20" s="31" t="n">
        <x:v>44806.7162857597</x:v>
      </x:c>
      <x:c r="K20" s="31" t="n">
        <x:v>5146.3555014917</x:v>
      </x:c>
      <x:c r="L20" s="31" t="n">
        <x:v>43781.4079398338</x:v>
      </x:c>
      <x:c r="M20" s="31" t="n">
        <x:v>6171.6638474176</x:v>
      </x:c>
      <x:c r="N20" s="24" t="str">
        <x:v>nemipterus</x:v>
      </x:c>
      <x:c r="O20" s="32" t="n">
        <x:v>3.72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Nemipterus</x:v>
      </x:c>
      <x:c r="T20" s="32" t="n">
        <x:f>IF(O20="","",(1/'Metadata'!$B$5)^(O20-1))</x:f>
        <x:v>524.8074602497728</x:v>
      </x:c>
      <x:c r="U20" s="31" t="n">
        <x:f>IF(T20="","",I20*T20)</x:f>
        <x:v>26215744.736341987</x:v>
      </x:c>
    </x:row>
    <x:row r="21" ht="18" customHeight="1">
      <x:c r="A21" s="24" t="str">
        <x:v>EEZ_361</x:v>
      </x:c>
      <x:c r="B21" s="24" t="str">
        <x:v>Indonesia (Eastern)</x:v>
      </x:c>
      <x:c r="C21" s="24" t="str">
        <x:v>EEZ</x:v>
      </x:c>
      <x:c r="D21" s="30" t="n">
        <x:v>2019</x:v>
      </x:c>
      <x:c r="E21" s="24" t="str">
        <x:v>Lethrinidae</x:v>
      </x:c>
      <x:c r="F21" s="24" t="str">
        <x:v>Emperors, scavengers</x:v>
      </x:c>
      <x:c r="G21" s="24" t="str">
        <x:v>Medium reef assoc. fish (30 - 89 cm)</x:v>
      </x:c>
      <x:c r="H21" s="24" t="str">
        <x:v>Perch-likes</x:v>
      </x:c>
      <x:c r="I21" s="31" t="n">
        <x:v>48333.462072728</x:v>
      </x:c>
      <x:c r="J21" s="31" t="n">
        <x:v>48086.6417072482</x:v>
      </x:c>
      <x:c r="K21" s="31" t="n">
        <x:v>246.8203654798</x:v>
      </x:c>
      <x:c r="L21" s="31" t="n">
        <x:v>45800.3643808268</x:v>
      </x:c>
      <x:c r="M21" s="31" t="n">
        <x:v>2533.0976919012</x:v>
      </x:c>
      <x:c r="N21" s="24" t="str">
        <x:v>lethrinidae</x:v>
      </x:c>
      <x:c r="O21" s="32" t="n">
        <x:v>3.59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Lethrinidae</x:v>
      </x:c>
      <x:c r="T21" s="32" t="n">
        <x:f>IF(O21="","",(1/'Metadata'!$B$5)^(O21-1))</x:f>
        <x:v>389.04514499428046</x:v>
      </x:c>
      <x:c r="U21" s="31" t="n">
        <x:f>IF(T21="","",I21*T21)</x:f>
        <x:v>18803898.760160018</x:v>
      </x:c>
    </x:row>
    <x:row r="22" ht="18" customHeight="1">
      <x:c r="A22" s="24" t="str">
        <x:v>EEZ_361</x:v>
      </x:c>
      <x:c r="B22" s="24" t="str">
        <x:v>Indonesia (Eastern)</x:v>
      </x:c>
      <x:c r="C22" s="24" t="str">
        <x:v>EEZ</x:v>
      </x:c>
      <x:c r="D22" s="30" t="n">
        <x:v>2019</x:v>
      </x:c>
      <x:c r="E22" s="24" t="str">
        <x:v>Trichiuridae</x:v>
      </x:c>
      <x:c r="F22" s="24" t="str">
        <x:v>Cutlassfishes</x:v>
      </x:c>
      <x:c r="G22" s="24" t="str">
        <x:v>Large benthopelagics (&gt;=90 cm)</x:v>
      </x:c>
      <x:c r="H22" s="24" t="str">
        <x:v>Perch-likes</x:v>
      </x:c>
      <x:c r="I22" s="31" t="n">
        <x:v>46306.461746403504</x:v>
      </x:c>
      <x:c r="J22" s="31" t="n">
        <x:v>42263.6434328049</x:v>
      </x:c>
      <x:c r="K22" s="31" t="n">
        <x:v>4042.8183135985996</x:v>
      </x:c>
      <x:c r="L22" s="31" t="n">
        <x:v>41027.3470780661</x:v>
      </x:c>
      <x:c r="M22" s="31" t="n">
        <x:v>5279.1146683374</x:v>
      </x:c>
      <x:c r="N22" s="24" t="str">
        <x:v>trichiuridae</x:v>
      </x:c>
      <x:c r="O22" s="32" t="n">
        <x:v>4.15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Trichiuridae</x:v>
      </x:c>
      <x:c r="T22" s="32" t="n">
        <x:f>IF(O22="","",(1/'Metadata'!$B$5)^(O22-1))</x:f>
        <x:v>1412.5375446227554</x:v>
      </x:c>
      <x:c r="U22" s="31" t="n">
        <x:f>IF(T22="","",I22*T22)</x:f>
        <x:v>65409615.775432356</x:v>
      </x:c>
    </x:row>
    <x:row r="23" ht="18" customHeight="1">
      <x:c r="A23" s="24" t="str">
        <x:v>EEZ_361</x:v>
      </x:c>
      <x:c r="B23" s="24" t="str">
        <x:v>Indonesia (Eastern)</x:v>
      </x:c>
      <x:c r="C23" s="24" t="str">
        <x:v>EEZ</x:v>
      </x:c>
      <x:c r="D23" s="30" t="n">
        <x:v>2019</x:v>
      </x:c>
      <x:c r="E23" s="24" t="str">
        <x:v>Hemiramphus</x:v>
      </x:c>
      <x:c r="F23" s="24" t="str">
        <x:v>Halfbeaks</x:v>
      </x:c>
      <x:c r="G23" s="24" t="str">
        <x:v>Medium pelagics (30 - 89 cm)</x:v>
      </x:c>
      <x:c r="H23" s="24" t="str">
        <x:v>Other fishes &amp; inverts</x:v>
      </x:c>
      <x:c r="I23" s="31" t="n">
        <x:v>44402.843302280904</x:v>
      </x:c>
      <x:c r="J23" s="31" t="n">
        <x:v>33399.621509110104</x:v>
      </x:c>
      <x:c r="K23" s="31" t="n">
        <x:v>11003.2217931708</x:v>
      </x:c>
      <x:c r="L23" s="31" t="n">
        <x:v>31379.2374507256</x:v>
      </x:c>
      <x:c r="M23" s="31" t="n">
        <x:v>13023.6058515553</x:v>
      </x:c>
      <x:c r="N23" s="24" t="str">
        <x:v>hemiramphus</x:v>
      </x:c>
      <x:c r="O23" s="32" t="n">
        <x:v>3.05</x:v>
      </x:c>
      <x:c r="P23" s="24" t="str">
        <x:v>exact_sea_around_us</x:v>
      </x:c>
      <x:c r="Q23" s="32" t="str">
        <x:v>Sea Around Us exploited organisms</x:v>
      </x:c>
      <x:c r="R23" s="24" t="str">
        <x:v>high</x:v>
      </x:c>
      <x:c r="S23" s="24" t="str">
        <x:v>Hemiramphus</x:v>
      </x:c>
      <x:c r="T23" s="32" t="n">
        <x:f>IF(O23="","",(1/'Metadata'!$B$5)^(O23-1))</x:f>
        <x:v>112.2018454301963</x:v>
      </x:c>
      <x:c r="U23" s="31" t="n">
        <x:f>IF(T23="","",I23*T23)</x:f>
        <x:v>4982080.9608637495</x:v>
      </x:c>
    </x:row>
    <x:row r="24" ht="18" customHeight="1">
      <x:c r="A24" s="24" t="str">
        <x:v>EEZ_361</x:v>
      </x:c>
      <x:c r="B24" s="24" t="str">
        <x:v>Indonesia (Eastern)</x:v>
      </x:c>
      <x:c r="C24" s="24" t="str">
        <x:v>EEZ</x:v>
      </x:c>
      <x:c r="D24" s="30" t="n">
        <x:v>2019</x:v>
      </x:c>
      <x:c r="E24" s="24" t="str">
        <x:v>Leiognathus</x:v>
      </x:c>
      <x:c r="F24" s="24" t="str">
        <x:v>Ponyfishes</x:v>
      </x:c>
      <x:c r="G24" s="24" t="str">
        <x:v>Small benthopelagics (&lt;30 cm)</x:v>
      </x:c>
      <x:c r="H24" s="24" t="str">
        <x:v>Perch-likes</x:v>
      </x:c>
      <x:c r="I24" s="31" t="n">
        <x:v>44007.2933776657</x:v>
      </x:c>
      <x:c r="J24" s="31" t="n">
        <x:v>33876.864973980104</x:v>
      </x:c>
      <x:c r="K24" s="31" t="n">
        <x:v>10130.428403685599</x:v>
      </x:c>
      <x:c r="L24" s="31" t="n">
        <x:v>31899.762813141602</x:v>
      </x:c>
      <x:c r="M24" s="31" t="n">
        <x:v>12107.530564524099</x:v>
      </x:c>
      <x:c r="N24" s="24" t="str">
        <x:v>leiognathus</x:v>
      </x:c>
      <x:c r="O24" s="32" t="n">
        <x:v>3.22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Leiognathus</x:v>
      </x:c>
      <x:c r="T24" s="32" t="n">
        <x:f>IF(O24="","",(1/'Metadata'!$B$5)^(O24-1))</x:f>
        <x:v>165.95869074375614</x:v>
      </x:c>
      <x:c r="U24" s="31" t="n">
        <x:f>IF(T24="","",I24*T24)</x:f>
        <x:v>7303392.79213377</x:v>
      </x:c>
    </x:row>
    <x:row r="25" ht="18" customHeight="1">
      <x:c r="A25" s="24" t="str">
        <x:v>EEZ_361</x:v>
      </x:c>
      <x:c r="B25" s="24" t="str">
        <x:v>Indonesia (Eastern)</x:v>
      </x:c>
      <x:c r="C25" s="24" t="str">
        <x:v>EEZ</x:v>
      </x:c>
      <x:c r="D25" s="30" t="n">
        <x:v>2019</x:v>
      </x:c>
      <x:c r="E25" s="24" t="str">
        <x:v>Cephalopholis boenak</x:v>
      </x:c>
      <x:c r="F25" s="24" t="str">
        <x:v>Chocolate hind</x:v>
      </x:c>
      <x:c r="G25" s="24" t="str">
        <x:v>Small reef assoc. fish (&lt;30 cm)</x:v>
      </x:c>
      <x:c r="H25" s="24" t="str">
        <x:v>Perch-likes</x:v>
      </x:c>
      <x:c r="I25" s="31" t="n">
        <x:v>43473.3123598018</x:v>
      </x:c>
      <x:c r="J25" s="31" t="n">
        <x:v>38328.861163912996</x:v>
      </x:c>
      <x:c r="K25" s="31" t="n">
        <x:v>5144.4511958888</x:v>
      </x:c>
      <x:c r="L25" s="31" t="n">
        <x:v>36815.4450118825</x:v>
      </x:c>
      <x:c r="M25" s="31" t="n">
        <x:v>6657.867347919299</x:v>
      </x:c>
      <x:c r="N25" s="24" t="str">
        <x:v>cephalopholis boenak</x:v>
      </x:c>
      <x:c r="O25" s="32" t="n">
        <x:v>4.07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Cephalopholis boenak</x:v>
      </x:c>
      <x:c r="T25" s="32" t="n">
        <x:f>IF(O25="","",(1/'Metadata'!$B$5)^(O25-1))</x:f>
        <x:v>1174.8975549395302</x:v>
      </x:c>
      <x:c r="U25" s="31" t="n">
        <x:f>IF(T25="","",I25*T25)</x:f>
        <x:v>51076688.39665359</x:v>
      </x:c>
    </x:row>
    <x:row r="26" ht="18" customHeight="1">
      <x:c r="A26" s="24" t="str">
        <x:v>EEZ_361</x:v>
      </x:c>
      <x:c r="B26" s="24" t="str">
        <x:v>Indonesia (Eastern)</x:v>
      </x:c>
      <x:c r="C26" s="24" t="str">
        <x:v>EEZ</x:v>
      </x:c>
      <x:c r="D26" s="30" t="n">
        <x:v>2019</x:v>
      </x:c>
      <x:c r="E26" s="24" t="str">
        <x:v>Penaeus indicus</x:v>
      </x:c>
      <x:c r="F26" s="24" t="str">
        <x:v>Indian white prawn</x:v>
      </x:c>
      <x:c r="G26" s="24" t="str">
        <x:v>Shrimps</x:v>
      </x:c>
      <x:c r="H26" s="24" t="str">
        <x:v>Crustaceans</x:v>
      </x:c>
      <x:c r="I26" s="31" t="n">
        <x:v>38572.9653191204</x:v>
      </x:c>
      <x:c r="J26" s="31" t="n">
        <x:v>37709.5730520538</x:v>
      </x:c>
      <x:c r="K26" s="31" t="n">
        <x:v>863.3922670666</x:v>
      </x:c>
      <x:c r="L26" s="31" t="n">
        <x:v>37709.5730520538</x:v>
      </x:c>
      <x:c r="M26" s="31" t="n">
        <x:v>863.3922670666</x:v>
      </x:c>
      <x:c r="N26" s="24" t="str">
        <x:v>penaeus indicus</x:v>
      </x:c>
      <x:c r="O26" s="32" t="n">
        <x:v>2.7</x:v>
      </x:c>
      <x:c r="P26" s="24" t="str">
        <x:v>exact_sea_around_us</x:v>
      </x:c>
      <x:c r="Q26" s="32" t="str">
        <x:v>Sea Around Us exploited organisms</x:v>
      </x:c>
      <x:c r="R26" s="24" t="str">
        <x:v>high</x:v>
      </x:c>
      <x:c r="S26" s="24" t="str">
        <x:v>Penaeus indicus</x:v>
      </x:c>
      <x:c r="T26" s="32" t="n">
        <x:f>IF(O26="","",(1/'Metadata'!$B$5)^(O26-1))</x:f>
        <x:v>50.11872336272725</x:v>
      </x:c>
      <x:c r="U26" s="31" t="n">
        <x:f>IF(T26="","",I26*T26)</x:f>
        <x:v>1933227.7781090676</x:v>
      </x:c>
    </x:row>
    <x:row r="27" ht="18" customHeight="1">
      <x:c r="A27" s="24" t="str">
        <x:v>EEZ_361</x:v>
      </x:c>
      <x:c r="B27" s="24" t="str">
        <x:v>Indonesia (Eastern)</x:v>
      </x:c>
      <x:c r="C27" s="24" t="str">
        <x:v>EEZ</x:v>
      </x:c>
      <x:c r="D27" s="30" t="n">
        <x:v>2019</x:v>
      </x:c>
      <x:c r="E27" s="24" t="str">
        <x:v>Parastromateus niger</x:v>
      </x:c>
      <x:c r="F27" s="24" t="str">
        <x:v>Black pomfret</x:v>
      </x:c>
      <x:c r="G27" s="24" t="str">
        <x:v>Medium benthopelagics (30 - 89 cm)</x:v>
      </x:c>
      <x:c r="H27" s="24" t="str">
        <x:v>Perch-likes</x:v>
      </x:c>
      <x:c r="I27" s="31" t="n">
        <x:v>38342.856974101596</x:v>
      </x:c>
      <x:c r="J27" s="31" t="n">
        <x:v>38154.4121386782</x:v>
      </x:c>
      <x:c r="K27" s="31" t="n">
        <x:v>188.4448354234</x:v>
      </x:c>
      <x:c r="L27" s="31" t="n">
        <x:v>37225.6308262287</x:v>
      </x:c>
      <x:c r="M27" s="31" t="n">
        <x:v>1117.2261478729</x:v>
      </x:c>
      <x:c r="N27" s="24" t="str">
        <x:v>parastromateus niger</x:v>
      </x:c>
      <x:c r="O27" s="32" t="n">
        <x:v>2.93</x:v>
      </x:c>
      <x:c r="P27" s="24" t="str">
        <x:v>exact_2020_supplement</x:v>
      </x:c>
      <x:c r="Q27" s="32" t="str">
        <x:v>2020 supplement MeanTL</x:v>
      </x:c>
      <x:c r="R27" s="24" t="str">
        <x:v>high</x:v>
      </x:c>
      <x:c r="S27" s="24" t="str">
        <x:v>Parastromateus niger</x:v>
      </x:c>
      <x:c r="T27" s="32" t="n">
        <x:f>IF(O27="","",(1/'Metadata'!$B$5)^(O27-1))</x:f>
        <x:v>85.11380382023768</x:v>
      </x:c>
      <x:c r="U27" s="31" t="n">
        <x:f>IF(T27="","",I27*T27)</x:f>
        <x:v>3263506.4064011155</x:v>
      </x:c>
    </x:row>
    <x:row r="28" ht="18" customHeight="1">
      <x:c r="A28" s="24" t="str">
        <x:v>EEZ_361</x:v>
      </x:c>
      <x:c r="B28" s="24" t="str">
        <x:v>Indonesia (Eastern)</x:v>
      </x:c>
      <x:c r="C28" s="24" t="str">
        <x:v>EEZ</x:v>
      </x:c>
      <x:c r="D28" s="30" t="n">
        <x:v>2019</x:v>
      </x:c>
      <x:c r="E28" s="24" t="str">
        <x:v>Mollusca</x:v>
      </x:c>
      <x:c r="F28" s="24" t="str">
        <x:v>Clams, seasnails, squids, octopuses</x:v>
      </x:c>
      <x:c r="G28" s="24" t="str">
        <x:v>Other demersal invertebrates</x:v>
      </x:c>
      <x:c r="H28" s="24" t="str">
        <x:v>Molluscs</x:v>
      </x:c>
      <x:c r="I28" s="31" t="n">
        <x:v>34474.5282483449</x:v>
      </x:c>
      <x:c r="J28" s="31" t="n">
        <x:v>33977.1990533095</x:v>
      </x:c>
      <x:c r="K28" s="31" t="n">
        <x:v>497.3291950354</x:v>
      </x:c>
      <x:c r="L28" s="31" t="n">
        <x:v>31967.8931486339</x:v>
      </x:c>
      <x:c r="M28" s="31" t="n">
        <x:v>2506.635099711</x:v>
      </x:c>
      <x:c r="N28" s="24" t="str">
        <x:v>mollusca</x:v>
      </x:c>
      <x:c r="O28" s="32" t="n">
        <x:v>2.1</x:v>
      </x:c>
      <x:c r="P28" s="24" t="str">
        <x:v>exact_sea_around_us</x:v>
      </x:c>
      <x:c r="Q28" s="32" t="str">
        <x:v>Sea Around Us exploited organisms</x:v>
      </x:c>
      <x:c r="R28" s="24" t="str">
        <x:v>high</x:v>
      </x:c>
      <x:c r="S28" s="24" t="str">
        <x:v>Mollusca</x:v>
      </x:c>
      <x:c r="T28" s="32" t="n">
        <x:f>IF(O28="","",(1/'Metadata'!$B$5)^(O28-1))</x:f>
        <x:v>12.589254117941675</x:v>
      </x:c>
      <x:c r="U28" s="31" t="n">
        <x:f>IF(T28="","",I28*T28)</x:f>
        <x:v>434008.5967145726</x:v>
      </x:c>
    </x:row>
    <x:row r="29" ht="18" customHeight="1">
      <x:c r="A29" s="24" t="str">
        <x:v>EEZ_361</x:v>
      </x:c>
      <x:c r="B29" s="24" t="str">
        <x:v>Indonesia (Eastern)</x:v>
      </x:c>
      <x:c r="C29" s="24" t="str">
        <x:v>EEZ</x:v>
      </x:c>
      <x:c r="D29" s="30" t="n">
        <x:v>2019</x:v>
      </x:c>
      <x:c r="E29" s="24" t="str">
        <x:v>Mugilidae</x:v>
      </x:c>
      <x:c r="F29" s="24" t="str">
        <x:v>Mullets, grey mullets</x:v>
      </x:c>
      <x:c r="G29" s="24" t="str">
        <x:v>Medium reef assoc. fish (30 - 89 cm)</x:v>
      </x:c>
      <x:c r="H29" s="24" t="str">
        <x:v>Perch-likes</x:v>
      </x:c>
      <x:c r="I29" s="31" t="n">
        <x:v>32958.9252936551</x:v>
      </x:c>
      <x:c r="J29" s="31" t="n">
        <x:v>26841.427739447903</x:v>
      </x:c>
      <x:c r="K29" s="31" t="n">
        <x:v>6117.4975542072</x:v>
      </x:c>
      <x:c r="L29" s="31" t="n">
        <x:v>25415.967780742103</x:v>
      </x:c>
      <x:c r="M29" s="31" t="n">
        <x:v>7542.957512913</x:v>
      </x:c>
      <x:c r="N29" s="24" t="str">
        <x:v>mugilidae</x:v>
      </x:c>
      <x:c r="O29" s="32" t="n">
        <x:v>2.53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Mugilidae</x:v>
      </x:c>
      <x:c r="T29" s="32" t="n">
        <x:f>IF(O29="","",(1/'Metadata'!$B$5)^(O29-1))</x:f>
        <x:v>33.88441561392024</x:v>
      </x:c>
      <x:c r="U29" s="31" t="n">
        <x:f>IF(T29="","",I29*T29)</x:f>
        <x:v>1116793.9228383575</x:v>
      </x:c>
    </x:row>
    <x:row r="30" ht="18" customHeight="1">
      <x:c r="A30" s="24" t="str">
        <x:v>EEZ_361</x:v>
      </x:c>
      <x:c r="B30" s="24" t="str">
        <x:v>Indonesia (Eastern)</x:v>
      </x:c>
      <x:c r="C30" s="24" t="str">
        <x:v>EEZ</x:v>
      </x:c>
      <x:c r="D30" s="30" t="n">
        <x:v>2019</x:v>
      </x:c>
      <x:c r="E30" s="24" t="str">
        <x:v>Megalaspis cordyla</x:v>
      </x:c>
      <x:c r="F30" s="24" t="str">
        <x:v>Torpedo scad</x:v>
      </x:c>
      <x:c r="G30" s="24" t="str">
        <x:v>Medium pelagics (30 - 89 cm)</x:v>
      </x:c>
      <x:c r="H30" s="24" t="str">
        <x:v>Perch-likes</x:v>
      </x:c>
      <x:c r="I30" s="31" t="n">
        <x:v>32053.4119273209</x:v>
      </x:c>
      <x:c r="J30" s="31" t="n">
        <x:v>31947.0190252823</x:v>
      </x:c>
      <x:c r="K30" s="31" t="n">
        <x:v>106.3929020386</x:v>
      </x:c>
      <x:c r="L30" s="31" t="n">
        <x:v>31379.2387002996</x:v>
      </x:c>
      <x:c r="M30" s="31" t="n">
        <x:v>674.1732270213</x:v>
      </x:c>
      <x:c r="N30" s="24" t="str">
        <x:v>megalaspis cordyla</x:v>
      </x:c>
      <x:c r="O30" s="32" t="n">
        <x:v>4.24</x:v>
      </x:c>
      <x:c r="P30" s="24" t="str">
        <x:v>exact_2020_supplement</x:v>
      </x:c>
      <x:c r="Q30" s="32" t="str">
        <x:v>2020 supplement MeanTL</x:v>
      </x:c>
      <x:c r="R30" s="24" t="str">
        <x:v>high</x:v>
      </x:c>
      <x:c r="S30" s="24" t="str">
        <x:v>Megalaspis cordyla</x:v>
      </x:c>
      <x:c r="T30" s="32" t="n">
        <x:f>IF(O30="","",(1/'Metadata'!$B$5)^(O30-1))</x:f>
        <x:v>1737.8008287493763</x:v>
      </x:c>
      <x:c r="U30" s="31" t="n">
        <x:f>IF(T30="","",I30*T30)</x:f>
        <x:v>55702445.8115434</x:v>
      </x:c>
    </x:row>
    <x:row r="31" ht="18" customHeight="1">
      <x:c r="A31" s="24" t="str">
        <x:v>EEZ_361</x:v>
      </x:c>
      <x:c r="B31" s="24" t="str">
        <x:v>Indonesia (Eastern)</x:v>
      </x:c>
      <x:c r="C31" s="24" t="str">
        <x:v>EEZ</x:v>
      </x:c>
      <x:c r="D31" s="30" t="n">
        <x:v>2019</x:v>
      </x:c>
      <x:c r="E31" s="24" t="str">
        <x:v>Pampus argenteus</x:v>
      </x:c>
      <x:c r="F31" s="24" t="str">
        <x:v>Silver pomfret</x:v>
      </x:c>
      <x:c r="G31" s="24" t="str">
        <x:v>Medium benthopelagics (30 - 89 cm)</x:v>
      </x:c>
      <x:c r="H31" s="24" t="str">
        <x:v>Perch-likes</x:v>
      </x:c>
      <x:c r="I31" s="31" t="n">
        <x:v>30328.2203223246</x:v>
      </x:c>
      <x:c r="J31" s="31" t="n">
        <x:v>30196.9603227558</x:v>
      </x:c>
      <x:c r="K31" s="31" t="n">
        <x:v>131.2599995688</x:v>
      </x:c>
      <x:c r="L31" s="31" t="n">
        <x:v>29543.792589155797</x:v>
      </x:c>
      <x:c r="M31" s="31" t="n">
        <x:v>784.4277331688</x:v>
      </x:c>
      <x:c r="N31" s="24" t="str">
        <x:v>pampus argenteus</x:v>
      </x:c>
      <x:c r="O31" s="32" t="n">
        <x:v>3.3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Pampus argenteus</x:v>
      </x:c>
      <x:c r="T31" s="32" t="n">
        <x:f>IF(O31="","",(1/'Metadata'!$B$5)^(O31-1))</x:f>
        <x:v>199.52623149688787</x:v>
      </x:c>
      <x:c r="U31" s="31" t="n">
        <x:f>IF(T31="","",I31*T31)</x:f>
        <x:v>6051275.508920757</x:v>
      </x:c>
    </x:row>
    <x:row r="32" ht="18" customHeight="1">
      <x:c r="A32" s="24" t="str">
        <x:v>EEZ_361</x:v>
      </x:c>
      <x:c r="B32" s="24" t="str">
        <x:v>Indonesia (Eastern)</x:v>
      </x:c>
      <x:c r="C32" s="24" t="str">
        <x:v>EEZ</x:v>
      </x:c>
      <x:c r="D32" s="30" t="n">
        <x:v>2019</x:v>
      </x:c>
      <x:c r="E32" s="24" t="str">
        <x:v>Polynemidae</x:v>
      </x:c>
      <x:c r="F32" s="24" t="str">
        <x:v>Threadfins</x:v>
      </x:c>
      <x:c r="G32" s="24" t="str">
        <x:v>Small demersals (&lt;30 cm)</x:v>
      </x:c>
      <x:c r="H32" s="24" t="str">
        <x:v>Perch-likes</x:v>
      </x:c>
      <x:c r="I32" s="31" t="n">
        <x:v>29736.192439561095</x:v>
      </x:c>
      <x:c r="J32" s="31" t="n">
        <x:v>24528.3247154752</x:v>
      </x:c>
      <x:c r="K32" s="31" t="n">
        <x:v>5207.8677240859</x:v>
      </x:c>
      <x:c r="L32" s="31" t="n">
        <x:v>23303.371316254998</x:v>
      </x:c>
      <x:c r="M32" s="31" t="n">
        <x:v>6432.821123306099</x:v>
      </x:c>
      <x:c r="N32" s="24" t="str">
        <x:v>polynemidae</x:v>
      </x:c>
      <x:c r="O32" s="32" t="n">
        <x:v>3.62</x:v>
      </x:c>
      <x:c r="P32" s="24" t="str">
        <x:v>exact_sea_around_us</x:v>
      </x:c>
      <x:c r="Q32" s="32" t="str">
        <x:v>Sea Around Us exploited organisms</x:v>
      </x:c>
      <x:c r="R32" s="24" t="str">
        <x:v>high</x:v>
      </x:c>
      <x:c r="S32" s="24" t="str">
        <x:v>Polynemidae</x:v>
      </x:c>
      <x:c r="T32" s="32" t="n">
        <x:f>IF(O32="","",(1/'Metadata'!$B$5)^(O32-1))</x:f>
        <x:v>416.8693834703355</x:v>
      </x:c>
      <x:c r="U32" s="31" t="n">
        <x:f>IF(T32="","",I32*T32)</x:f>
        <x:v>12396108.209035086</x:v>
      </x:c>
    </x:row>
    <x:row r="33" ht="18" customHeight="1">
      <x:c r="A33" s="24" t="str">
        <x:v>EEZ_361</x:v>
      </x:c>
      <x:c r="B33" s="24" t="str">
        <x:v>Indonesia (Eastern)</x:v>
      </x:c>
      <x:c r="C33" s="24" t="str">
        <x:v>EEZ</x:v>
      </x:c>
      <x:c r="D33" s="30" t="n">
        <x:v>2019</x:v>
      </x:c>
      <x:c r="E33" s="24" t="str">
        <x:v>Penaeus</x:v>
      </x:c>
      <x:c r="F33" s="24" t="str">
        <x:v>Tiger prawns</x:v>
      </x:c>
      <x:c r="G33" s="24" t="str">
        <x:v>Shrimps</x:v>
      </x:c>
      <x:c r="H33" s="24" t="str">
        <x:v>Crustaceans</x:v>
      </x:c>
      <x:c r="I33" s="31" t="n">
        <x:v>24896.558309912</x:v>
      </x:c>
      <x:c r="J33" s="31" t="n">
        <x:v>24419.9098594825</x:v>
      </x:c>
      <x:c r="K33" s="31" t="n">
        <x:v>476.64845042950003</x:v>
      </x:c>
      <x:c r="L33" s="31" t="n">
        <x:v>24413.6837248662</x:v>
      </x:c>
      <x:c r="M33" s="31" t="n">
        <x:v>482.8745850458</x:v>
      </x:c>
      <x:c r="N33" s="24" t="str">
        <x:v>penaeus</x:v>
      </x:c>
      <x:c r="O33" s="32" t="n">
        <x:v>2.7</x:v>
      </x:c>
      <x:c r="P33" s="24" t="str">
        <x:v>exact_sea_around_us</x:v>
      </x:c>
      <x:c r="Q33" s="32" t="str">
        <x:v>Sea Around Us exploited organisms</x:v>
      </x:c>
      <x:c r="R33" s="24" t="str">
        <x:v>high</x:v>
      </x:c>
      <x:c r="S33" s="24" t="str">
        <x:v>Penaeus</x:v>
      </x:c>
      <x:c r="T33" s="32" t="n">
        <x:f>IF(O33="","",(1/'Metadata'!$B$5)^(O33-1))</x:f>
        <x:v>50.11872336272725</x:v>
      </x:c>
      <x:c r="U33" s="31" t="n">
        <x:f>IF(T33="","",I33*T33)</x:f>
        <x:v>1247783.718618488</x:v>
      </x:c>
    </x:row>
    <x:row r="34" ht="18" customHeight="1">
      <x:c r="A34" s="24" t="str">
        <x:v>EEZ_361</x:v>
      </x:c>
      <x:c r="B34" s="24" t="str">
        <x:v>Indonesia (Eastern)</x:v>
      </x:c>
      <x:c r="C34" s="24" t="str">
        <x:v>EEZ</x:v>
      </x:c>
      <x:c r="D34" s="30" t="n">
        <x:v>2019</x:v>
      </x:c>
      <x:c r="E34" s="24" t="str">
        <x:v>Carcharhinidae</x:v>
      </x:c>
      <x:c r="F34" s="24" t="str">
        <x:v>Requiem sharks</x:v>
      </x:c>
      <x:c r="G34" s="24" t="str">
        <x:v>Large sharks (&gt;=90 cm)</x:v>
      </x:c>
      <x:c r="H34" s="24" t="str">
        <x:v>Sharks &amp; rays</x:v>
      </x:c>
      <x:c r="I34" s="31" t="n">
        <x:v>18746.453754508</x:v>
      </x:c>
      <x:c r="J34" s="31" t="n">
        <x:v>15880.337440515601</x:v>
      </x:c>
      <x:c r="K34" s="31" t="n">
        <x:v>2866.1163139923997</x:v>
      </x:c>
      <x:c r="L34" s="31" t="n">
        <x:v>15010.9433201192</x:v>
      </x:c>
      <x:c r="M34" s="31" t="n">
        <x:v>3735.5104343887997</x:v>
      </x:c>
      <x:c r="N34" s="24" t="str">
        <x:v>carcharhinidae</x:v>
      </x:c>
      <x:c r="O34" s="32" t="n">
        <x:v>4.24</x:v>
      </x:c>
      <x:c r="P34" s="24" t="str">
        <x:v>exact_sea_around_us</x:v>
      </x:c>
      <x:c r="Q34" s="32" t="str">
        <x:v>Sea Around Us exploited organisms</x:v>
      </x:c>
      <x:c r="R34" s="24" t="str">
        <x:v>high</x:v>
      </x:c>
      <x:c r="S34" s="24" t="str">
        <x:v>Carcharhinidae</x:v>
      </x:c>
      <x:c r="T34" s="32" t="n">
        <x:f>IF(O34="","",(1/'Metadata'!$B$5)^(O34-1))</x:f>
        <x:v>1737.8008287493763</x:v>
      </x:c>
      <x:c r="U34" s="31" t="n">
        <x:f>IF(T34="","",I34*T34)</x:f>
        <x:v>32577602.870695855</x:v>
      </x:c>
    </x:row>
    <x:row r="35" ht="18" customHeight="1">
      <x:c r="A35" s="24" t="str">
        <x:v>EEZ_361</x:v>
      </x:c>
      <x:c r="B35" s="24" t="str">
        <x:v>Indonesia (Eastern)</x:v>
      </x:c>
      <x:c r="C35" s="24" t="str">
        <x:v>EEZ</x:v>
      </x:c>
      <x:c r="D35" s="30" t="n">
        <x:v>2019</x:v>
      </x:c>
      <x:c r="E35" s="24" t="str">
        <x:v>Siganus</x:v>
      </x:c>
      <x:c r="F35" s="24" t="str">
        <x:v>Spinefoots</x:v>
      </x:c>
      <x:c r="G35" s="24" t="str">
        <x:v>Medium reef assoc. fish (30 - 89 cm)</x:v>
      </x:c>
      <x:c r="H35" s="24" t="str">
        <x:v>Perch-likes</x:v>
      </x:c>
      <x:c r="I35" s="31" t="n">
        <x:v>18617.4043316898</x:v>
      </x:c>
      <x:c r="J35" s="31" t="n">
        <x:v>15275.4676972915</x:v>
      </x:c>
      <x:c r="K35" s="31" t="n">
        <x:v>3341.9366343983</x:v>
      </x:c>
      <x:c r="L35" s="31" t="n">
        <x:v>14716.514356414</x:v>
      </x:c>
      <x:c r="M35" s="31" t="n">
        <x:v>3900.8899752758</x:v>
      </x:c>
      <x:c r="N35" s="24" t="str">
        <x:v>siganus</x:v>
      </x:c>
      <x:c r="O35" s="32" t="n">
        <x:v>2.11</x:v>
      </x:c>
      <x:c r="P35" s="24" t="str">
        <x:v>exact_sea_around_us</x:v>
      </x:c>
      <x:c r="Q35" s="32" t="str">
        <x:v>Sea Around Us exploited organisms</x:v>
      </x:c>
      <x:c r="R35" s="24" t="str">
        <x:v>high</x:v>
      </x:c>
      <x:c r="S35" s="24" t="str">
        <x:v>Siganus</x:v>
      </x:c>
      <x:c r="T35" s="32" t="n">
        <x:f>IF(O35="","",(1/'Metadata'!$B$5)^(O35-1))</x:f>
        <x:v>12.882495516931336</x:v>
      </x:c>
      <x:c r="U35" s="31" t="n">
        <x:f>IF(T35="","",I35*T35)</x:f>
        <x:v>239838.62783989185</x:v>
      </x:c>
    </x:row>
    <x:row r="36" ht="18" customHeight="1">
      <x:c r="A36" s="24" t="str">
        <x:v>EEZ_361</x:v>
      </x:c>
      <x:c r="B36" s="24" t="str">
        <x:v>Indonesia (Eastern)</x:v>
      </x:c>
      <x:c r="C36" s="24" t="str">
        <x:v>EEZ</x:v>
      </x:c>
      <x:c r="D36" s="30" t="n">
        <x:v>2019</x:v>
      </x:c>
      <x:c r="E36" s="24" t="str">
        <x:v>Metapenaeus</x:v>
      </x:c>
      <x:c r="F36" s="24" t="str">
        <x:v>Indo-Pacific prawns</x:v>
      </x:c>
      <x:c r="G36" s="24" t="str">
        <x:v>Shrimps</x:v>
      </x:c>
      <x:c r="H36" s="24" t="str">
        <x:v>Crustaceans</x:v>
      </x:c>
      <x:c r="I36" s="31" t="n">
        <x:v>17262.3248033731</x:v>
      </x:c>
      <x:c r="J36" s="31" t="n">
        <x:v>17047.4011863513</x:v>
      </x:c>
      <x:c r="K36" s="31" t="n">
        <x:v>214.9236170218</x:v>
      </x:c>
      <x:c r="L36" s="31" t="n">
        <x:v>17043.406588698</x:v>
      </x:c>
      <x:c r="M36" s="31" t="n">
        <x:v>218.9182146751</x:v>
      </x:c>
      <x:c r="N36" s="24" t="str">
        <x:v>metapenaeus</x:v>
      </x:c>
      <x:c r="O36" s="32" t="n">
        <x:v>2.7</x:v>
      </x:c>
      <x:c r="P36" s="24" t="str">
        <x:v>exact_sea_around_us</x:v>
      </x:c>
      <x:c r="Q36" s="32" t="str">
        <x:v>Sea Around Us exploited organisms</x:v>
      </x:c>
      <x:c r="R36" s="24" t="str">
        <x:v>high</x:v>
      </x:c>
      <x:c r="S36" s="24" t="str">
        <x:v>Metapenaeus</x:v>
      </x:c>
      <x:c r="T36" s="32" t="n">
        <x:f>IF(O36="","",(1/'Metadata'!$B$5)^(O36-1))</x:f>
        <x:v>50.11872336272725</x:v>
      </x:c>
      <x:c r="U36" s="31" t="n">
        <x:f>IF(T36="","",I36*T36)</x:f>
        <x:v>865165.6814178015</x:v>
      </x:c>
    </x:row>
    <x:row r="37" ht="18" customHeight="1">
      <x:c r="A37" s="24" t="str">
        <x:v>EEZ_361</x:v>
      </x:c>
      <x:c r="B37" s="24" t="str">
        <x:v>Indonesia (Eastern)</x:v>
      </x:c>
      <x:c r="C37" s="24" t="str">
        <x:v>EEZ</x:v>
      </x:c>
      <x:c r="D37" s="30" t="n">
        <x:v>2019</x:v>
      </x:c>
      <x:c r="E37" s="24" t="str">
        <x:v>Dussumieria acuta</x:v>
      </x:c>
      <x:c r="F37" s="24" t="str">
        <x:v>Rainbow sardine</x:v>
      </x:c>
      <x:c r="G37" s="24" t="str">
        <x:v>Small pelagics (&lt;30 cm)</x:v>
      </x:c>
      <x:c r="H37" s="24" t="str">
        <x:v>Herring-likes</x:v>
      </x:c>
      <x:c r="I37" s="31" t="n">
        <x:v>17031.931921014002</x:v>
      </x:c>
      <x:c r="J37" s="31" t="n">
        <x:v>13412.6219119614</x:v>
      </x:c>
      <x:c r="K37" s="31" t="n">
        <x:v>3619.3100090526</x:v>
      </x:c>
      <x:c r="L37" s="31" t="n">
        <x:v>12571.2074000665</x:v>
      </x:c>
      <x:c r="M37" s="31" t="n">
        <x:v>4460.7245209474995</x:v>
      </x:c>
      <x:c r="N37" s="24" t="str">
        <x:v>dussumieria acuta</x:v>
      </x:c>
      <x:c r="O37" s="32" t="n">
        <x:v>3.4</x:v>
      </x:c>
      <x:c r="P37" s="24" t="str">
        <x:v>exact_2020_supplement</x:v>
      </x:c>
      <x:c r="Q37" s="32" t="str">
        <x:v>2020 supplement MeanTL</x:v>
      </x:c>
      <x:c r="R37" s="24" t="str">
        <x:v>high</x:v>
      </x:c>
      <x:c r="S37" s="24" t="str">
        <x:v>Dussumieria acuta</x:v>
      </x:c>
      <x:c r="T37" s="32" t="n">
        <x:f>IF(O37="","",(1/'Metadata'!$B$5)^(O37-1))</x:f>
        <x:v>251.18864315095797</x:v>
      </x:c>
      <x:c r="U37" s="31" t="n">
        <x:f>IF(T37="","",I37*T37)</x:f>
        <x:v>4278227.869478996</x:v>
      </x:c>
    </x:row>
    <x:row r="38" ht="18" customHeight="1">
      <x:c r="A38" s="24" t="str">
        <x:v>EEZ_361</x:v>
      </x:c>
      <x:c r="B38" s="24" t="str">
        <x:v>Indonesia (Eastern)</x:v>
      </x:c>
      <x:c r="C38" s="24" t="str">
        <x:v>EEZ</x:v>
      </x:c>
      <x:c r="D38" s="30" t="n">
        <x:v>2019</x:v>
      </x:c>
      <x:c r="E38" s="24" t="str">
        <x:v>Carangidae</x:v>
      </x:c>
      <x:c r="F38" s="24" t="str">
        <x:v>Jacks, pompanos</x:v>
      </x:c>
      <x:c r="G38" s="24" t="str">
        <x:v>Medium pelagics (30 - 89 cm)</x:v>
      </x:c>
      <x:c r="H38" s="24" t="str">
        <x:v>Perch-likes</x:v>
      </x:c>
      <x:c r="I38" s="31" t="n">
        <x:v>17010.054500609698</x:v>
      </x:c>
      <x:c r="J38" s="31" t="n">
        <x:v>16980.3102944057</x:v>
      </x:c>
      <x:c r="K38" s="31" t="n">
        <x:v>29.744206204</x:v>
      </x:c>
      <x:c r="L38" s="31" t="n">
        <x:v>2723.5091163884</x:v>
      </x:c>
      <x:c r="M38" s="31" t="n">
        <x:v>14286.5453842213</x:v>
      </x:c>
      <x:c r="N38" s="24" t="str">
        <x:v>carangidae</x:v>
      </x:c>
      <x:c r="O38" s="32" t="n">
        <x:v>4.05</x:v>
      </x:c>
      <x:c r="P38" s="24" t="str">
        <x:v>exact_sea_around_us</x:v>
      </x:c>
      <x:c r="Q38" s="32" t="str">
        <x:v>Sea Around Us exploited organisms</x:v>
      </x:c>
      <x:c r="R38" s="24" t="str">
        <x:v>high</x:v>
      </x:c>
      <x:c r="S38" s="24" t="str">
        <x:v>Carangidae</x:v>
      </x:c>
      <x:c r="T38" s="32" t="n">
        <x:f>IF(O38="","",(1/'Metadata'!$B$5)^(O38-1))</x:f>
        <x:v>1122.018454301963</x:v>
      </x:c>
      <x:c r="U38" s="31" t="n">
        <x:f>IF(T38="","",I38*T38)</x:f>
        <x:v>19085595.058366243</x:v>
      </x:c>
    </x:row>
    <x:row r="39" ht="18" customHeight="1">
      <x:c r="A39" s="24" t="str">
        <x:v>EEZ_361</x:v>
      </x:c>
      <x:c r="B39" s="24" t="str">
        <x:v>Indonesia (Eastern)</x:v>
      </x:c>
      <x:c r="C39" s="24" t="str">
        <x:v>EEZ</x:v>
      </x:c>
      <x:c r="D39" s="30" t="n">
        <x:v>2019</x:v>
      </x:c>
      <x:c r="E39" s="24" t="str">
        <x:v>Cypselurus poecilopterus</x:v>
      </x:c>
      <x:c r="F39" s="24" t="str">
        <x:v>Yellowing flyingfish</x:v>
      </x:c>
      <x:c r="G39" s="24" t="str">
        <x:v>Small pelagics (&lt;30 cm)</x:v>
      </x:c>
      <x:c r="H39" s="24" t="str">
        <x:v>Other fishes &amp; inverts</x:v>
      </x:c>
      <x:c r="I39" s="31" t="n">
        <x:v>16903.232571929</x:v>
      </x:c>
      <x:c r="J39" s="31" t="n">
        <x:v>15683.0973952715</x:v>
      </x:c>
      <x:c r="K39" s="31" t="n">
        <x:v>1220.1351766575</x:v>
      </x:c>
      <x:c r="L39" s="31" t="n">
        <x:v>14825.6947830481</x:v>
      </x:c>
      <x:c r="M39" s="31" t="n">
        <x:v>2077.5377888809</x:v>
      </x:c>
      <x:c r="N39" s="24" t="str">
        <x:v>cypselurus poecilopterus</x:v>
      </x:c>
      <x:c r="O39" s="32" t="n">
        <x:v>3.4</x:v>
      </x:c>
      <x:c r="P39" s="24" t="str">
        <x:v>exact_2020_supplement</x:v>
      </x:c>
      <x:c r="Q39" s="32" t="str">
        <x:v>2020 supplement MeanTL</x:v>
      </x:c>
      <x:c r="R39" s="24" t="str">
        <x:v>high</x:v>
      </x:c>
      <x:c r="S39" s="24" t="str">
        <x:v>Cypselurus poecilopterus</x:v>
      </x:c>
      <x:c r="T39" s="32" t="n">
        <x:f>IF(O39="","",(1/'Metadata'!$B$5)^(O39-1))</x:f>
        <x:v>251.18864315095797</x:v>
      </x:c>
      <x:c r="U39" s="31" t="n">
        <x:f>IF(T39="","",I39*T39)</x:f>
        <x:v>4245900.054607923</x:v>
      </x:c>
    </x:row>
    <x:row r="40" ht="18" customHeight="1">
      <x:c r="A40" s="24" t="str">
        <x:v>EEZ_361</x:v>
      </x:c>
      <x:c r="B40" s="24" t="str">
        <x:v>Indonesia (Eastern)</x:v>
      </x:c>
      <x:c r="C40" s="24" t="str">
        <x:v>EEZ</x:v>
      </x:c>
      <x:c r="D40" s="30" t="n">
        <x:v>2019</x:v>
      </x:c>
      <x:c r="E40" s="24" t="str">
        <x:v>Katsuwonus pelamis</x:v>
      </x:c>
      <x:c r="F40" s="24" t="str">
        <x:v>Skipjack tuna</x:v>
      </x:c>
      <x:c r="G40" s="24" t="str">
        <x:v>Large pelagics (&gt;=90 cm)</x:v>
      </x:c>
      <x:c r="H40" s="24" t="str">
        <x:v>Tuna &amp; billfishes</x:v>
      </x:c>
      <x:c r="I40" s="31" t="n">
        <x:v>14651.150044385298</x:v>
      </x:c>
      <x:c r="J40" s="31" t="n">
        <x:v>13539.201710294099</x:v>
      </x:c>
      <x:c r="K40" s="31" t="n">
        <x:v>1111.9483340912</x:v>
      </x:c>
      <x:c r="L40" s="31" t="n">
        <x:v>13539.201710294099</x:v>
      </x:c>
      <x:c r="M40" s="31" t="n">
        <x:v>1111.9483340912</x:v>
      </x:c>
      <x:c r="N40" s="24" t="str">
        <x:v>katsuwonus pelamis</x:v>
      </x:c>
      <x:c r="O40" s="32" t="n">
        <x:v>4.43</x:v>
      </x:c>
      <x:c r="P40" s="24" t="str">
        <x:v>exact_2020_supplement</x:v>
      </x:c>
      <x:c r="Q40" s="32" t="str">
        <x:v>2020 supplement MeanTL</x:v>
      </x:c>
      <x:c r="R40" s="24" t="str">
        <x:v>high</x:v>
      </x:c>
      <x:c r="S40" s="24" t="str">
        <x:v>Katsuwonus pelamis</x:v>
      </x:c>
      <x:c r="T40" s="32" t="n">
        <x:f>IF(O40="","",(1/'Metadata'!$B$5)^(O40-1))</x:f>
        <x:v>2691.534803926914</x:v>
      </x:c>
      <x:c r="U40" s="31" t="n">
        <x:f>IF(T40="","",I40*T40)</x:f>
        <x:v>39434080.262018375</x:v>
      </x:c>
    </x:row>
    <x:row r="41" ht="18" customHeight="1">
      <x:c r="A41" s="24" t="str">
        <x:v>EEZ_361</x:v>
      </x:c>
      <x:c r="B41" s="24" t="str">
        <x:v>Indonesia (Eastern)</x:v>
      </x:c>
      <x:c r="C41" s="24" t="str">
        <x:v>EEZ</x:v>
      </x:c>
      <x:c r="D41" s="30" t="n">
        <x:v>2019</x:v>
      </x:c>
      <x:c r="E41" s="24" t="str">
        <x:v>Euthynnus affinis</x:v>
      </x:c>
      <x:c r="F41" s="24" t="str">
        <x:v>Kawakawa</x:v>
      </x:c>
      <x:c r="G41" s="24" t="str">
        <x:v>Large pelagics (&gt;=90 cm)</x:v>
      </x:c>
      <x:c r="H41" s="24" t="str">
        <x:v>Tuna &amp; billfishes</x:v>
      </x:c>
      <x:c r="I41" s="31" t="n">
        <x:v>10400.2506708039</x:v>
      </x:c>
      <x:c r="J41" s="31" t="n">
        <x:v>8932.562952494</x:v>
      </x:c>
      <x:c r="K41" s="31" t="n">
        <x:v>1467.6877183099</x:v>
      </x:c>
      <x:c r="L41" s="31" t="n">
        <x:v>8932.562952494</x:v>
      </x:c>
      <x:c r="M41" s="31" t="n">
        <x:v>1467.6877183099</x:v>
      </x:c>
      <x:c r="N41" s="24" t="str">
        <x:v>euthynnus affinis</x:v>
      </x:c>
      <x:c r="O41" s="32" t="n">
        <x:v>4.5</x:v>
      </x:c>
      <x:c r="P41" s="24" t="str">
        <x:v>exact_2020_supplement</x:v>
      </x:c>
      <x:c r="Q41" s="32" t="str">
        <x:v>2020 supplement MeanTL</x:v>
      </x:c>
      <x:c r="R41" s="24" t="str">
        <x:v>high</x:v>
      </x:c>
      <x:c r="S41" s="24" t="str">
        <x:v>Euthynnus affinis</x:v>
      </x:c>
      <x:c r="T41" s="32" t="n">
        <x:f>IF(O41="","",(1/'Metadata'!$B$5)^(O41-1))</x:f>
        <x:v>3162.2776601683795</x:v>
      </x:c>
      <x:c r="U41" s="31" t="n">
        <x:f>IF(T41="","",I41*T41)</x:f>
        <x:v>32888480.356434375</x:v>
      </x:c>
    </x:row>
    <x:row r="42" ht="18" customHeight="1">
      <x:c r="A42" s="24" t="str">
        <x:v>EEZ_361</x:v>
      </x:c>
      <x:c r="B42" s="24" t="str">
        <x:v>Indonesia (Eastern)</x:v>
      </x:c>
      <x:c r="C42" s="24" t="str">
        <x:v>EEZ</x:v>
      </x:c>
      <x:c r="D42" s="30" t="n">
        <x:v>2019</x:v>
      </x:c>
      <x:c r="E42" s="24" t="str">
        <x:v>Thunnus albacares</x:v>
      </x:c>
      <x:c r="F42" s="24" t="str">
        <x:v>Yellowfin tuna</x:v>
      </x:c>
      <x:c r="G42" s="24" t="str">
        <x:v>Large pelagics (&gt;=90 cm)</x:v>
      </x:c>
      <x:c r="H42" s="24" t="str">
        <x:v>Tuna &amp; billfishes</x:v>
      </x:c>
      <x:c r="I42" s="31" t="n">
        <x:v>10168.119222246101</x:v>
      </x:c>
      <x:c r="J42" s="31" t="n">
        <x:v>9572.8100648545</x:v>
      </x:c>
      <x:c r="K42" s="31" t="n">
        <x:v>595.3091573916</x:v>
      </x:c>
      <x:c r="L42" s="31" t="n">
        <x:v>9572.8100648545</x:v>
      </x:c>
      <x:c r="M42" s="31" t="n">
        <x:v>595.3091573916</x:v>
      </x:c>
      <x:c r="N42" s="24" t="str">
        <x:v>thunnus albacares</x:v>
      </x:c>
      <x:c r="O42" s="32" t="n">
        <x:v>4.41</x:v>
      </x:c>
      <x:c r="P42" s="24" t="str">
        <x:v>exact_2020_supplement</x:v>
      </x:c>
      <x:c r="Q42" s="32" t="str">
        <x:v>2020 supplement MeanTL</x:v>
      </x:c>
      <x:c r="R42" s="24" t="str">
        <x:v>high</x:v>
      </x:c>
      <x:c r="S42" s="24" t="str">
        <x:v>Thunnus albacares</x:v>
      </x:c>
      <x:c r="T42" s="32" t="n">
        <x:f>IF(O42="","",(1/'Metadata'!$B$5)^(O42-1))</x:f>
        <x:v>2570.3957827688646</x:v>
      </x:c>
      <x:c r="U42" s="31" t="n">
        <x:f>IF(T42="","",I42*T42)</x:f>
        <x:v>26136090.767552406</x:v>
      </x:c>
    </x:row>
    <x:row r="43" ht="18" customHeight="1">
      <x:c r="A43" s="24" t="str">
        <x:v>EEZ_361</x:v>
      </x:c>
      <x:c r="B43" s="24" t="str">
        <x:v>Indonesia (Eastern)</x:v>
      </x:c>
      <x:c r="C43" s="24" t="str">
        <x:v>EEZ</x:v>
      </x:c>
      <x:c r="D43" s="30" t="n">
        <x:v>2019</x:v>
      </x:c>
      <x:c r="E43" s="24" t="str">
        <x:v>Tegillarca granosa</x:v>
      </x:c>
      <x:c r="F43" s="24" t="str">
        <x:v>Granular ark</x:v>
      </x:c>
      <x:c r="G43" s="24" t="str">
        <x:v>Other demersal invertebrates</x:v>
      </x:c>
      <x:c r="H43" s="24" t="str">
        <x:v>Molluscs</x:v>
      </x:c>
      <x:c r="I43" s="31" t="n">
        <x:v>10035.7960505263</x:v>
      </x:c>
      <x:c r="J43" s="31" t="n">
        <x:v>9955.7626202637</x:v>
      </x:c>
      <x:c r="K43" s="31" t="n">
        <x:v>80.03343026259999</x:v>
      </x:c>
      <x:c r="L43" s="31" t="n">
        <x:v>9955.7626202637</x:v>
      </x:c>
      <x:c r="M43" s="31" t="n">
        <x:v>80.03343026259999</x:v>
      </x:c>
      <x:c r="N43" s="24" t="str">
        <x:v>tegillarca granosa</x:v>
      </x:c>
      <x:c r="O43" s="32" t="n">
        <x:v>2</x:v>
      </x:c>
      <x:c r="P43" s="24" t="str">
        <x:v>exact_2020_supplement</x:v>
      </x:c>
      <x:c r="Q43" s="32" t="str">
        <x:v>2020 supplement MeanTL</x:v>
      </x:c>
      <x:c r="R43" s="24" t="str">
        <x:v>high</x:v>
      </x:c>
      <x:c r="S43" s="24" t="str">
        <x:v>Tegillarca granosa</x:v>
      </x:c>
      <x:c r="T43" s="32" t="n">
        <x:f>IF(O43="","",(1/'Metadata'!$B$5)^(O43-1))</x:f>
        <x:v>10</x:v>
      </x:c>
      <x:c r="U43" s="31" t="n">
        <x:f>IF(T43="","",I43*T43)</x:f>
        <x:v>100357.960505263</x:v>
      </x:c>
    </x:row>
    <x:row r="44" ht="18" customHeight="1">
      <x:c r="A44" s="24" t="str">
        <x:v>EEZ_361</x:v>
      </x:c>
      <x:c r="B44" s="24" t="str">
        <x:v>Indonesia (Eastern)</x:v>
      </x:c>
      <x:c r="C44" s="24" t="str">
        <x:v>EEZ</x:v>
      </x:c>
      <x:c r="D44" s="30" t="n">
        <x:v>2019</x:v>
      </x:c>
      <x:c r="E44" s="24" t="str">
        <x:v>Scomberomorus guttatus</x:v>
      </x:c>
      <x:c r="F44" s="24" t="str">
        <x:v>Indo-Pacific king mackerel</x:v>
      </x:c>
      <x:c r="G44" s="24" t="str">
        <x:v>Medium pelagics (30 - 89 cm)</x:v>
      </x:c>
      <x:c r="H44" s="24" t="str">
        <x:v>Perch-likes</x:v>
      </x:c>
      <x:c r="I44" s="31" t="n">
        <x:v>6879.8801584998</x:v>
      </x:c>
      <x:c r="J44" s="31" t="n">
        <x:v>6771.3433023923</x:v>
      </x:c>
      <x:c r="K44" s="31" t="n">
        <x:v>108.5368561075</x:v>
      </x:c>
      <x:c r="L44" s="31" t="n">
        <x:v>6244.9716016134</x:v>
      </x:c>
      <x:c r="M44" s="31" t="n">
        <x:v>634.9085568864001</x:v>
      </x:c>
      <x:c r="N44" s="24" t="str">
        <x:v>scomberomorus guttatus</x:v>
      </x:c>
      <x:c r="O44" s="32" t="n">
        <x:v>4.28</x:v>
      </x:c>
      <x:c r="P44" s="24" t="str">
        <x:v>exact_2020_supplement</x:v>
      </x:c>
      <x:c r="Q44" s="32" t="str">
        <x:v>2020 supplement MeanTL</x:v>
      </x:c>
      <x:c r="R44" s="24" t="str">
        <x:v>high</x:v>
      </x:c>
      <x:c r="S44" s="24" t="str">
        <x:v>Scomberomorus guttatus</x:v>
      </x:c>
      <x:c r="T44" s="32" t="n">
        <x:f>IF(O44="","",(1/'Metadata'!$B$5)^(O44-1))</x:f>
        <x:v>1905.4607179632483</x:v>
      </x:c>
      <x:c r="U44" s="31" t="n">
        <x:f>IF(T44="","",I44*T44)</x:f>
        <x:v>13109341.386316136</x:v>
      </x:c>
    </x:row>
    <x:row r="45" ht="18" customHeight="1">
      <x:c r="A45" s="24" t="str">
        <x:v>EEZ_361</x:v>
      </x:c>
      <x:c r="B45" s="24" t="str">
        <x:v>Indonesia (Eastern)</x:v>
      </x:c>
      <x:c r="C45" s="24" t="str">
        <x:v>EEZ</x:v>
      </x:c>
      <x:c r="D45" s="30" t="n">
        <x:v>2019</x:v>
      </x:c>
      <x:c r="E45" s="24" t="str">
        <x:v>Chirocentrus dorab</x:v>
      </x:c>
      <x:c r="F45" s="24" t="str">
        <x:v>Dorab wolf-herring</x:v>
      </x:c>
      <x:c r="G45" s="24" t="str">
        <x:v>Large benthopelagics (&gt;=90 cm)</x:v>
      </x:c>
      <x:c r="H45" s="24" t="str">
        <x:v>Herring-likes</x:v>
      </x:c>
      <x:c r="I45" s="31" t="n">
        <x:v>6522.7420169628</x:v>
      </x:c>
      <x:c r="J45" s="31" t="n">
        <x:v>4579.5204884152</x:v>
      </x:c>
      <x:c r="K45" s="31" t="n">
        <x:v>1943.2215285476</x:v>
      </x:c>
      <x:c r="L45" s="31" t="n">
        <x:v>4217.317787949501</x:v>
      </x:c>
      <x:c r="M45" s="31" t="n">
        <x:v>2305.4242290133</x:v>
      </x:c>
      <x:c r="N45" s="24" t="str">
        <x:v>chirocentrus dorab</x:v>
      </x:c>
      <x:c r="O45" s="32" t="n">
        <x:v>4.2</x:v>
      </x:c>
      <x:c r="P45" s="24" t="str">
        <x:v>exact_2020_supplement</x:v>
      </x:c>
      <x:c r="Q45" s="32" t="str">
        <x:v>2020 supplement MeanTL</x:v>
      </x:c>
      <x:c r="R45" s="24" t="str">
        <x:v>high</x:v>
      </x:c>
      <x:c r="S45" s="24" t="str">
        <x:v>Chirocentrus dorab</x:v>
      </x:c>
      <x:c r="T45" s="32" t="n">
        <x:f>IF(O45="","",(1/'Metadata'!$B$5)^(O45-1))</x:f>
        <x:v>1584.893192461114</x:v>
      </x:c>
      <x:c r="U45" s="31" t="n">
        <x:f>IF(T45="","",I45*T45)</x:f>
        <x:v>10337849.418864418</x:v>
      </x:c>
    </x:row>
    <x:row r="46" ht="18" customHeight="1">
      <x:c r="A46" s="24" t="str">
        <x:v>EEZ_361</x:v>
      </x:c>
      <x:c r="B46" s="24" t="str">
        <x:v>Indonesia (Eastern)</x:v>
      </x:c>
      <x:c r="C46" s="24" t="str">
        <x:v>EEZ</x:v>
      </x:c>
      <x:c r="D46" s="30" t="n">
        <x:v>2019</x:v>
      </x:c>
      <x:c r="E46" s="24" t="str">
        <x:v>Engraulidae</x:v>
      </x:c>
      <x:c r="F46" s="24" t="str">
        <x:v>Anchovies, round herrings</x:v>
      </x:c>
      <x:c r="G46" s="24" t="str">
        <x:v>Small pelagics (&lt;30 cm)</x:v>
      </x:c>
      <x:c r="H46" s="24" t="str">
        <x:v>Anchovies</x:v>
      </x:c>
      <x:c r="I46" s="31" t="n">
        <x:v>5249.4518124454</x:v>
      </x:c>
      <x:c r="J46" s="31" t="n">
        <x:v>5249.4518124454</x:v>
      </x:c>
      <x:c r="K46" s="31" t="n">
        <x:v>0</x:v>
      </x:c>
      <x:c r="L46" s="31" t="n">
        <x:v>1657.3999459309</x:v>
      </x:c>
      <x:c r="M46" s="31" t="n">
        <x:v>3592.0518665145</x:v>
      </x:c>
      <x:c r="N46" s="24" t="str">
        <x:v>engraulidae</x:v>
      </x:c>
      <x:c r="O46" s="32" t="n">
        <x:v>3.2</x:v>
      </x:c>
      <x:c r="P46" s="24" t="str">
        <x:v>exact_sea_around_us</x:v>
      </x:c>
      <x:c r="Q46" s="32" t="str">
        <x:v>Sea Around Us exploited organisms</x:v>
      </x:c>
      <x:c r="R46" s="24" t="str">
        <x:v>high</x:v>
      </x:c>
      <x:c r="S46" s="24" t="str">
        <x:v>Engraulidae</x:v>
      </x:c>
      <x:c r="T46" s="32" t="n">
        <x:f>IF(O46="","",(1/'Metadata'!$B$5)^(O46-1))</x:f>
        <x:v>158.48931924611142</x:v>
      </x:c>
      <x:c r="U46" s="31" t="n">
        <x:f>IF(T46="","",I46*T46)</x:f>
        <x:v>831982.0441697371</x:v>
      </x:c>
    </x:row>
    <x:row r="47" ht="18" customHeight="1">
      <x:c r="A47" s="24" t="str">
        <x:v>EEZ_361</x:v>
      </x:c>
      <x:c r="B47" s="24" t="str">
        <x:v>Indonesia (Eastern)</x:v>
      </x:c>
      <x:c r="C47" s="24" t="str">
        <x:v>EEZ</x:v>
      </x:c>
      <x:c r="D47" s="30" t="n">
        <x:v>2019</x:v>
      </x:c>
      <x:c r="E47" s="24" t="str">
        <x:v>Acetes japonicus</x:v>
      </x:c>
      <x:c r="F47" s="24" t="str">
        <x:v>Akiami paste shrimp</x:v>
      </x:c>
      <x:c r="G47" s="24" t="str">
        <x:v>Shrimps</x:v>
      </x:c>
      <x:c r="H47" s="24" t="str">
        <x:v>Crustaceans</x:v>
      </x:c>
      <x:c r="I47" s="31" t="n">
        <x:v>4897.5445100725</x:v>
      </x:c>
      <x:c r="J47" s="31" t="n">
        <x:v>4710.7874586838</x:v>
      </x:c>
      <x:c r="K47" s="31" t="n">
        <x:v>186.7570513887</x:v>
      </x:c>
      <x:c r="L47" s="31" t="n">
        <x:v>4710.7874586838</x:v>
      </x:c>
      <x:c r="M47" s="31" t="n">
        <x:v>186.7570513887</x:v>
      </x:c>
      <x:c r="N47" s="24" t="str">
        <x:v>acetes japonicus</x:v>
      </x:c>
      <x:c r="O47" s="32" t="n">
        <x:v>2.54</x:v>
      </x:c>
      <x:c r="P47" s="24" t="str">
        <x:v>exact_sea_around_us</x:v>
      </x:c>
      <x:c r="Q47" s="32" t="str">
        <x:v>Sea Around Us exploited organisms</x:v>
      </x:c>
      <x:c r="R47" s="24" t="str">
        <x:v>high</x:v>
      </x:c>
      <x:c r="S47" s="24" t="str">
        <x:v>Acetes japonicus</x:v>
      </x:c>
      <x:c r="T47" s="32" t="n">
        <x:f>IF(O47="","",(1/'Metadata'!$B$5)^(O47-1))</x:f>
        <x:v>34.673685045253166</x:v>
      </x:c>
      <x:c r="U47" s="31" t="n">
        <x:f>IF(T47="","",I47*T47)</x:f>
        <x:v>169815.91583736258</x:v>
      </x:c>
    </x:row>
    <x:row r="48" ht="18" customHeight="1">
      <x:c r="A48" s="24" t="str">
        <x:v>EEZ_361</x:v>
      </x:c>
      <x:c r="B48" s="24" t="str">
        <x:v>Indonesia (Eastern)</x:v>
      </x:c>
      <x:c r="C48" s="24" t="str">
        <x:v>EEZ</x:v>
      </x:c>
      <x:c r="D48" s="30" t="n">
        <x:v>2019</x:v>
      </x:c>
      <x:c r="E48" s="24" t="str">
        <x:v>Scombridae</x:v>
      </x:c>
      <x:c r="F48" s="24" t="str">
        <x:v>Mackerels, tunas, bonitos</x:v>
      </x:c>
      <x:c r="G48" s="24" t="str">
        <x:v>Medium pelagics (30 - 89 cm)</x:v>
      </x:c>
      <x:c r="H48" s="24" t="str">
        <x:v>Perch-likes</x:v>
      </x:c>
      <x:c r="I48" s="31" t="n">
        <x:v>4512.4342820215</x:v>
      </x:c>
      <x:c r="J48" s="31" t="n">
        <x:v>4476.8265176834</x:v>
      </x:c>
      <x:c r="K48" s="31" t="n">
        <x:v>35.607764338100004</x:v>
      </x:c>
      <x:c r="L48" s="31" t="n">
        <x:v>1.8298275848999999</x:v>
      </x:c>
      <x:c r="M48" s="31" t="n">
        <x:v>4510.6044544366005</x:v>
      </x:c>
      <x:c r="N48" s="24" t="str">
        <x:v>scombridae</x:v>
      </x:c>
      <x:c r="O48" s="32" t="n">
        <x:v>4.26</x:v>
      </x:c>
      <x:c r="P48" s="24" t="str">
        <x:v>exact_sea_around_us</x:v>
      </x:c>
      <x:c r="Q48" s="32" t="str">
        <x:v>Sea Around Us exploited organisms</x:v>
      </x:c>
      <x:c r="R48" s="24" t="str">
        <x:v>high</x:v>
      </x:c>
      <x:c r="S48" s="24" t="str">
        <x:v>Scombridae</x:v>
      </x:c>
      <x:c r="T48" s="32" t="n">
        <x:f>IF(O48="","",(1/'Metadata'!$B$5)^(O48-1))</x:f>
        <x:v>1819.7008586099826</x:v>
      </x:c>
      <x:c r="U48" s="31" t="n">
        <x:f>IF(T48="","",I48*T48)</x:f>
        <x:v>8211280.537415643</x:v>
      </x:c>
    </x:row>
    <x:row r="49" ht="18" customHeight="1">
      <x:c r="A49" s="24" t="str">
        <x:v>EEZ_361</x:v>
      </x:c>
      <x:c r="B49" s="24" t="str">
        <x:v>Indonesia (Eastern)</x:v>
      </x:c>
      <x:c r="C49" s="24" t="str">
        <x:v>EEZ</x:v>
      </x:c>
      <x:c r="D49" s="30" t="n">
        <x:v>2019</x:v>
      </x:c>
      <x:c r="E49" s="24" t="str">
        <x:v>Rhizostomeae</x:v>
      </x:c>
      <x:c r="F49" s="24" t="str">
        <x:v>Oral arm jellyfishes</x:v>
      </x:c>
      <x:c r="G49" s="24" t="str">
        <x:v>Jellyfish</x:v>
      </x:c>
      <x:c r="H49" s="24" t="str">
        <x:v>Other fishes &amp; inverts</x:v>
      </x:c>
      <x:c r="I49" s="31" t="n">
        <x:v>4006.6666666665997</x:v>
      </x:c>
      <x:c r="J49" s="31" t="n">
        <x:v>4006.6666666665997</x:v>
      </x:c>
      <x:c r="K49" s="31" t="n">
        <x:v>0</x:v>
      </x:c>
      <x:c r="L49" s="31" t="n">
        <x:v>4006.6666666665997</x:v>
      </x:c>
      <x:c r="M49" s="31" t="n">
        <x:v>0</x:v>
      </x:c>
      <x:c r="N49" s="24" t="str">
        <x:v>rhizostomeae</x:v>
      </x:c>
      <x:c r="O49" s="32" t="n">
        <x:v>3.46</x:v>
      </x:c>
      <x:c r="P49" s="24" t="str">
        <x:v>exact_sea_around_us</x:v>
      </x:c>
      <x:c r="Q49" s="32" t="str">
        <x:v>Sea Around Us exploited organisms</x:v>
      </x:c>
      <x:c r="R49" s="24" t="str">
        <x:v>high</x:v>
      </x:c>
      <x:c r="S49" s="24" t="str">
        <x:v>Rhizostomeae</x:v>
      </x:c>
      <x:c r="T49" s="32" t="n">
        <x:f>IF(O49="","",(1/'Metadata'!$B$5)^(O49-1))</x:f>
        <x:v>288.40315031266056</x:v>
      </x:c>
      <x:c r="U49" s="31" t="n">
        <x:f>IF(T49="","",I49*T49)</x:f>
        <x:v>1155535.2889193739</x:v>
      </x:c>
    </x:row>
    <x:row r="50" ht="18" customHeight="1">
      <x:c r="A50" s="24" t="str">
        <x:v>EEZ_361</x:v>
      </x:c>
      <x:c r="B50" s="24" t="str">
        <x:v>Indonesia (Eastern)</x:v>
      </x:c>
      <x:c r="C50" s="24" t="str">
        <x:v>EEZ</x:v>
      </x:c>
      <x:c r="D50" s="30" t="n">
        <x:v>2019</x:v>
      </x:c>
      <x:c r="E50" s="24" t="str">
        <x:v>Clupeiformes</x:v>
      </x:c>
      <x:c r="F50" s="24" t="str">
        <x:v>Herrings, shads, anchovies</x:v>
      </x:c>
      <x:c r="G50" s="24" t="str">
        <x:v>Small pelagics (&lt;30 cm)</x:v>
      </x:c>
      <x:c r="H50" s="24" t="str">
        <x:v>Other fishes &amp; inverts</x:v>
      </x:c>
      <x:c r="I50" s="31" t="n">
        <x:v>3940.8921755397</x:v>
      </x:c>
      <x:c r="J50" s="31" t="n">
        <x:v>3940.8921755397</x:v>
      </x:c>
      <x:c r="K50" s="31" t="n">
        <x:v>0</x:v>
      </x:c>
      <x:c r="L50" s="31" t="n">
        <x:v>71.322085035</x:v>
      </x:c>
      <x:c r="M50" s="31" t="n">
        <x:v>3869.5700905047</x:v>
      </x:c>
      <x:c r="N50" s="24" t="str">
        <x:v>clupeiformes</x:v>
      </x:c>
      <x:c r="O50" s="32" t="n">
        <x:v>3.24</x:v>
      </x:c>
      <x:c r="P50" s="24" t="str">
        <x:v>exact_sea_around_us</x:v>
      </x:c>
      <x:c r="Q50" s="32" t="str">
        <x:v>Sea Around Us exploited organisms</x:v>
      </x:c>
      <x:c r="R50" s="24" t="str">
        <x:v>high</x:v>
      </x:c>
      <x:c r="S50" s="24" t="str">
        <x:v>Clupeiformes</x:v>
      </x:c>
      <x:c r="T50" s="32" t="n">
        <x:f>IF(O50="","",(1/'Metadata'!$B$5)^(O50-1))</x:f>
        <x:v>173.78008287493762</x:v>
      </x:c>
      <x:c r="U50" s="31" t="n">
        <x:f>IF(T50="","",I50*T50)</x:f>
        <x:v>684848.5688664822</x:v>
      </x:c>
    </x:row>
    <x:row r="51" ht="18" customHeight="1">
      <x:c r="A51" s="24" t="str">
        <x:v>EEZ_361</x:v>
      </x:c>
      <x:c r="B51" s="24" t="str">
        <x:v>Indonesia (Eastern)</x:v>
      </x:c>
      <x:c r="C51" s="24" t="str">
        <x:v>EEZ</x:v>
      </x:c>
      <x:c r="D51" s="30" t="n">
        <x:v>2019</x:v>
      </x:c>
      <x:c r="E51" s="24" t="str">
        <x:v>Leiognathidae</x:v>
      </x:c>
      <x:c r="F51" s="24" t="str">
        <x:v>Slipmouths, ponyfishes</x:v>
      </x:c>
      <x:c r="G51" s="24" t="str">
        <x:v>Small benthopelagics (&lt;30 cm)</x:v>
      </x:c>
      <x:c r="H51" s="24" t="str">
        <x:v>Perch-likes</x:v>
      </x:c>
      <x:c r="I51" s="31" t="n">
        <x:v>3901.5824118240002</x:v>
      </x:c>
      <x:c r="J51" s="31" t="n">
        <x:v>3884.6489410419003</x:v>
      </x:c>
      <x:c r="K51" s="31" t="n">
        <x:v>16.9334707821</x:v>
      </x:c>
      <x:c r="L51" s="31" t="n">
        <x:v>2247.2762334152003</x:v>
      </x:c>
      <x:c r="M51" s="31" t="n">
        <x:v>1654.3061784088</x:v>
      </x:c>
      <x:c r="N51" s="24" t="str">
        <x:v>leiognathidae</x:v>
      </x:c>
      <x:c r="O51" s="32" t="n">
        <x:v>3.24</x:v>
      </x:c>
      <x:c r="P51" s="24" t="str">
        <x:v>exact_sea_around_us</x:v>
      </x:c>
      <x:c r="Q51" s="32" t="str">
        <x:v>Sea Around Us exploited organisms</x:v>
      </x:c>
      <x:c r="R51" s="24" t="str">
        <x:v>high</x:v>
      </x:c>
      <x:c r="S51" s="24" t="str">
        <x:v>Leiognathidae</x:v>
      </x:c>
      <x:c r="T51" s="32" t="n">
        <x:f>IF(O51="","",(1/'Metadata'!$B$5)^(O51-1))</x:f>
        <x:v>173.78008287493762</x:v>
      </x:c>
      <x:c r="U51" s="31" t="n">
        <x:f>IF(T51="","",I51*T51)</x:f>
        <x:v>678017.3148701738</x:v>
      </x:c>
    </x:row>
    <x:row r="52" ht="18" customHeight="1">
      <x:c r="A52" s="24" t="str">
        <x:v>EEZ_361</x:v>
      </x:c>
      <x:c r="B52" s="24" t="str">
        <x:v>Indonesia (Eastern)</x:v>
      </x:c>
      <x:c r="C52" s="24" t="str">
        <x:v>EEZ</x:v>
      </x:c>
      <x:c r="D52" s="30" t="n">
        <x:v>2019</x:v>
      </x:c>
      <x:c r="E52" s="24" t="str">
        <x:v>Perciformes</x:v>
      </x:c>
      <x:c r="F52" s="24" t="str">
        <x:v>Perch-likes</x:v>
      </x:c>
      <x:c r="G52" s="24" t="str">
        <x:v>Medium demersals (30 - 89 cm)</x:v>
      </x:c>
      <x:c r="H52" s="24" t="str">
        <x:v>Perch-likes</x:v>
      </x:c>
      <x:c r="I52" s="31" t="n">
        <x:v>3309.6098237797</x:v>
      </x:c>
      <x:c r="J52" s="31" t="n">
        <x:v>3309.6098237797</x:v>
      </x:c>
      <x:c r="K52" s="31" t="n">
        <x:v>0</x:v>
      </x:c>
      <x:c r="L52" s="31" t="n">
        <x:v>0</x:v>
      </x:c>
      <x:c r="M52" s="31" t="n">
        <x:v>3309.6098237797</x:v>
      </x:c>
      <x:c r="N52" s="24" t="str">
        <x:v>perciformes</x:v>
      </x:c>
      <x:c r="O52" s="32" t="n">
        <x:v>3.53</x:v>
      </x:c>
      <x:c r="P52" s="24" t="str">
        <x:v>exact_sea_around_us</x:v>
      </x:c>
      <x:c r="Q52" s="32" t="str">
        <x:v>Sea Around Us exploited organisms</x:v>
      </x:c>
      <x:c r="R52" s="24" t="str">
        <x:v>high</x:v>
      </x:c>
      <x:c r="S52" s="24" t="str">
        <x:v>Perciformes</x:v>
      </x:c>
      <x:c r="T52" s="32" t="n">
        <x:f>IF(O52="","",(1/'Metadata'!$B$5)^(O52-1))</x:f>
        <x:v>338.84415613920237</x:v>
      </x:c>
      <x:c r="U52" s="31" t="n">
        <x:f>IF(T52="","",I52*T52)</x:f>
        <x:v>1121441.9478886467</x:v>
      </x:c>
    </x:row>
    <x:row r="53" ht="18" customHeight="1">
      <x:c r="A53" s="24" t="str">
        <x:v>EEZ_361</x:v>
      </x:c>
      <x:c r="B53" s="24" t="str">
        <x:v>Indonesia (Eastern)</x:v>
      </x:c>
      <x:c r="C53" s="24" t="str">
        <x:v>EEZ</x:v>
      </x:c>
      <x:c r="D53" s="30" t="n">
        <x:v>2019</x:v>
      </x:c>
      <x:c r="E53" s="24" t="str">
        <x:v>Nemipteridae</x:v>
      </x:c>
      <x:c r="F53" s="24" t="str">
        <x:v>Threadfins, whiptail breams</x:v>
      </x:c>
      <x:c r="G53" s="24" t="str">
        <x:v>Small demersals (&lt;30 cm)</x:v>
      </x:c>
      <x:c r="H53" s="24" t="str">
        <x:v>Perch-likes</x:v>
      </x:c>
      <x:c r="I53" s="31" t="n">
        <x:v>3187.1536082768002</x:v>
      </x:c>
      <x:c r="J53" s="31" t="n">
        <x:v>3164.6316719499</x:v>
      </x:c>
      <x:c r="K53" s="31" t="n">
        <x:v>22.5219363269</x:v>
      </x:c>
      <x:c r="L53" s="31" t="n">
        <x:v>1985.3190262381002</x:v>
      </x:c>
      <x:c r="M53" s="31" t="n">
        <x:v>1201.8345820386999</x:v>
      </x:c>
      <x:c r="N53" s="24" t="str">
        <x:v>nemipteridae</x:v>
      </x:c>
      <x:c r="O53" s="32" t="n">
        <x:v>3.51</x:v>
      </x:c>
      <x:c r="P53" s="24" t="str">
        <x:v>exact_sea_around_us</x:v>
      </x:c>
      <x:c r="Q53" s="32" t="str">
        <x:v>Sea Around Us exploited organisms</x:v>
      </x:c>
      <x:c r="R53" s="24" t="str">
        <x:v>high</x:v>
      </x:c>
      <x:c r="S53" s="24" t="str">
        <x:v>Nemipteridae</x:v>
      </x:c>
      <x:c r="T53" s="32" t="n">
        <x:f>IF(O53="","",(1/'Metadata'!$B$5)^(O53-1))</x:f>
        <x:v>323.5936569296281</x:v>
      </x:c>
      <x:c r="U53" s="31" t="n">
        <x:f>IF(T53="","",I53*T53)</x:f>
        <x:v>1031342.6912987492</x:v>
      </x:c>
    </x:row>
    <x:row r="54" ht="18" customHeight="1">
      <x:c r="A54" s="24" t="str">
        <x:v>EEZ_361</x:v>
      </x:c>
      <x:c r="B54" s="24" t="str">
        <x:v>Indonesia (Eastern)</x:v>
      </x:c>
      <x:c r="C54" s="24" t="str">
        <x:v>EEZ</x:v>
      </x:c>
      <x:c r="D54" s="30" t="n">
        <x:v>2019</x:v>
      </x:c>
      <x:c r="E54" s="24" t="str">
        <x:v>Thunnus obesus</x:v>
      </x:c>
      <x:c r="F54" s="24" t="str">
        <x:v>Bigeye tuna</x:v>
      </x:c>
      <x:c r="G54" s="24" t="str">
        <x:v>Large pelagics (&gt;=90 cm)</x:v>
      </x:c>
      <x:c r="H54" s="24" t="str">
        <x:v>Tuna &amp; billfishes</x:v>
      </x:c>
      <x:c r="I54" s="31" t="n">
        <x:v>2313.501374565</x:v>
      </x:c>
      <x:c r="J54" s="31" t="n">
        <x:v>2219.0791507556</x:v>
      </x:c>
      <x:c r="K54" s="31" t="n">
        <x:v>94.4222238094</x:v>
      </x:c>
      <x:c r="L54" s="31" t="n">
        <x:v>2219.0791507556</x:v>
      </x:c>
      <x:c r="M54" s="31" t="n">
        <x:v>94.4222238094</x:v>
      </x:c>
      <x:c r="N54" s="24" t="str">
        <x:v>thunnus obesus</x:v>
      </x:c>
      <x:c r="O54" s="32" t="n">
        <x:v>4.49</x:v>
      </x:c>
      <x:c r="P54" s="24" t="str">
        <x:v>exact_2020_supplement</x:v>
      </x:c>
      <x:c r="Q54" s="32" t="str">
        <x:v>2020 supplement MeanTL</x:v>
      </x:c>
      <x:c r="R54" s="24" t="str">
        <x:v>high</x:v>
      </x:c>
      <x:c r="S54" s="24" t="str">
        <x:v>Thunnus obesus</x:v>
      </x:c>
      <x:c r="T54" s="32" t="n">
        <x:f>IF(O54="","",(1/'Metadata'!$B$5)^(O54-1))</x:f>
        <x:v>3090.295432513592</x:v>
      </x:c>
      <x:c r="U54" s="31" t="n">
        <x:f>IF(T54="","",I54*T54)</x:f>
        <x:v>7149402.730932136</x:v>
      </x:c>
    </x:row>
    <x:row r="55" ht="18" customHeight="1">
      <x:c r="A55" s="24" t="str">
        <x:v>EEZ_361</x:v>
      </x:c>
      <x:c r="B55" s="24" t="str">
        <x:v>Indonesia (Eastern)</x:v>
      </x:c>
      <x:c r="C55" s="24" t="str">
        <x:v>EEZ</x:v>
      </x:c>
      <x:c r="D55" s="30" t="n">
        <x:v>2019</x:v>
      </x:c>
      <x:c r="E55" s="24" t="str">
        <x:v>Auxis rochei</x:v>
      </x:c>
      <x:c r="F55" s="24" t="str">
        <x:v>Bullet tuna</x:v>
      </x:c>
      <x:c r="G55" s="24" t="str">
        <x:v>Medium pelagics (30 - 89 cm)</x:v>
      </x:c>
      <x:c r="H55" s="24" t="str">
        <x:v>Tuna &amp; billfishes</x:v>
      </x:c>
      <x:c r="I55" s="31" t="n">
        <x:v>2150.9768854629997</x:v>
      </x:c>
      <x:c r="J55" s="31" t="n">
        <x:v>2150.9768854629997</x:v>
      </x:c>
      <x:c r="K55" s="31" t="n">
        <x:v>0</x:v>
      </x:c>
      <x:c r="L55" s="31" t="n">
        <x:v>2150.9768854629997</x:v>
      </x:c>
      <x:c r="M55" s="31" t="n">
        <x:v>0</x:v>
      </x:c>
      <x:c r="N55" s="24" t="str">
        <x:v>auxis rochei</x:v>
      </x:c>
      <x:c r="O55" s="32" t="n">
        <x:v>4.13</x:v>
      </x:c>
      <x:c r="P55" s="24" t="str">
        <x:v>exact_2020_supplement</x:v>
      </x:c>
      <x:c r="Q55" s="32" t="str">
        <x:v>2020 supplement MeanTL</x:v>
      </x:c>
      <x:c r="R55" s="24" t="str">
        <x:v>high</x:v>
      </x:c>
      <x:c r="S55" s="24" t="str">
        <x:v>Auxis rochei</x:v>
      </x:c>
      <x:c r="T55" s="32" t="n">
        <x:f>IF(O55="","",(1/'Metadata'!$B$5)^(O55-1))</x:f>
        <x:v>1348.9628825916532</x:v>
      </x:c>
      <x:c r="U55" s="31" t="n">
        <x:f>IF(T55="","",I55*T55)</x:f>
        <x:v>2901587.9798021843</x:v>
      </x:c>
    </x:row>
    <x:row r="56" ht="18" customHeight="1">
      <x:c r="A56" s="24" t="str">
        <x:v>EEZ_361</x:v>
      </x:c>
      <x:c r="B56" s="24" t="str">
        <x:v>Indonesia (Eastern)</x:v>
      </x:c>
      <x:c r="C56" s="24" t="str">
        <x:v>EEZ</x:v>
      </x:c>
      <x:c r="D56" s="30" t="n">
        <x:v>2019</x:v>
      </x:c>
      <x:c r="E56" s="24" t="str">
        <x:v>Decapterus russelli</x:v>
      </x:c>
      <x:c r="F56" s="24" t="str">
        <x:v>Indian scad</x:v>
      </x:c>
      <x:c r="G56" s="24" t="str">
        <x:v>Medium pelagics (30 - 89 cm)</x:v>
      </x:c>
      <x:c r="H56" s="24" t="str">
        <x:v>Perch-likes</x:v>
      </x:c>
      <x:c r="I56" s="31" t="n">
        <x:v>2023.1340841356998</x:v>
      </x:c>
      <x:c r="J56" s="31" t="n">
        <x:v>2023.1340841356998</x:v>
      </x:c>
      <x:c r="K56" s="31" t="n">
        <x:v>0</x:v>
      </x:c>
      <x:c r="L56" s="31" t="n">
        <x:v>887.8911932312999</x:v>
      </x:c>
      <x:c r="M56" s="31" t="n">
        <x:v>1135.2428909044</x:v>
      </x:c>
      <x:c r="N56" s="24" t="str">
        <x:v>decapterus russelli</x:v>
      </x:c>
      <x:c r="O56" s="32" t="n">
        <x:v>3.68</x:v>
      </x:c>
      <x:c r="P56" s="24" t="str">
        <x:v>exact_2020_supplement</x:v>
      </x:c>
      <x:c r="Q56" s="32" t="str">
        <x:v>2020 supplement MeanTL</x:v>
      </x:c>
      <x:c r="R56" s="24" t="str">
        <x:v>high</x:v>
      </x:c>
      <x:c r="S56" s="24" t="str">
        <x:v>Decapterus russelli</x:v>
      </x:c>
      <x:c r="T56" s="32" t="n">
        <x:f>IF(O56="","",(1/'Metadata'!$B$5)^(O56-1))</x:f>
        <x:v>478.6300923226385</x:v>
      </x:c>
      <x:c r="U56" s="31" t="n">
        <x:f>IF(T56="","",I56*T56)</x:f>
        <x:v>968332.8534709468</x:v>
      </x:c>
    </x:row>
    <x:row r="57" ht="18" customHeight="1">
      <x:c r="A57" s="24" t="str">
        <x:v>EEZ_361</x:v>
      </x:c>
      <x:c r="B57" s="24" t="str">
        <x:v>Indonesia (Eastern)</x:v>
      </x:c>
      <x:c r="C57" s="24" t="str">
        <x:v>EEZ</x:v>
      </x:c>
      <x:c r="D57" s="30" t="n">
        <x:v>2019</x:v>
      </x:c>
      <x:c r="E57" s="24" t="str">
        <x:v>Synodontidae</x:v>
      </x:c>
      <x:c r="F57" s="24" t="str">
        <x:v>Lizardfishes, sauries</x:v>
      </x:c>
      <x:c r="G57" s="24" t="str">
        <x:v>Medium demersals (30 - 89 cm)</x:v>
      </x:c>
      <x:c r="H57" s="24" t="str">
        <x:v>Other fishes &amp; inverts</x:v>
      </x:c>
      <x:c r="I57" s="31" t="n">
        <x:v>1950.5482429517</x:v>
      </x:c>
      <x:c r="J57" s="31" t="n">
        <x:v>828.5436026898</x:v>
      </x:c>
      <x:c r="K57" s="31" t="n">
        <x:v>1122.0046402619</x:v>
      </x:c>
      <x:c r="L57" s="31" t="n">
        <x:v>798.177961068</x:v>
      </x:c>
      <x:c r="M57" s="31" t="n">
        <x:v>1152.3702818837</x:v>
      </x:c>
      <x:c r="N57" s="24" t="str">
        <x:v>synodontidae</x:v>
      </x:c>
      <x:c r="O57" s="32" t="n">
        <x:v>4.3</x:v>
      </x:c>
      <x:c r="P57" s="24" t="str">
        <x:v>exact_sea_around_us</x:v>
      </x:c>
      <x:c r="Q57" s="32" t="str">
        <x:v>Sea Around Us exploited organisms</x:v>
      </x:c>
      <x:c r="R57" s="24" t="str">
        <x:v>high</x:v>
      </x:c>
      <x:c r="S57" s="24" t="str">
        <x:v>Synodontidae</x:v>
      </x:c>
      <x:c r="T57" s="32" t="n">
        <x:f>IF(O57="","",(1/'Metadata'!$B$5)^(O57-1))</x:f>
        <x:v>1995.2623149688789</x:v>
      </x:c>
      <x:c r="U57" s="31" t="n">
        <x:f>IF(T57="","",I57*T57)</x:f>
        <x:v>3891855.402690288</x:v>
      </x:c>
    </x:row>
    <x:row r="58" ht="18" customHeight="1">
      <x:c r="A58" s="24" t="str">
        <x:v>EEZ_361</x:v>
      </x:c>
      <x:c r="B58" s="24" t="str">
        <x:v>Indonesia (Eastern)</x:v>
      </x:c>
      <x:c r="C58" s="24" t="str">
        <x:v>EEZ</x:v>
      </x:c>
      <x:c r="D58" s="30" t="n">
        <x:v>2019</x:v>
      </x:c>
      <x:c r="E58" s="24" t="str">
        <x:v>Lutjanidae</x:v>
      </x:c>
      <x:c r="F58" s="24" t="str">
        <x:v>Snappers</x:v>
      </x:c>
      <x:c r="G58" s="24" t="str">
        <x:v>Medium reef assoc. fish (30 - 89 cm)</x:v>
      </x:c>
      <x:c r="H58" s="24" t="str">
        <x:v>Perch-likes</x:v>
      </x:c>
      <x:c r="I58" s="31" t="n">
        <x:v>1755.3098466007</x:v>
      </x:c>
      <x:c r="J58" s="31" t="n">
        <x:v>1755.3098466007</x:v>
      </x:c>
      <x:c r="K58" s="31" t="n">
        <x:v>0</x:v>
      </x:c>
      <x:c r="L58" s="31" t="n">
        <x:v>211.9142477026</x:v>
      </x:c>
      <x:c r="M58" s="31" t="n">
        <x:v>1543.3955988981</x:v>
      </x:c>
      <x:c r="N58" s="24" t="str">
        <x:v>lutjanidae</x:v>
      </x:c>
      <x:c r="O58" s="32" t="n">
        <x:v>4.02</x:v>
      </x:c>
      <x:c r="P58" s="24" t="str">
        <x:v>exact_sea_around_us</x:v>
      </x:c>
      <x:c r="Q58" s="32" t="str">
        <x:v>Sea Around Us exploited organisms</x:v>
      </x:c>
      <x:c r="R58" s="24" t="str">
        <x:v>high</x:v>
      </x:c>
      <x:c r="S58" s="24" t="str">
        <x:v>Lutjanidae</x:v>
      </x:c>
      <x:c r="T58" s="32" t="n">
        <x:f>IF(O58="","",(1/'Metadata'!$B$5)^(O58-1))</x:f>
        <x:v>1047.1285480508984</x:v>
      </x:c>
      <x:c r="U58" s="31" t="n">
        <x:f>IF(T58="","",I58*T58)</x:f>
        <x:v>1838035.0510504362</x:v>
      </x:c>
    </x:row>
    <x:row r="59" ht="18" customHeight="1">
      <x:c r="A59" s="24" t="str">
        <x:v>EEZ_361</x:v>
      </x:c>
      <x:c r="B59" s="24" t="str">
        <x:v>Indonesia (Eastern)</x:v>
      </x:c>
      <x:c r="C59" s="24" t="str">
        <x:v>EEZ</x:v>
      </x:c>
      <x:c r="D59" s="30" t="n">
        <x:v>2019</x:v>
      </x:c>
      <x:c r="E59" s="24" t="str">
        <x:v>Platycephalidae</x:v>
      </x:c>
      <x:c r="F59" s="24" t="str">
        <x:v>Flatheads</x:v>
      </x:c>
      <x:c r="G59" s="24" t="str">
        <x:v>Medium demersals (30 - 89 cm)</x:v>
      </x:c>
      <x:c r="H59" s="24" t="str">
        <x:v>Scorpionfishes</x:v>
      </x:c>
      <x:c r="I59" s="31" t="n">
        <x:v>1371.9593065553</x:v>
      </x:c>
      <x:c r="J59" s="31" t="n">
        <x:v>579.9094862430001</x:v>
      </x:c>
      <x:c r="K59" s="31" t="n">
        <x:v>792.0498203123</x:v>
      </x:c>
      <x:c r="L59" s="31" t="n">
        <x:v>558.4736560192</x:v>
      </x:c>
      <x:c r="M59" s="31" t="n">
        <x:v>813.4856505361</x:v>
      </x:c>
      <x:c r="N59" s="24" t="str">
        <x:v>platycephalidae</x:v>
      </x:c>
      <x:c r="O59" s="32" t="n">
        <x:v>3.9</x:v>
      </x:c>
      <x:c r="P59" s="24" t="str">
        <x:v>exact_sea_around_us</x:v>
      </x:c>
      <x:c r="Q59" s="32" t="str">
        <x:v>Sea Around Us exploited organisms</x:v>
      </x:c>
      <x:c r="R59" s="24" t="str">
        <x:v>high</x:v>
      </x:c>
      <x:c r="S59" s="24" t="str">
        <x:v>Platycephalidae</x:v>
      </x:c>
      <x:c r="T59" s="32" t="n">
        <x:f>IF(O59="","",(1/'Metadata'!$B$5)^(O59-1))</x:f>
        <x:v>794.3282347242813</x:v>
      </x:c>
      <x:c r="U59" s="31" t="n">
        <x:f>IF(T59="","",I59*T59)</x:f>
        <x:v>1089786.0140896204</x:v>
      </x:c>
    </x:row>
    <x:row r="60" ht="18" customHeight="1">
      <x:c r="A60" s="24" t="str">
        <x:v>EEZ_361</x:v>
      </x:c>
      <x:c r="B60" s="24" t="str">
        <x:v>Indonesia (Eastern)</x:v>
      </x:c>
      <x:c r="C60" s="24" t="str">
        <x:v>EEZ</x:v>
      </x:c>
      <x:c r="D60" s="30" t="n">
        <x:v>2019</x:v>
      </x:c>
      <x:c r="E60" s="24" t="str">
        <x:v>Rastrelliger kanagurta</x:v>
      </x:c>
      <x:c r="F60" s="24" t="str">
        <x:v>Indian mackerel</x:v>
      </x:c>
      <x:c r="G60" s="24" t="str">
        <x:v>Medium pelagics (30 - 89 cm)</x:v>
      </x:c>
      <x:c r="H60" s="24" t="str">
        <x:v>Perch-likes</x:v>
      </x:c>
      <x:c r="I60" s="31" t="n">
        <x:v>1334.5360728181</x:v>
      </x:c>
      <x:c r="J60" s="31" t="n">
        <x:v>1334.5360728181</x:v>
      </x:c>
      <x:c r="K60" s="31" t="n">
        <x:v>0</x:v>
      </x:c>
      <x:c r="L60" s="31" t="n">
        <x:v>1145.7621763466</x:v>
      </x:c>
      <x:c r="M60" s="31" t="n">
        <x:v>188.7738964715</x:v>
      </x:c>
      <x:c r="N60" s="24" t="str">
        <x:v>rastrelliger kanagurta</x:v>
      </x:c>
      <x:c r="O60" s="32" t="n">
        <x:v>3.19</x:v>
      </x:c>
      <x:c r="P60" s="24" t="str">
        <x:v>exact_2020_supplement</x:v>
      </x:c>
      <x:c r="Q60" s="32" t="str">
        <x:v>2020 supplement MeanTL</x:v>
      </x:c>
      <x:c r="R60" s="24" t="str">
        <x:v>high</x:v>
      </x:c>
      <x:c r="S60" s="24" t="str">
        <x:v>Rastrelliger kanagurta</x:v>
      </x:c>
      <x:c r="T60" s="32" t="n">
        <x:f>IF(O60="","",(1/'Metadata'!$B$5)^(O60-1))</x:f>
        <x:v>154.88166189124811</x:v>
      </x:c>
      <x:c r="U60" s="31" t="n">
        <x:f>IF(T60="","",I60*T60)</x:f>
        <x:v>206695.16481188702</x:v>
      </x:c>
    </x:row>
    <x:row r="61" ht="18" customHeight="1">
      <x:c r="A61" s="24" t="str">
        <x:v>EEZ_361</x:v>
      </x:c>
      <x:c r="B61" s="24" t="str">
        <x:v>Indonesia (Eastern)</x:v>
      </x:c>
      <x:c r="C61" s="24" t="str">
        <x:v>EEZ</x:v>
      </x:c>
      <x:c r="D61" s="30" t="n">
        <x:v>2019</x:v>
      </x:c>
      <x:c r="E61" s="24" t="str">
        <x:v>Penaeidae</x:v>
      </x:c>
      <x:c r="F61" s="24" t="str">
        <x:v>Commercial shrimps and prawns</x:v>
      </x:c>
      <x:c r="G61" s="24" t="str">
        <x:v>Shrimps</x:v>
      </x:c>
      <x:c r="H61" s="24" t="str">
        <x:v>Crustaceans</x:v>
      </x:c>
      <x:c r="I61" s="31" t="n">
        <x:v>1300.6299010595</x:v>
      </x:c>
      <x:c r="J61" s="31" t="n">
        <x:v>1300.6299010595</x:v>
      </x:c>
      <x:c r="K61" s="31" t="n">
        <x:v>0</x:v>
      </x:c>
      <x:c r="L61" s="31" t="n">
        <x:v>0</x:v>
      </x:c>
      <x:c r="M61" s="31" t="n">
        <x:v>1300.6299010595</x:v>
      </x:c>
      <x:c r="N61" s="24" t="str">
        <x:v>penaeidae</x:v>
      </x:c>
      <x:c r="O61" s="32" t="n">
        <x:v>3.31</x:v>
      </x:c>
      <x:c r="P61" s="24" t="str">
        <x:v>exact_sea_around_us</x:v>
      </x:c>
      <x:c r="Q61" s="32" t="str">
        <x:v>Sea Around Us exploited organisms</x:v>
      </x:c>
      <x:c r="R61" s="24" t="str">
        <x:v>high</x:v>
      </x:c>
      <x:c r="S61" s="24" t="str">
        <x:v>Penaeidae</x:v>
      </x:c>
      <x:c r="T61" s="32" t="n">
        <x:f>IF(O61="","",(1/'Metadata'!$B$5)^(O61-1))</x:f>
        <x:v>204.17379446695296</x:v>
      </x:c>
      <x:c r="U61" s="31" t="n">
        <x:f>IF(T61="","",I61*T61)</x:f>
        <x:v>265554.54209649574</x:v>
      </x:c>
    </x:row>
    <x:row r="62" ht="18" customHeight="1">
      <x:c r="A62" s="24" t="str">
        <x:v>EEZ_361</x:v>
      </x:c>
      <x:c r="B62" s="24" t="str">
        <x:v>Indonesia (Eastern)</x:v>
      </x:c>
      <x:c r="C62" s="24" t="str">
        <x:v>EEZ</x:v>
      </x:c>
      <x:c r="D62" s="30" t="n">
        <x:v>2019</x:v>
      </x:c>
      <x:c r="E62" s="24" t="str">
        <x:v>Scyphozoa</x:v>
      </x:c>
      <x:c r="F62" s="24" t="str">
        <x:v>True jellyfishes</x:v>
      </x:c>
      <x:c r="G62" s="24" t="str">
        <x:v>Jellyfish</x:v>
      </x:c>
      <x:c r="H62" s="24" t="str">
        <x:v>Other fishes &amp; inverts</x:v>
      </x:c>
      <x:c r="I62" s="31" t="n">
        <x:v>1135.7083441894</x:v>
      </x:c>
      <x:c r="J62" s="31" t="n">
        <x:v>666.7815111973</x:v>
      </x:c>
      <x:c r="K62" s="31" t="n">
        <x:v>468.9268329921</x:v>
      </x:c>
      <x:c r="L62" s="31" t="n">
        <x:v>628.502052035</x:v>
      </x:c>
      <x:c r="M62" s="31" t="n">
        <x:v>507.2062921544</x:v>
      </x:c>
      <x:c r="N62" s="24" t="str">
        <x:v>scyphozoa</x:v>
      </x:c>
      <x:c r="O62" s="32" t="n">
        <x:v>3.46</x:v>
      </x:c>
      <x:c r="P62" s="24" t="str">
        <x:v>exact_sea_around_us</x:v>
      </x:c>
      <x:c r="Q62" s="32" t="str">
        <x:v>Sea Around Us exploited organisms</x:v>
      </x:c>
      <x:c r="R62" s="24" t="str">
        <x:v>high</x:v>
      </x:c>
      <x:c r="S62" s="24" t="str">
        <x:v>Scyphozoa</x:v>
      </x:c>
      <x:c r="T62" s="32" t="n">
        <x:f>IF(O62="","",(1/'Metadata'!$B$5)^(O62-1))</x:f>
        <x:v>288.40315031266056</x:v>
      </x:c>
      <x:c r="U62" s="31" t="n">
        <x:f>IF(T62="","",I62*T62)</x:f>
        <x:v>327541.86430059833</x:v>
      </x:c>
    </x:row>
    <x:row r="63" ht="18" customHeight="1">
      <x:c r="A63" s="24" t="str">
        <x:v>EEZ_361</x:v>
      </x:c>
      <x:c r="B63" s="24" t="str">
        <x:v>Indonesia (Eastern)</x:v>
      </x:c>
      <x:c r="C63" s="24" t="str">
        <x:v>EEZ</x:v>
      </x:c>
      <x:c r="D63" s="30" t="n">
        <x:v>2019</x:v>
      </x:c>
      <x:c r="E63" s="24" t="str">
        <x:v>Teuthida</x:v>
      </x:c>
      <x:c r="F63" s="24" t="str">
        <x:v>Squids</x:v>
      </x:c>
      <x:c r="G63" s="24" t="str">
        <x:v>Cephalopods</x:v>
      </x:c>
      <x:c r="H63" s="24" t="str">
        <x:v>Other fishes &amp; inverts</x:v>
      </x:c>
      <x:c r="I63" s="31" t="n">
        <x:v>1123.4547508431</x:v>
      </x:c>
      <x:c r="J63" s="31" t="n">
        <x:v>1123.4547508431</x:v>
      </x:c>
      <x:c r="K63" s="31" t="n">
        <x:v>0</x:v>
      </x:c>
      <x:c r="L63" s="31" t="n">
        <x:v>0</x:v>
      </x:c>
      <x:c r="M63" s="31" t="n">
        <x:v>1123.4547508431</x:v>
      </x:c>
      <x:c r="N63" s="24" t="str">
        <x:v>teuthida</x:v>
      </x:c>
      <x:c r="O63" s="32" t="n">
        <x:v>4.13</x:v>
      </x:c>
      <x:c r="P63" s="24" t="str">
        <x:v>exact_sea_around_us</x:v>
      </x:c>
      <x:c r="Q63" s="32" t="str">
        <x:v>Sea Around Us exploited organisms</x:v>
      </x:c>
      <x:c r="R63" s="24" t="str">
        <x:v>high</x:v>
      </x:c>
      <x:c r="S63" s="24" t="str">
        <x:v>Teuthida</x:v>
      </x:c>
      <x:c r="T63" s="32" t="n">
        <x:f>IF(O63="","",(1/'Metadata'!$B$5)^(O63-1))</x:f>
        <x:v>1348.9628825916532</x:v>
      </x:c>
      <x:c r="U63" s="31" t="n">
        <x:f>IF(T63="","",I63*T63)</x:f>
        <x:v>1515498.7591585957</x:v>
      </x:c>
    </x:row>
    <x:row r="64" ht="18" customHeight="1">
      <x:c r="A64" s="24" t="str">
        <x:v>EEZ_361</x:v>
      </x:c>
      <x:c r="B64" s="24" t="str">
        <x:v>Indonesia (Eastern)</x:v>
      </x:c>
      <x:c r="C64" s="24" t="str">
        <x:v>EEZ</x:v>
      </x:c>
      <x:c r="D64" s="30" t="n">
        <x:v>2019</x:v>
      </x:c>
      <x:c r="E64" s="24" t="str">
        <x:v>Rastrelliger</x:v>
      </x:c>
      <x:c r="F64" s="24" t="str">
        <x:v>Indian mackerels</x:v>
      </x:c>
      <x:c r="G64" s="24" t="str">
        <x:v>Medium pelagics (30 - 89 cm)</x:v>
      </x:c>
      <x:c r="H64" s="24" t="str">
        <x:v>Perch-likes</x:v>
      </x:c>
      <x:c r="I64" s="31" t="n">
        <x:v>1049.8601142741</x:v>
      </x:c>
      <x:c r="J64" s="31" t="n">
        <x:v>1049.8601142741</x:v>
      </x:c>
      <x:c r="K64" s="31" t="n">
        <x:v>0</x:v>
      </x:c>
      <x:c r="L64" s="31" t="n">
        <x:v>1049.8601142741</x:v>
      </x:c>
      <x:c r="M64" s="31" t="n">
        <x:v>0</x:v>
      </x:c>
      <x:c r="N64" s="24" t="str">
        <x:v>rastrelliger</x:v>
      </x:c>
      <x:c r="O64" s="32" t="n">
        <x:v>3.1</x:v>
      </x:c>
      <x:c r="P64" s="24" t="str">
        <x:v>exact_sea_around_us</x:v>
      </x:c>
      <x:c r="Q64" s="32" t="str">
        <x:v>Sea Around Us exploited organisms</x:v>
      </x:c>
      <x:c r="R64" s="24" t="str">
        <x:v>high</x:v>
      </x:c>
      <x:c r="S64" s="24" t="str">
        <x:v>Rastrelliger</x:v>
      </x:c>
      <x:c r="T64" s="32" t="n">
        <x:f>IF(O64="","",(1/'Metadata'!$B$5)^(O64-1))</x:f>
        <x:v>125.89254117941675</x:v>
      </x:c>
      <x:c r="U64" s="31" t="n">
        <x:f>IF(T64="","",I64*T64)</x:f>
        <x:v>132169.5576688793</x:v>
      </x:c>
    </x:row>
    <x:row r="65" ht="18" customHeight="1">
      <x:c r="A65" s="24" t="str">
        <x:v>EEZ_361</x:v>
      </x:c>
      <x:c r="B65" s="24" t="str">
        <x:v>Indonesia (Eastern)</x:v>
      </x:c>
      <x:c r="C65" s="24" t="str">
        <x:v>EEZ</x:v>
      </x:c>
      <x:c r="D65" s="30" t="n">
        <x:v>2019</x:v>
      </x:c>
      <x:c r="E65" s="24" t="str">
        <x:v>Selar crumenophthalmus</x:v>
      </x:c>
      <x:c r="F65" s="24" t="str">
        <x:v>Bigeye scad</x:v>
      </x:c>
      <x:c r="G65" s="24" t="str">
        <x:v>Medium pelagics (30 - 89 cm)</x:v>
      </x:c>
      <x:c r="H65" s="24" t="str">
        <x:v>Perch-likes</x:v>
      </x:c>
      <x:c r="I65" s="31" t="n">
        <x:v>956.5076380276</x:v>
      </x:c>
      <x:c r="J65" s="31" t="n">
        <x:v>956.5076380276</x:v>
      </x:c>
      <x:c r="K65" s="31" t="n">
        <x:v>0</x:v>
      </x:c>
      <x:c r="L65" s="31" t="n">
        <x:v>534.399778761</x:v>
      </x:c>
      <x:c r="M65" s="31" t="n">
        <x:v>422.10785926660003</x:v>
      </x:c>
      <x:c r="N65" s="24" t="str">
        <x:v>selar crumenophthalmus</x:v>
      </x:c>
      <x:c r="O65" s="32" t="n">
        <x:v>3.81</x:v>
      </x:c>
      <x:c r="P65" s="24" t="str">
        <x:v>exact_2020_supplement</x:v>
      </x:c>
      <x:c r="Q65" s="32" t="str">
        <x:v>2020 supplement MeanTL</x:v>
      </x:c>
      <x:c r="R65" s="24" t="str">
        <x:v>high</x:v>
      </x:c>
      <x:c r="S65" s="24" t="str">
        <x:v>Selar crumenophthalmus</x:v>
      </x:c>
      <x:c r="T65" s="32" t="n">
        <x:f>IF(O65="","",(1/'Metadata'!$B$5)^(O65-1))</x:f>
        <x:v>645.6542290346556</x:v>
      </x:c>
      <x:c r="U65" s="31" t="n">
        <x:f>IF(T65="","",I65*T65)</x:f>
        <x:v>617573.2015964695</x:v>
      </x:c>
    </x:row>
    <x:row r="66" ht="18" customHeight="1">
      <x:c r="A66" s="24" t="str">
        <x:v>EEZ_361</x:v>
      </x:c>
      <x:c r="B66" s="24" t="str">
        <x:v>Indonesia (Eastern)</x:v>
      </x:c>
      <x:c r="C66" s="24" t="str">
        <x:v>EEZ</x:v>
      </x:c>
      <x:c r="D66" s="30" t="n">
        <x:v>2019</x:v>
      </x:c>
      <x:c r="E66" s="24" t="str">
        <x:v>Loliginidae</x:v>
      </x:c>
      <x:c r="F66" s="24" t="str">
        <x:v>Common pencil squids</x:v>
      </x:c>
      <x:c r="G66" s="24" t="str">
        <x:v>Cephalopods</x:v>
      </x:c>
      <x:c r="H66" s="24" t="str">
        <x:v>Other fishes &amp; inverts</x:v>
      </x:c>
      <x:c r="I66" s="31" t="n">
        <x:v>914.2352052185</x:v>
      </x:c>
      <x:c r="J66" s="31" t="n">
        <x:v>914.2352052185</x:v>
      </x:c>
      <x:c r="K66" s="31" t="n">
        <x:v>0</x:v>
      </x:c>
      <x:c r="L66" s="31" t="n">
        <x:v>861.5080815503001</x:v>
      </x:c>
      <x:c r="M66" s="31" t="n">
        <x:v>52.7271236682</x:v>
      </x:c>
      <x:c r="N66" s="24" t="str">
        <x:v>loliginidae</x:v>
      </x:c>
      <x:c r="O66" s="32" t="n">
        <x:v>3.9</x:v>
      </x:c>
      <x:c r="P66" s="24" t="str">
        <x:v>exact_sea_around_us</x:v>
      </x:c>
      <x:c r="Q66" s="32" t="str">
        <x:v>Sea Around Us exploited organisms</x:v>
      </x:c>
      <x:c r="R66" s="24" t="str">
        <x:v>high</x:v>
      </x:c>
      <x:c r="S66" s="24" t="str">
        <x:v>Loliginidae</x:v>
      </x:c>
      <x:c r="T66" s="32" t="n">
        <x:f>IF(O66="","",(1/'Metadata'!$B$5)^(O66-1))</x:f>
        <x:v>794.3282347242813</x:v>
      </x:c>
      <x:c r="U66" s="31" t="n">
        <x:f>IF(T66="","",I66*T66)</x:f>
        <x:v>726202.8366840022</x:v>
      </x:c>
    </x:row>
    <x:row r="67" ht="18" customHeight="1">
      <x:c r="A67" s="24" t="str">
        <x:v>EEZ_361</x:v>
      </x:c>
      <x:c r="B67" s="24" t="str">
        <x:v>Indonesia (Eastern)</x:v>
      </x:c>
      <x:c r="C67" s="24" t="str">
        <x:v>EEZ</x:v>
      </x:c>
      <x:c r="D67" s="30" t="n">
        <x:v>2019</x:v>
      </x:c>
      <x:c r="E67" s="24" t="str">
        <x:v>Prionace glauca</x:v>
      </x:c>
      <x:c r="F67" s="24" t="str">
        <x:v>Blue shark</x:v>
      </x:c>
      <x:c r="G67" s="24" t="str">
        <x:v>Large sharks (&gt;=90 cm)</x:v>
      </x:c>
      <x:c r="H67" s="24" t="str">
        <x:v>Sharks &amp; rays</x:v>
      </x:c>
      <x:c r="I67" s="31" t="n">
        <x:v>894.1393350739</x:v>
      </x:c>
      <x:c r="J67" s="31" t="n">
        <x:v>677.0108402761</x:v>
      </x:c>
      <x:c r="K67" s="31" t="n">
        <x:v>217.1284947978</x:v>
      </x:c>
      <x:c r="L67" s="31" t="n">
        <x:v>677.0108402761</x:v>
      </x:c>
      <x:c r="M67" s="31" t="n">
        <x:v>217.1284947978</x:v>
      </x:c>
      <x:c r="N67" s="24" t="str">
        <x:v>prionace glauca</x:v>
      </x:c>
      <x:c r="O67" s="32" t="n">
        <x:v>4.35</x:v>
      </x:c>
      <x:c r="P67" s="24" t="str">
        <x:v>exact_2020_supplement</x:v>
      </x:c>
      <x:c r="Q67" s="32" t="str">
        <x:v>2020 supplement MeanTL</x:v>
      </x:c>
      <x:c r="R67" s="24" t="str">
        <x:v>high</x:v>
      </x:c>
      <x:c r="S67" s="24" t="str">
        <x:v>Prionace glauca</x:v>
      </x:c>
      <x:c r="T67" s="32" t="n">
        <x:f>IF(O67="","",(1/'Metadata'!$B$5)^(O67-1))</x:f>
        <x:v>2238.7211385683377</x:v>
      </x:c>
      <x:c r="U67" s="31" t="n">
        <x:f>IF(T67="","",I67*T67)</x:f>
        <x:v>2001728.6302553779</x:v>
      </x:c>
    </x:row>
    <x:row r="68" ht="18" customHeight="1">
      <x:c r="A68" s="24" t="str">
        <x:v>EEZ_361</x:v>
      </x:c>
      <x:c r="B68" s="24" t="str">
        <x:v>Indonesia (Eastern)</x:v>
      </x:c>
      <x:c r="C68" s="24" t="str">
        <x:v>EEZ</x:v>
      </x:c>
      <x:c r="D68" s="30" t="n">
        <x:v>2019</x:v>
      </x:c>
      <x:c r="E68" s="24" t="str">
        <x:v>Cephea</x:v>
      </x:c>
      <x:c r="F68" s="24" t="str">
        <x:v>Cepheid jellyfishes</x:v>
      </x:c>
      <x:c r="G68" s="24" t="str">
        <x:v>Jellyfish</x:v>
      </x:c>
      <x:c r="H68" s="24" t="str">
        <x:v>Other fishes &amp; inverts</x:v>
      </x:c>
      <x:c r="I68" s="31" t="n">
        <x:v>801.0262427890999</x:v>
      </x:c>
      <x:c r="J68" s="31" t="n">
        <x:v>801.0262427890999</x:v>
      </x:c>
      <x:c r="K68" s="31" t="n">
        <x:v>0</x:v>
      </x:c>
      <x:c r="L68" s="31" t="n">
        <x:v>165.45013675759998</x:v>
      </x:c>
      <x:c r="M68" s="31" t="n">
        <x:v>635.5761060315</x:v>
      </x:c>
      <x:c r="N68" s="24" t="str">
        <x:v>cephea</x:v>
      </x:c>
      <x:c r="O68" s="32" t="n">
        <x:v>3.46</x:v>
      </x:c>
      <x:c r="P68" s="24" t="str">
        <x:v>exact_sea_around_us</x:v>
      </x:c>
      <x:c r="Q68" s="32" t="str">
        <x:v>Sea Around Us exploited organisms</x:v>
      </x:c>
      <x:c r="R68" s="24" t="str">
        <x:v>high</x:v>
      </x:c>
      <x:c r="S68" s="24" t="str">
        <x:v>Cephea</x:v>
      </x:c>
      <x:c r="T68" s="32" t="n">
        <x:f>IF(O68="","",(1/'Metadata'!$B$5)^(O68-1))</x:f>
        <x:v>288.40315031266056</x:v>
      </x:c>
      <x:c r="U68" s="31" t="n">
        <x:f>IF(T68="","",I68*T68)</x:f>
        <x:v>231018.4919034905</x:v>
      </x:c>
    </x:row>
    <x:row r="69" ht="18" customHeight="1">
      <x:c r="A69" s="24" t="str">
        <x:v>EEZ_361</x:v>
      </x:c>
      <x:c r="B69" s="24" t="str">
        <x:v>Indonesia (Eastern)</x:v>
      </x:c>
      <x:c r="C69" s="24" t="str">
        <x:v>EEZ</x:v>
      </x:c>
      <x:c r="D69" s="30" t="n">
        <x:v>2019</x:v>
      </x:c>
      <x:c r="E69" s="24" t="str">
        <x:v>Portunus pelagicus</x:v>
      </x:c>
      <x:c r="F69" s="24" t="str">
        <x:v>Blue swimming crab</x:v>
      </x:c>
      <x:c r="G69" s="24" t="str">
        <x:v>Lobsters, crabs</x:v>
      </x:c>
      <x:c r="H69" s="24" t="str">
        <x:v>Crustaceans</x:v>
      </x:c>
      <x:c r="I69" s="31" t="n">
        <x:v>785.1530207629</x:v>
      </x:c>
      <x:c r="J69" s="31" t="n">
        <x:v>785.1530207629</x:v>
      </x:c>
      <x:c r="K69" s="31" t="n">
        <x:v>0</x:v>
      </x:c>
      <x:c r="L69" s="31" t="n">
        <x:v>526.4919184449</x:v>
      </x:c>
      <x:c r="M69" s="31" t="n">
        <x:v>258.661102318</x:v>
      </x:c>
      <x:c r="N69" s="24" t="str">
        <x:v>portunus pelagicus</x:v>
      </x:c>
      <x:c r="O69" s="32" t="n">
        <x:v>2.48</x:v>
      </x:c>
      <x:c r="P69" s="24" t="str">
        <x:v>exact_2020_supplement</x:v>
      </x:c>
      <x:c r="Q69" s="32" t="str">
        <x:v>2020 supplement MeanTL</x:v>
      </x:c>
      <x:c r="R69" s="24" t="str">
        <x:v>high</x:v>
      </x:c>
      <x:c r="S69" s="24" t="str">
        <x:v>Portunus pelagicus</x:v>
      </x:c>
      <x:c r="T69" s="32" t="n">
        <x:f>IF(O69="","",(1/'Metadata'!$B$5)^(O69-1))</x:f>
        <x:v>30.19951720402016</x:v>
      </x:c>
      <x:c r="U69" s="31" t="n">
        <x:f>IF(T69="","",I69*T69)</x:f>
        <x:v>23711.2421583176</x:v>
      </x:c>
    </x:row>
    <x:row r="70" ht="18" customHeight="1">
      <x:c r="A70" s="24" t="str">
        <x:v>EEZ_361</x:v>
      </x:c>
      <x:c r="B70" s="24" t="str">
        <x:v>Indonesia (Eastern)</x:v>
      </x:c>
      <x:c r="C70" s="24" t="str">
        <x:v>EEZ</x:v>
      </x:c>
      <x:c r="D70" s="30" t="n">
        <x:v>2019</x:v>
      </x:c>
      <x:c r="E70" s="24" t="str">
        <x:v>Ariidae</x:v>
      </x:c>
      <x:c r="F70" s="24" t="str">
        <x:v>Sea catfishes, coblers</x:v>
      </x:c>
      <x:c r="G70" s="24" t="str">
        <x:v>Medium demersals (30 - 89 cm)</x:v>
      </x:c>
      <x:c r="H70" s="24" t="str">
        <x:v>Other fishes &amp; inverts</x:v>
      </x:c>
      <x:c r="I70" s="31" t="n">
        <x:v>720.4606943847</x:v>
      </x:c>
      <x:c r="J70" s="31" t="n">
        <x:v>720.4606943847</x:v>
      </x:c>
      <x:c r="K70" s="31" t="n">
        <x:v>0</x:v>
      </x:c>
      <x:c r="L70" s="31" t="n">
        <x:v>13.6388732882</x:v>
      </x:c>
      <x:c r="M70" s="31" t="n">
        <x:v>706.8218210965</x:v>
      </x:c>
      <x:c r="N70" s="24" t="str">
        <x:v>ariidae</x:v>
      </x:c>
      <x:c r="O70" s="32" t="n">
        <x:v>3.48</x:v>
      </x:c>
      <x:c r="P70" s="24" t="str">
        <x:v>exact_sea_around_us</x:v>
      </x:c>
      <x:c r="Q70" s="32" t="str">
        <x:v>Sea Around Us exploited organisms</x:v>
      </x:c>
      <x:c r="R70" s="24" t="str">
        <x:v>high</x:v>
      </x:c>
      <x:c r="S70" s="24" t="str">
        <x:v>Ariidae</x:v>
      </x:c>
      <x:c r="T70" s="32" t="n">
        <x:f>IF(O70="","",(1/'Metadata'!$B$5)^(O70-1))</x:f>
        <x:v>301.9951720402016</x:v>
      </x:c>
      <x:c r="U70" s="31" t="n">
        <x:f>IF(T70="","",I70*T70)</x:f>
        <x:v>217575.6513489106</x:v>
      </x:c>
    </x:row>
    <x:row r="71" ht="18" customHeight="1">
      <x:c r="A71" s="24" t="str">
        <x:v>EEZ_361</x:v>
      </x:c>
      <x:c r="B71" s="24" t="str">
        <x:v>Indonesia (Eastern)</x:v>
      </x:c>
      <x:c r="C71" s="24" t="str">
        <x:v>EEZ</x:v>
      </x:c>
      <x:c r="D71" s="30" t="n">
        <x:v>2019</x:v>
      </x:c>
      <x:c r="E71" s="24" t="str">
        <x:v>Pellona ditchela</x:v>
      </x:c>
      <x:c r="F71" s="24" t="str">
        <x:v>Indian pellona</x:v>
      </x:c>
      <x:c r="G71" s="24" t="str">
        <x:v>Small pelagics (&lt;30 cm)</x:v>
      </x:c>
      <x:c r="H71" s="24" t="str">
        <x:v>Herring-likes</x:v>
      </x:c>
      <x:c r="I71" s="31" t="n">
        <x:v>696.4243139346</x:v>
      </x:c>
      <x:c r="J71" s="31" t="n">
        <x:v>696.4243139346</x:v>
      </x:c>
      <x:c r="K71" s="31" t="n">
        <x:v>0</x:v>
      </x:c>
      <x:c r="L71" s="31" t="n">
        <x:v>696.4243139346</x:v>
      </x:c>
      <x:c r="M71" s="31" t="n">
        <x:v>0</x:v>
      </x:c>
      <x:c r="N71" s="24" t="str">
        <x:v>pellona ditchela</x:v>
      </x:c>
      <x:c r="O71" s="32" t="n">
        <x:v>3.37</x:v>
      </x:c>
      <x:c r="P71" s="24" t="str">
        <x:v>exact_sea_around_us</x:v>
      </x:c>
      <x:c r="Q71" s="32" t="str">
        <x:v>Sea Around Us exploited organisms</x:v>
      </x:c>
      <x:c r="R71" s="24" t="str">
        <x:v>high</x:v>
      </x:c>
      <x:c r="S71" s="24" t="str">
        <x:v>Pellona ditchela</x:v>
      </x:c>
      <x:c r="T71" s="32" t="n">
        <x:f>IF(O71="","",(1/'Metadata'!$B$5)^(O71-1))</x:f>
        <x:v>234.42288153199226</x:v>
      </x:c>
      <x:c r="U71" s="31" t="n">
        <x:f>IF(T71="","",I71*T71)</x:f>
        <x:v>163257.79444148974</x:v>
      </x:c>
    </x:row>
    <x:row r="72" ht="18" customHeight="1">
      <x:c r="A72" s="24" t="str">
        <x:v>EEZ_361</x:v>
      </x:c>
      <x:c r="B72" s="24" t="str">
        <x:v>Indonesia (Eastern)</x:v>
      </x:c>
      <x:c r="C72" s="24" t="str">
        <x:v>EEZ</x:v>
      </x:c>
      <x:c r="D72" s="30" t="n">
        <x:v>2019</x:v>
      </x:c>
      <x:c r="E72" s="24" t="str">
        <x:v>Dendrobranchiata</x:v>
      </x:c>
      <x:c r="F72" s="24" t="str">
        <x:v>Shrimps and prawns</x:v>
      </x:c>
      <x:c r="G72" s="24" t="str">
        <x:v>Shrimps</x:v>
      </x:c>
      <x:c r="H72" s="24" t="str">
        <x:v>Crustaceans</x:v>
      </x:c>
      <x:c r="I72" s="31" t="n">
        <x:v>586.8738541593001</x:v>
      </x:c>
      <x:c r="J72" s="31" t="n">
        <x:v>586.8738541593001</x:v>
      </x:c>
      <x:c r="K72" s="31" t="n">
        <x:v>0</x:v>
      </x:c>
      <x:c r="L72" s="31" t="n">
        <x:v>586.8738541593001</x:v>
      </x:c>
      <x:c r="M72" s="31" t="n">
        <x:v>0</x:v>
      </x:c>
      <x:c r="N72" s="24" t="str">
        <x:v>dendrobranchiata</x:v>
      </x:c>
      <x:c r="O72" s="32" t="n">
        <x:v>3.24</x:v>
      </x:c>
      <x:c r="P72" s="24" t="str">
        <x:v>exact_sea_around_us</x:v>
      </x:c>
      <x:c r="Q72" s="32" t="str">
        <x:v>Sea Around Us exploited organisms</x:v>
      </x:c>
      <x:c r="R72" s="24" t="str">
        <x:v>high</x:v>
      </x:c>
      <x:c r="S72" s="24" t="str">
        <x:v>Dendrobranchiata</x:v>
      </x:c>
      <x:c r="T72" s="32" t="n">
        <x:f>IF(O72="","",(1/'Metadata'!$B$5)^(O72-1))</x:f>
        <x:v>173.78008287493762</x:v>
      </x:c>
      <x:c r="U72" s="31" t="n">
        <x:f>IF(T72="","",I72*T72)</x:f>
        <x:v>101986.98701293723</x:v>
      </x:c>
    </x:row>
    <x:row r="73" ht="18" customHeight="1">
      <x:c r="A73" s="24" t="str">
        <x:v>EEZ_361</x:v>
      </x:c>
      <x:c r="B73" s="24" t="str">
        <x:v>Indonesia (Eastern)</x:v>
      </x:c>
      <x:c r="C73" s="24" t="str">
        <x:v>EEZ</x:v>
      </x:c>
      <x:c r="D73" s="30" t="n">
        <x:v>2019</x:v>
      </x:c>
      <x:c r="E73" s="24" t="str">
        <x:v>Exocoetidae</x:v>
      </x:c>
      <x:c r="F73" s="24" t="str">
        <x:v>Flyingfishes</x:v>
      </x:c>
      <x:c r="G73" s="24" t="str">
        <x:v>Small pelagics (&lt;30 cm)</x:v>
      </x:c>
      <x:c r="H73" s="24" t="str">
        <x:v>Other fishes &amp; inverts</x:v>
      </x:c>
      <x:c r="I73" s="31" t="n">
        <x:v>580.6728651727</x:v>
      </x:c>
      <x:c r="J73" s="31" t="n">
        <x:v>580.6728651727</x:v>
      </x:c>
      <x:c r="K73" s="31" t="n">
        <x:v>0</x:v>
      </x:c>
      <x:c r="L73" s="31" t="n">
        <x:v>0</x:v>
      </x:c>
      <x:c r="M73" s="31" t="n">
        <x:v>580.6728651727</x:v>
      </x:c>
      <x:c r="N73" s="24" t="str">
        <x:v>exocoetidae</x:v>
      </x:c>
      <x:c r="O73" s="32" t="n">
        <x:v>3.57</x:v>
      </x:c>
      <x:c r="P73" s="24" t="str">
        <x:v>exact_sea_around_us</x:v>
      </x:c>
      <x:c r="Q73" s="32" t="str">
        <x:v>Sea Around Us exploited organisms</x:v>
      </x:c>
      <x:c r="R73" s="24" t="str">
        <x:v>high</x:v>
      </x:c>
      <x:c r="S73" s="24" t="str">
        <x:v>Exocoetidae</x:v>
      </x:c>
      <x:c r="T73" s="32" t="n">
        <x:f>IF(O73="","",(1/'Metadata'!$B$5)^(O73-1))</x:f>
        <x:v>371.5352290971724</x:v>
      </x:c>
      <x:c r="U73" s="31" t="n">
        <x:f>IF(T73="","",I73*T73)</x:f>
        <x:v>215740.4259924506</x:v>
      </x:c>
    </x:row>
    <x:row r="74" ht="18" customHeight="1">
      <x:c r="A74" s="24" t="str">
        <x:v>EEZ_361</x:v>
      </x:c>
      <x:c r="B74" s="24" t="str">
        <x:v>Indonesia (Eastern)</x:v>
      </x:c>
      <x:c r="C74" s="24" t="str">
        <x:v>EEZ</x:v>
      </x:c>
      <x:c r="D74" s="30" t="n">
        <x:v>2019</x:v>
      </x:c>
      <x:c r="E74" s="24" t="str">
        <x:v>Xiphias gladius</x:v>
      </x:c>
      <x:c r="F74" s="24" t="str">
        <x:v>Swordfish</x:v>
      </x:c>
      <x:c r="G74" s="24" t="str">
        <x:v>Large pelagics (&gt;=90 cm)</x:v>
      </x:c>
      <x:c r="H74" s="24" t="str">
        <x:v>Tuna &amp; billfishes</x:v>
      </x:c>
      <x:c r="I74" s="31" t="n">
        <x:v>541.8717052907</x:v>
      </x:c>
      <x:c r="J74" s="31" t="n">
        <x:v>512.6615197418</x:v>
      </x:c>
      <x:c r="K74" s="31" t="n">
        <x:v>29.2101855489</x:v>
      </x:c>
      <x:c r="L74" s="31" t="n">
        <x:v>512.6615197418</x:v>
      </x:c>
      <x:c r="M74" s="31" t="n">
        <x:v>29.2101855489</x:v>
      </x:c>
      <x:c r="N74" s="24" t="str">
        <x:v>xiphias gladius</x:v>
      </x:c>
      <x:c r="O74" s="32" t="n">
        <x:v>4.53</x:v>
      </x:c>
      <x:c r="P74" s="24" t="str">
        <x:v>exact_2020_supplement</x:v>
      </x:c>
      <x:c r="Q74" s="32" t="str">
        <x:v>2020 supplement MeanTL</x:v>
      </x:c>
      <x:c r="R74" s="24" t="str">
        <x:v>high</x:v>
      </x:c>
      <x:c r="S74" s="24" t="str">
        <x:v>Xiphias gladius</x:v>
      </x:c>
      <x:c r="T74" s="32" t="n">
        <x:f>IF(O74="","",(1/'Metadata'!$B$5)^(O74-1))</x:f>
        <x:v>3388.4415613920273</x:v>
      </x:c>
      <x:c r="U74" s="31" t="n">
        <x:f>IF(T74="","",I74*T74)</x:f>
        <x:v>1836100.60714938</x:v>
      </x:c>
    </x:row>
    <x:row r="75" ht="18" customHeight="1">
      <x:c r="A75" s="24" t="str">
        <x:v>EEZ_361</x:v>
      </x:c>
      <x:c r="B75" s="24" t="str">
        <x:v>Indonesia (Eastern)</x:v>
      </x:c>
      <x:c r="C75" s="24" t="str">
        <x:v>EEZ</x:v>
      </x:c>
      <x:c r="D75" s="30" t="n">
        <x:v>2019</x:v>
      </x:c>
      <x:c r="E75" s="24" t="str">
        <x:v>Serranidae</x:v>
      </x:c>
      <x:c r="F75" s="24" t="str">
        <x:v>Basses, groupers, hinds</x:v>
      </x:c>
      <x:c r="G75" s="24" t="str">
        <x:v>Medium reef assoc. fish (30 - 89 cm)</x:v>
      </x:c>
      <x:c r="H75" s="24" t="str">
        <x:v>Perch-likes</x:v>
      </x:c>
      <x:c r="I75" s="31" t="n">
        <x:v>541.5667505769</x:v>
      </x:c>
      <x:c r="J75" s="31" t="n">
        <x:v>541.5667505769</x:v>
      </x:c>
      <x:c r="K75" s="31" t="n">
        <x:v>0</x:v>
      </x:c>
      <x:c r="L75" s="31" t="n">
        <x:v>70.2770242612</x:v>
      </x:c>
      <x:c r="M75" s="31" t="n">
        <x:v>471.28972631569997</x:v>
      </x:c>
      <x:c r="N75" s="24" t="str">
        <x:v>serranidae</x:v>
      </x:c>
      <x:c r="O75" s="32" t="n">
        <x:v>3.98</x:v>
      </x:c>
      <x:c r="P75" s="24" t="str">
        <x:v>exact_sea_around_us</x:v>
      </x:c>
      <x:c r="Q75" s="32" t="str">
        <x:v>Sea Around Us exploited organisms</x:v>
      </x:c>
      <x:c r="R75" s="24" t="str">
        <x:v>high</x:v>
      </x:c>
      <x:c r="S75" s="24" t="str">
        <x:v>Serranidae</x:v>
      </x:c>
      <x:c r="T75" s="32" t="n">
        <x:f>IF(O75="","",(1/'Metadata'!$B$5)^(O75-1))</x:f>
        <x:v>954.992586021436</x:v>
      </x:c>
      <x:c r="U75" s="31" t="n">
        <x:f>IF(T75="","",I75*T75)</x:f>
        <x:v>517192.23163665965</x:v>
      </x:c>
    </x:row>
    <x:row r="76" ht="18" customHeight="1">
      <x:c r="A76" s="24" t="str">
        <x:v>EEZ_361</x:v>
      </x:c>
      <x:c r="B76" s="24" t="str">
        <x:v>Indonesia (Eastern)</x:v>
      </x:c>
      <x:c r="C76" s="24" t="str">
        <x:v>EEZ</x:v>
      </x:c>
      <x:c r="D76" s="30" t="n">
        <x:v>2019</x:v>
      </x:c>
      <x:c r="E76" s="24" t="str">
        <x:v>Saurida</x:v>
      </x:c>
      <x:c r="F76" s="24" t="str">
        <x:v>Lizardfishes</x:v>
      </x:c>
      <x:c r="G76" s="24" t="str">
        <x:v>Medium demersals (30 - 89 cm)</x:v>
      </x:c>
      <x:c r="H76" s="24" t="str">
        <x:v>Other fishes &amp; inverts</x:v>
      </x:c>
      <x:c r="I76" s="31" t="n">
        <x:v>532.6727905990999</x:v>
      </x:c>
      <x:c r="J76" s="31" t="n">
        <x:v>532.6727905990999</x:v>
      </x:c>
      <x:c r="K76" s="31" t="n">
        <x:v>0</x:v>
      </x:c>
      <x:c r="L76" s="31" t="n">
        <x:v>507.83818877709996</x:v>
      </x:c>
      <x:c r="M76" s="31" t="n">
        <x:v>24.834601822</x:v>
      </x:c>
      <x:c r="N76" s="24" t="str">
        <x:v>saurida</x:v>
      </x:c>
      <x:c r="O76" s="32" t="n">
        <x:v>4.35</x:v>
      </x:c>
      <x:c r="P76" s="24" t="str">
        <x:v>exact_sea_around_us</x:v>
      </x:c>
      <x:c r="Q76" s="32" t="str">
        <x:v>Sea Around Us exploited organisms</x:v>
      </x:c>
      <x:c r="R76" s="24" t="str">
        <x:v>high</x:v>
      </x:c>
      <x:c r="S76" s="24" t="str">
        <x:v>Saurida</x:v>
      </x:c>
      <x:c r="T76" s="32" t="n">
        <x:f>IF(O76="","",(1/'Metadata'!$B$5)^(O76-1))</x:f>
        <x:v>2238.7211385683377</x:v>
      </x:c>
      <x:c r="U76" s="31" t="n">
        <x:f>IF(T76="","",I76*T76)</x:f>
        <x:v>1192505.8362543907</x:v>
      </x:c>
    </x:row>
    <x:row r="77" ht="18" customHeight="1">
      <x:c r="A77" s="24" t="str">
        <x:v>EEZ_361</x:v>
      </x:c>
      <x:c r="B77" s="24" t="str">
        <x:v>Indonesia (Eastern)</x:v>
      </x:c>
      <x:c r="C77" s="24" t="str">
        <x:v>EEZ</x:v>
      </x:c>
      <x:c r="D77" s="30" t="n">
        <x:v>2019</x:v>
      </x:c>
      <x:c r="E77" s="24" t="str">
        <x:v>Sergestidae</x:v>
      </x:c>
      <x:c r="F77" s="24" t="str">
        <x:v>Sergestid shrimp</x:v>
      </x:c>
      <x:c r="G77" s="24" t="str">
        <x:v>Shrimps</x:v>
      </x:c>
      <x:c r="H77" s="24" t="str">
        <x:v>Crustaceans</x:v>
      </x:c>
      <x:c r="I77" s="31" t="n">
        <x:v>502.7007162558</x:v>
      </x:c>
      <x:c r="J77" s="31" t="n">
        <x:v>502.7007162558</x:v>
      </x:c>
      <x:c r="K77" s="31" t="n">
        <x:v>0</x:v>
      </x:c>
      <x:c r="L77" s="31" t="n">
        <x:v>210.7078196117</x:v>
      </x:c>
      <x:c r="M77" s="31" t="n">
        <x:v>291.99289664410003</x:v>
      </x:c>
      <x:c r="N77" s="24" t="str">
        <x:v>sergestidae</x:v>
      </x:c>
      <x:c r="O77" s="32" t="n">
        <x:v>2.93</x:v>
      </x:c>
      <x:c r="P77" s="24" t="str">
        <x:v>exact_sea_around_us</x:v>
      </x:c>
      <x:c r="Q77" s="32" t="str">
        <x:v>Sea Around Us exploited organisms</x:v>
      </x:c>
      <x:c r="R77" s="24" t="str">
        <x:v>high</x:v>
      </x:c>
      <x:c r="S77" s="24" t="str">
        <x:v>Sergestidae</x:v>
      </x:c>
      <x:c r="T77" s="32" t="n">
        <x:f>IF(O77="","",(1/'Metadata'!$B$5)^(O77-1))</x:f>
        <x:v>85.11380382023768</x:v>
      </x:c>
      <x:c r="U77" s="31" t="n">
        <x:f>IF(T77="","",I77*T77)</x:f>
        <x:v>42786.77014368913</x:v>
      </x:c>
    </x:row>
    <x:row r="78" ht="18" customHeight="1">
      <x:c r="A78" s="24" t="str">
        <x:v>EEZ_361</x:v>
      </x:c>
      <x:c r="B78" s="24" t="str">
        <x:v>Indonesia (Eastern)</x:v>
      </x:c>
      <x:c r="C78" s="24" t="str">
        <x:v>EEZ</x:v>
      </x:c>
      <x:c r="D78" s="30" t="n">
        <x:v>2019</x:v>
      </x:c>
      <x:c r="E78" s="24" t="str">
        <x:v>Stromateidae</x:v>
      </x:c>
      <x:c r="F78" s="24" t="str">
        <x:v>Butterfishes</x:v>
      </x:c>
      <x:c r="G78" s="24" t="str">
        <x:v>Small benthopelagics (&lt;30 cm)</x:v>
      </x:c>
      <x:c r="H78" s="24" t="str">
        <x:v>Perch-likes</x:v>
      </x:c>
      <x:c r="I78" s="31" t="n">
        <x:v>493.3626079073</x:v>
      </x:c>
      <x:c r="J78" s="31" t="n">
        <x:v>493.3626079073</x:v>
      </x:c>
      <x:c r="K78" s="31" t="n">
        <x:v>0</x:v>
      </x:c>
      <x:c r="L78" s="31" t="n">
        <x:v>120.5547860763</x:v>
      </x:c>
      <x:c r="M78" s="31" t="n">
        <x:v>372.807821831</x:v>
      </x:c>
      <x:c r="N78" s="24" t="str">
        <x:v>stromateidae</x:v>
      </x:c>
      <x:c r="O78" s="32" t="n">
        <x:v>3.62</x:v>
      </x:c>
      <x:c r="P78" s="24" t="str">
        <x:v>exact_sea_around_us</x:v>
      </x:c>
      <x:c r="Q78" s="32" t="str">
        <x:v>Sea Around Us exploited organisms</x:v>
      </x:c>
      <x:c r="R78" s="24" t="str">
        <x:v>high</x:v>
      </x:c>
      <x:c r="S78" s="24" t="str">
        <x:v>Stromateidae</x:v>
      </x:c>
      <x:c r="T78" s="32" t="n">
        <x:f>IF(O78="","",(1/'Metadata'!$B$5)^(O78-1))</x:f>
        <x:v>416.8693834703355</x:v>
      </x:c>
      <x:c r="U78" s="31" t="n">
        <x:f>IF(T78="","",I78*T78)</x:f>
        <x:v>205667.76618563302</x:v>
      </x:c>
    </x:row>
    <x:row r="79" ht="18" customHeight="1">
      <x:c r="A79" s="24" t="str">
        <x:v>EEZ_361</x:v>
      </x:c>
      <x:c r="B79" s="24" t="str">
        <x:v>Indonesia (Eastern)</x:v>
      </x:c>
      <x:c r="C79" s="24" t="str">
        <x:v>EEZ</x:v>
      </x:c>
      <x:c r="D79" s="30" t="n">
        <x:v>2019</x:v>
      </x:c>
      <x:c r="E79" s="24" t="str">
        <x:v>Sphyraena</x:v>
      </x:c>
      <x:c r="F79" s="24" t="str">
        <x:v>Barracudas, sennets</x:v>
      </x:c>
      <x:c r="G79" s="24" t="str">
        <x:v>Large pelagics (&gt;=90 cm)</x:v>
      </x:c>
      <x:c r="H79" s="24" t="str">
        <x:v>Perch-likes</x:v>
      </x:c>
      <x:c r="I79" s="31" t="n">
        <x:v>491.3887967555</x:v>
      </x:c>
      <x:c r="J79" s="31" t="n">
        <x:v>491.3887967555</x:v>
      </x:c>
      <x:c r="K79" s="31" t="n">
        <x:v>0</x:v>
      </x:c>
      <x:c r="L79" s="31" t="n">
        <x:v>234.2145450385</x:v>
      </x:c>
      <x:c r="M79" s="31" t="n">
        <x:v>257.174251717</x:v>
      </x:c>
      <x:c r="N79" s="24" t="str">
        <x:v>sphyraena</x:v>
      </x:c>
      <x:c r="O79" s="32" t="n">
        <x:v>4.4</x:v>
      </x:c>
      <x:c r="P79" s="24" t="str">
        <x:v>exact_sea_around_us</x:v>
      </x:c>
      <x:c r="Q79" s="32" t="str">
        <x:v>Sea Around Us exploited organisms</x:v>
      </x:c>
      <x:c r="R79" s="24" t="str">
        <x:v>high</x:v>
      </x:c>
      <x:c r="S79" s="24" t="str">
        <x:v>Sphyraena</x:v>
      </x:c>
      <x:c r="T79" s="32" t="n">
        <x:f>IF(O79="","",(1/'Metadata'!$B$5)^(O79-1))</x:f>
        <x:v>2511.886431509582</x:v>
      </x:c>
      <x:c r="U79" s="31" t="n">
        <x:f>IF(T79="","",I79*T79)</x:f>
        <x:v>1234312.85116596</x:v>
      </x:c>
    </x:row>
    <x:row r="80" ht="18" customHeight="1">
      <x:c r="A80" s="24" t="str">
        <x:v>EEZ_361</x:v>
      </x:c>
      <x:c r="B80" s="24" t="str">
        <x:v>Indonesia (Eastern)</x:v>
      </x:c>
      <x:c r="C80" s="24" t="str">
        <x:v>EEZ</x:v>
      </x:c>
      <x:c r="D80" s="30" t="n">
        <x:v>2019</x:v>
      </x:c>
      <x:c r="E80" s="24" t="str">
        <x:v>Istiompax indica</x:v>
      </x:c>
      <x:c r="F80" s="24" t="str">
        <x:v>Black marlin</x:v>
      </x:c>
      <x:c r="G80" s="24" t="str">
        <x:v>Large pelagics (&gt;=90 cm)</x:v>
      </x:c>
      <x:c r="H80" s="24" t="str">
        <x:v>Tuna &amp; billfishes</x:v>
      </x:c>
      <x:c r="I80" s="31" t="n">
        <x:v>482.8128027708</x:v>
      </x:c>
      <x:c r="J80" s="31" t="n">
        <x:v>482.8128027708</x:v>
      </x:c>
      <x:c r="K80" s="31" t="n">
        <x:v>0</x:v>
      </x:c>
      <x:c r="L80" s="31" t="n">
        <x:v>482.8128027708</x:v>
      </x:c>
      <x:c r="M80" s="31" t="n">
        <x:v>0</x:v>
      </x:c>
      <x:c r="N80" s="24" t="str">
        <x:v>istiompax indica</x:v>
      </x:c>
      <x:c r="O80" s="32" t="n">
        <x:v>4.5</x:v>
      </x:c>
      <x:c r="P80" s="24" t="str">
        <x:v>exact_2020_supplement</x:v>
      </x:c>
      <x:c r="Q80" s="32" t="str">
        <x:v>2020 supplement MeanTL</x:v>
      </x:c>
      <x:c r="R80" s="24" t="str">
        <x:v>high</x:v>
      </x:c>
      <x:c r="S80" s="24" t="str">
        <x:v>Istiompax indica</x:v>
      </x:c>
      <x:c r="T80" s="32" t="n">
        <x:f>IF(O80="","",(1/'Metadata'!$B$5)^(O80-1))</x:f>
        <x:v>3162.2776601683795</x:v>
      </x:c>
      <x:c r="U80" s="31" t="n">
        <x:f>IF(T80="","",I80*T80)</x:f>
        <x:v>1526788.1402453827</x:v>
      </x:c>
    </x:row>
    <x:row r="81" ht="18" customHeight="1">
      <x:c r="A81" s="24" t="str">
        <x:v>EEZ_361</x:v>
      </x:c>
      <x:c r="B81" s="24" t="str">
        <x:v>Indonesia (Eastern)</x:v>
      </x:c>
      <x:c r="C81" s="24" t="str">
        <x:v>EEZ</x:v>
      </x:c>
      <x:c r="D81" s="30" t="n">
        <x:v>2019</x:v>
      </x:c>
      <x:c r="E81" s="24" t="str">
        <x:v>Alopias</x:v>
      </x:c>
      <x:c r="F81" s="24" t="str">
        <x:v>Thresher sharks</x:v>
      </x:c>
      <x:c r="G81" s="24" t="str">
        <x:v>Large sharks (&gt;=90 cm)</x:v>
      </x:c>
      <x:c r="H81" s="24" t="str">
        <x:v>Sharks &amp; rays</x:v>
      </x:c>
      <x:c r="I81" s="31" t="n">
        <x:v>436.5617299905</x:v>
      </x:c>
      <x:c r="J81" s="31" t="n">
        <x:v>434.3786016291</x:v>
      </x:c>
      <x:c r="K81" s="31" t="n">
        <x:v>2.1831283614</x:v>
      </x:c>
      <x:c r="L81" s="31" t="n">
        <x:v>434.3786016291</x:v>
      </x:c>
      <x:c r="M81" s="31" t="n">
        <x:v>2.1831283614</x:v>
      </x:c>
      <x:c r="N81" s="24" t="str">
        <x:v>alopias</x:v>
      </x:c>
      <x:c r="O81" s="32" t="n">
        <x:v>4.5</x:v>
      </x:c>
      <x:c r="P81" s="24" t="str">
        <x:v>exact_sea_around_us</x:v>
      </x:c>
      <x:c r="Q81" s="32" t="str">
        <x:v>Sea Around Us exploited organisms</x:v>
      </x:c>
      <x:c r="R81" s="24" t="str">
        <x:v>high</x:v>
      </x:c>
      <x:c r="S81" s="24" t="str">
        <x:v>Alopias</x:v>
      </x:c>
      <x:c r="T81" s="32" t="n">
        <x:f>IF(O81="","",(1/'Metadata'!$B$5)^(O81-1))</x:f>
        <x:v>3162.2776601683795</x:v>
      </x:c>
      <x:c r="U81" s="31" t="n">
        <x:f>IF(T81="","",I81*T81)</x:f>
        <x:v>1380529.4060334181</x:v>
      </x:c>
    </x:row>
    <x:row r="82" ht="18" customHeight="1">
      <x:c r="A82" s="24" t="str">
        <x:v>EEZ_361</x:v>
      </x:c>
      <x:c r="B82" s="24" t="str">
        <x:v>Indonesia (Eastern)</x:v>
      </x:c>
      <x:c r="C82" s="24" t="str">
        <x:v>EEZ</x:v>
      </x:c>
      <x:c r="D82" s="30" t="n">
        <x:v>2019</x:v>
      </x:c>
      <x:c r="E82" s="24" t="str">
        <x:v>Hemiramphidae</x:v>
      </x:c>
      <x:c r="F82" s="24" t="str">
        <x:v>Halfbeaks, garfishes</x:v>
      </x:c>
      <x:c r="G82" s="24" t="str">
        <x:v>Medium pelagics (30 - 89 cm)</x:v>
      </x:c>
      <x:c r="H82" s="24" t="str">
        <x:v>Other fishes &amp; inverts</x:v>
      </x:c>
      <x:c r="I82" s="31" t="n">
        <x:v>405.8570182562</x:v>
      </x:c>
      <x:c r="J82" s="31" t="n">
        <x:v>405.8570182562</x:v>
      </x:c>
      <x:c r="K82" s="31" t="n">
        <x:v>0</x:v>
      </x:c>
      <x:c r="L82" s="31" t="n">
        <x:v>0</x:v>
      </x:c>
      <x:c r="M82" s="31" t="n">
        <x:v>405.8570182562</x:v>
      </x:c>
      <x:c r="N82" s="24" t="str">
        <x:v>hemiramphidae</x:v>
      </x:c>
      <x:c r="O82" s="32" t="n">
        <x:v>2.82</x:v>
      </x:c>
      <x:c r="P82" s="24" t="str">
        <x:v>exact_sea_around_us</x:v>
      </x:c>
      <x:c r="Q82" s="32" t="str">
        <x:v>Sea Around Us exploited organisms</x:v>
      </x:c>
      <x:c r="R82" s="24" t="str">
        <x:v>high</x:v>
      </x:c>
      <x:c r="S82" s="24" t="str">
        <x:v>Hemiramphidae</x:v>
      </x:c>
      <x:c r="T82" s="32" t="n">
        <x:f>IF(O82="","",(1/'Metadata'!$B$5)^(O82-1))</x:f>
        <x:v>66.06934480075958</x:v>
      </x:c>
      <x:c r="U82" s="31" t="n">
        <x:f>IF(T82="","",I82*T82)</x:f>
        <x:v>26814.707278977054</x:v>
      </x:c>
    </x:row>
    <x:row r="83" ht="18" customHeight="1">
      <x:c r="A83" s="24" t="str">
        <x:v>EEZ_361</x:v>
      </x:c>
      <x:c r="B83" s="24" t="str">
        <x:v>Indonesia (Eastern)</x:v>
      </x:c>
      <x:c r="C83" s="24" t="str">
        <x:v>EEZ</x:v>
      </x:c>
      <x:c r="D83" s="30" t="n">
        <x:v>2019</x:v>
      </x:c>
      <x:c r="E83" s="24" t="str">
        <x:v>Marine pelagic fishes not identified</x:v>
      </x:c>
      <x:c r="F83" s="24" t="str">
        <x:v>Pelagic fishes</x:v>
      </x:c>
      <x:c r="G83" s="24" t="str">
        <x:v>Medium pelagics (30 - 89 cm)</x:v>
      </x:c>
      <x:c r="H83" s="24" t="str">
        <x:v>Other fishes &amp; inverts</x:v>
      </x:c>
      <x:c r="I83" s="31" t="n">
        <x:v>376.6817607064</x:v>
      </x:c>
      <x:c r="J83" s="31" t="n">
        <x:v>376.6817607064</x:v>
      </x:c>
      <x:c r="K83" s="31" t="n">
        <x:v>0</x:v>
      </x:c>
      <x:c r="L83" s="31" t="n">
        <x:v>376.6817607064</x:v>
      </x:c>
      <x:c r="M83" s="31" t="n">
        <x:v>0</x:v>
      </x:c>
      <x:c r="N83" s="24" t="str">
        <x:v>marine pelagic fishes not identified</x:v>
      </x:c>
      <x:c r="O83" s="32" t="n">
        <x:v>3.35</x:v>
      </x:c>
      <x:c r="P83" s="24" t="str">
        <x:v>exact_sea_around_us</x:v>
      </x:c>
      <x:c r="Q83" s="32" t="str">
        <x:v>Sea Around Us exploited organisms</x:v>
      </x:c>
      <x:c r="R83" s="24" t="str">
        <x:v>high</x:v>
      </x:c>
      <x:c r="S83" s="24" t="str">
        <x:v>Marine pelagic fishes not identified</x:v>
      </x:c>
      <x:c r="T83" s="32" t="n">
        <x:f>IF(O83="","",(1/'Metadata'!$B$5)^(O83-1))</x:f>
        <x:v>223.872113856834</x:v>
      </x:c>
      <x:c r="U83" s="31" t="n">
        <x:f>IF(T83="","",I83*T83)</x:f>
        <x:v>84328.54202065588</x:v>
      </x:c>
    </x:row>
    <x:row r="84" ht="18" customHeight="1">
      <x:c r="A84" s="24" t="str">
        <x:v>EEZ_361</x:v>
      </x:c>
      <x:c r="B84" s="24" t="str">
        <x:v>Indonesia (Eastern)</x:v>
      </x:c>
      <x:c r="C84" s="24" t="str">
        <x:v>EEZ</x:v>
      </x:c>
      <x:c r="D84" s="30" t="n">
        <x:v>2019</x:v>
      </x:c>
      <x:c r="E84" s="24" t="str">
        <x:v>Thunnus alalunga</x:v>
      </x:c>
      <x:c r="F84" s="24" t="str">
        <x:v>Albacore</x:v>
      </x:c>
      <x:c r="G84" s="24" t="str">
        <x:v>Large pelagics (&gt;=90 cm)</x:v>
      </x:c>
      <x:c r="H84" s="24" t="str">
        <x:v>Tuna &amp; billfishes</x:v>
      </x:c>
      <x:c r="I84" s="31" t="n">
        <x:v>358.8579972677</x:v>
      </x:c>
      <x:c r="J84" s="31" t="n">
        <x:v>358.79635637060005</x:v>
      </x:c>
      <x:c r="K84" s="31" t="n">
        <x:v>0.0616408971</x:v>
      </x:c>
      <x:c r="L84" s="31" t="n">
        <x:v>358.79635637060005</x:v>
      </x:c>
      <x:c r="M84" s="31" t="n">
        <x:v>0.0616408971</x:v>
      </x:c>
      <x:c r="N84" s="24" t="str">
        <x:v>thunnus alalunga</x:v>
      </x:c>
      <x:c r="O84" s="32" t="n">
        <x:v>4.3</x:v>
      </x:c>
      <x:c r="P84" s="24" t="str">
        <x:v>exact_2020_supplement</x:v>
      </x:c>
      <x:c r="Q84" s="32" t="str">
        <x:v>2020 supplement MeanTL</x:v>
      </x:c>
      <x:c r="R84" s="24" t="str">
        <x:v>high</x:v>
      </x:c>
      <x:c r="S84" s="24" t="str">
        <x:v>Thunnus alalunga</x:v>
      </x:c>
      <x:c r="T84" s="32" t="n">
        <x:f>IF(O84="","",(1/'Metadata'!$B$5)^(O84-1))</x:f>
        <x:v>1995.2623149688789</x:v>
      </x:c>
      <x:c r="U84" s="31" t="n">
        <x:f>IF(T84="","",I84*T84)</x:f>
        <x:v>716015.8383734467</x:v>
      </x:c>
    </x:row>
    <x:row r="85" ht="18" customHeight="1">
      <x:c r="A85" s="24" t="str">
        <x:v>EEZ_361</x:v>
      </x:c>
      <x:c r="B85" s="24" t="str">
        <x:v>Indonesia (Eastern)</x:v>
      </x:c>
      <x:c r="C85" s="24" t="str">
        <x:v>EEZ</x:v>
      </x:c>
      <x:c r="D85" s="30" t="n">
        <x:v>2019</x:v>
      </x:c>
      <x:c r="E85" s="24" t="str">
        <x:v>Priacanthus</x:v>
      </x:c>
      <x:c r="F85" s="24" t="str">
        <x:v>Bigeyes</x:v>
      </x:c>
      <x:c r="G85" s="24" t="str">
        <x:v>Medium reef assoc. fish (30 - 89 cm)</x:v>
      </x:c>
      <x:c r="H85" s="24" t="str">
        <x:v>Perch-likes</x:v>
      </x:c>
      <x:c r="I85" s="31" t="n">
        <x:v>333.25513328259996</x:v>
      </x:c>
      <x:c r="J85" s="31" t="n">
        <x:v>333.25513328259996</x:v>
      </x:c>
      <x:c r="K85" s="31" t="n">
        <x:v>0</x:v>
      </x:c>
      <x:c r="L85" s="31" t="n">
        <x:v>327.38749788039996</x:v>
      </x:c>
      <x:c r="M85" s="31" t="n">
        <x:v>5.8676354021999995</x:v>
      </x:c>
      <x:c r="N85" s="24" t="str">
        <x:v>priacanthus</x:v>
      </x:c>
      <x:c r="O85" s="32" t="n">
        <x:v>3.81</x:v>
      </x:c>
      <x:c r="P85" s="24" t="str">
        <x:v>exact_sea_around_us</x:v>
      </x:c>
      <x:c r="Q85" s="32" t="str">
        <x:v>Sea Around Us exploited organisms</x:v>
      </x:c>
      <x:c r="R85" s="24" t="str">
        <x:v>high</x:v>
      </x:c>
      <x:c r="S85" s="24" t="str">
        <x:v>Priacanthus</x:v>
      </x:c>
      <x:c r="T85" s="32" t="n">
        <x:f>IF(O85="","",(1/'Metadata'!$B$5)^(O85-1))</x:f>
        <x:v>645.6542290346556</x:v>
      </x:c>
      <x:c r="U85" s="31" t="n">
        <x:f>IF(T85="","",I85*T85)</x:f>
        <x:v>215167.58615141848</x:v>
      </x:c>
    </x:row>
    <x:row r="86" ht="18" customHeight="1">
      <x:c r="A86" s="24" t="str">
        <x:v>EEZ_361</x:v>
      </x:c>
      <x:c r="B86" s="24" t="str">
        <x:v>Indonesia (Eastern)</x:v>
      </x:c>
      <x:c r="C86" s="24" t="str">
        <x:v>EEZ</x:v>
      </x:c>
      <x:c r="D86" s="30" t="n">
        <x:v>2019</x:v>
      </x:c>
      <x:c r="E86" s="24" t="str">
        <x:v>Thunnus tonggol</x:v>
      </x:c>
      <x:c r="F86" s="24" t="str">
        <x:v>Longtail tuna</x:v>
      </x:c>
      <x:c r="G86" s="24" t="str">
        <x:v>Large pelagics (&gt;=90 cm)</x:v>
      </x:c>
      <x:c r="H86" s="24" t="str">
        <x:v>Tuna &amp; billfishes</x:v>
      </x:c>
      <x:c r="I86" s="31" t="n">
        <x:v>314.8395517028</x:v>
      </x:c>
      <x:c r="J86" s="31" t="n">
        <x:v>139.2591060645</x:v>
      </x:c>
      <x:c r="K86" s="31" t="n">
        <x:v>175.5804456383</x:v>
      </x:c>
      <x:c r="L86" s="31" t="n">
        <x:v>139.2591060645</x:v>
      </x:c>
      <x:c r="M86" s="31" t="n">
        <x:v>175.5804456383</x:v>
      </x:c>
      <x:c r="N86" s="24" t="str">
        <x:v>thunnus tonggol</x:v>
      </x:c>
      <x:c r="O86" s="32" t="n">
        <x:v>4.5</x:v>
      </x:c>
      <x:c r="P86" s="24" t="str">
        <x:v>exact_2020_supplement</x:v>
      </x:c>
      <x:c r="Q86" s="32" t="str">
        <x:v>2020 supplement MeanTL</x:v>
      </x:c>
      <x:c r="R86" s="24" t="str">
        <x:v>high</x:v>
      </x:c>
      <x:c r="S86" s="24" t="str">
        <x:v>Thunnus tonggol</x:v>
      </x:c>
      <x:c r="T86" s="32" t="n">
        <x:f>IF(O86="","",(1/'Metadata'!$B$5)^(O86-1))</x:f>
        <x:v>3162.2776601683795</x:v>
      </x:c>
      <x:c r="U86" s="31" t="n">
        <x:f>IF(T86="","",I86*T86)</x:f>
        <x:v>995610.0808871919</x:v>
      </x:c>
    </x:row>
    <x:row r="87" ht="18" customHeight="1">
      <x:c r="A87" s="24" t="str">
        <x:v>EEZ_361</x:v>
      </x:c>
      <x:c r="B87" s="24" t="str">
        <x:v>Indonesia (Eastern)</x:v>
      </x:c>
      <x:c r="C87" s="24" t="str">
        <x:v>EEZ</x:v>
      </x:c>
      <x:c r="D87" s="30" t="n">
        <x:v>2019</x:v>
      </x:c>
      <x:c r="E87" s="24" t="str">
        <x:v>Anodontostoma chacunda</x:v>
      </x:c>
      <x:c r="F87" s="24" t="str">
        <x:v>Chacunda gizzard shad</x:v>
      </x:c>
      <x:c r="G87" s="24" t="str">
        <x:v>Small pelagics (&lt;30 cm)</x:v>
      </x:c>
      <x:c r="H87" s="24" t="str">
        <x:v>Herring-likes</x:v>
      </x:c>
      <x:c r="I87" s="31" t="n">
        <x:v>249.1199054644</x:v>
      </x:c>
      <x:c r="J87" s="31" t="n">
        <x:v>249.1199054644</x:v>
      </x:c>
      <x:c r="K87" s="31" t="n">
        <x:v>0</x:v>
      </x:c>
      <x:c r="L87" s="31" t="n">
        <x:v>249.1199054644</x:v>
      </x:c>
      <x:c r="M87" s="31" t="n">
        <x:v>0</x:v>
      </x:c>
      <x:c r="N87" s="24" t="str">
        <x:v>anodontostoma chacunda</x:v>
      </x:c>
      <x:c r="O87" s="32" t="n">
        <x:v>2.84</x:v>
      </x:c>
      <x:c r="P87" s="24" t="str">
        <x:v>exact_2020_supplement</x:v>
      </x:c>
      <x:c r="Q87" s="32" t="str">
        <x:v>2020 supplement MeanTL</x:v>
      </x:c>
      <x:c r="R87" s="24" t="str">
        <x:v>high</x:v>
      </x:c>
      <x:c r="S87" s="24" t="str">
        <x:v>Anodontostoma chacunda</x:v>
      </x:c>
      <x:c r="T87" s="32" t="n">
        <x:f>IF(O87="","",(1/'Metadata'!$B$5)^(O87-1))</x:f>
        <x:v>69.18309709189363</x:v>
      </x:c>
      <x:c r="U87" s="31" t="n">
        <x:f>IF(T87="","",I87*T87)</x:f>
        <x:v>17234.886607266948</x:v>
      </x:c>
    </x:row>
    <x:row r="88" ht="18" customHeight="1">
      <x:c r="A88" s="24" t="str">
        <x:v>EEZ_361</x:v>
      </x:c>
      <x:c r="B88" s="24" t="str">
        <x:v>Indonesia (Eastern)</x:v>
      </x:c>
      <x:c r="C88" s="24" t="str">
        <x:v>EEZ</x:v>
      </x:c>
      <x:c r="D88" s="30" t="n">
        <x:v>2019</x:v>
      </x:c>
      <x:c r="E88" s="24" t="str">
        <x:v>Auxis</x:v>
      </x:c>
      <x:c r="F88" s="24" t="str">
        <x:v>Bullet and frigate tunas</x:v>
      </x:c>
      <x:c r="G88" s="24" t="str">
        <x:v>Medium pelagics (30 - 89 cm)</x:v>
      </x:c>
      <x:c r="H88" s="24" t="str">
        <x:v>Tuna &amp; billfishes</x:v>
      </x:c>
      <x:c r="I88" s="31" t="n">
        <x:v>246.6651138101</x:v>
      </x:c>
      <x:c r="J88" s="31" t="n">
        <x:v>246.6651138101</x:v>
      </x:c>
      <x:c r="K88" s="31" t="n">
        <x:v>0</x:v>
      </x:c>
      <x:c r="L88" s="31" t="n">
        <x:v>196.1268964247</x:v>
      </x:c>
      <x:c r="M88" s="31" t="n">
        <x:v>50.5382173854</x:v>
      </x:c>
      <x:c r="N88" s="24" t="str">
        <x:v>auxis</x:v>
      </x:c>
      <x:c r="O88" s="32" t="n">
        <x:v>4.24</x:v>
      </x:c>
      <x:c r="P88" s="24" t="str">
        <x:v>exact_sea_around_us</x:v>
      </x:c>
      <x:c r="Q88" s="32" t="str">
        <x:v>Sea Around Us exploited organisms</x:v>
      </x:c>
      <x:c r="R88" s="24" t="str">
        <x:v>high</x:v>
      </x:c>
      <x:c r="S88" s="24" t="str">
        <x:v>Auxis</x:v>
      </x:c>
      <x:c r="T88" s="32" t="n">
        <x:f>IF(O88="","",(1/'Metadata'!$B$5)^(O88-1))</x:f>
        <x:v>1737.8008287493763</x:v>
      </x:c>
      <x:c r="U88" s="31" t="n">
        <x:f>IF(T88="","",I88*T88)</x:f>
        <x:v>428654.839202751</x:v>
      </x:c>
    </x:row>
    <x:row r="89" ht="18" customHeight="1">
      <x:c r="A89" s="24" t="str">
        <x:v>EEZ_361</x:v>
      </x:c>
      <x:c r="B89" s="24" t="str">
        <x:v>Indonesia (Eastern)</x:v>
      </x:c>
      <x:c r="C89" s="24" t="str">
        <x:v>EEZ</x:v>
      </x:c>
      <x:c r="D89" s="30" t="n">
        <x:v>2019</x:v>
      </x:c>
      <x:c r="E89" s="24" t="str">
        <x:v>Scolopsis</x:v>
      </x:c>
      <x:c r="F89" s="24" t="str">
        <x:v>Monocle breams</x:v>
      </x:c>
      <x:c r="G89" s="24" t="str">
        <x:v>Small reef assoc. fish (&lt;30 cm)</x:v>
      </x:c>
      <x:c r="H89" s="24" t="str">
        <x:v>Perch-likes</x:v>
      </x:c>
      <x:c r="I89" s="31" t="n">
        <x:v>240.8639555776</x:v>
      </x:c>
      <x:c r="J89" s="31" t="n">
        <x:v>240.8639555776</x:v>
      </x:c>
      <x:c r="K89" s="31" t="n">
        <x:v>0</x:v>
      </x:c>
      <x:c r="L89" s="31" t="n">
        <x:v>114.8610328959</x:v>
      </x:c>
      <x:c r="M89" s="31" t="n">
        <x:v>126.0029226817</x:v>
      </x:c>
      <x:c r="N89" s="24" t="str">
        <x:v>scolopsis</x:v>
      </x:c>
      <x:c r="O89" s="32" t="n">
        <x:v>3.3</x:v>
      </x:c>
      <x:c r="P89" s="24" t="str">
        <x:v>exact_sea_around_us</x:v>
      </x:c>
      <x:c r="Q89" s="32" t="str">
        <x:v>Sea Around Us exploited organisms</x:v>
      </x:c>
      <x:c r="R89" s="24" t="str">
        <x:v>high</x:v>
      </x:c>
      <x:c r="S89" s="24" t="str">
        <x:v>Scolopsis</x:v>
      </x:c>
      <x:c r="T89" s="32" t="n">
        <x:f>IF(O89="","",(1/'Metadata'!$B$5)^(O89-1))</x:f>
        <x:v>199.52623149688787</x:v>
      </x:c>
      <x:c r="U89" s="31" t="n">
        <x:f>IF(T89="","",I89*T89)</x:f>
        <x:v>48058.677359832334</x:v>
      </x:c>
    </x:row>
    <x:row r="90" ht="18" customHeight="1">
      <x:c r="A90" s="24" t="str">
        <x:v>EEZ_361</x:v>
      </x:c>
      <x:c r="B90" s="24" t="str">
        <x:v>Indonesia (Eastern)</x:v>
      </x:c>
      <x:c r="C90" s="24" t="str">
        <x:v>EEZ</x:v>
      </x:c>
      <x:c r="D90" s="30" t="n">
        <x:v>2019</x:v>
      </x:c>
      <x:c r="E90" s="24" t="str">
        <x:v>Istiophorus platypterus</x:v>
      </x:c>
      <x:c r="F90" s="24" t="str">
        <x:v>Indo-Pacific sailfish</x:v>
      </x:c>
      <x:c r="G90" s="24" t="str">
        <x:v>Large pelagics (&gt;=90 cm)</x:v>
      </x:c>
      <x:c r="H90" s="24" t="str">
        <x:v>Tuna &amp; billfishes</x:v>
      </x:c>
      <x:c r="I90" s="31" t="n">
        <x:v>231.81738214740002</x:v>
      </x:c>
      <x:c r="J90" s="31" t="n">
        <x:v>231.81738214740002</x:v>
      </x:c>
      <x:c r="K90" s="31" t="n">
        <x:v>0</x:v>
      </x:c>
      <x:c r="L90" s="31" t="n">
        <x:v>231.81738214740002</x:v>
      </x:c>
      <x:c r="M90" s="31" t="n">
        <x:v>0</x:v>
      </x:c>
      <x:c r="N90" s="24" t="str">
        <x:v>istiophorus platypterus</x:v>
      </x:c>
      <x:c r="O90" s="32" t="n">
        <x:v>4.5</x:v>
      </x:c>
      <x:c r="P90" s="24" t="str">
        <x:v>exact_2020_supplement</x:v>
      </x:c>
      <x:c r="Q90" s="32" t="str">
        <x:v>2020 supplement MeanTL</x:v>
      </x:c>
      <x:c r="R90" s="24" t="str">
        <x:v>high</x:v>
      </x:c>
      <x:c r="S90" s="24" t="str">
        <x:v>Istiophorus platypterus</x:v>
      </x:c>
      <x:c r="T90" s="32" t="n">
        <x:f>IF(O90="","",(1/'Metadata'!$B$5)^(O90-1))</x:f>
        <x:v>3162.2776601683795</x:v>
      </x:c>
      <x:c r="U90" s="31" t="n">
        <x:f>IF(T90="","",I90*T90)</x:f>
        <x:v>733070.9288034393</x:v>
      </x:c>
    </x:row>
    <x:row r="91" ht="18" customHeight="1">
      <x:c r="A91" s="24" t="str">
        <x:v>EEZ_361</x:v>
      </x:c>
      <x:c r="B91" s="24" t="str">
        <x:v>Indonesia (Eastern)</x:v>
      </x:c>
      <x:c r="C91" s="24" t="str">
        <x:v>EEZ</x:v>
      </x:c>
      <x:c r="D91" s="30" t="n">
        <x:v>2019</x:v>
      </x:c>
      <x:c r="E91" s="24" t="str">
        <x:v>Siganidae</x:v>
      </x:c>
      <x:c r="F91" s="24" t="str">
        <x:v>Rabbitfishes</x:v>
      </x:c>
      <x:c r="G91" s="24" t="str">
        <x:v>Medium reef assoc. fish (30 - 89 cm)</x:v>
      </x:c>
      <x:c r="H91" s="24" t="str">
        <x:v>Perch-likes</x:v>
      </x:c>
      <x:c r="I91" s="31" t="n">
        <x:v>187.4935489857</x:v>
      </x:c>
      <x:c r="J91" s="31" t="n">
        <x:v>187.4935489857</x:v>
      </x:c>
      <x:c r="K91" s="31" t="n">
        <x:v>0</x:v>
      </x:c>
      <x:c r="L91" s="31" t="n">
        <x:v>0</x:v>
      </x:c>
      <x:c r="M91" s="31" t="n">
        <x:v>187.4935489857</x:v>
      </x:c>
      <x:c r="N91" s="24" t="str">
        <x:v>siganidae</x:v>
      </x:c>
      <x:c r="O91" s="32" t="n">
        <x:v>2.11</x:v>
      </x:c>
      <x:c r="P91" s="24" t="str">
        <x:v>exact_sea_around_us</x:v>
      </x:c>
      <x:c r="Q91" s="32" t="str">
        <x:v>Sea Around Us exploited organisms</x:v>
      </x:c>
      <x:c r="R91" s="24" t="str">
        <x:v>high</x:v>
      </x:c>
      <x:c r="S91" s="24" t="str">
        <x:v>Siganidae</x:v>
      </x:c>
      <x:c r="T91" s="32" t="n">
        <x:f>IF(O91="","",(1/'Metadata'!$B$5)^(O91-1))</x:f>
        <x:v>12.882495516931336</x:v>
      </x:c>
      <x:c r="U91" s="31" t="n">
        <x:f>IF(T91="","",I91*T91)</x:f>
        <x:v>2415.384804261826</x:v>
      </x:c>
    </x:row>
    <x:row r="92" ht="18" customHeight="1">
      <x:c r="A92" s="24" t="str">
        <x:v>EEZ_361</x:v>
      </x:c>
      <x:c r="B92" s="24" t="str">
        <x:v>Indonesia (Eastern)</x:v>
      </x:c>
      <x:c r="C92" s="24" t="str">
        <x:v>EEZ</x:v>
      </x:c>
      <x:c r="D92" s="30" t="n">
        <x:v>2019</x:v>
      </x:c>
      <x:c r="E92" s="24" t="str">
        <x:v>Dasyatidae</x:v>
      </x:c>
      <x:c r="F92" s="24" t="str">
        <x:v>Whiptail stingrays</x:v>
      </x:c>
      <x:c r="G92" s="24" t="str">
        <x:v>Large rays (&gt;=90 cm)</x:v>
      </x:c>
      <x:c r="H92" s="24" t="str">
        <x:v>Sharks &amp; rays</x:v>
      </x:c>
      <x:c r="I92" s="31" t="n">
        <x:v>171.3669055465</x:v>
      </x:c>
      <x:c r="J92" s="31" t="n">
        <x:v>171.3669055465</x:v>
      </x:c>
      <x:c r="K92" s="31" t="n">
        <x:v>0</x:v>
      </x:c>
      <x:c r="L92" s="31" t="n">
        <x:v>0</x:v>
      </x:c>
      <x:c r="M92" s="31" t="n">
        <x:v>171.3669055465</x:v>
      </x:c>
      <x:c r="N92" s="24" t="str">
        <x:v>dasyatidae</x:v>
      </x:c>
      <x:c r="O92" s="32" t="n">
        <x:v>3.38</x:v>
      </x:c>
      <x:c r="P92" s="24" t="str">
        <x:v>exact_sea_around_us</x:v>
      </x:c>
      <x:c r="Q92" s="32" t="str">
        <x:v>Sea Around Us exploited organisms</x:v>
      </x:c>
      <x:c r="R92" s="24" t="str">
        <x:v>high</x:v>
      </x:c>
      <x:c r="S92" s="24" t="str">
        <x:v>Dasyatidae</x:v>
      </x:c>
      <x:c r="T92" s="32" t="n">
        <x:f>IF(O92="","",(1/'Metadata'!$B$5)^(O92-1))</x:f>
        <x:v>239.88329190194898</x:v>
      </x:c>
      <x:c r="U92" s="31" t="n">
        <x:f>IF(T92="","",I92*T92)</x:f>
        <x:v>41108.05742554478</x:v>
      </x:c>
    </x:row>
    <x:row r="93" ht="18" customHeight="1">
      <x:c r="A93" s="24" t="str">
        <x:v>EEZ_361</x:v>
      </x:c>
      <x:c r="B93" s="24" t="str">
        <x:v>Indonesia (Eastern)</x:v>
      </x:c>
      <x:c r="C93" s="24" t="str">
        <x:v>EEZ</x:v>
      </x:c>
      <x:c r="D93" s="30" t="n">
        <x:v>2019</x:v>
      </x:c>
      <x:c r="E93" s="24" t="str">
        <x:v>Sepiidae</x:v>
      </x:c>
      <x:c r="F93" s="24" t="str">
        <x:v>Cuttlefishes</x:v>
      </x:c>
      <x:c r="G93" s="24" t="str">
        <x:v>Cephalopods</x:v>
      </x:c>
      <x:c r="H93" s="24" t="str">
        <x:v>Other fishes &amp; inverts</x:v>
      </x:c>
      <x:c r="I93" s="31" t="n">
        <x:v>158.9101305642</x:v>
      </x:c>
      <x:c r="J93" s="31" t="n">
        <x:v>158.9101305642</x:v>
      </x:c>
      <x:c r="K93" s="31" t="n">
        <x:v>0</x:v>
      </x:c>
      <x:c r="L93" s="31" t="n">
        <x:v>149.9843948469</x:v>
      </x:c>
      <x:c r="M93" s="31" t="n">
        <x:v>8.9257357173</x:v>
      </x:c>
      <x:c r="N93" s="24" t="str">
        <x:v>sepiidae</x:v>
      </x:c>
      <x:c r="O93" s="32" t="n">
        <x:v>3.6</x:v>
      </x:c>
      <x:c r="P93" s="24" t="str">
        <x:v>exact_sea_around_us</x:v>
      </x:c>
      <x:c r="Q93" s="32" t="str">
        <x:v>Sea Around Us exploited organisms</x:v>
      </x:c>
      <x:c r="R93" s="24" t="str">
        <x:v>high</x:v>
      </x:c>
      <x:c r="S93" s="24" t="str">
        <x:v>Sepiidae</x:v>
      </x:c>
      <x:c r="T93" s="32" t="n">
        <x:f>IF(O93="","",(1/'Metadata'!$B$5)^(O93-1))</x:f>
        <x:v>398.1071705534973</x:v>
      </x:c>
      <x:c r="U93" s="31" t="n">
        <x:f>IF(T93="","",I93*T93)</x:f>
        <x:v>63263.26245120049</x:v>
      </x:c>
    </x:row>
    <x:row r="94" ht="18" customHeight="1">
      <x:c r="A94" s="24" t="str">
        <x:v>EEZ_361</x:v>
      </x:c>
      <x:c r="B94" s="24" t="str">
        <x:v>Indonesia (Eastern)</x:v>
      </x:c>
      <x:c r="C94" s="24" t="str">
        <x:v>EEZ</x:v>
      </x:c>
      <x:c r="D94" s="30" t="n">
        <x:v>2019</x:v>
      </x:c>
      <x:c r="E94" s="24" t="str">
        <x:v>Scomberomorus</x:v>
      </x:c>
      <x:c r="F94" s="24" t="str">
        <x:v>Spanish mackerels</x:v>
      </x:c>
      <x:c r="G94" s="24" t="str">
        <x:v>Large pelagics (&gt;=90 cm)</x:v>
      </x:c>
      <x:c r="H94" s="24" t="str">
        <x:v>Perch-likes</x:v>
      </x:c>
      <x:c r="I94" s="31" t="n">
        <x:v>147.3500834016</x:v>
      </x:c>
      <x:c r="J94" s="31" t="n">
        <x:v>147.3500834016</x:v>
      </x:c>
      <x:c r="K94" s="31" t="n">
        <x:v>0</x:v>
      </x:c>
      <x:c r="L94" s="31" t="n">
        <x:v>74.2202806247</x:v>
      </x:c>
      <x:c r="M94" s="31" t="n">
        <x:v>73.1298027769</x:v>
      </x:c>
      <x:c r="N94" s="24" t="str">
        <x:v>scomberomorus</x:v>
      </x:c>
      <x:c r="O94" s="32" t="n">
        <x:v>4.35</x:v>
      </x:c>
      <x:c r="P94" s="24" t="str">
        <x:v>exact_sea_around_us</x:v>
      </x:c>
      <x:c r="Q94" s="32" t="str">
        <x:v>Sea Around Us exploited organisms</x:v>
      </x:c>
      <x:c r="R94" s="24" t="str">
        <x:v>high</x:v>
      </x:c>
      <x:c r="S94" s="24" t="str">
        <x:v>Scomberomorus</x:v>
      </x:c>
      <x:c r="T94" s="32" t="n">
        <x:f>IF(O94="","",(1/'Metadata'!$B$5)^(O94-1))</x:f>
        <x:v>2238.7211385683377</x:v>
      </x:c>
      <x:c r="U94" s="31" t="n">
        <x:f>IF(T94="","",I94*T94)</x:f>
        <x:v>329875.7464809694</x:v>
      </x:c>
    </x:row>
    <x:row r="95" ht="18" customHeight="1">
      <x:c r="A95" s="24" t="str">
        <x:v>EEZ_361</x:v>
      </x:c>
      <x:c r="B95" s="24" t="str">
        <x:v>Indonesia (Eastern)</x:v>
      </x:c>
      <x:c r="C95" s="24" t="str">
        <x:v>EEZ</x:v>
      </x:c>
      <x:c r="D95" s="30" t="n">
        <x:v>2019</x:v>
      </x:c>
      <x:c r="E95" s="24" t="str">
        <x:v>Kajikia audax</x:v>
      </x:c>
      <x:c r="F95" s="24" t="str">
        <x:v>Striped marlin</x:v>
      </x:c>
      <x:c r="G95" s="24" t="str">
        <x:v>Large pelagics (&gt;=90 cm)</x:v>
      </x:c>
      <x:c r="H95" s="24" t="str">
        <x:v>Tuna &amp; billfishes</x:v>
      </x:c>
      <x:c r="I95" s="31" t="n">
        <x:v>140.7331563518</x:v>
      </x:c>
      <x:c r="J95" s="31" t="n">
        <x:v>140.7331563518</x:v>
      </x:c>
      <x:c r="K95" s="31" t="n">
        <x:v>0</x:v>
      </x:c>
      <x:c r="L95" s="31" t="n">
        <x:v>140.7331563518</x:v>
      </x:c>
      <x:c r="M95" s="31" t="n">
        <x:v>0</x:v>
      </x:c>
      <x:c r="N95" s="24" t="str">
        <x:v>kajikia audax</x:v>
      </x:c>
      <x:c r="O95" s="32" t="n">
        <x:v>4.58</x:v>
      </x:c>
      <x:c r="P95" s="24" t="str">
        <x:v>exact_2020_supplement</x:v>
      </x:c>
      <x:c r="Q95" s="32" t="str">
        <x:v>2020 supplement MeanTL</x:v>
      </x:c>
      <x:c r="R95" s="24" t="str">
        <x:v>high</x:v>
      </x:c>
      <x:c r="S95" s="24" t="str">
        <x:v>Kajikia audax</x:v>
      </x:c>
      <x:c r="T95" s="32" t="n">
        <x:f>IF(O95="","",(1/'Metadata'!$B$5)^(O95-1))</x:f>
        <x:v>3801.8939632056126</x:v>
      </x:c>
      <x:c r="U95" s="31" t="n">
        <x:f>IF(T95="","",I95*T95)</x:f>
        <x:v>535052.53755678</x:v>
      </x:c>
    </x:row>
    <x:row r="96" ht="18" customHeight="1">
      <x:c r="A96" s="24" t="str">
        <x:v>EEZ_361</x:v>
      </x:c>
      <x:c r="B96" s="24" t="str">
        <x:v>Indonesia (Eastern)</x:v>
      </x:c>
      <x:c r="C96" s="24" t="str">
        <x:v>EEZ</x:v>
      </x:c>
      <x:c r="D96" s="30" t="n">
        <x:v>2019</x:v>
      </x:c>
      <x:c r="E96" s="24" t="str">
        <x:v>Acetes</x:v>
      </x:c>
      <x:c r="F96" s="24" t="str">
        <x:v>Acetes shrimps</x:v>
      </x:c>
      <x:c r="G96" s="24" t="str">
        <x:v>Shrimps</x:v>
      </x:c>
      <x:c r="H96" s="24" t="str">
        <x:v>Crustaceans</x:v>
      </x:c>
      <x:c r="I96" s="31" t="n">
        <x:v>139.510548738</x:v>
      </x:c>
      <x:c r="J96" s="31" t="n">
        <x:v>139.510548738</x:v>
      </x:c>
      <x:c r="K96" s="31" t="n">
        <x:v>0</x:v>
      </x:c>
      <x:c r="L96" s="31" t="n">
        <x:v>139.510548738</x:v>
      </x:c>
      <x:c r="M96" s="31" t="n">
        <x:v>0</x:v>
      </x:c>
      <x:c r="N96" s="24" t="str">
        <x:v>acetes</x:v>
      </x:c>
      <x:c r="O96" s="32" t="n">
        <x:v>2.7</x:v>
      </x:c>
      <x:c r="P96" s="24" t="str">
        <x:v>exact_sea_around_us</x:v>
      </x:c>
      <x:c r="Q96" s="32" t="str">
        <x:v>Sea Around Us exploited organisms</x:v>
      </x:c>
      <x:c r="R96" s="24" t="str">
        <x:v>high</x:v>
      </x:c>
      <x:c r="S96" s="24" t="str">
        <x:v>Acetes</x:v>
      </x:c>
      <x:c r="T96" s="32" t="n">
        <x:f>IF(O96="","",(1/'Metadata'!$B$5)^(O96-1))</x:f>
        <x:v>50.11872336272725</x:v>
      </x:c>
      <x:c r="U96" s="31" t="n">
        <x:f>IF(T96="","",I96*T96)</x:f>
        <x:v>6992.0905983821</x:v>
      </x:c>
    </x:row>
    <x:row r="97" ht="18" customHeight="1">
      <x:c r="A97" s="24" t="str">
        <x:v>EEZ_361</x:v>
      </x:c>
      <x:c r="B97" s="24" t="str">
        <x:v>Indonesia (Eastern)</x:v>
      </x:c>
      <x:c r="C97" s="24" t="str">
        <x:v>EEZ</x:v>
      </x:c>
      <x:c r="D97" s="30" t="n">
        <x:v>2019</x:v>
      </x:c>
      <x:c r="E97" s="24" t="str">
        <x:v>Coryphaena hippurus</x:v>
      </x:c>
      <x:c r="F97" s="24" t="str">
        <x:v>Common dolphinfish</x:v>
      </x:c>
      <x:c r="G97" s="24" t="str">
        <x:v>Large pelagics (&gt;=90 cm)</x:v>
      </x:c>
      <x:c r="H97" s="24" t="str">
        <x:v>Perch-likes</x:v>
      </x:c>
      <x:c r="I97" s="31" t="n">
        <x:v>125.58021441809998</x:v>
      </x:c>
      <x:c r="J97" s="31" t="n">
        <x:v>103.1310549583</x:v>
      </x:c>
      <x:c r="K97" s="31" t="n">
        <x:v>22.4491594598</x:v>
      </x:c>
      <x:c r="L97" s="31" t="n">
        <x:v>103.1310549583</x:v>
      </x:c>
      <x:c r="M97" s="31" t="n">
        <x:v>22.4491594598</x:v>
      </x:c>
      <x:c r="N97" s="24" t="str">
        <x:v>coryphaena hippurus</x:v>
      </x:c>
      <x:c r="O97" s="32" t="n">
        <x:v>4.37</x:v>
      </x:c>
      <x:c r="P97" s="24" t="str">
        <x:v>exact_2020_supplement</x:v>
      </x:c>
      <x:c r="Q97" s="32" t="str">
        <x:v>2020 supplement MeanTL</x:v>
      </x:c>
      <x:c r="R97" s="24" t="str">
        <x:v>high</x:v>
      </x:c>
      <x:c r="S97" s="24" t="str">
        <x:v>Coryphaena hippurus</x:v>
      </x:c>
      <x:c r="T97" s="32" t="n">
        <x:f>IF(O97="","",(1/'Metadata'!$B$5)^(O97-1))</x:f>
        <x:v>2344.228815319923</x:v>
      </x:c>
      <x:c r="U97" s="31" t="n">
        <x:f>IF(T97="","",I97*T97)</x:f>
        <x:v>294388.7572729644</x:v>
      </x:c>
    </x:row>
    <x:row r="98" ht="18" customHeight="1">
      <x:c r="A98" s="24" t="str">
        <x:v>EEZ_361</x:v>
      </x:c>
      <x:c r="B98" s="24" t="str">
        <x:v>Indonesia (Eastern)</x:v>
      </x:c>
      <x:c r="C98" s="24" t="str">
        <x:v>EEZ</x:v>
      </x:c>
      <x:c r="D98" s="30" t="n">
        <x:v>2019</x:v>
      </x:c>
      <x:c r="E98" s="24" t="str">
        <x:v>Sepioteuthis lessoniana</x:v>
      </x:c>
      <x:c r="F98" s="24" t="str">
        <x:v>Bigfin reef squid</x:v>
      </x:c>
      <x:c r="G98" s="24" t="str">
        <x:v>Cephalopods</x:v>
      </x:c>
      <x:c r="H98" s="24" t="str">
        <x:v>Other fishes &amp; inverts</x:v>
      </x:c>
      <x:c r="I98" s="31" t="n">
        <x:v>121.8284649178</x:v>
      </x:c>
      <x:c r="J98" s="31" t="n">
        <x:v>121.8284649178</x:v>
      </x:c>
      <x:c r="K98" s="31" t="n">
        <x:v>0</x:v>
      </x:c>
      <x:c r="L98" s="31" t="n">
        <x:v>59.096417979200005</x:v>
      </x:c>
      <x:c r="M98" s="31" t="n">
        <x:v>62.7320469386</x:v>
      </x:c>
      <x:c r="N98" s="24" t="str">
        <x:v>sepioteuthis lessoniana</x:v>
      </x:c>
      <x:c r="O98" s="32" t="n">
        <x:v>3.98</x:v>
      </x:c>
      <x:c r="P98" s="24" t="str">
        <x:v>exact_2020_supplement</x:v>
      </x:c>
      <x:c r="Q98" s="32" t="str">
        <x:v>2020 supplement MeanTL</x:v>
      </x:c>
      <x:c r="R98" s="24" t="str">
        <x:v>high</x:v>
      </x:c>
      <x:c r="S98" s="24" t="str">
        <x:v>Sepioteuthis lessoniana</x:v>
      </x:c>
      <x:c r="T98" s="32" t="n">
        <x:f>IF(O98="","",(1/'Metadata'!$B$5)^(O98-1))</x:f>
        <x:v>954.992586021436</x:v>
      </x:c>
      <x:c r="U98" s="31" t="n">
        <x:f>IF(T98="","",I98*T98)</x:f>
        <x:v>116345.28076287161</x:v>
      </x:c>
    </x:row>
    <x:row r="99" ht="18" customHeight="1">
      <x:c r="A99" s="24" t="str">
        <x:v>EEZ_361</x:v>
      </x:c>
      <x:c r="B99" s="24" t="str">
        <x:v>Indonesia (Eastern)</x:v>
      </x:c>
      <x:c r="C99" s="24" t="str">
        <x:v>EEZ</x:v>
      </x:c>
      <x:c r="D99" s="30" t="n">
        <x:v>2019</x:v>
      </x:c>
      <x:c r="E99" s="24" t="str">
        <x:v>Hilsa kelee</x:v>
      </x:c>
      <x:c r="F99" s="24" t="str">
        <x:v>Kelee shad</x:v>
      </x:c>
      <x:c r="G99" s="24" t="str">
        <x:v>Small pelagics (&lt;30 cm)</x:v>
      </x:c>
      <x:c r="H99" s="24" t="str">
        <x:v>Herring-likes</x:v>
      </x:c>
      <x:c r="I99" s="31" t="n">
        <x:v>115.9588121352</x:v>
      </x:c>
      <x:c r="J99" s="31" t="n">
        <x:v>115.9588121352</x:v>
      </x:c>
      <x:c r="K99" s="31" t="n">
        <x:v>0</x:v>
      </x:c>
      <x:c r="L99" s="31" t="n">
        <x:v>115.9588121352</x:v>
      </x:c>
      <x:c r="M99" s="31" t="n">
        <x:v>0</x:v>
      </x:c>
      <x:c r="N99" s="24" t="str">
        <x:v>hilsa kelee</x:v>
      </x:c>
      <x:c r="O99" s="32" t="n">
        <x:v>3.25</x:v>
      </x:c>
      <x:c r="P99" s="24" t="str">
        <x:v>exact_2020_supplement</x:v>
      </x:c>
      <x:c r="Q99" s="32" t="str">
        <x:v>2020 supplement MeanTL</x:v>
      </x:c>
      <x:c r="R99" s="24" t="str">
        <x:v>high</x:v>
      </x:c>
      <x:c r="S99" s="24" t="str">
        <x:v>Hilsa kelee</x:v>
      </x:c>
      <x:c r="T99" s="32" t="n">
        <x:f>IF(O99="","",(1/'Metadata'!$B$5)^(O99-1))</x:f>
        <x:v>177.82794100389228</x:v>
      </x:c>
      <x:c r="U99" s="31" t="n">
        <x:f>IF(T99="","",I99*T99)</x:f>
        <x:v>20620.716803259773</x:v>
      </x:c>
    </x:row>
    <x:row r="100" ht="18" customHeight="1">
      <x:c r="A100" s="24" t="str">
        <x:v>EEZ_361</x:v>
      </x:c>
      <x:c r="B100" s="24" t="str">
        <x:v>Indonesia (Eastern)</x:v>
      </x:c>
      <x:c r="C100" s="24" t="str">
        <x:v>EEZ</x:v>
      </x:c>
      <x:c r="D100" s="30" t="n">
        <x:v>2019</x:v>
      </x:c>
      <x:c r="E100" s="24" t="str">
        <x:v>Bivalvia</x:v>
      </x:c>
      <x:c r="F100" s="24" t="str">
        <x:v>Clams</x:v>
      </x:c>
      <x:c r="G100" s="24" t="str">
        <x:v>Other demersal invertebrates</x:v>
      </x:c>
      <x:c r="H100" s="24" t="str">
        <x:v>Molluscs</x:v>
      </x:c>
      <x:c r="I100" s="31" t="n">
        <x:v>109.0926599278</x:v>
      </x:c>
      <x:c r="J100" s="31" t="n">
        <x:v>109.0926599278</x:v>
      </x:c>
      <x:c r="K100" s="31" t="n">
        <x:v>0</x:v>
      </x:c>
      <x:c r="L100" s="31" t="n">
        <x:v>109.0926599278</x:v>
      </x:c>
      <x:c r="M100" s="31" t="n">
        <x:v>0</x:v>
      </x:c>
      <x:c r="N100" s="24" t="str">
        <x:v>bivalvia</x:v>
      </x:c>
      <x:c r="O100" s="32" t="n">
        <x:v>2.23</x:v>
      </x:c>
      <x:c r="P100" s="24" t="str">
        <x:v>exact_sea_around_us</x:v>
      </x:c>
      <x:c r="Q100" s="32" t="str">
        <x:v>Sea Around Us exploited organisms</x:v>
      </x:c>
      <x:c r="R100" s="24" t="str">
        <x:v>high</x:v>
      </x:c>
      <x:c r="S100" s="24" t="str">
        <x:v>Bivalvia</x:v>
      </x:c>
      <x:c r="T100" s="32" t="n">
        <x:f>IF(O100="","",(1/'Metadata'!$B$5)^(O100-1))</x:f>
        <x:v>16.982436524617444</x:v>
      </x:c>
      <x:c r="U100" s="31" t="n">
        <x:f>IF(T100="","",I100*T100)</x:f>
        <x:v>1852.6591725255405</x:v>
      </x:c>
    </x:row>
    <x:row r="101" ht="18" customHeight="1">
      <x:c r="A101" s="24" t="str">
        <x:v>EEZ_361</x:v>
      </x:c>
      <x:c r="B101" s="24" t="str">
        <x:v>Indonesia (Eastern)</x:v>
      </x:c>
      <x:c r="C101" s="24" t="str">
        <x:v>EEZ</x:v>
      </x:c>
      <x:c r="D101" s="30" t="n">
        <x:v>2019</x:v>
      </x:c>
      <x:c r="E101" s="24" t="str">
        <x:v>Sepia</x:v>
      </x:c>
      <x:c r="F101" s="24" t="str">
        <x:v>Sepia cuttlefishes</x:v>
      </x:c>
      <x:c r="G101" s="24" t="str">
        <x:v>Cephalopods</x:v>
      </x:c>
      <x:c r="H101" s="24" t="str">
        <x:v>Other fishes &amp; inverts</x:v>
      </x:c>
      <x:c r="I101" s="31" t="n">
        <x:v>105.900768368</x:v>
      </x:c>
      <x:c r="J101" s="31" t="n">
        <x:v>105.900768368</x:v>
      </x:c>
      <x:c r="K101" s="31" t="n">
        <x:v>0</x:v>
      </x:c>
      <x:c r="L101" s="31" t="n">
        <x:v>105.900768368</x:v>
      </x:c>
      <x:c r="M101" s="31" t="n">
        <x:v>0</x:v>
      </x:c>
      <x:c r="N101" s="24" t="str">
        <x:v>sepia</x:v>
      </x:c>
      <x:c r="O101" s="32" t="n">
        <x:v>3.69</x:v>
      </x:c>
      <x:c r="P101" s="24" t="str">
        <x:v>exact_sea_around_us</x:v>
      </x:c>
      <x:c r="Q101" s="32" t="str">
        <x:v>Sea Around Us exploited organisms</x:v>
      </x:c>
      <x:c r="R101" s="24" t="str">
        <x:v>high</x:v>
      </x:c>
      <x:c r="S101" s="24" t="str">
        <x:v>Sepia</x:v>
      </x:c>
      <x:c r="T101" s="32" t="n">
        <x:f>IF(O101="","",(1/'Metadata'!$B$5)^(O101-1))</x:f>
        <x:v>489.77881936844614</x:v>
      </x:c>
      <x:c r="U101" s="31" t="n">
        <x:f>IF(T101="","",I101*T101)</x:f>
        <x:v>51867.95330149033</x:v>
      </x:c>
    </x:row>
    <x:row r="102" ht="18" customHeight="1">
      <x:c r="A102" s="24" t="str">
        <x:v>EEZ_361</x:v>
      </x:c>
      <x:c r="B102" s="24" t="str">
        <x:v>Indonesia (Eastern)</x:v>
      </x:c>
      <x:c r="C102" s="24" t="str">
        <x:v>EEZ</x:v>
      </x:c>
      <x:c r="D102" s="30" t="n">
        <x:v>2019</x:v>
      </x:c>
      <x:c r="E102" s="24" t="str">
        <x:v>Octopodidae</x:v>
      </x:c>
      <x:c r="F102" s="24" t="str">
        <x:v>Octopuses</x:v>
      </x:c>
      <x:c r="G102" s="24" t="str">
        <x:v>Cephalopods</x:v>
      </x:c>
      <x:c r="H102" s="24" t="str">
        <x:v>Other fishes &amp; inverts</x:v>
      </x:c>
      <x:c r="I102" s="31" t="n">
        <x:v>100.4942418715</x:v>
      </x:c>
      <x:c r="J102" s="31" t="n">
        <x:v>100.4942418715</x:v>
      </x:c>
      <x:c r="K102" s="31" t="n">
        <x:v>0</x:v>
      </x:c>
      <x:c r="L102" s="31" t="n">
        <x:v>98.1345365015</x:v>
      </x:c>
      <x:c r="M102" s="31" t="n">
        <x:v>2.35970537</x:v>
      </x:c>
      <x:c r="N102" s="24" t="str">
        <x:v>octopodidae</x:v>
      </x:c>
      <x:c r="O102" s="32" t="n">
        <x:v>3.59</x:v>
      </x:c>
      <x:c r="P102" s="24" t="str">
        <x:v>exact_sea_around_us</x:v>
      </x:c>
      <x:c r="Q102" s="32" t="str">
        <x:v>Sea Around Us exploited organisms</x:v>
      </x:c>
      <x:c r="R102" s="24" t="str">
        <x:v>high</x:v>
      </x:c>
      <x:c r="S102" s="24" t="str">
        <x:v>Octopodidae</x:v>
      </x:c>
      <x:c r="T102" s="32" t="n">
        <x:f>IF(O102="","",(1/'Metadata'!$B$5)^(O102-1))</x:f>
        <x:v>389.04514499428046</x:v>
      </x:c>
      <x:c r="U102" s="31" t="n">
        <x:f>IF(T102="","",I102*T102)</x:f>
        <x:v>39096.796899988</x:v>
      </x:c>
    </x:row>
    <x:row r="103" ht="18" customHeight="1">
      <x:c r="A103" s="24" t="str">
        <x:v>EEZ_361</x:v>
      </x:c>
      <x:c r="B103" s="24" t="str">
        <x:v>Indonesia (Eastern)</x:v>
      </x:c>
      <x:c r="C103" s="24" t="str">
        <x:v>EEZ</x:v>
      </x:c>
      <x:c r="D103" s="30" t="n">
        <x:v>2019</x:v>
      </x:c>
      <x:c r="E103" s="24" t="str">
        <x:v>Elasmobranchii</x:v>
      </x:c>
      <x:c r="F103" s="24" t="str">
        <x:v>Sharks, rays, skates</x:v>
      </x:c>
      <x:c r="G103" s="24" t="str">
        <x:v>Large sharks (&gt;=90 cm)</x:v>
      </x:c>
      <x:c r="H103" s="24" t="str">
        <x:v>Sharks &amp; rays</x:v>
      </x:c>
      <x:c r="I103" s="31" t="n">
        <x:v>94.8325969717</x:v>
      </x:c>
      <x:c r="J103" s="31" t="n">
        <x:v>10.5346138201</x:v>
      </x:c>
      <x:c r="K103" s="31" t="n">
        <x:v>84.2979831516</x:v>
      </x:c>
      <x:c r="L103" s="31" t="n">
        <x:v>10.414690788</x:v>
      </x:c>
      <x:c r="M103" s="31" t="n">
        <x:v>84.4179061837</x:v>
      </x:c>
      <x:c r="N103" s="24" t="str">
        <x:v>elasmobranchii</x:v>
      </x:c>
      <x:c r="O103" s="32" t="n">
        <x:v>4.05</x:v>
      </x:c>
      <x:c r="P103" s="24" t="str">
        <x:v>exact_sea_around_us</x:v>
      </x:c>
      <x:c r="Q103" s="32" t="str">
        <x:v>Sea Around Us exploited organisms</x:v>
      </x:c>
      <x:c r="R103" s="24" t="str">
        <x:v>high</x:v>
      </x:c>
      <x:c r="S103" s="24" t="str">
        <x:v>Elasmobranchii</x:v>
      </x:c>
      <x:c r="T103" s="32" t="n">
        <x:f>IF(O103="","",(1/'Metadata'!$B$5)^(O103-1))</x:f>
        <x:v>1122.018454301963</x:v>
      </x:c>
      <x:c r="U103" s="31" t="n">
        <x:f>IF(T103="","",I103*T103)</x:f>
        <x:v>106403.92387162785</x:v>
      </x:c>
    </x:row>
    <x:row r="104" ht="18" customHeight="1">
      <x:c r="A104" s="24" t="str">
        <x:v>EEZ_361</x:v>
      </x:c>
      <x:c r="B104" s="24" t="str">
        <x:v>Indonesia (Eastern)</x:v>
      </x:c>
      <x:c r="C104" s="24" t="str">
        <x:v>EEZ</x:v>
      </x:c>
      <x:c r="D104" s="30" t="n">
        <x:v>2019</x:v>
      </x:c>
      <x:c r="E104" s="24" t="str">
        <x:v>Chirocentrus</x:v>
      </x:c>
      <x:c r="F104" s="24" t="str">
        <x:v>Wolf herrings</x:v>
      </x:c>
      <x:c r="G104" s="24" t="str">
        <x:v>Large pelagics (&gt;=90 cm)</x:v>
      </x:c>
      <x:c r="H104" s="24" t="str">
        <x:v>Herring-likes</x:v>
      </x:c>
      <x:c r="I104" s="31" t="n">
        <x:v>90.5949029575</x:v>
      </x:c>
      <x:c r="J104" s="31" t="n">
        <x:v>90.5949029575</x:v>
      </x:c>
      <x:c r="K104" s="31" t="n">
        <x:v>0</x:v>
      </x:c>
      <x:c r="L104" s="31" t="n">
        <x:v>27.3485193169</x:v>
      </x:c>
      <x:c r="M104" s="31" t="n">
        <x:v>63.2463836406</x:v>
      </x:c>
      <x:c r="N104" s="24" t="str">
        <x:v>chirocentrus</x:v>
      </x:c>
      <x:c r="O104" s="32" t="n">
        <x:v>4.3</x:v>
      </x:c>
      <x:c r="P104" s="24" t="str">
        <x:v>exact_sea_around_us</x:v>
      </x:c>
      <x:c r="Q104" s="32" t="str">
        <x:v>Sea Around Us exploited organisms</x:v>
      </x:c>
      <x:c r="R104" s="24" t="str">
        <x:v>high</x:v>
      </x:c>
      <x:c r="S104" s="24" t="str">
        <x:v>Chirocentrus</x:v>
      </x:c>
      <x:c r="T104" s="32" t="n">
        <x:f>IF(O104="","",(1/'Metadata'!$B$5)^(O104-1))</x:f>
        <x:v>1995.2623149688789</x:v>
      </x:c>
      <x:c r="U104" s="31" t="n">
        <x:f>IF(T104="","",I104*T104)</x:f>
        <x:v>180760.59579936237</x:v>
      </x:c>
    </x:row>
    <x:row r="105" ht="18" customHeight="1">
      <x:c r="A105" s="24" t="str">
        <x:v>EEZ_361</x:v>
      </x:c>
      <x:c r="B105" s="24" t="str">
        <x:v>Indonesia (Eastern)</x:v>
      </x:c>
      <x:c r="C105" s="24" t="str">
        <x:v>EEZ</x:v>
      </x:c>
      <x:c r="D105" s="30" t="n">
        <x:v>2019</x:v>
      </x:c>
      <x:c r="E105" s="24" t="str">
        <x:v>Scomberoides</x:v>
      </x:c>
      <x:c r="F105" s="24" t="str">
        <x:v>Queenfishes</x:v>
      </x:c>
      <x:c r="G105" s="24" t="str">
        <x:v>Medium pelagics (30 - 89 cm)</x:v>
      </x:c>
      <x:c r="H105" s="24" t="str">
        <x:v>Perch-likes</x:v>
      </x:c>
      <x:c r="I105" s="31" t="n">
        <x:v>89.5238010007</x:v>
      </x:c>
      <x:c r="J105" s="31" t="n">
        <x:v>89.5238010007</x:v>
      </x:c>
      <x:c r="K105" s="31" t="n">
        <x:v>0</x:v>
      </x:c>
      <x:c r="L105" s="31" t="n">
        <x:v>89.5238010007</x:v>
      </x:c>
      <x:c r="M105" s="31" t="n">
        <x:v>0</x:v>
      </x:c>
      <x:c r="N105" s="24" t="str">
        <x:v>scomberoides</x:v>
      </x:c>
      <x:c r="O105" s="32" t="n">
        <x:v>4.47</x:v>
      </x:c>
      <x:c r="P105" s="24" t="str">
        <x:v>exact_sea_around_us</x:v>
      </x:c>
      <x:c r="Q105" s="32" t="str">
        <x:v>Sea Around Us exploited organisms</x:v>
      </x:c>
      <x:c r="R105" s="24" t="str">
        <x:v>high</x:v>
      </x:c>
      <x:c r="S105" s="24" t="str">
        <x:v>Scomberoides</x:v>
      </x:c>
      <x:c r="T105" s="32" t="n">
        <x:f>IF(O105="","",(1/'Metadata'!$B$5)^(O105-1))</x:f>
        <x:v>2951.209226666384</x:v>
      </x:c>
      <x:c r="U105" s="31" t="n">
        <x:f>IF(T105="","",I105*T105)</x:f>
        <x:v>264203.4675195111</x:v>
      </x:c>
    </x:row>
    <x:row r="106" ht="18" customHeight="1">
      <x:c r="A106" s="24" t="str">
        <x:v>EEZ_361</x:v>
      </x:c>
      <x:c r="B106" s="24" t="str">
        <x:v>Indonesia (Eastern)</x:v>
      </x:c>
      <x:c r="C106" s="24" t="str">
        <x:v>EEZ</x:v>
      </x:c>
      <x:c r="D106" s="30" t="n">
        <x:v>2019</x:v>
      </x:c>
      <x:c r="E106" s="24" t="str">
        <x:v>Penaeus merguiensis</x:v>
      </x:c>
      <x:c r="F106" s="24" t="str">
        <x:v>Banana prawn</x:v>
      </x:c>
      <x:c r="G106" s="24" t="str">
        <x:v>Shrimps</x:v>
      </x:c>
      <x:c r="H106" s="24" t="str">
        <x:v>Crustaceans</x:v>
      </x:c>
      <x:c r="I106" s="31" t="n">
        <x:v>89.1067177563</x:v>
      </x:c>
      <x:c r="J106" s="31" t="n">
        <x:v>89.1067177563</x:v>
      </x:c>
      <x:c r="K106" s="31" t="n">
        <x:v>0</x:v>
      </x:c>
      <x:c r="L106" s="31" t="n">
        <x:v>86.478489759</x:v>
      </x:c>
      <x:c r="M106" s="31" t="n">
        <x:v>2.6282279973</x:v>
      </x:c>
      <x:c r="N106" s="24" t="str">
        <x:v>penaeus merguiensis</x:v>
      </x:c>
      <x:c r="O106" s="32" t="n">
        <x:v>3.77</x:v>
      </x:c>
      <x:c r="P106" s="24" t="str">
        <x:v>exact_sea_around_us</x:v>
      </x:c>
      <x:c r="Q106" s="32" t="str">
        <x:v>Sea Around Us exploited organisms</x:v>
      </x:c>
      <x:c r="R106" s="24" t="str">
        <x:v>high</x:v>
      </x:c>
      <x:c r="S106" s="24" t="str">
        <x:v>Penaeus merguiensis</x:v>
      </x:c>
      <x:c r="T106" s="32" t="n">
        <x:f>IF(O106="","",(1/'Metadata'!$B$5)^(O106-1))</x:f>
        <x:v>588.843655355589</x:v>
      </x:c>
      <x:c r="U106" s="31" t="n">
        <x:f>IF(T106="","",I106*T106)</x:f>
        <x:v>52469.925400358465</x:v>
      </x:c>
    </x:row>
    <x:row r="107" ht="18" customHeight="1">
      <x:c r="A107" s="24" t="str">
        <x:v>EEZ_361</x:v>
      </x:c>
      <x:c r="B107" s="24" t="str">
        <x:v>Indonesia (Eastern)</x:v>
      </x:c>
      <x:c r="C107" s="24" t="str">
        <x:v>EEZ</x:v>
      </x:c>
      <x:c r="D107" s="30" t="n">
        <x:v>2019</x:v>
      </x:c>
      <x:c r="E107" s="24" t="str">
        <x:v>Trichiurus lepturus</x:v>
      </x:c>
      <x:c r="F107" s="24" t="str">
        <x:v>Largehead hairtail</x:v>
      </x:c>
      <x:c r="G107" s="24" t="str">
        <x:v>Large benthopelagics (&gt;=90 cm)</x:v>
      </x:c>
      <x:c r="H107" s="24" t="str">
        <x:v>Perch-likes</x:v>
      </x:c>
      <x:c r="I107" s="31" t="n">
        <x:v>88.7226130782</x:v>
      </x:c>
      <x:c r="J107" s="31" t="n">
        <x:v>88.7226130782</x:v>
      </x:c>
      <x:c r="K107" s="31" t="n">
        <x:v>0</x:v>
      </x:c>
      <x:c r="L107" s="31" t="n">
        <x:v>82.3854952222</x:v>
      </x:c>
      <x:c r="M107" s="31" t="n">
        <x:v>6.337117856</x:v>
      </x:c>
      <x:c r="N107" s="24" t="str">
        <x:v>trichiurus lepturus</x:v>
      </x:c>
      <x:c r="O107" s="32" t="n">
        <x:v>4.42</x:v>
      </x:c>
      <x:c r="P107" s="24" t="str">
        <x:v>exact_2020_supplement</x:v>
      </x:c>
      <x:c r="Q107" s="32" t="str">
        <x:v>2020 supplement MeanTL</x:v>
      </x:c>
      <x:c r="R107" s="24" t="str">
        <x:v>high</x:v>
      </x:c>
      <x:c r="S107" s="24" t="str">
        <x:v>Trichiurus lepturus</x:v>
      </x:c>
      <x:c r="T107" s="32" t="n">
        <x:f>IF(O107="","",(1/'Metadata'!$B$5)^(O107-1))</x:f>
        <x:v>2630.2679918953813</x:v>
      </x:c>
      <x:c r="U107" s="31" t="n">
        <x:f>IF(T107="","",I107*T107)</x:f>
        <x:v>233364.24933690802</x:v>
      </x:c>
    </x:row>
    <x:row r="108" ht="18" customHeight="1">
      <x:c r="A108" s="24" t="str">
        <x:v>EEZ_361</x:v>
      </x:c>
      <x:c r="B108" s="24" t="str">
        <x:v>Indonesia (Eastern)</x:v>
      </x:c>
      <x:c r="C108" s="24" t="str">
        <x:v>EEZ</x:v>
      </x:c>
      <x:c r="D108" s="30" t="n">
        <x:v>2019</x:v>
      </x:c>
      <x:c r="E108" s="24" t="str">
        <x:v>Plotosidae</x:v>
      </x:c>
      <x:c r="F108" s="24" t="str">
        <x:v>Eeltail catfishes</x:v>
      </x:c>
      <x:c r="G108" s="24" t="str">
        <x:v>Medium reef assoc. fish (30 - 89 cm)</x:v>
      </x:c>
      <x:c r="H108" s="24" t="str">
        <x:v>Other fishes &amp; inverts</x:v>
      </x:c>
      <x:c r="I108" s="31" t="n">
        <x:v>81.4429301755</x:v>
      </x:c>
      <x:c r="J108" s="31" t="n">
        <x:v>81.4429301755</x:v>
      </x:c>
      <x:c r="K108" s="31" t="n">
        <x:v>0</x:v>
      </x:c>
      <x:c r="L108" s="31" t="n">
        <x:v>79.1893579136</x:v>
      </x:c>
      <x:c r="M108" s="31" t="n">
        <x:v>2.2535722619</x:v>
      </x:c>
      <x:c r="N108" s="24" t="str">
        <x:v>plotosidae</x:v>
      </x:c>
      <x:c r="O108" s="32" t="n">
        <x:v>3.49</x:v>
      </x:c>
      <x:c r="P108" s="24" t="str">
        <x:v>exact_sea_around_us</x:v>
      </x:c>
      <x:c r="Q108" s="32" t="str">
        <x:v>Sea Around Us exploited organisms</x:v>
      </x:c>
      <x:c r="R108" s="24" t="str">
        <x:v>high</x:v>
      </x:c>
      <x:c r="S108" s="24" t="str">
        <x:v>Plotosidae</x:v>
      </x:c>
      <x:c r="T108" s="32" t="n">
        <x:f>IF(O108="","",(1/'Metadata'!$B$5)^(O108-1))</x:f>
        <x:v>309.0295432513592</x:v>
      </x:c>
      <x:c r="U108" s="31" t="n">
        <x:f>IF(T108="","",I108*T108)</x:f>
        <x:v>25168.271513187105</x:v>
      </x:c>
    </x:row>
    <x:row r="109" ht="18" customHeight="1">
      <x:c r="A109" s="24" t="str">
        <x:v>EEZ_361</x:v>
      </x:c>
      <x:c r="B109" s="24" t="str">
        <x:v>Indonesia (Eastern)</x:v>
      </x:c>
      <x:c r="C109" s="24" t="str">
        <x:v>EEZ</x:v>
      </x:c>
      <x:c r="D109" s="30" t="n">
        <x:v>2019</x:v>
      </x:c>
      <x:c r="E109" s="24" t="str">
        <x:v>Pomadasys argenteus</x:v>
      </x:c>
      <x:c r="F109" s="24" t="str">
        <x:v>Silver grunt</x:v>
      </x:c>
      <x:c r="G109" s="24" t="str">
        <x:v>Medium demersals (30 - 89 cm)</x:v>
      </x:c>
      <x:c r="H109" s="24" t="str">
        <x:v>Perch-likes</x:v>
      </x:c>
      <x:c r="I109" s="31" t="n">
        <x:v>78.6623220544</x:v>
      </x:c>
      <x:c r="J109" s="31" t="n">
        <x:v>78.6623220544</x:v>
      </x:c>
      <x:c r="K109" s="31" t="n">
        <x:v>0</x:v>
      </x:c>
      <x:c r="L109" s="31" t="n">
        <x:v>78.6623220544</x:v>
      </x:c>
      <x:c r="M109" s="31" t="n">
        <x:v>0</x:v>
      </x:c>
      <x:c r="N109" s="24" t="str">
        <x:v>pomadasys argenteus</x:v>
      </x:c>
      <x:c r="O109" s="32" t="n">
        <x:v>3.47</x:v>
      </x:c>
      <x:c r="P109" s="24" t="str">
        <x:v>exact_2020_supplement</x:v>
      </x:c>
      <x:c r="Q109" s="32" t="str">
        <x:v>2020 supplement MeanTL</x:v>
      </x:c>
      <x:c r="R109" s="24" t="str">
        <x:v>high</x:v>
      </x:c>
      <x:c r="S109" s="24" t="str">
        <x:v>Pomadasys argenteus</x:v>
      </x:c>
      <x:c r="T109" s="32" t="n">
        <x:f>IF(O109="","",(1/'Metadata'!$B$5)^(O109-1))</x:f>
        <x:v>295.1209226666387</x:v>
      </x:c>
      <x:c r="U109" s="31" t="n">
        <x:f>IF(T109="","",I109*T109)</x:f>
        <x:v>23214.897063794808</x:v>
      </x:c>
    </x:row>
    <x:row r="110" ht="18" customHeight="1">
      <x:c r="A110" s="24" t="str">
        <x:v>EEZ_361</x:v>
      </x:c>
      <x:c r="B110" s="24" t="str">
        <x:v>Indonesia (Eastern)</x:v>
      </x:c>
      <x:c r="C110" s="24" t="str">
        <x:v>EEZ</x:v>
      </x:c>
      <x:c r="D110" s="30" t="n">
        <x:v>2019</x:v>
      </x:c>
      <x:c r="E110" s="24" t="str">
        <x:v>Plotosus</x:v>
      </x:c>
      <x:c r="F110" s="24" t="str">
        <x:v>Eel catfishes</x:v>
      </x:c>
      <x:c r="G110" s="24" t="str">
        <x:v>Medium reef assoc. fish (30 - 89 cm)</x:v>
      </x:c>
      <x:c r="H110" s="24" t="str">
        <x:v>Other fishes &amp; inverts</x:v>
      </x:c>
      <x:c r="I110" s="31" t="n">
        <x:v>78.6409706438</x:v>
      </x:c>
      <x:c r="J110" s="31" t="n">
        <x:v>78.6409706438</x:v>
      </x:c>
      <x:c r="K110" s="31" t="n">
        <x:v>0</x:v>
      </x:c>
      <x:c r="L110" s="31" t="n">
        <x:v>78.6409706438</x:v>
      </x:c>
      <x:c r="M110" s="31" t="n">
        <x:v>0</x:v>
      </x:c>
      <x:c r="N110" s="24" t="str">
        <x:v>plotosus</x:v>
      </x:c>
      <x:c r="O110" s="32" t="n">
        <x:v>3.49</x:v>
      </x:c>
      <x:c r="P110" s="24" t="str">
        <x:v>exact_sea_around_us</x:v>
      </x:c>
      <x:c r="Q110" s="32" t="str">
        <x:v>Sea Around Us exploited organisms</x:v>
      </x:c>
      <x:c r="R110" s="24" t="str">
        <x:v>high</x:v>
      </x:c>
      <x:c r="S110" s="24" t="str">
        <x:v>Plotosus</x:v>
      </x:c>
      <x:c r="T110" s="32" t="n">
        <x:f>IF(O110="","",(1/'Metadata'!$B$5)^(O110-1))</x:f>
        <x:v>309.0295432513592</x:v>
      </x:c>
      <x:c r="U110" s="31" t="n">
        <x:f>IF(T110="","",I110*T110)</x:f>
        <x:v>24302.383238897062</x:v>
      </x:c>
    </x:row>
    <x:row r="111" ht="18" customHeight="1">
      <x:c r="A111" s="24" t="str">
        <x:v>EEZ_361</x:v>
      </x:c>
      <x:c r="B111" s="24" t="str">
        <x:v>Indonesia (Eastern)</x:v>
      </x:c>
      <x:c r="C111" s="24" t="str">
        <x:v>EEZ</x:v>
      </x:c>
      <x:c r="D111" s="30" t="n">
        <x:v>2019</x:v>
      </x:c>
      <x:c r="E111" s="24" t="str">
        <x:v>Carcharhinus falciformis</x:v>
      </x:c>
      <x:c r="F111" s="24" t="str">
        <x:v>Silky shark</x:v>
      </x:c>
      <x:c r="G111" s="24" t="str">
        <x:v>Large sharks (&gt;=90 cm)</x:v>
      </x:c>
      <x:c r="H111" s="24" t="str">
        <x:v>Sharks &amp; rays</x:v>
      </x:c>
      <x:c r="I111" s="31" t="n">
        <x:v>66.52059201600001</x:v>
      </x:c>
      <x:c r="J111" s="31" t="n">
        <x:v>18.356040729</x:v>
      </x:c>
      <x:c r="K111" s="31" t="n">
        <x:v>48.164551287</x:v>
      </x:c>
      <x:c r="L111" s="31" t="n">
        <x:v>18.356040729</x:v>
      </x:c>
      <x:c r="M111" s="31" t="n">
        <x:v>48.164551287</x:v>
      </x:c>
      <x:c r="N111" s="24" t="str">
        <x:v>carcharhinus falciformis</x:v>
      </x:c>
      <x:c r="O111" s="32" t="n">
        <x:v>4.51</x:v>
      </x:c>
      <x:c r="P111" s="24" t="str">
        <x:v>exact_2020_supplement</x:v>
      </x:c>
      <x:c r="Q111" s="32" t="str">
        <x:v>2020 supplement MeanTL</x:v>
      </x:c>
      <x:c r="R111" s="24" t="str">
        <x:v>high</x:v>
      </x:c>
      <x:c r="S111" s="24" t="str">
        <x:v>Carcharhinus falciformis</x:v>
      </x:c>
      <x:c r="T111" s="32" t="n">
        <x:f>IF(O111="","",(1/'Metadata'!$B$5)^(O111-1))</x:f>
        <x:v>3235.936569296281</x:v>
      </x:c>
      <x:c r="U111" s="31" t="n">
        <x:f>IF(T111="","",I111*T111)</x:f>
        <x:v>215256.41631581265</x:v>
      </x:c>
    </x:row>
    <x:row r="112" ht="18" customHeight="1">
      <x:c r="A112" s="24" t="str">
        <x:v>EEZ_361</x:v>
      </x:c>
      <x:c r="B112" s="24" t="str">
        <x:v>Indonesia (Eastern)</x:v>
      </x:c>
      <x:c r="C112" s="24" t="str">
        <x:v>EEZ</x:v>
      </x:c>
      <x:c r="D112" s="30" t="n">
        <x:v>2019</x:v>
      </x:c>
      <x:c r="E112" s="24" t="str">
        <x:v>Sillago</x:v>
      </x:c>
      <x:c r="F112" s="24" t="str">
        <x:v>Smelt-whitings</x:v>
      </x:c>
      <x:c r="G112" s="24" t="str">
        <x:v>Medium demersals (30 - 89 cm)</x:v>
      </x:c>
      <x:c r="H112" s="24" t="str">
        <x:v>Perch-likes</x:v>
      </x:c>
      <x:c r="I112" s="31" t="n">
        <x:v>62.6293789506</x:v>
      </x:c>
      <x:c r="J112" s="31" t="n">
        <x:v>62.6293789506</x:v>
      </x:c>
      <x:c r="K112" s="31" t="n">
        <x:v>0</x:v>
      </x:c>
      <x:c r="L112" s="31" t="n">
        <x:v>61.9445777837</x:v>
      </x:c>
      <x:c r="M112" s="31" t="n">
        <x:v>0.6848011669</x:v>
      </x:c>
      <x:c r="N112" s="24" t="str">
        <x:v>sillago</x:v>
      </x:c>
      <x:c r="O112" s="32" t="n">
        <x:v>3.33</x:v>
      </x:c>
      <x:c r="P112" s="24" t="str">
        <x:v>exact_sea_around_us</x:v>
      </x:c>
      <x:c r="Q112" s="32" t="str">
        <x:v>Sea Around Us exploited organisms</x:v>
      </x:c>
      <x:c r="R112" s="24" t="str">
        <x:v>high</x:v>
      </x:c>
      <x:c r="S112" s="24" t="str">
        <x:v>Sillago</x:v>
      </x:c>
      <x:c r="T112" s="32" t="n">
        <x:f>IF(O112="","",(1/'Metadata'!$B$5)^(O112-1))</x:f>
        <x:v>213.79620895022325</x:v>
      </x:c>
      <x:c r="U112" s="31" t="n">
        <x:f>IF(T112="","",I112*T112)</x:f>
        <x:v>13389.923788545191</x:v>
      </x:c>
    </x:row>
    <x:row r="113" ht="18" customHeight="1">
      <x:c r="A113" s="24" t="str">
        <x:v>EEZ_361</x:v>
      </x:c>
      <x:c r="B113" s="24" t="str">
        <x:v>Indonesia (Eastern)</x:v>
      </x:c>
      <x:c r="C113" s="24" t="str">
        <x:v>EEZ</x:v>
      </x:c>
      <x:c r="D113" s="30" t="n">
        <x:v>2019</x:v>
      </x:c>
      <x:c r="E113" s="24" t="str">
        <x:v>Cynoglossus</x:v>
      </x:c>
      <x:c r="F113" s="24" t="str">
        <x:v>Tonguesoles</x:v>
      </x:c>
      <x:c r="G113" s="24" t="str">
        <x:v>Small to medium flatfishes (&lt;90 cm)</x:v>
      </x:c>
      <x:c r="H113" s="24" t="str">
        <x:v>Flatfishes</x:v>
      </x:c>
      <x:c r="I113" s="31" t="n">
        <x:v>61.9600928022</x:v>
      </x:c>
      <x:c r="J113" s="31" t="n">
        <x:v>61.9600928022</x:v>
      </x:c>
      <x:c r="K113" s="31" t="n">
        <x:v>0</x:v>
      </x:c>
      <x:c r="L113" s="31" t="n">
        <x:v>61.9600928022</x:v>
      </x:c>
      <x:c r="M113" s="31" t="n">
        <x:v>0</x:v>
      </x:c>
      <x:c r="N113" s="24" t="str">
        <x:v>cynoglossus</x:v>
      </x:c>
      <x:c r="O113" s="32" t="n">
        <x:v>3.36</x:v>
      </x:c>
      <x:c r="P113" s="24" t="str">
        <x:v>exact_sea_around_us</x:v>
      </x:c>
      <x:c r="Q113" s="32" t="str">
        <x:v>Sea Around Us exploited organisms</x:v>
      </x:c>
      <x:c r="R113" s="24" t="str">
        <x:v>high</x:v>
      </x:c>
      <x:c r="S113" s="24" t="str">
        <x:v>Cynoglossus</x:v>
      </x:c>
      <x:c r="T113" s="32" t="n">
        <x:f>IF(O113="","",(1/'Metadata'!$B$5)^(O113-1))</x:f>
        <x:v>229.08676527677724</x:v>
      </x:c>
      <x:c r="U113" s="31" t="n">
        <x:f>IF(T113="","",I113*T113)</x:f>
        <x:v>14194.237236304927</x:v>
      </x:c>
    </x:row>
    <x:row r="114" ht="18" customHeight="1">
      <x:c r="A114" s="24" t="str">
        <x:v>EEZ_361</x:v>
      </x:c>
      <x:c r="B114" s="24" t="str">
        <x:v>Indonesia (Eastern)</x:v>
      </x:c>
      <x:c r="C114" s="24" t="str">
        <x:v>EEZ</x:v>
      </x:c>
      <x:c r="D114" s="30" t="n">
        <x:v>2019</x:v>
      </x:c>
      <x:c r="E114" s="24" t="str">
        <x:v>Veneridae</x:v>
      </x:c>
      <x:c r="F114" s="24" t="str">
        <x:v>Venus clams</x:v>
      </x:c>
      <x:c r="G114" s="24" t="str">
        <x:v>Other demersal invertebrates</x:v>
      </x:c>
      <x:c r="H114" s="24" t="str">
        <x:v>Molluscs</x:v>
      </x:c>
      <x:c r="I114" s="31" t="n">
        <x:v>42.9942432526</x:v>
      </x:c>
      <x:c r="J114" s="31" t="n">
        <x:v>42.9942432526</x:v>
      </x:c>
      <x:c r="K114" s="31" t="n">
        <x:v>0</x:v>
      </x:c>
      <x:c r="L114" s="31" t="n">
        <x:v>36.7673071083</x:v>
      </x:c>
      <x:c r="M114" s="31" t="n">
        <x:v>6.2269361443</x:v>
      </x:c>
      <x:c r="N114" s="24" t="str">
        <x:v>veneridae</x:v>
      </x:c>
      <x:c r="O114" s="32" t="n">
        <x:v>2</x:v>
      </x:c>
      <x:c r="P114" s="24" t="str">
        <x:v>exact_sea_around_us</x:v>
      </x:c>
      <x:c r="Q114" s="32" t="str">
        <x:v>Sea Around Us exploited organisms</x:v>
      </x:c>
      <x:c r="R114" s="24" t="str">
        <x:v>high</x:v>
      </x:c>
      <x:c r="S114" s="24" t="str">
        <x:v>Veneridae</x:v>
      </x:c>
      <x:c r="T114" s="32" t="n">
        <x:f>IF(O114="","",(1/'Metadata'!$B$5)^(O114-1))</x:f>
        <x:v>10</x:v>
      </x:c>
      <x:c r="U114" s="31" t="n">
        <x:f>IF(T114="","",I114*T114)</x:f>
        <x:v>429.942432526</x:v>
      </x:c>
    </x:row>
    <x:row r="115" ht="18" customHeight="1">
      <x:c r="A115" s="24" t="str">
        <x:v>EEZ_361</x:v>
      </x:c>
      <x:c r="B115" s="24" t="str">
        <x:v>Indonesia (Eastern)</x:v>
      </x:c>
      <x:c r="C115" s="24" t="str">
        <x:v>EEZ</x:v>
      </x:c>
      <x:c r="D115" s="30" t="n">
        <x:v>2019</x:v>
      </x:c>
      <x:c r="E115" s="24" t="str">
        <x:v>Labridae</x:v>
      </x:c>
      <x:c r="F115" s="24" t="str">
        <x:v>Wrasses, gropers, tuskfishes</x:v>
      </x:c>
      <x:c r="G115" s="24" t="str">
        <x:v>Medium reef assoc. fish (30 - 89 cm)</x:v>
      </x:c>
      <x:c r="H115" s="24" t="str">
        <x:v>Perch-likes</x:v>
      </x:c>
      <x:c r="I115" s="31" t="n">
        <x:v>42.3970166242</x:v>
      </x:c>
      <x:c r="J115" s="31" t="n">
        <x:v>42.3970166242</x:v>
      </x:c>
      <x:c r="K115" s="31" t="n">
        <x:v>0</x:v>
      </x:c>
      <x:c r="L115" s="31" t="n">
        <x:v>42.3970166242</x:v>
      </x:c>
      <x:c r="M115" s="31" t="n">
        <x:v>0</x:v>
      </x:c>
      <x:c r="N115" s="24" t="str">
        <x:v>labridae</x:v>
      </x:c>
      <x:c r="O115" s="32" t="n">
        <x:v>3.46</x:v>
      </x:c>
      <x:c r="P115" s="24" t="str">
        <x:v>exact_sea_around_us</x:v>
      </x:c>
      <x:c r="Q115" s="32" t="str">
        <x:v>Sea Around Us exploited organisms</x:v>
      </x:c>
      <x:c r="R115" s="24" t="str">
        <x:v>high</x:v>
      </x:c>
      <x:c r="S115" s="24" t="str">
        <x:v>Labridae</x:v>
      </x:c>
      <x:c r="T115" s="32" t="n">
        <x:f>IF(O115="","",(1/'Metadata'!$B$5)^(O115-1))</x:f>
        <x:v>288.40315031266056</x:v>
      </x:c>
      <x:c r="U115" s="31" t="n">
        <x:f>IF(T115="","",I115*T115)</x:f>
        <x:v>12227.433158277521</x:v>
      </x:c>
    </x:row>
    <x:row r="116" ht="18" customHeight="1">
      <x:c r="A116" s="24" t="str">
        <x:v>EEZ_361</x:v>
      </x:c>
      <x:c r="B116" s="24" t="str">
        <x:v>Indonesia (Eastern)</x:v>
      </x:c>
      <x:c r="C116" s="24" t="str">
        <x:v>EEZ</x:v>
      </x:c>
      <x:c r="D116" s="30" t="n">
        <x:v>2019</x:v>
      </x:c>
      <x:c r="E116" s="24" t="str">
        <x:v>Miscellaneous aquatic invertebrates</x:v>
      </x:c>
      <x:c r="F116" s="24" t="str">
        <x:v>Aquatic invertebrates</x:v>
      </x:c>
      <x:c r="G116" s="24" t="str">
        <x:v>Other demersal invertebrates</x:v>
      </x:c>
      <x:c r="H116" s="24" t="str">
        <x:v>Other fishes &amp; inverts</x:v>
      </x:c>
      <x:c r="I116" s="31" t="n">
        <x:v>41.5853641952</x:v>
      </x:c>
      <x:c r="J116" s="31" t="n">
        <x:v>41.5853641952</x:v>
      </x:c>
      <x:c r="K116" s="31" t="n">
        <x:v>0</x:v>
      </x:c>
      <x:c r="L116" s="31" t="n">
        <x:v>12.4143048084</x:v>
      </x:c>
      <x:c r="M116" s="31" t="n">
        <x:v>29.1710593868</x:v>
      </x:c>
      <x:c r="N116" s="24" t="str">
        <x:v>miscellaneous aquatic invertebrates</x:v>
      </x:c>
      <x:c r="O116" s="32" t="n">
        <x:v>2.43</x:v>
      </x:c>
      <x:c r="P116" s="24" t="str">
        <x:v>exact_sea_around_us</x:v>
      </x:c>
      <x:c r="Q116" s="32" t="str">
        <x:v>Sea Around Us exploited organisms</x:v>
      </x:c>
      <x:c r="R116" s="24" t="str">
        <x:v>high</x:v>
      </x:c>
      <x:c r="S116" s="24" t="str">
        <x:v>Miscellaneous aquatic invertebrates</x:v>
      </x:c>
      <x:c r="T116" s="32" t="n">
        <x:f>IF(O116="","",(1/'Metadata'!$B$5)^(O116-1))</x:f>
        <x:v>26.915348039269166</x:v>
      </x:c>
      <x:c r="U116" s="31" t="n">
        <x:f>IF(T116="","",I116*T116)</x:f>
        <x:v>1119.2845506535705</x:v>
      </x:c>
    </x:row>
    <x:row r="117" ht="18" customHeight="1">
      <x:c r="A117" s="24" t="str">
        <x:v>EEZ_361</x:v>
      </x:c>
      <x:c r="B117" s="24" t="str">
        <x:v>Indonesia (Eastern)</x:v>
      </x:c>
      <x:c r="C117" s="24" t="str">
        <x:v>EEZ</x:v>
      </x:c>
      <x:c r="D117" s="30" t="n">
        <x:v>2019</x:v>
      </x:c>
      <x:c r="E117" s="24" t="str">
        <x:v>Gerres</x:v>
      </x:c>
      <x:c r="F117" s="24" t="str">
        <x:v>Silver biddies</x:v>
      </x:c>
      <x:c r="G117" s="24" t="str">
        <x:v>Small benthopelagics (&lt;30 cm)</x:v>
      </x:c>
      <x:c r="H117" s="24" t="str">
        <x:v>Perch-likes</x:v>
      </x:c>
      <x:c r="I117" s="31" t="n">
        <x:v>28.5505614737</x:v>
      </x:c>
      <x:c r="J117" s="31" t="n">
        <x:v>28.5505614737</x:v>
      </x:c>
      <x:c r="K117" s="31" t="n">
        <x:v>0</x:v>
      </x:c>
      <x:c r="L117" s="31" t="n">
        <x:v>28.5505614737</x:v>
      </x:c>
      <x:c r="M117" s="31" t="n">
        <x:v>0</x:v>
      </x:c>
      <x:c r="N117" s="24" t="str">
        <x:v>gerres</x:v>
      </x:c>
      <x:c r="O117" s="32" t="n">
        <x:v>3.27</x:v>
      </x:c>
      <x:c r="P117" s="24" t="str">
        <x:v>exact_sea_around_us</x:v>
      </x:c>
      <x:c r="Q117" s="32" t="str">
        <x:v>Sea Around Us exploited organisms</x:v>
      </x:c>
      <x:c r="R117" s="24" t="str">
        <x:v>high</x:v>
      </x:c>
      <x:c r="S117" s="24" t="str">
        <x:v>Gerres</x:v>
      </x:c>
      <x:c r="T117" s="32" t="n">
        <x:f>IF(O117="","",(1/'Metadata'!$B$5)^(O117-1))</x:f>
        <x:v>186.20871366628674</x:v>
      </x:c>
      <x:c r="U117" s="31" t="n">
        <x:f>IF(T117="","",I117*T117)</x:f>
        <x:v>5316.363326467921</x:v>
      </x:c>
    </x:row>
    <x:row r="118" ht="18" customHeight="1">
      <x:c r="A118" s="24" t="str">
        <x:v>EEZ_361</x:v>
      </x:c>
      <x:c r="B118" s="24" t="str">
        <x:v>Indonesia (Eastern)</x:v>
      </x:c>
      <x:c r="C118" s="24" t="str">
        <x:v>EEZ</x:v>
      </x:c>
      <x:c r="D118" s="30" t="n">
        <x:v>2019</x:v>
      </x:c>
      <x:c r="E118" s="24" t="str">
        <x:v>Isurus</x:v>
      </x:c>
      <x:c r="F118" s="24" t="str">
        <x:v>Mako sharks</x:v>
      </x:c>
      <x:c r="G118" s="24" t="str">
        <x:v>Large sharks (&gt;=90 cm)</x:v>
      </x:c>
      <x:c r="H118" s="24" t="str">
        <x:v>Sharks &amp; rays</x:v>
      </x:c>
      <x:c r="I118" s="31" t="n">
        <x:v>27.4370548628</x:v>
      </x:c>
      <x:c r="J118" s="31" t="n">
        <x:v>4.0362257096</x:v>
      </x:c>
      <x:c r="K118" s="31" t="n">
        <x:v>23.4008291532</x:v>
      </x:c>
      <x:c r="L118" s="31" t="n">
        <x:v>4.0362257096</x:v>
      </x:c>
      <x:c r="M118" s="31" t="n">
        <x:v>23.4008291532</x:v>
      </x:c>
      <x:c r="N118" s="24" t="str">
        <x:v>isurus</x:v>
      </x:c>
      <x:c r="O118" s="32" t="n">
        <x:v>4.5</x:v>
      </x:c>
      <x:c r="P118" s="24" t="str">
        <x:v>exact_sea_around_us</x:v>
      </x:c>
      <x:c r="Q118" s="32" t="str">
        <x:v>Sea Around Us exploited organisms</x:v>
      </x:c>
      <x:c r="R118" s="24" t="str">
        <x:v>high</x:v>
      </x:c>
      <x:c r="S118" s="24" t="str">
        <x:v>Isurus</x:v>
      </x:c>
      <x:c r="T118" s="32" t="n">
        <x:f>IF(O118="","",(1/'Metadata'!$B$5)^(O118-1))</x:f>
        <x:v>3162.2776601683795</x:v>
      </x:c>
      <x:c r="U118" s="31" t="n">
        <x:f>IF(T118="","",I118*T118)</x:f>
        <x:v>86763.58565344664</x:v>
      </x:c>
    </x:row>
    <x:row r="119" ht="18" customHeight="1">
      <x:c r="A119" s="24" t="str">
        <x:v>EEZ_361</x:v>
      </x:c>
      <x:c r="B119" s="24" t="str">
        <x:v>Indonesia (Eastern)</x:v>
      </x:c>
      <x:c r="C119" s="24" t="str">
        <x:v>EEZ</x:v>
      </x:c>
      <x:c r="D119" s="30" t="n">
        <x:v>2019</x:v>
      </x:c>
      <x:c r="E119" s="24" t="str">
        <x:v>Trichiurus</x:v>
      </x:c>
      <x:c r="F119" s="24" t="str">
        <x:v>Hairtails</x:v>
      </x:c>
      <x:c r="G119" s="24" t="str">
        <x:v>Large benthopelagics (&gt;=90 cm)</x:v>
      </x:c>
      <x:c r="H119" s="24" t="str">
        <x:v>Perch-likes</x:v>
      </x:c>
      <x:c r="I119" s="31" t="n">
        <x:v>27.2005141509</x:v>
      </x:c>
      <x:c r="J119" s="31" t="n">
        <x:v>27.2005141509</x:v>
      </x:c>
      <x:c r="K119" s="31" t="n">
        <x:v>0</x:v>
      </x:c>
      <x:c r="L119" s="31" t="n">
        <x:v>27.2005141509</x:v>
      </x:c>
      <x:c r="M119" s="31" t="n">
        <x:v>0</x:v>
      </x:c>
      <x:c r="N119" s="24" t="str">
        <x:v>trichiurus</x:v>
      </x:c>
      <x:c r="O119" s="32" t="n">
        <x:v>4.42</x:v>
      </x:c>
      <x:c r="P119" s="24" t="str">
        <x:v>exact_sea_around_us</x:v>
      </x:c>
      <x:c r="Q119" s="32" t="str">
        <x:v>Sea Around Us exploited organisms</x:v>
      </x:c>
      <x:c r="R119" s="24" t="str">
        <x:v>high</x:v>
      </x:c>
      <x:c r="S119" s="24" t="str">
        <x:v>Trichiurus</x:v>
      </x:c>
      <x:c r="T119" s="32" t="n">
        <x:f>IF(O119="","",(1/'Metadata'!$B$5)^(O119-1))</x:f>
        <x:v>2630.2679918953813</x:v>
      </x:c>
      <x:c r="U119" s="31" t="n">
        <x:f>IF(T119="","",I119*T119)</x:f>
        <x:v>71544.64173420964</x:v>
      </x:c>
    </x:row>
    <x:row r="120" ht="18" customHeight="1">
      <x:c r="A120" s="24" t="str">
        <x:v>EEZ_361</x:v>
      </x:c>
      <x:c r="B120" s="24" t="str">
        <x:v>Indonesia (Eastern)</x:v>
      </x:c>
      <x:c r="C120" s="24" t="str">
        <x:v>EEZ</x:v>
      </x:c>
      <x:c r="D120" s="30" t="n">
        <x:v>2019</x:v>
      </x:c>
      <x:c r="E120" s="24" t="str">
        <x:v>Lethrinus</x:v>
      </x:c>
      <x:c r="F120" s="24" t="str">
        <x:v>Emperors</x:v>
      </x:c>
      <x:c r="G120" s="24" t="str">
        <x:v>Medium reef assoc. fish (30 - 89 cm)</x:v>
      </x:c>
      <x:c r="H120" s="24" t="str">
        <x:v>Perch-likes</x:v>
      </x:c>
      <x:c r="I120" s="31" t="n">
        <x:v>26.4249827013</x:v>
      </x:c>
      <x:c r="J120" s="31" t="n">
        <x:v>26.4249827013</x:v>
      </x:c>
      <x:c r="K120" s="31" t="n">
        <x:v>0</x:v>
      </x:c>
      <x:c r="L120" s="31" t="n">
        <x:v>26.4249827013</x:v>
      </x:c>
      <x:c r="M120" s="31" t="n">
        <x:v>0</x:v>
      </x:c>
      <x:c r="N120" s="24" t="str">
        <x:v>lethrinus</x:v>
      </x:c>
      <x:c r="O120" s="32" t="n">
        <x:v>3.75</x:v>
      </x:c>
      <x:c r="P120" s="24" t="str">
        <x:v>exact_sea_around_us</x:v>
      </x:c>
      <x:c r="Q120" s="32" t="str">
        <x:v>Sea Around Us exploited organisms</x:v>
      </x:c>
      <x:c r="R120" s="24" t="str">
        <x:v>high</x:v>
      </x:c>
      <x:c r="S120" s="24" t="str">
        <x:v>Lethrinus</x:v>
      </x:c>
      <x:c r="T120" s="32" t="n">
        <x:f>IF(O120="","",(1/'Metadata'!$B$5)^(O120-1))</x:f>
        <x:v>562.341325190349</x:v>
      </x:c>
      <x:c r="U120" s="31" t="n">
        <x:f>IF(T120="","",I120*T120)</x:f>
        <x:v>14859.859790381091</x:v>
      </x:c>
    </x:row>
    <x:row r="121" ht="18" customHeight="1">
      <x:c r="A121" s="24" t="str">
        <x:v>EEZ_361</x:v>
      </x:c>
      <x:c r="B121" s="24" t="str">
        <x:v>Indonesia (Eastern)</x:v>
      </x:c>
      <x:c r="C121" s="24" t="str">
        <x:v>EEZ</x:v>
      </x:c>
      <x:c r="D121" s="30" t="n">
        <x:v>2019</x:v>
      </x:c>
      <x:c r="E121" s="24" t="str">
        <x:v>Penaeus semisulcatus</x:v>
      </x:c>
      <x:c r="F121" s="24" t="str">
        <x:v>Green tiger prawn</x:v>
      </x:c>
      <x:c r="G121" s="24" t="str">
        <x:v>Shrimps</x:v>
      </x:c>
      <x:c r="H121" s="24" t="str">
        <x:v>Crustaceans</x:v>
      </x:c>
      <x:c r="I121" s="31" t="n">
        <x:v>25.169184358400003</x:v>
      </x:c>
      <x:c r="J121" s="31" t="n">
        <x:v>25.169184358400003</x:v>
      </x:c>
      <x:c r="K121" s="31" t="n">
        <x:v>0</x:v>
      </x:c>
      <x:c r="L121" s="31" t="n">
        <x:v>22.517481808200003</x:v>
      </x:c>
      <x:c r="M121" s="31" t="n">
        <x:v>2.6517025502</x:v>
      </x:c>
      <x:c r="N121" s="24" t="str">
        <x:v>penaeus semisulcatus</x:v>
      </x:c>
      <x:c r="O121" s="32" t="n">
        <x:v>2</x:v>
      </x:c>
      <x:c r="P121" s="24" t="str">
        <x:v>exact_2020_supplement</x:v>
      </x:c>
      <x:c r="Q121" s="32" t="str">
        <x:v>2020 supplement MeanTL</x:v>
      </x:c>
      <x:c r="R121" s="24" t="str">
        <x:v>high</x:v>
      </x:c>
      <x:c r="S121" s="24" t="str">
        <x:v>Penaeus semisulcatus</x:v>
      </x:c>
      <x:c r="T121" s="32" t="n">
        <x:f>IF(O121="","",(1/'Metadata'!$B$5)^(O121-1))</x:f>
        <x:v>10</x:v>
      </x:c>
      <x:c r="U121" s="31" t="n">
        <x:f>IF(T121="","",I121*T121)</x:f>
        <x:v>251.69184358400003</x:v>
      </x:c>
    </x:row>
    <x:row r="122" ht="18" customHeight="1">
      <x:c r="A122" s="24" t="str">
        <x:v>EEZ_361</x:v>
      </x:c>
      <x:c r="B122" s="24" t="str">
        <x:v>Indonesia (Eastern)</x:v>
      </x:c>
      <x:c r="C122" s="24" t="str">
        <x:v>EEZ</x:v>
      </x:c>
      <x:c r="D122" s="30" t="n">
        <x:v>2019</x:v>
      </x:c>
      <x:c r="E122" s="24" t="str">
        <x:v>Batoidea</x:v>
      </x:c>
      <x:c r="F122" s="24" t="str">
        <x:v>Batoids, skates, rays, sawfishes</x:v>
      </x:c>
      <x:c r="G122" s="24" t="str">
        <x:v>Large rays (&gt;=90 cm)</x:v>
      </x:c>
      <x:c r="H122" s="24" t="str">
        <x:v>Sharks &amp; rays</x:v>
      </x:c>
      <x:c r="I122" s="31" t="n">
        <x:v>24.5861592266</x:v>
      </x:c>
      <x:c r="J122" s="31" t="n">
        <x:v>24.5861592266</x:v>
      </x:c>
      <x:c r="K122" s="31" t="n">
        <x:v>0</x:v>
      </x:c>
      <x:c r="L122" s="31" t="n">
        <x:v>22.2347409026</x:v>
      </x:c>
      <x:c r="M122" s="31" t="n">
        <x:v>2.351418324</x:v>
      </x:c>
      <x:c r="N122" s="24" t="str">
        <x:v>batoidea</x:v>
      </x:c>
      <x:c r="O122" s="32" t="n">
        <x:v>3.72</x:v>
      </x:c>
      <x:c r="P122" s="24" t="str">
        <x:v>exact_sea_around_us</x:v>
      </x:c>
      <x:c r="Q122" s="32" t="str">
        <x:v>Sea Around Us exploited organisms</x:v>
      </x:c>
      <x:c r="R122" s="24" t="str">
        <x:v>high</x:v>
      </x:c>
      <x:c r="S122" s="24" t="str">
        <x:v>Batoidea</x:v>
      </x:c>
      <x:c r="T122" s="32" t="n">
        <x:f>IF(O122="","",(1/'Metadata'!$B$5)^(O122-1))</x:f>
        <x:v>524.8074602497728</x:v>
      </x:c>
      <x:c r="U122" s="31" t="n">
        <x:f>IF(T122="","",I122*T122)</x:f>
        <x:v>12902.999781008464</x:v>
      </x:c>
    </x:row>
    <x:row r="123" ht="18" customHeight="1">
      <x:c r="A123" s="24" t="str">
        <x:v>EEZ_361</x:v>
      </x:c>
      <x:c r="B123" s="24" t="str">
        <x:v>Indonesia (Eastern)</x:v>
      </x:c>
      <x:c r="C123" s="24" t="str">
        <x:v>EEZ</x:v>
      </x:c>
      <x:c r="D123" s="30" t="n">
        <x:v>2019</x:v>
      </x:c>
      <x:c r="E123" s="24" t="str">
        <x:v>Balistidae</x:v>
      </x:c>
      <x:c r="F123" s="24" t="str">
        <x:v>Triggerfishes</x:v>
      </x:c>
      <x:c r="G123" s="24" t="str">
        <x:v>Medium reef assoc. fish (30 - 89 cm)</x:v>
      </x:c>
      <x:c r="H123" s="24" t="str">
        <x:v>Other fishes &amp; inverts</x:v>
      </x:c>
      <x:c r="I123" s="31" t="n">
        <x:v>21.1561910357</x:v>
      </x:c>
      <x:c r="J123" s="31" t="n">
        <x:v>21.1561910357</x:v>
      </x:c>
      <x:c r="K123" s="31" t="n">
        <x:v>0</x:v>
      </x:c>
      <x:c r="L123" s="31" t="n">
        <x:v>21.1561910357</x:v>
      </x:c>
      <x:c r="M123" s="31" t="n">
        <x:v>0</x:v>
      </x:c>
      <x:c r="N123" s="24" t="str">
        <x:v>balistidae</x:v>
      </x:c>
      <x:c r="O123" s="32" t="n">
        <x:v>3.25</x:v>
      </x:c>
      <x:c r="P123" s="24" t="str">
        <x:v>exact_sea_around_us</x:v>
      </x:c>
      <x:c r="Q123" s="32" t="str">
        <x:v>Sea Around Us exploited organisms</x:v>
      </x:c>
      <x:c r="R123" s="24" t="str">
        <x:v>high</x:v>
      </x:c>
      <x:c r="S123" s="24" t="str">
        <x:v>Balistidae</x:v>
      </x:c>
      <x:c r="T123" s="32" t="n">
        <x:f>IF(O123="","",(1/'Metadata'!$B$5)^(O123-1))</x:f>
        <x:v>177.82794100389228</x:v>
      </x:c>
      <x:c r="U123" s="31" t="n">
        <x:f>IF(T123="","",I123*T123)</x:f>
        <x:v>3762.1618913635343</x:v>
      </x:c>
    </x:row>
    <x:row r="124" ht="18" customHeight="1">
      <x:c r="A124" s="24" t="str">
        <x:v>EEZ_361</x:v>
      </x:c>
      <x:c r="B124" s="24" t="str">
        <x:v>Indonesia (Eastern)</x:v>
      </x:c>
      <x:c r="C124" s="24" t="str">
        <x:v>EEZ</x:v>
      </x:c>
      <x:c r="D124" s="30" t="n">
        <x:v>2019</x:v>
      </x:c>
      <x:c r="E124" s="24" t="str">
        <x:v>Mugil</x:v>
      </x:c>
      <x:c r="F124" s="24" t="str">
        <x:v>Grey mullets</x:v>
      </x:c>
      <x:c r="G124" s="24" t="str">
        <x:v>Medium demersals (30 - 89 cm)</x:v>
      </x:c>
      <x:c r="H124" s="24" t="str">
        <x:v>Perch-likes</x:v>
      </x:c>
      <x:c r="I124" s="31" t="n">
        <x:v>18.3943251037</x:v>
      </x:c>
      <x:c r="J124" s="31" t="n">
        <x:v>18.3943251037</x:v>
      </x:c>
      <x:c r="K124" s="31" t="n">
        <x:v>0</x:v>
      </x:c>
      <x:c r="L124" s="31" t="n">
        <x:v>18.3943251037</x:v>
      </x:c>
      <x:c r="M124" s="31" t="n">
        <x:v>0</x:v>
      </x:c>
      <x:c r="N124" s="24" t="str">
        <x:v>mugil</x:v>
      </x:c>
      <x:c r="O124" s="32" t="n">
        <x:v>2.26</x:v>
      </x:c>
      <x:c r="P124" s="24" t="str">
        <x:v>exact_sea_around_us</x:v>
      </x:c>
      <x:c r="Q124" s="32" t="str">
        <x:v>Sea Around Us exploited organisms</x:v>
      </x:c>
      <x:c r="R124" s="24" t="str">
        <x:v>high</x:v>
      </x:c>
      <x:c r="S124" s="24" t="str">
        <x:v>Mugil</x:v>
      </x:c>
      <x:c r="T124" s="32" t="n">
        <x:f>IF(O124="","",(1/'Metadata'!$B$5)^(O124-1))</x:f>
        <x:v>18.197008586099827</x:v>
      </x:c>
      <x:c r="U124" s="31" t="n">
        <x:f>IF(T124="","",I124*T124)</x:f>
        <x:v>334.7216918475405</x:v>
      </x:c>
    </x:row>
    <x:row r="125" ht="18" customHeight="1">
      <x:c r="A125" s="24" t="str">
        <x:v>EEZ_361</x:v>
      </x:c>
      <x:c r="B125" s="24" t="str">
        <x:v>Indonesia (Eastern)</x:v>
      </x:c>
      <x:c r="C125" s="24" t="str">
        <x:v>EEZ</x:v>
      </x:c>
      <x:c r="D125" s="30" t="n">
        <x:v>2019</x:v>
      </x:c>
      <x:c r="E125" s="24" t="str">
        <x:v>Carcharhinus longimanus</x:v>
      </x:c>
      <x:c r="F125" s="24" t="str">
        <x:v>Oceanic whitetip shark</x:v>
      </x:c>
      <x:c r="G125" s="24" t="str">
        <x:v>Large sharks (&gt;=90 cm)</x:v>
      </x:c>
      <x:c r="H125" s="24" t="str">
        <x:v>Sharks &amp; rays</x:v>
      </x:c>
      <x:c r="I125" s="31" t="n">
        <x:v>17.481136395300002</x:v>
      </x:c>
      <x:c r="J125" s="31" t="n">
        <x:v>5.1415292197</x:v>
      </x:c>
      <x:c r="K125" s="31" t="n">
        <x:v>12.3396071756</x:v>
      </x:c>
      <x:c r="L125" s="31" t="n">
        <x:v>5.1415292197</x:v>
      </x:c>
      <x:c r="M125" s="31" t="n">
        <x:v>12.3396071756</x:v>
      </x:c>
      <x:c r="N125" s="24" t="str">
        <x:v>carcharhinus longimanus</x:v>
      </x:c>
      <x:c r="O125" s="32" t="n">
        <x:v>4.16</x:v>
      </x:c>
      <x:c r="P125" s="24" t="str">
        <x:v>exact_2020_supplement</x:v>
      </x:c>
      <x:c r="Q125" s="32" t="str">
        <x:v>2020 supplement MeanTL</x:v>
      </x:c>
      <x:c r="R125" s="24" t="str">
        <x:v>high</x:v>
      </x:c>
      <x:c r="S125" s="24" t="str">
        <x:v>Carcharhinus longimanus</x:v>
      </x:c>
      <x:c r="T125" s="32" t="n">
        <x:f>IF(O125="","",(1/'Metadata'!$B$5)^(O125-1))</x:f>
        <x:v>1445.439770745928</x:v>
      </x:c>
      <x:c r="U125" s="31" t="n">
        <x:f>IF(T125="","",I125*T125)</x:f>
        <x:v>25267.92978360073</x:v>
      </x:c>
    </x:row>
    <x:row r="126" ht="18" customHeight="1">
      <x:c r="A126" s="24" t="str">
        <x:v>EEZ_361</x:v>
      </x:c>
      <x:c r="B126" s="24" t="str">
        <x:v>Indonesia (Eastern)</x:v>
      </x:c>
      <x:c r="C126" s="24" t="str">
        <x:v>EEZ</x:v>
      </x:c>
      <x:c r="D126" s="30" t="n">
        <x:v>2019</x:v>
      </x:c>
      <x:c r="E126" s="24" t="str">
        <x:v>Thenus orientalis</x:v>
      </x:c>
      <x:c r="F126" s="24" t="str">
        <x:v>Flathead lobster</x:v>
      </x:c>
      <x:c r="G126" s="24" t="str">
        <x:v>Lobsters, crabs</x:v>
      </x:c>
      <x:c r="H126" s="24" t="str">
        <x:v>Crustaceans</x:v>
      </x:c>
      <x:c r="I126" s="31" t="n">
        <x:v>17.1781435965</x:v>
      </x:c>
      <x:c r="J126" s="31" t="n">
        <x:v>17.1781435965</x:v>
      </x:c>
      <x:c r="K126" s="31" t="n">
        <x:v>0</x:v>
      </x:c>
      <x:c r="L126" s="31" t="n">
        <x:v>16.7574074125</x:v>
      </x:c>
      <x:c r="M126" s="31" t="n">
        <x:v>0.420736184</x:v>
      </x:c>
      <x:c r="N126" s="24" t="str">
        <x:v>thenus orientalis</x:v>
      </x:c>
      <x:c r="O126" s="32" t="n">
        <x:v>2.5</x:v>
      </x:c>
      <x:c r="P126" s="24" t="str">
        <x:v>exact_sea_around_us</x:v>
      </x:c>
      <x:c r="Q126" s="32" t="str">
        <x:v>Sea Around Us exploited organisms</x:v>
      </x:c>
      <x:c r="R126" s="24" t="str">
        <x:v>high</x:v>
      </x:c>
      <x:c r="S126" s="24" t="str">
        <x:v>Thenus orientalis</x:v>
      </x:c>
      <x:c r="T126" s="32" t="n">
        <x:f>IF(O126="","",(1/'Metadata'!$B$5)^(O126-1))</x:f>
        <x:v>31.622776601683793</x:v>
      </x:c>
      <x:c r="U126" s="31" t="n">
        <x:f>IF(T126="","",I126*T126)</x:f>
        <x:v>543.2205973837645</x:v>
      </x:c>
    </x:row>
    <x:row r="127" ht="18" customHeight="1">
      <x:c r="A127" s="24" t="str">
        <x:v>EEZ_361</x:v>
      </x:c>
      <x:c r="B127" s="24" t="str">
        <x:v>Indonesia (Eastern)</x:v>
      </x:c>
      <x:c r="C127" s="24" t="str">
        <x:v>EEZ</x:v>
      </x:c>
      <x:c r="D127" s="30" t="n">
        <x:v>2019</x:v>
      </x:c>
      <x:c r="E127" s="24" t="str">
        <x:v>Scylla serrata</x:v>
      </x:c>
      <x:c r="F127" s="24" t="str">
        <x:v>Indo-Pacific swamp crab</x:v>
      </x:c>
      <x:c r="G127" s="24" t="str">
        <x:v>Lobsters, crabs</x:v>
      </x:c>
      <x:c r="H127" s="24" t="str">
        <x:v>Crustaceans</x:v>
      </x:c>
      <x:c r="I127" s="31" t="n">
        <x:v>16.989844333100002</x:v>
      </x:c>
      <x:c r="J127" s="31" t="n">
        <x:v>16.989844333100002</x:v>
      </x:c>
      <x:c r="K127" s="31" t="n">
        <x:v>0</x:v>
      </x:c>
      <x:c r="L127" s="31" t="n">
        <x:v>16.989844333100002</x:v>
      </x:c>
      <x:c r="M127" s="31" t="n">
        <x:v>0</x:v>
      </x:c>
      <x:c r="N127" s="24" t="str">
        <x:v>scylla serrata</x:v>
      </x:c>
      <x:c r="O127" s="32" t="n">
        <x:v>3.17</x:v>
      </x:c>
      <x:c r="P127" s="24" t="str">
        <x:v>exact_2020_supplement</x:v>
      </x:c>
      <x:c r="Q127" s="32" t="str">
        <x:v>2020 supplement MeanTL</x:v>
      </x:c>
      <x:c r="R127" s="24" t="str">
        <x:v>high</x:v>
      </x:c>
      <x:c r="S127" s="24" t="str">
        <x:v>Scylla serrata</x:v>
      </x:c>
      <x:c r="T127" s="32" t="n">
        <x:f>IF(O127="","",(1/'Metadata'!$B$5)^(O127-1))</x:f>
        <x:v>147.91083881682073</x:v>
      </x:c>
      <x:c r="U127" s="31" t="n">
        <x:f>IF(T127="","",I127*T127)</x:f>
        <x:v>2512.9821266760296</x:v>
      </x:c>
    </x:row>
    <x:row r="128" ht="18" customHeight="1">
      <x:c r="A128" s="24" t="str">
        <x:v>EEZ_361</x:v>
      </x:c>
      <x:c r="B128" s="24" t="str">
        <x:v>Indonesia (Eastern)</x:v>
      </x:c>
      <x:c r="C128" s="24" t="str">
        <x:v>EEZ</x:v>
      </x:c>
      <x:c r="D128" s="30" t="n">
        <x:v>2019</x:v>
      </x:c>
      <x:c r="E128" s="24" t="str">
        <x:v>Panulirus longipes</x:v>
      </x:c>
      <x:c r="F128" s="24" t="str">
        <x:v>Longlegged spiny lobster</x:v>
      </x:c>
      <x:c r="G128" s="24" t="str">
        <x:v>Lobsters, crabs</x:v>
      </x:c>
      <x:c r="H128" s="24" t="str">
        <x:v>Crustaceans</x:v>
      </x:c>
      <x:c r="I128" s="31" t="n">
        <x:v>16.2595895283</x:v>
      </x:c>
      <x:c r="J128" s="31" t="n">
        <x:v>16.2595895283</x:v>
      </x:c>
      <x:c r="K128" s="31" t="n">
        <x:v>0</x:v>
      </x:c>
      <x:c r="L128" s="31" t="n">
        <x:v>16.2595895283</x:v>
      </x:c>
      <x:c r="M128" s="31" t="n">
        <x:v>0</x:v>
      </x:c>
      <x:c r="N128" s="24" t="str">
        <x:v>panulirus longipes</x:v>
      </x:c>
      <x:c r="O128" s="32" t="n">
        <x:v>2.6</x:v>
      </x:c>
      <x:c r="P128" s="24" t="str">
        <x:v>exact_sea_around_us</x:v>
      </x:c>
      <x:c r="Q128" s="32" t="str">
        <x:v>Sea Around Us exploited organisms</x:v>
      </x:c>
      <x:c r="R128" s="24" t="str">
        <x:v>high</x:v>
      </x:c>
      <x:c r="S128" s="24" t="str">
        <x:v>Panulirus longipes</x:v>
      </x:c>
      <x:c r="T128" s="32" t="n">
        <x:f>IF(O128="","",(1/'Metadata'!$B$5)^(O128-1))</x:f>
        <x:v>39.810717055349734</x:v>
      </x:c>
      <x:c r="U128" s="31" t="n">
        <x:f>IF(T128="","",I128*T128)</x:f>
        <x:v>647.3059181472788</x:v>
      </x:c>
    </x:row>
    <x:row r="129" ht="18" customHeight="1">
      <x:c r="A129" s="24" t="str">
        <x:v>EEZ_361</x:v>
      </x:c>
      <x:c r="B129" s="24" t="str">
        <x:v>Indonesia (Eastern)</x:v>
      </x:c>
      <x:c r="C129" s="24" t="str">
        <x:v>EEZ</x:v>
      </x:c>
      <x:c r="D129" s="30" t="n">
        <x:v>2019</x:v>
      </x:c>
      <x:c r="E129" s="24" t="str">
        <x:v>Muraenesox cinereus</x:v>
      </x:c>
      <x:c r="F129" s="24" t="str">
        <x:v>Daggertooth pike conger</x:v>
      </x:c>
      <x:c r="G129" s="24" t="str">
        <x:v>Large demersals (&gt;=90 cm)</x:v>
      </x:c>
      <x:c r="H129" s="24" t="str">
        <x:v>Other fishes &amp; inverts</x:v>
      </x:c>
      <x:c r="I129" s="31" t="n">
        <x:v>15.8053083708</x:v>
      </x:c>
      <x:c r="J129" s="31" t="n">
        <x:v>15.8053083708</x:v>
      </x:c>
      <x:c r="K129" s="31" t="n">
        <x:v>0</x:v>
      </x:c>
      <x:c r="L129" s="31" t="n">
        <x:v>14.9811598652</x:v>
      </x:c>
      <x:c r="M129" s="31" t="n">
        <x:v>0.8241485056</x:v>
      </x:c>
      <x:c r="N129" s="24" t="str">
        <x:v>muraenesox cinereus</x:v>
      </x:c>
      <x:c r="O129" s="32" t="n">
        <x:v>4.38</x:v>
      </x:c>
      <x:c r="P129" s="24" t="str">
        <x:v>exact_2020_supplement</x:v>
      </x:c>
      <x:c r="Q129" s="32" t="str">
        <x:v>2020 supplement MeanTL</x:v>
      </x:c>
      <x:c r="R129" s="24" t="str">
        <x:v>high</x:v>
      </x:c>
      <x:c r="S129" s="24" t="str">
        <x:v>Muraenesox cinereus</x:v>
      </x:c>
      <x:c r="T129" s="32" t="n">
        <x:f>IF(O129="","",(1/'Metadata'!$B$5)^(O129-1))</x:f>
        <x:v>2398.83291901949</x:v>
      </x:c>
      <x:c r="U129" s="31" t="n">
        <x:f>IF(T129="","",I129*T129)</x:f>
        <x:v>37914.294015129344</x:v>
      </x:c>
    </x:row>
    <x:row r="130" ht="18" customHeight="1">
      <x:c r="A130" s="24" t="str">
        <x:v>EEZ_361</x:v>
      </x:c>
      <x:c r="B130" s="24" t="str">
        <x:v>Indonesia (Eastern)</x:v>
      </x:c>
      <x:c r="C130" s="24" t="str">
        <x:v>EEZ</x:v>
      </x:c>
      <x:c r="D130" s="30" t="n">
        <x:v>2019</x:v>
      </x:c>
      <x:c r="E130" s="24" t="str">
        <x:v>Istiophoridae</x:v>
      </x:c>
      <x:c r="F130" s="24" t="str">
        <x:v>Billfishes</x:v>
      </x:c>
      <x:c r="G130" s="24" t="str">
        <x:v>Large pelagics (&gt;=90 cm)</x:v>
      </x:c>
      <x:c r="H130" s="24" t="str">
        <x:v>Tuna &amp; billfishes</x:v>
      </x:c>
      <x:c r="I130" s="31" t="n">
        <x:v>13.127059947</x:v>
      </x:c>
      <x:c r="J130" s="31" t="n">
        <x:v>0</x:v>
      </x:c>
      <x:c r="K130" s="31" t="n">
        <x:v>13.127059947</x:v>
      </x:c>
      <x:c r="L130" s="31" t="n">
        <x:v>0</x:v>
      </x:c>
      <x:c r="M130" s="31" t="n">
        <x:v>13.127059947</x:v>
      </x:c>
      <x:c r="N130" s="24" t="str">
        <x:v>istiophoridae</x:v>
      </x:c>
      <x:c r="O130" s="32" t="n">
        <x:v>4.48</x:v>
      </x:c>
      <x:c r="P130" s="24" t="str">
        <x:v>exact_sea_around_us</x:v>
      </x:c>
      <x:c r="Q130" s="32" t="str">
        <x:v>Sea Around Us exploited organisms</x:v>
      </x:c>
      <x:c r="R130" s="24" t="str">
        <x:v>high</x:v>
      </x:c>
      <x:c r="S130" s="24" t="str">
        <x:v>Istiophoridae</x:v>
      </x:c>
      <x:c r="T130" s="32" t="n">
        <x:f>IF(O130="","",(1/'Metadata'!$B$5)^(O130-1))</x:f>
        <x:v>3019.951720402019</x:v>
      </x:c>
      <x:c r="U130" s="31" t="n">
        <x:f>IF(T130="","",I130*T130)</x:f>
        <x:v>39643.087270763084</x:v>
      </x:c>
    </x:row>
    <x:row r="131" ht="18" customHeight="1">
      <x:c r="A131" s="24" t="str">
        <x:v>EEZ_361</x:v>
      </x:c>
      <x:c r="B131" s="24" t="str">
        <x:v>Indonesia (Eastern)</x:v>
      </x:c>
      <x:c r="C131" s="24" t="str">
        <x:v>EEZ</x:v>
      </x:c>
      <x:c r="D131" s="30" t="n">
        <x:v>2019</x:v>
      </x:c>
      <x:c r="E131" s="24" t="str">
        <x:v>Isurus oxyrinchus</x:v>
      </x:c>
      <x:c r="F131" s="24" t="str">
        <x:v>Shortfin mako</x:v>
      </x:c>
      <x:c r="G131" s="24" t="str">
        <x:v>Large sharks (&gt;=90 cm)</x:v>
      </x:c>
      <x:c r="H131" s="24" t="str">
        <x:v>Sharks &amp; rays</x:v>
      </x:c>
      <x:c r="I131" s="31" t="n">
        <x:v>12.925515417</x:v>
      </x:c>
      <x:c r="J131" s="31" t="n">
        <x:v>12.925515417</x:v>
      </x:c>
      <x:c r="K131" s="31" t="n">
        <x:v>0</x:v>
      </x:c>
      <x:c r="L131" s="31" t="n">
        <x:v>12.925515417</x:v>
      </x:c>
      <x:c r="M131" s="31" t="n">
        <x:v>0</x:v>
      </x:c>
      <x:c r="N131" s="24" t="str">
        <x:v>isurus oxyrinchus</x:v>
      </x:c>
      <x:c r="O131" s="32" t="n">
        <x:v>4.5</x:v>
      </x:c>
      <x:c r="P131" s="24" t="str">
        <x:v>exact_2020_supplement</x:v>
      </x:c>
      <x:c r="Q131" s="32" t="str">
        <x:v>2020 supplement MeanTL</x:v>
      </x:c>
      <x:c r="R131" s="24" t="str">
        <x:v>high</x:v>
      </x:c>
      <x:c r="S131" s="24" t="str">
        <x:v>Isurus oxyrinchus</x:v>
      </x:c>
      <x:c r="T131" s="32" t="n">
        <x:f>IF(O131="","",(1/'Metadata'!$B$5)^(O131-1))</x:f>
        <x:v>3162.2776601683795</x:v>
      </x:c>
      <x:c r="U131" s="31" t="n">
        <x:f>IF(T131="","",I131*T131)</x:f>
        <x:v>40874.068649341076</x:v>
      </x:c>
    </x:row>
    <x:row r="132" ht="18" customHeight="1">
      <x:c r="A132" s="24" t="str">
        <x:v>EEZ_361</x:v>
      </x:c>
      <x:c r="B132" s="24" t="str">
        <x:v>Indonesia (Eastern)</x:v>
      </x:c>
      <x:c r="C132" s="24" t="str">
        <x:v>EEZ</x:v>
      </x:c>
      <x:c r="D132" s="30" t="n">
        <x:v>2019</x:v>
      </x:c>
      <x:c r="E132" s="24" t="str">
        <x:v>Pennahia</x:v>
      </x:c>
      <x:c r="F132" s="24" t="str">
        <x:v>Pennah croakers</x:v>
      </x:c>
      <x:c r="G132" s="24" t="str">
        <x:v>Medium benthopelagics (30 - 89 cm)</x:v>
      </x:c>
      <x:c r="H132" s="24" t="str">
        <x:v>Perch-likes</x:v>
      </x:c>
      <x:c r="I132" s="31" t="n">
        <x:v>11.136354551</x:v>
      </x:c>
      <x:c r="J132" s="31" t="n">
        <x:v>11.136354551</x:v>
      </x:c>
      <x:c r="K132" s="31" t="n">
        <x:v>0</x:v>
      </x:c>
      <x:c r="L132" s="31" t="n">
        <x:v>11.136354551</x:v>
      </x:c>
      <x:c r="M132" s="31" t="n">
        <x:v>0</x:v>
      </x:c>
      <x:c r="N132" s="24" t="str">
        <x:v>pennahia</x:v>
      </x:c>
      <x:c r="O132" s="32" t="n">
        <x:v>3.73</x:v>
      </x:c>
      <x:c r="P132" s="24" t="str">
        <x:v>exact_sea_around_us</x:v>
      </x:c>
      <x:c r="Q132" s="32" t="str">
        <x:v>Sea Around Us exploited organisms</x:v>
      </x:c>
      <x:c r="R132" s="24" t="str">
        <x:v>high</x:v>
      </x:c>
      <x:c r="S132" s="24" t="str">
        <x:v>Pennahia</x:v>
      </x:c>
      <x:c r="T132" s="32" t="n">
        <x:f>IF(O132="","",(1/'Metadata'!$B$5)^(O132-1))</x:f>
        <x:v>537.0317963702527</x:v>
      </x:c>
      <x:c r="U132" s="31" t="n">
        <x:f>IF(T132="","",I132*T132)</x:f>
        <x:v>5980.576489539569</x:v>
      </x:c>
    </x:row>
    <x:row r="133" ht="18" customHeight="1">
      <x:c r="A133" s="24" t="str">
        <x:v>EEZ_361</x:v>
      </x:c>
      <x:c r="B133" s="24" t="str">
        <x:v>Indonesia (Eastern)</x:v>
      </x:c>
      <x:c r="C133" s="24" t="str">
        <x:v>EEZ</x:v>
      </x:c>
      <x:c r="D133" s="30" t="n">
        <x:v>2019</x:v>
      </x:c>
      <x:c r="E133" s="24" t="str">
        <x:v>Acanthocybium solandri</x:v>
      </x:c>
      <x:c r="F133" s="24" t="str">
        <x:v>Wahoo</x:v>
      </x:c>
      <x:c r="G133" s="24" t="str">
        <x:v>Large pelagics (&gt;=90 cm)</x:v>
      </x:c>
      <x:c r="H133" s="24" t="str">
        <x:v>Perch-likes</x:v>
      </x:c>
      <x:c r="I133" s="31" t="n">
        <x:v>10.2476994048</x:v>
      </x:c>
      <x:c r="J133" s="31" t="n">
        <x:v>0</x:v>
      </x:c>
      <x:c r="K133" s="31" t="n">
        <x:v>10.2476994048</x:v>
      </x:c>
      <x:c r="L133" s="31" t="n">
        <x:v>0</x:v>
      </x:c>
      <x:c r="M133" s="31" t="n">
        <x:v>10.2476994048</x:v>
      </x:c>
      <x:c r="N133" s="24" t="str">
        <x:v>acanthocybium solandri</x:v>
      </x:c>
      <x:c r="O133" s="32" t="n">
        <x:v>4.26</x:v>
      </x:c>
      <x:c r="P133" s="24" t="str">
        <x:v>exact_2020_supplement</x:v>
      </x:c>
      <x:c r="Q133" s="32" t="str">
        <x:v>2020 supplement MeanTL</x:v>
      </x:c>
      <x:c r="R133" s="24" t="str">
        <x:v>high</x:v>
      </x:c>
      <x:c r="S133" s="24" t="str">
        <x:v>Acanthocybium solandri</x:v>
      </x:c>
      <x:c r="T133" s="32" t="n">
        <x:f>IF(O133="","",(1/'Metadata'!$B$5)^(O133-1))</x:f>
        <x:v>1819.7008586099826</x:v>
      </x:c>
      <x:c r="U133" s="31" t="n">
        <x:f>IF(T133="","",I133*T133)</x:f>
        <x:v>18647.747405691567</x:v>
      </x:c>
    </x:row>
    <x:row r="134" ht="18" customHeight="1">
      <x:c r="A134" s="24" t="str">
        <x:v>EEZ_361</x:v>
      </x:c>
      <x:c r="B134" s="24" t="str">
        <x:v>Indonesia (Eastern)</x:v>
      </x:c>
      <x:c r="C134" s="24" t="str">
        <x:v>EEZ</x:v>
      </x:c>
      <x:c r="D134" s="30" t="n">
        <x:v>2019</x:v>
      </x:c>
      <x:c r="E134" s="24" t="str">
        <x:v>Chondrichthyes</x:v>
      </x:c>
      <x:c r="F134" s="24" t="str">
        <x:v>Sharks, rays, chimaeras</x:v>
      </x:c>
      <x:c r="G134" s="24" t="str">
        <x:v>Large sharks (&gt;=90 cm)</x:v>
      </x:c>
      <x:c r="H134" s="24" t="str">
        <x:v>Sharks &amp; rays</x:v>
      </x:c>
      <x:c r="I134" s="31" t="n">
        <x:v>10.093649170499999</x:v>
      </x:c>
      <x:c r="J134" s="31" t="n">
        <x:v>10.093649170499999</x:v>
      </x:c>
      <x:c r="K134" s="31" t="n">
        <x:v>0</x:v>
      </x:c>
      <x:c r="L134" s="31" t="n">
        <x:v>10.093649170499999</x:v>
      </x:c>
      <x:c r="M134" s="31" t="n">
        <x:v>0</x:v>
      </x:c>
      <x:c r="N134" s="24" t="str">
        <x:v>chondrichthyes</x:v>
      </x:c>
      <x:c r="O134" s="32" t="n">
        <x:v>4</x:v>
      </x:c>
      <x:c r="P134" s="24" t="str">
        <x:v>exact_sea_around_us</x:v>
      </x:c>
      <x:c r="Q134" s="32" t="str">
        <x:v>Sea Around Us exploited organisms</x:v>
      </x:c>
      <x:c r="R134" s="24" t="str">
        <x:v>high</x:v>
      </x:c>
      <x:c r="S134" s="24" t="str">
        <x:v>Chondrichthyes</x:v>
      </x:c>
      <x:c r="T134" s="32" t="n">
        <x:f>IF(O134="","",(1/'Metadata'!$B$5)^(O134-1))</x:f>
        <x:v>1000</x:v>
      </x:c>
      <x:c r="U134" s="31" t="n">
        <x:f>IF(T134="","",I134*T134)</x:f>
        <x:v>10093.649170499999</x:v>
      </x:c>
    </x:row>
    <x:row r="135" ht="18" customHeight="1">
      <x:c r="A135" s="24" t="str">
        <x:v>EEZ_361</x:v>
      </x:c>
      <x:c r="B135" s="24" t="str">
        <x:v>Indonesia (Eastern)</x:v>
      </x:c>
      <x:c r="C135" s="24" t="str">
        <x:v>EEZ</x:v>
      </x:c>
      <x:c r="D135" s="30" t="n">
        <x:v>2019</x:v>
      </x:c>
      <x:c r="E135" s="24" t="str">
        <x:v>Muraenesox</x:v>
      </x:c>
      <x:c r="F135" s="24" t="str">
        <x:v>Congers</x:v>
      </x:c>
      <x:c r="G135" s="24" t="str">
        <x:v>Large demersals (&gt;=90 cm)</x:v>
      </x:c>
      <x:c r="H135" s="24" t="str">
        <x:v>Other fishes &amp; inverts</x:v>
      </x:c>
      <x:c r="I135" s="31" t="n">
        <x:v>9.3044187201</x:v>
      </x:c>
      <x:c r="J135" s="31" t="n">
        <x:v>9.3044187201</x:v>
      </x:c>
      <x:c r="K135" s="31" t="n">
        <x:v>0</x:v>
      </x:c>
      <x:c r="L135" s="31" t="n">
        <x:v>9.3044187201</x:v>
      </x:c>
      <x:c r="M135" s="31" t="n">
        <x:v>0</x:v>
      </x:c>
      <x:c r="N135" s="24" t="str">
        <x:v>muraenesox</x:v>
      </x:c>
      <x:c r="O135" s="32" t="n">
        <x:v>3.99</x:v>
      </x:c>
      <x:c r="P135" s="24" t="str">
        <x:v>exact_sea_around_us</x:v>
      </x:c>
      <x:c r="Q135" s="32" t="str">
        <x:v>Sea Around Us exploited organisms</x:v>
      </x:c>
      <x:c r="R135" s="24" t="str">
        <x:v>high</x:v>
      </x:c>
      <x:c r="S135" s="24" t="str">
        <x:v>Muraenesox</x:v>
      </x:c>
      <x:c r="T135" s="32" t="n">
        <x:f>IF(O135="","",(1/'Metadata'!$B$5)^(O135-1))</x:f>
        <x:v>977.2372209558112</x:v>
      </x:c>
      <x:c r="U135" s="31" t="n">
        <x:f>IF(T135="","",I135*T135)</x:f>
        <x:v>9092.624292639748</x:v>
      </x:c>
    </x:row>
    <x:row r="136" ht="18" customHeight="1">
      <x:c r="A136" s="24" t="str">
        <x:v>EEZ_361</x:v>
      </x:c>
      <x:c r="B136" s="24" t="str">
        <x:v>Indonesia (Eastern)</x:v>
      </x:c>
      <x:c r="C136" s="24" t="str">
        <x:v>EEZ</x:v>
      </x:c>
      <x:c r="D136" s="30" t="n">
        <x:v>2019</x:v>
      </x:c>
      <x:c r="E136" s="24" t="str">
        <x:v>Penaeus latisulcatus</x:v>
      </x:c>
      <x:c r="F136" s="24" t="str">
        <x:v>Western king prawn</x:v>
      </x:c>
      <x:c r="G136" s="24" t="str">
        <x:v>Shrimps</x:v>
      </x:c>
      <x:c r="H136" s="24" t="str">
        <x:v>Crustaceans</x:v>
      </x:c>
      <x:c r="I136" s="31" t="n">
        <x:v>7.8222571359</x:v>
      </x:c>
      <x:c r="J136" s="31" t="n">
        <x:v>7.8222571359</x:v>
      </x:c>
      <x:c r="K136" s="31" t="n">
        <x:v>0</x:v>
      </x:c>
      <x:c r="L136" s="31" t="n">
        <x:v>7.5265817754999995</x:v>
      </x:c>
      <x:c r="M136" s="31" t="n">
        <x:v>0.2956753604</x:v>
      </x:c>
      <x:c r="N136" s="24" t="str">
        <x:v>penaeus latisulcatus</x:v>
      </x:c>
      <x:c r="O136" s="32" t="n">
        <x:v>2.7</x:v>
      </x:c>
      <x:c r="P136" s="24" t="str">
        <x:v>exact_sea_around_us</x:v>
      </x:c>
      <x:c r="Q136" s="32" t="str">
        <x:v>Sea Around Us exploited organisms</x:v>
      </x:c>
      <x:c r="R136" s="24" t="str">
        <x:v>high</x:v>
      </x:c>
      <x:c r="S136" s="24" t="str">
        <x:v>Penaeus latisulcatus</x:v>
      </x:c>
      <x:c r="T136" s="32" t="n">
        <x:f>IF(O136="","",(1/'Metadata'!$B$5)^(O136-1))</x:f>
        <x:v>50.11872336272725</x:v>
      </x:c>
      <x:c r="U136" s="31" t="n">
        <x:f>IF(T136="","",I136*T136)</x:f>
        <x:v>392.0415414662913</x:v>
      </x:c>
    </x:row>
    <x:row r="137" ht="18" customHeight="1">
      <x:c r="A137" s="24" t="str">
        <x:v>EEZ_361</x:v>
      </x:c>
      <x:c r="B137" s="24" t="str">
        <x:v>Indonesia (Eastern)</x:v>
      </x:c>
      <x:c r="C137" s="24" t="str">
        <x:v>EEZ</x:v>
      </x:c>
      <x:c r="D137" s="30" t="n">
        <x:v>2019</x:v>
      </x:c>
      <x:c r="E137" s="24" t="str">
        <x:v>Drepane</x:v>
      </x:c>
      <x:c r="F137" s="24" t="str">
        <x:v>Sicklefishes</x:v>
      </x:c>
      <x:c r="G137" s="24" t="str">
        <x:v>Medium benthopelagics (30 - 89 cm)</x:v>
      </x:c>
      <x:c r="H137" s="24" t="str">
        <x:v>Perch-likes</x:v>
      </x:c>
      <x:c r="I137" s="31" t="n">
        <x:v>7.2472086223000005</x:v>
      </x:c>
      <x:c r="J137" s="31" t="n">
        <x:v>7.2472086223000005</x:v>
      </x:c>
      <x:c r="K137" s="31" t="n">
        <x:v>0</x:v>
      </x:c>
      <x:c r="L137" s="31" t="n">
        <x:v>7.2472086223000005</x:v>
      </x:c>
      <x:c r="M137" s="31" t="n">
        <x:v>0</x:v>
      </x:c>
      <x:c r="N137" s="24" t="str">
        <x:v>drepane</x:v>
      </x:c>
      <x:c r="O137" s="32" t="n">
        <x:v>3.32</x:v>
      </x:c>
      <x:c r="P137" s="24" t="str">
        <x:v>exact_sea_around_us</x:v>
      </x:c>
      <x:c r="Q137" s="32" t="str">
        <x:v>Sea Around Us exploited organisms</x:v>
      </x:c>
      <x:c r="R137" s="24" t="str">
        <x:v>high</x:v>
      </x:c>
      <x:c r="S137" s="24" t="str">
        <x:v>Drepane</x:v>
      </x:c>
      <x:c r="T137" s="32" t="n">
        <x:f>IF(O137="","",(1/'Metadata'!$B$5)^(O137-1))</x:f>
        <x:v>208.92961308540387</x:v>
      </x:c>
      <x:c r="U137" s="31" t="n">
        <x:f>IF(T137="","",I137*T137)</x:f>
        <x:v>1514.156493406342</x:v>
      </x:c>
    </x:row>
    <x:row r="138" ht="18" customHeight="1">
      <x:c r="A138" s="24" t="str">
        <x:v>EEZ_361</x:v>
      </x:c>
      <x:c r="B138" s="24" t="str">
        <x:v>Indonesia (Eastern)</x:v>
      </x:c>
      <x:c r="C138" s="24" t="str">
        <x:v>EEZ</x:v>
      </x:c>
      <x:c r="D138" s="30" t="n">
        <x:v>2019</x:v>
      </x:c>
      <x:c r="E138" s="24" t="str">
        <x:v>Psettodes erumei</x:v>
      </x:c>
      <x:c r="F138" s="24" t="str">
        <x:v>Indian halibut</x:v>
      </x:c>
      <x:c r="G138" s="24" t="str">
        <x:v>Small to medium flatfishes (&lt;90 cm)</x:v>
      </x:c>
      <x:c r="H138" s="24" t="str">
        <x:v>Flatfishes</x:v>
      </x:c>
      <x:c r="I138" s="31" t="n">
        <x:v>5.8490098278</x:v>
      </x:c>
      <x:c r="J138" s="31" t="n">
        <x:v>5.8490098278</x:v>
      </x:c>
      <x:c r="K138" s="31" t="n">
        <x:v>0</x:v>
      </x:c>
      <x:c r="L138" s="31" t="n">
        <x:v>5.699836069</x:v>
      </x:c>
      <x:c r="M138" s="31" t="n">
        <x:v>0.1491737588</x:v>
      </x:c>
      <x:c r="N138" s="24" t="str">
        <x:v>psettodes erumei</x:v>
      </x:c>
      <x:c r="O138" s="32" t="n">
        <x:v>4.39</x:v>
      </x:c>
      <x:c r="P138" s="24" t="str">
        <x:v>exact_2020_supplement</x:v>
      </x:c>
      <x:c r="Q138" s="32" t="str">
        <x:v>2020 supplement MeanTL</x:v>
      </x:c>
      <x:c r="R138" s="24" t="str">
        <x:v>high</x:v>
      </x:c>
      <x:c r="S138" s="24" t="str">
        <x:v>Psettodes erumei</x:v>
      </x:c>
      <x:c r="T138" s="32" t="n">
        <x:f>IF(O138="","",(1/'Metadata'!$B$5)^(O138-1))</x:f>
        <x:v>2454.7089156850284</x:v>
      </x:c>
      <x:c r="U138" s="31" t="n">
        <x:f>IF(T138="","",I138*T138)</x:f>
        <x:v>14357.616572230012</x:v>
      </x:c>
    </x:row>
    <x:row r="139" ht="18" customHeight="1">
      <x:c r="A139" s="24" t="str">
        <x:v>EEZ_361</x:v>
      </x:c>
      <x:c r="B139" s="24" t="str">
        <x:v>Indonesia (Eastern)</x:v>
      </x:c>
      <x:c r="C139" s="24" t="str">
        <x:v>EEZ</x:v>
      </x:c>
      <x:c r="D139" s="30" t="n">
        <x:v>2019</x:v>
      </x:c>
      <x:c r="E139" s="24" t="str">
        <x:v>Penaeus monodon</x:v>
      </x:c>
      <x:c r="F139" s="24" t="str">
        <x:v>Giant tiger prawn</x:v>
      </x:c>
      <x:c r="G139" s="24" t="str">
        <x:v>Shrimps</x:v>
      </x:c>
      <x:c r="H139" s="24" t="str">
        <x:v>Crustaceans</x:v>
      </x:c>
      <x:c r="I139" s="31" t="n">
        <x:v>5.6533608725</x:v>
      </x:c>
      <x:c r="J139" s="31" t="n">
        <x:v>5.6533608725</x:v>
      </x:c>
      <x:c r="K139" s="31" t="n">
        <x:v>0</x:v>
      </x:c>
      <x:c r="L139" s="31" t="n">
        <x:v>5.528423480000001</x:v>
      </x:c>
      <x:c r="M139" s="31" t="n">
        <x:v>0.1249373925</x:v>
      </x:c>
      <x:c r="N139" s="24" t="str">
        <x:v>penaeus monodon</x:v>
      </x:c>
      <x:c r="O139" s="32" t="n">
        <x:v>2.6</x:v>
      </x:c>
      <x:c r="P139" s="24" t="str">
        <x:v>exact_sea_around_us</x:v>
      </x:c>
      <x:c r="Q139" s="32" t="str">
        <x:v>Sea Around Us exploited organisms</x:v>
      </x:c>
      <x:c r="R139" s="24" t="str">
        <x:v>high</x:v>
      </x:c>
      <x:c r="S139" s="24" t="str">
        <x:v>Penaeus monodon</x:v>
      </x:c>
      <x:c r="T139" s="32" t="n">
        <x:f>IF(O139="","",(1/'Metadata'!$B$5)^(O139-1))</x:f>
        <x:v>39.810717055349734</x:v>
      </x:c>
      <x:c r="U139" s="31" t="n">
        <x:f>IF(T139="","",I139*T139)</x:f>
        <x:v>225.0643501068826</x:v>
      </x:c>
    </x:row>
    <x:row r="140" ht="18" customHeight="1">
      <x:c r="A140" s="24" t="str">
        <x:v>EEZ_361</x:v>
      </x:c>
      <x:c r="B140" s="24" t="str">
        <x:v>Indonesia (Eastern)</x:v>
      </x:c>
      <x:c r="C140" s="24" t="str">
        <x:v>EEZ</x:v>
      </x:c>
      <x:c r="D140" s="30" t="n">
        <x:v>2019</x:v>
      </x:c>
      <x:c r="E140" s="24" t="str">
        <x:v>Tetrapturus angustirostris</x:v>
      </x:c>
      <x:c r="F140" s="24" t="str">
        <x:v>Shortbill spearfish</x:v>
      </x:c>
      <x:c r="G140" s="24" t="str">
        <x:v>Large pelagics (&gt;=90 cm)</x:v>
      </x:c>
      <x:c r="H140" s="24" t="str">
        <x:v>Tuna &amp; billfishes</x:v>
      </x:c>
      <x:c r="I140" s="31" t="n">
        <x:v>5.5973688052</x:v>
      </x:c>
      <x:c r="J140" s="31" t="n">
        <x:v>5.5973688052</x:v>
      </x:c>
      <x:c r="K140" s="31" t="n">
        <x:v>0</x:v>
      </x:c>
      <x:c r="L140" s="31" t="n">
        <x:v>5.5973688052</x:v>
      </x:c>
      <x:c r="M140" s="31" t="n">
        <x:v>0</x:v>
      </x:c>
      <x:c r="N140" s="24" t="str">
        <x:v>tetrapturus angustirostris</x:v>
      </x:c>
      <x:c r="O140" s="32" t="n">
        <x:v>4.5</x:v>
      </x:c>
      <x:c r="P140" s="24" t="str">
        <x:v>exact_2020_supplement</x:v>
      </x:c>
      <x:c r="Q140" s="32" t="str">
        <x:v>2020 supplement MeanTL</x:v>
      </x:c>
      <x:c r="R140" s="24" t="str">
        <x:v>high</x:v>
      </x:c>
      <x:c r="S140" s="24" t="str">
        <x:v>Tetrapturus angustirostris</x:v>
      </x:c>
      <x:c r="T140" s="32" t="n">
        <x:f>IF(O140="","",(1/'Metadata'!$B$5)^(O140-1))</x:f>
        <x:v>3162.2776601683795</x:v>
      </x:c>
      <x:c r="U140" s="31" t="n">
        <x:f>IF(T140="","",I140*T140)</x:f>
        <x:v>17700.434328407337</x:v>
      </x:c>
    </x:row>
    <x:row r="141" ht="18" customHeight="1">
      <x:c r="A141" s="24" t="str">
        <x:v>EEZ_361</x:v>
      </x:c>
      <x:c r="B141" s="24" t="str">
        <x:v>Indonesia (Eastern)</x:v>
      </x:c>
      <x:c r="C141" s="24" t="str">
        <x:v>EEZ</x:v>
      </x:c>
      <x:c r="D141" s="30" t="n">
        <x:v>2019</x:v>
      </x:c>
      <x:c r="E141" s="24" t="str">
        <x:v>Seriolina nigrofasciata</x:v>
      </x:c>
      <x:c r="F141" s="24" t="str">
        <x:v>Blackbanded trevally</x:v>
      </x:c>
      <x:c r="G141" s="24" t="str">
        <x:v>Medium reef assoc. fish (30 - 89 cm)</x:v>
      </x:c>
      <x:c r="H141" s="24" t="str">
        <x:v>Perch-likes</x:v>
      </x:c>
      <x:c r="I141" s="31" t="n">
        <x:v>5.5530577584000005</x:v>
      </x:c>
      <x:c r="J141" s="31" t="n">
        <x:v>5.5530577584000005</x:v>
      </x:c>
      <x:c r="K141" s="31" t="n">
        <x:v>0</x:v>
      </x:c>
      <x:c r="L141" s="31" t="n">
        <x:v>3.8838046123</x:v>
      </x:c>
      <x:c r="M141" s="31" t="n">
        <x:v>1.6692531461</x:v>
      </x:c>
      <x:c r="N141" s="24" t="str">
        <x:v>seriolina nigrofasciata</x:v>
      </x:c>
      <x:c r="O141" s="32" t="n">
        <x:v>4.17</x:v>
      </x:c>
      <x:c r="P141" s="24" t="str">
        <x:v>exact_2020_supplement</x:v>
      </x:c>
      <x:c r="Q141" s="32" t="str">
        <x:v>2020 supplement MeanTL</x:v>
      </x:c>
      <x:c r="R141" s="24" t="str">
        <x:v>high</x:v>
      </x:c>
      <x:c r="S141" s="24" t="str">
        <x:v>Seriolina nigrofasciata</x:v>
      </x:c>
      <x:c r="T141" s="32" t="n">
        <x:f>IF(O141="","",(1/'Metadata'!$B$5)^(O141-1))</x:f>
        <x:v>1479.1083881682073</x:v>
      </x:c>
      <x:c r="U141" s="31" t="n">
        <x:f>IF(T141="","",I141*T141)</x:f>
        <x:v>8213.574310431983</x:v>
      </x:c>
    </x:row>
    <x:row r="142" ht="18" customHeight="1">
      <x:c r="A142" s="24" t="str">
        <x:v>EEZ_361</x:v>
      </x:c>
      <x:c r="B142" s="24" t="str">
        <x:v>Indonesia (Eastern)</x:v>
      </x:c>
      <x:c r="C142" s="24" t="str">
        <x:v>EEZ</x:v>
      </x:c>
      <x:c r="D142" s="30" t="n">
        <x:v>2019</x:v>
      </x:c>
      <x:c r="E142" s="24" t="str">
        <x:v>Paralichthyidae</x:v>
      </x:c>
      <x:c r="F142" s="24" t="str">
        <x:v>Largetooth flounders</x:v>
      </x:c>
      <x:c r="G142" s="24" t="str">
        <x:v>Small to medium flatfishes (&lt;90 cm)</x:v>
      </x:c>
      <x:c r="H142" s="24" t="str">
        <x:v>Flatfishes</x:v>
      </x:c>
      <x:c r="I142" s="31" t="n">
        <x:v>4.8226768252</x:v>
      </x:c>
      <x:c r="J142" s="31" t="n">
        <x:v>4.8226768252</x:v>
      </x:c>
      <x:c r="K142" s="31" t="n">
        <x:v>0</x:v>
      </x:c>
      <x:c r="L142" s="31" t="n">
        <x:v>4.8226768252</x:v>
      </x:c>
      <x:c r="M142" s="31" t="n">
        <x:v>0</x:v>
      </x:c>
      <x:c r="N142" s="24" t="str">
        <x:v>paralichthyidae</x:v>
      </x:c>
      <x:c r="O142" s="32" t="n">
        <x:v>4.06</x:v>
      </x:c>
      <x:c r="P142" s="24" t="str">
        <x:v>exact_sea_around_us</x:v>
      </x:c>
      <x:c r="Q142" s="32" t="str">
        <x:v>Sea Around Us exploited organisms</x:v>
      </x:c>
      <x:c r="R142" s="24" t="str">
        <x:v>high</x:v>
      </x:c>
      <x:c r="S142" s="24" t="str">
        <x:v>Paralichthyidae</x:v>
      </x:c>
      <x:c r="T142" s="32" t="n">
        <x:f>IF(O142="","",(1/'Metadata'!$B$5)^(O142-1))</x:f>
        <x:v>1148.1536214968817</x:v>
      </x:c>
      <x:c r="U142" s="31" t="n">
        <x:f>IF(T142="","",I142*T142)</x:f>
        <x:v>5537.1738621624645</x:v>
      </x:c>
    </x:row>
    <x:row r="143" ht="18" customHeight="1">
      <x:c r="A143" s="24" t="str">
        <x:v>EEZ_361</x:v>
      </x:c>
      <x:c r="B143" s="24" t="str">
        <x:v>Indonesia (Eastern)</x:v>
      </x:c>
      <x:c r="C143" s="24" t="str">
        <x:v>EEZ</x:v>
      </x:c>
      <x:c r="D143" s="30" t="n">
        <x:v>2019</x:v>
      </x:c>
      <x:c r="E143" s="24" t="str">
        <x:v>Rachycentron canadum</x:v>
      </x:c>
      <x:c r="F143" s="24" t="str">
        <x:v>Cobia</x:v>
      </x:c>
      <x:c r="G143" s="24" t="str">
        <x:v>Large pelagics (&gt;=90 cm)</x:v>
      </x:c>
      <x:c r="H143" s="24" t="str">
        <x:v>Perch-likes</x:v>
      </x:c>
      <x:c r="I143" s="31" t="n">
        <x:v>3.7779027897</x:v>
      </x:c>
      <x:c r="J143" s="31" t="n">
        <x:v>3.7779027897</x:v>
      </x:c>
      <x:c r="K143" s="31" t="n">
        <x:v>0</x:v>
      </x:c>
      <x:c r="L143" s="31" t="n">
        <x:v>3.7779027897</x:v>
      </x:c>
      <x:c r="M143" s="31" t="n">
        <x:v>0</x:v>
      </x:c>
      <x:c r="N143" s="24" t="str">
        <x:v>rachycentron canadum</x:v>
      </x:c>
      <x:c r="O143" s="32" t="n">
        <x:v>3.96</x:v>
      </x:c>
      <x:c r="P143" s="24" t="str">
        <x:v>exact_2020_supplement</x:v>
      </x:c>
      <x:c r="Q143" s="32" t="str">
        <x:v>2020 supplement MeanTL</x:v>
      </x:c>
      <x:c r="R143" s="24" t="str">
        <x:v>high</x:v>
      </x:c>
      <x:c r="S143" s="24" t="str">
        <x:v>Rachycentron canadum</x:v>
      </x:c>
      <x:c r="T143" s="32" t="n">
        <x:f>IF(O143="","",(1/'Metadata'!$B$5)^(O143-1))</x:f>
        <x:v>912.0108393559096</x:v>
      </x:c>
      <x:c r="U143" s="31" t="n">
        <x:f>IF(T143="","",I143*T143)</x:f>
        <x:v>3445.4882942393297</x:v>
      </x:c>
    </x:row>
    <x:row r="144" ht="18" customHeight="1">
      <x:c r="A144" s="24" t="str">
        <x:v>EEZ_361</x:v>
      </x:c>
      <x:c r="B144" s="24" t="str">
        <x:v>Indonesia (Eastern)</x:v>
      </x:c>
      <x:c r="C144" s="24" t="str">
        <x:v>EEZ</x:v>
      </x:c>
      <x:c r="D144" s="30" t="n">
        <x:v>2019</x:v>
      </x:c>
      <x:c r="E144" s="24" t="str">
        <x:v>Epinephelus</x:v>
      </x:c>
      <x:c r="F144" s="24" t="str">
        <x:v>Seabasses, hinds</x:v>
      </x:c>
      <x:c r="G144" s="24" t="str">
        <x:v>Medium reef assoc. fish (30 - 89 cm)</x:v>
      </x:c>
      <x:c r="H144" s="24" t="str">
        <x:v>Perch-likes</x:v>
      </x:c>
      <x:c r="I144" s="31" t="n">
        <x:v>1.6526760806</x:v>
      </x:c>
      <x:c r="J144" s="31" t="n">
        <x:v>1.6526760806</x:v>
      </x:c>
      <x:c r="K144" s="31" t="n">
        <x:v>0</x:v>
      </x:c>
      <x:c r="L144" s="31" t="n">
        <x:v>1.6526760806</x:v>
      </x:c>
      <x:c r="M144" s="31" t="n">
        <x:v>0</x:v>
      </x:c>
      <x:c r="N144" s="24" t="str">
        <x:v>epinephelus</x:v>
      </x:c>
      <x:c r="O144" s="32" t="n">
        <x:v>3.84</x:v>
      </x:c>
      <x:c r="P144" s="24" t="str">
        <x:v>exact_sea_around_us</x:v>
      </x:c>
      <x:c r="Q144" s="32" t="str">
        <x:v>Sea Around Us exploited organisms</x:v>
      </x:c>
      <x:c r="R144" s="24" t="str">
        <x:v>high</x:v>
      </x:c>
      <x:c r="S144" s="24" t="str">
        <x:v>Epinephelus</x:v>
      </x:c>
      <x:c r="T144" s="32" t="n">
        <x:f>IF(O144="","",(1/'Metadata'!$B$5)^(O144-1))</x:f>
        <x:v>691.8309709189363</x:v>
      </x:c>
      <x:c r="U144" s="31" t="n">
        <x:f>IF(T144="","",I144*T144)</x:f>
        <x:v>1143.3724974560002</x:v>
      </x:c>
    </x:row>
    <x:row r="145" ht="18" customHeight="1">
      <x:c r="A145" s="24" t="str">
        <x:v>EEZ_361</x:v>
      </x:c>
      <x:c r="B145" s="24" t="str">
        <x:v>Indonesia (Eastern)</x:v>
      </x:c>
      <x:c r="C145" s="24" t="str">
        <x:v>EEZ</x:v>
      </x:c>
      <x:c r="D145" s="30" t="n">
        <x:v>2019</x:v>
      </x:c>
      <x:c r="E145" s="24" t="str">
        <x:v>Megalops cyprinoides</x:v>
      </x:c>
      <x:c r="F145" s="24" t="str">
        <x:v>Indo-Pacific tarpon</x:v>
      </x:c>
      <x:c r="G145" s="24" t="str">
        <x:v>Large pelagics (&gt;=90 cm)</x:v>
      </x:c>
      <x:c r="H145" s="24" t="str">
        <x:v>Other fishes &amp; inverts</x:v>
      </x:c>
      <x:c r="I145" s="31" t="n">
        <x:v>1.2006952769</x:v>
      </x:c>
      <x:c r="J145" s="31" t="n">
        <x:v>1.2006952769</x:v>
      </x:c>
      <x:c r="K145" s="31" t="n">
        <x:v>0</x:v>
      </x:c>
      <x:c r="L145" s="31" t="n">
        <x:v>1.2006952769</x:v>
      </x:c>
      <x:c r="M145" s="31" t="n">
        <x:v>0</x:v>
      </x:c>
      <x:c r="N145" s="24" t="str">
        <x:v>megalops cyprinoides</x:v>
      </x:c>
      <x:c r="O145" s="32" t="n">
        <x:v>3.48</x:v>
      </x:c>
      <x:c r="P145" s="24" t="str">
        <x:v>exact_2020_supplement</x:v>
      </x:c>
      <x:c r="Q145" s="32" t="str">
        <x:v>2020 supplement MeanTL</x:v>
      </x:c>
      <x:c r="R145" s="24" t="str">
        <x:v>high</x:v>
      </x:c>
      <x:c r="S145" s="24" t="str">
        <x:v>Megalops cyprinoides</x:v>
      </x:c>
      <x:c r="T145" s="32" t="n">
        <x:f>IF(O145="","",(1/'Metadata'!$B$5)^(O145-1))</x:f>
        <x:v>301.9951720402016</x:v>
      </x:c>
      <x:c r="U145" s="31" t="n">
        <x:f>IF(T145="","",I145*T145)</x:f>
        <x:v>362.60417671527307</x:v>
      </x:c>
    </x:row>
    <x:row r="146" ht="18" customHeight="1">
      <x:c r="A146" s="24" t="str">
        <x:v>EEZ_361</x:v>
      </x:c>
      <x:c r="B146" s="24" t="str">
        <x:v>Indonesia (Eastern)</x:v>
      </x:c>
      <x:c r="C146" s="24" t="str">
        <x:v>EEZ</x:v>
      </x:c>
      <x:c r="D146" s="30" t="n">
        <x:v>2019</x:v>
      </x:c>
      <x:c r="E146" s="24" t="str">
        <x:v>Sphyrna</x:v>
      </x:c>
      <x:c r="F146" s="24" t="str">
        <x:v>Hammerhead sharks</x:v>
      </x:c>
      <x:c r="G146" s="24" t="str">
        <x:v>Large sharks (&gt;=90 cm)</x:v>
      </x:c>
      <x:c r="H146" s="24" t="str">
        <x:v>Sharks &amp; rays</x:v>
      </x:c>
      <x:c r="I146" s="31" t="n">
        <x:v>0.7930573695</x:v>
      </x:c>
      <x:c r="J146" s="31" t="n">
        <x:v>0.7930573695</x:v>
      </x:c>
      <x:c r="K146" s="31" t="n">
        <x:v>0</x:v>
      </x:c>
      <x:c r="L146" s="31" t="n">
        <x:v>0.7930573695</x:v>
      </x:c>
      <x:c r="M146" s="31" t="n">
        <x:v>0</x:v>
      </x:c>
      <x:c r="N146" s="24" t="str">
        <x:v>sphyrna</x:v>
      </x:c>
      <x:c r="O146" s="32" t="n">
        <x:v>4.2</x:v>
      </x:c>
      <x:c r="P146" s="24" t="str">
        <x:v>exact_sea_around_us</x:v>
      </x:c>
      <x:c r="Q146" s="32" t="str">
        <x:v>Sea Around Us exploited organisms</x:v>
      </x:c>
      <x:c r="R146" s="24" t="str">
        <x:v>high</x:v>
      </x:c>
      <x:c r="S146" s="24" t="str">
        <x:v>Sphyrna</x:v>
      </x:c>
      <x:c r="T146" s="32" t="n">
        <x:f>IF(O146="","",(1/'Metadata'!$B$5)^(O146-1))</x:f>
        <x:v>1584.893192461114</x:v>
      </x:c>
      <x:c r="U146" s="31" t="n">
        <x:f>IF(T146="","",I146*T146)</x:f>
        <x:v>1256.9112261516684</x:v>
      </x:c>
    </x:row>
    <x:row r="147" ht="18" customHeight="1">
      <x:c r="A147" s="24" t="str">
        <x:v>EEZ_361</x:v>
      </x:c>
      <x:c r="B147" s="24" t="str">
        <x:v>Indonesia (Eastern)</x:v>
      </x:c>
      <x:c r="C147" s="24" t="str">
        <x:v>EEZ</x:v>
      </x:c>
      <x:c r="D147" s="30" t="n">
        <x:v>2019</x:v>
      </x:c>
      <x:c r="E147" s="24" t="str">
        <x:v>Thunnus orientalis</x:v>
      </x:c>
      <x:c r="F147" s="24" t="str">
        <x:v>Pacific bluefin tuna</x:v>
      </x:c>
      <x:c r="G147" s="24" t="str">
        <x:v>Large pelagics (&gt;=90 cm)</x:v>
      </x:c>
      <x:c r="H147" s="24" t="str">
        <x:v>Tuna &amp; billfishes</x:v>
      </x:c>
      <x:c r="I147" s="31" t="n">
        <x:v>0.4536162737</x:v>
      </x:c>
      <x:c r="J147" s="31" t="n">
        <x:v>0.4536162737</x:v>
      </x:c>
      <x:c r="K147" s="31" t="n">
        <x:v>0</x:v>
      </x:c>
      <x:c r="L147" s="31" t="n">
        <x:v>0.4536162737</x:v>
      </x:c>
      <x:c r="M147" s="31" t="n">
        <x:v>0</x:v>
      </x:c>
      <x:c r="N147" s="24" t="str">
        <x:v>thunnus orientalis</x:v>
      </x:c>
      <x:c r="O147" s="32" t="n">
        <x:v>4.05</x:v>
      </x:c>
      <x:c r="P147" s="24" t="str">
        <x:v>exact_2020_supplement</x:v>
      </x:c>
      <x:c r="Q147" s="32" t="str">
        <x:v>2020 supplement MeanTL</x:v>
      </x:c>
      <x:c r="R147" s="24" t="str">
        <x:v>high</x:v>
      </x:c>
      <x:c r="S147" s="24" t="str">
        <x:v>Thunnus orientalis</x:v>
      </x:c>
      <x:c r="T147" s="32" t="n">
        <x:f>IF(O147="","",(1/'Metadata'!$B$5)^(O147-1))</x:f>
        <x:v>1122.018454301963</x:v>
      </x:c>
      <x:c r="U147" s="31" t="n">
        <x:f>IF(T147="","",I147*T147)</x:f>
        <x:v>508.9658302630902</x:v>
      </x:c>
    </x:row>
  </x:sheetData>
  <x:conditionalFormatting sqref="R2:R147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ab397eb12c984aea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Anchovies</x:v>
      </x:c>
      <x:c r="B2" s="31" t="n">
        <x:v>140812.7032901943</x:v>
      </x:c>
      <x:c r="C2" s="32" t="n">
        <x:v>3.431052878003553</x:v>
      </x:c>
      <x:c r="D2" s="32" t="n">
        <x:f>IF(C2="","",(1/'Metadata'!$B$5)^(C2-1))</x:f>
        <x:v>269.8067918681589</x:v>
      </x:c>
      <x:c r="E2" s="31" t="n">
        <x:f>IF(B2=0,"",B2*D2)</x:f>
        <x:v>37992223.72901027</x:v>
      </x:c>
    </x:row>
    <x:row r="3" ht="18" customHeight="1">
      <x:c r="A3" s="24" t="str">
        <x:v>Crustaceans</x:v>
      </x:c>
      <x:c r="B3" s="31" t="n">
        <x:v>192048.3197318681</x:v>
      </x:c>
      <x:c r="C3" s="32" t="n">
        <x:v>2.901787510863303</x:v>
      </x:c>
      <x:c r="D3" s="32" t="n">
        <x:f>IF(C3="","",(1/'Metadata'!$B$5)^(C3-1))</x:f>
        <x:v>79.76043444612739</x:v>
      </x:c>
      <x:c r="E3" s="31" t="n">
        <x:f>IF(B3=0,"",B3*D3)</x:f>
        <x:v>15317857.41646258</x:v>
      </x:c>
    </x:row>
    <x:row r="4" ht="18" customHeight="1">
      <x:c r="A4" s="24" t="str">
        <x:v>Flatfishes</x:v>
      </x:c>
      <x:c r="B4" s="31" t="n">
        <x:v>72.6317794552</x:v>
      </x:c>
      <x:c r="C4" s="32" t="n">
        <x:v>3.489424805103009</x:v>
      </x:c>
      <x:c r="D4" s="32" t="n">
        <x:f>IF(C4="","",(1/'Metadata'!$B$5)^(C4-1))</x:f>
        <x:v>308.62052456702514</x:v>
      </x:c>
      <x:c r="E4" s="31" t="n">
        <x:f>IF(B4=0,"",B4*D4)</x:f>
        <x:v>22415.657875700304</x:v>
      </x:c>
    </x:row>
    <x:row r="5" ht="18" customHeight="1">
      <x:c r="A5" s="24" t="str">
        <x:v>Herring-likes</x:v>
      </x:c>
      <x:c r="B5" s="31" t="n">
        <x:v>254608.1745545337</x:v>
      </x:c>
      <x:c r="C5" s="32" t="n">
        <x:v>2.74166097915482</x:v>
      </x:c>
      <x:c r="D5" s="32" t="n">
        <x:f>IF(C5="","",(1/'Metadata'!$B$5)^(C5-1))</x:f>
        <x:v>55.164664235886036</x:v>
      </x:c>
      <x:c r="E5" s="31" t="n">
        <x:f>IF(B5=0,"",B5*D5)</x:f>
        <x:v>14045374.461012714</x:v>
      </x:c>
    </x:row>
    <x:row r="6" ht="18" customHeight="1">
      <x:c r="A6" s="24" t="str">
        <x:v>Molluscs</x:v>
      </x:c>
      <x:c r="B6" s="31" t="n">
        <x:v>44662.411202051604</x:v>
      </x:c>
      <x:c r="C6" s="32" t="n">
        <x:v>2.0777509329021258</x:v>
      </x:c>
      <x:c r="D6" s="32" t="n">
        <x:f>IF(C6="","",(1/'Metadata'!$B$5)^(C6-1))</x:f>
        <x:v>11.960543995490292</x:v>
      </x:c>
      <x:c r="E6" s="31" t="n">
        <x:f>IF(B6=0,"",B6*D6)</x:f>
        <x:v>534186.7341268167</x:v>
      </x:c>
    </x:row>
    <x:row r="7" ht="18" customHeight="1">
      <x:c r="A7" s="24" t="str">
        <x:v>Other fishes &amp; inverts</x:v>
      </x:c>
      <x:c r="B7" s="31" t="n">
        <x:v>869225.4907250778</x:v>
      </x:c>
      <x:c r="C7" s="32" t="n">
        <x:v>3.2931835710521393</x:v>
      </x:c>
      <x:c r="D7" s="32" t="n">
        <x:f>IF(C7="","",(1/'Metadata'!$B$5)^(C7-1))</x:f>
        <x:v>196.4190341018944</x:v>
      </x:c>
      <x:c r="E7" s="31" t="n">
        <x:f>IF(B7=0,"",B7*D7)</x:f>
        <x:v>170732431.30496496</x:v>
      </x:c>
    </x:row>
    <x:row r="8" ht="18" customHeight="1">
      <x:c r="A8" s="24" t="str">
        <x:v>Perch-likes</x:v>
      </x:c>
      <x:c r="B8" s="31" t="n">
        <x:v>1697643.320174324</x:v>
      </x:c>
      <x:c r="C8" s="32" t="n">
        <x:v>3.656836076538628</x:v>
      </x:c>
      <x:c r="D8" s="32" t="n">
        <x:f>IF(C8="","",(1/'Metadata'!$B$5)^(C8-1))</x:f>
        <x:v>453.77030975437737</x:v>
      </x:c>
      <x:c r="E8" s="31" t="n">
        <x:f>IF(B8=0,"",B8*D8)</x:f>
        <x:v>770340135.2479527</x:v>
      </x:c>
    </x:row>
    <x:row r="9" ht="18" customHeight="1">
      <x:c r="A9" s="24" t="str">
        <x:v>Scorpionfishes</x:v>
      </x:c>
      <x:c r="B9" s="31" t="n">
        <x:v>1371.9593065553</x:v>
      </x:c>
      <x:c r="C9" s="32" t="n">
        <x:v>3.9</x:v>
      </x:c>
      <x:c r="D9" s="32" t="n">
        <x:f>IF(C9="","",(1/'Metadata'!$B$5)^(C9-1))</x:f>
        <x:v>794.3282347242813</x:v>
      </x:c>
      <x:c r="E9" s="31" t="n">
        <x:f>IF(B9=0,"",B9*D9)</x:f>
        <x:v>1089786.0140896204</x:v>
      </x:c>
    </x:row>
    <x:row r="10" ht="18" customHeight="1">
      <x:c r="A10" s="24" t="str">
        <x:v>Sharks &amp; rays</x:v>
      </x:c>
      <x:c r="B10" s="31" t="n">
        <x:v>20503.1914865483</x:v>
      </x:c>
      <x:c r="C10" s="32" t="n">
        <x:v>4.242842727231571</x:v>
      </x:c>
      <x:c r="D10" s="32" t="n">
        <x:f>IF(C10="","",(1/'Metadata'!$B$5)^(C10-1))</x:f>
        <x:v>1749.2131244871625</x:v>
      </x:c>
      <x:c r="E10" s="31" t="n">
        <x:f>IF(B10=0,"",B10*D10)</x:f>
        <x:v>35864451.64214374</x:v>
      </x:c>
    </x:row>
    <x:row r="11" ht="18" customHeight="1">
      <x:c r="A11" s="24" t="str">
        <x:v>Tuna &amp; billfishes</x:v>
      </x:c>
      <x:c r="B11" s="31" t="n">
        <x:v>161605.33183783496</x:v>
      </x:c>
      <x:c r="C11" s="32" t="n">
        <x:v>4.386052295403011</x:v>
      </x:c>
      <x:c r="D11" s="32" t="n">
        <x:f>IF(C11="","",(1/'Metadata'!$B$5)^(C11-1))</x:f>
        <x:v>2432.496899617951</x:v>
      </x:c>
      <x:c r="E11" s="31" t="n">
        <x:f>IF(B11=0,"",B11*D11)</x:f>
        <x:v>393104468.6572637</x:v>
      </x:c>
    </x:row>
  </x:sheetData>
  <x:pageMargins left="0.7" right="0.7" top="0.75" bottom="0.75" header="0.3" footer="0.3"/>
  <x:tableParts count="1">
    <x:tablePart xmlns:r="http://schemas.openxmlformats.org/officeDocument/2006/relationships" r:id="Rb79a7066ae404a28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Cephalopods</x:v>
      </x:c>
      <x:c r="B2" s="31" t="n">
        <x:v>2524.8235617831</x:v>
      </x:c>
      <x:c r="C2" s="32" t="n">
        <x:v>3.9661731207319044</x:v>
      </x:c>
      <x:c r="D2" s="32" t="n">
        <x:f>IF(C2="","",(1/'Metadata'!$B$5)^(C2-1))</x:f>
        <x:v>925.0668554260587</x:v>
      </x:c>
      <x:c r="E2" s="31" t="n">
        <x:f>IF(B2=0,"",B2*D2)</x:f>
        <x:v>2335630.5928043136</x:v>
      </x:c>
    </x:row>
    <x:row r="3" ht="18" customHeight="1">
      <x:c r="A3" s="24" t="str">
        <x:v>Jellyfish</x:v>
      </x:c>
      <x:c r="B3" s="31" t="n">
        <x:v>5943.4012536451</x:v>
      </x:c>
      <x:c r="C3" s="32" t="n">
        <x:v>3.459999999999999</x:v>
      </x:c>
      <x:c r="D3" s="32" t="n">
        <x:f>IF(C3="","",(1/'Metadata'!$B$5)^(C3-1))</x:f>
        <x:v>288.40315031266</x:v>
      </x:c>
      <x:c r="E3" s="31" t="n">
        <x:f>IF(B3=0,"",B3*D3)</x:f>
        <x:v>1714095.6451234596</x:v>
      </x:c>
    </x:row>
    <x:row r="4" ht="18" customHeight="1">
      <x:c r="A4" s="24" t="str">
        <x:v>Large benthopelagics (&gt;=90 cm)</x:v>
      </x:c>
      <x:c r="B4" s="31" t="n">
        <x:v>52945.126890595406</x:v>
      </x:c>
      <x:c r="C4" s="32" t="n">
        <x:v>4.156751071650817</x:v>
      </x:c>
      <x:c r="D4" s="32" t="n">
        <x:f>IF(C4="","",(1/'Metadata'!$B$5)^(C4-1))</x:f>
        <x:v>1434.6668771360673</x:v>
      </x:c>
      <x:c r="E4" s="31" t="n">
        <x:f>IF(B4=0,"",B4*D4)</x:f>
        <x:v>75958619.85570334</x:v>
      </x:c>
    </x:row>
    <x:row r="5" ht="18" customHeight="1">
      <x:c r="A5" s="24" t="str">
        <x:v>Large demersals (&gt;=90 cm)</x:v>
      </x:c>
      <x:c r="B5" s="31" t="n">
        <x:v>167698.9822073106</x:v>
      </x:c>
      <x:c r="C5" s="32" t="n">
        <x:v>4.084967864706853</x:v>
      </x:c>
      <x:c r="D5" s="32" t="n">
        <x:f>IF(C5="","",(1/'Metadata'!$B$5)^(C5-1))</x:f>
        <x:v>1216.096013208404</x:v>
      </x:c>
      <x:c r="E5" s="31" t="n">
        <x:f>IF(B5=0,"",B5*D5)</x:f>
        <x:v>203938063.6814175</x:v>
      </x:c>
    </x:row>
    <x:row r="6" ht="18" customHeight="1">
      <x:c r="A6" s="24" t="str">
        <x:v>Large pelagics (&gt;=90 cm)</x:v>
      </x:c>
      <x:c r="B6" s="31" t="n">
        <x:v>133278.22116495462</x:v>
      </x:c>
      <x:c r="C6" s="32" t="n">
        <x:v>4.4840935771964014</x:v>
      </x:c>
      <x:c r="D6" s="32" t="n">
        <x:f>IF(C6="","",(1/'Metadata'!$B$5)^(C6-1))</x:f>
        <x:v>3048.551788665374</x:v>
      </x:c>
      <x:c r="E6" s="31" t="n">
        <x:f>IF(B6=0,"",B6*D6)</x:f>
        <x:v>406305559.52256167</x:v>
      </x:c>
    </x:row>
    <x:row r="7" ht="18" customHeight="1">
      <x:c r="A7" s="24" t="str">
        <x:v>Large rays (&gt;=90 cm)</x:v>
      </x:c>
      <x:c r="B7" s="31" t="n">
        <x:v>195.95306477309998</x:v>
      </x:c>
      <x:c r="C7" s="32" t="n">
        <x:v>3.4226596754009613</x:v>
      </x:c>
      <x:c r="D7" s="32" t="n">
        <x:f>IF(C7="","",(1/'Metadata'!$B$5)^(C7-1))</x:f>
        <x:v>264.6425517084222</x:v>
      </x:c>
      <x:c r="E7" s="31" t="n">
        <x:f>IF(B7=0,"",B7*D7)</x:f>
        <x:v>51857.51907663892</x:v>
      </x:c>
    </x:row>
    <x:row r="8" ht="18" customHeight="1">
      <x:c r="A8" s="24" t="str">
        <x:v>Large sharks (&gt;=90 cm)</x:v>
      </x:c>
      <x:c r="B8" s="31" t="n">
        <x:v>20307.2384217752</x:v>
      </x:c>
      <x:c r="C8" s="32" t="n">
        <x:v>4.250757017660586</x:v>
      </x:c>
      <x:c r="D8" s="32" t="n">
        <x:f>IF(C8="","",(1/'Metadata'!$B$5)^(C8-1))</x:f>
        <x:v>1781.3818276986628</x:v>
      </x:c>
      <x:c r="E8" s="31" t="n">
        <x:f>IF(B8=0,"",B8*D8)</x:f>
        <x:v>36174945.495294414</x:v>
      </x:c>
    </x:row>
    <x:row r="9" ht="18" customHeight="1">
      <x:c r="A9" s="24" t="str">
        <x:v>Lobsters, crabs</x:v>
      </x:c>
      <x:c r="B9" s="31" t="n">
        <x:v>53442.8296978046</x:v>
      </x:c>
      <x:c r="C9" s="32" t="n">
        <x:v>3.4154090087198994</x:v>
      </x:c>
      <x:c r="D9" s="32" t="n">
        <x:f>IF(C9="","",(1/'Metadata'!$B$5)^(C9-1))</x:f>
        <x:v>260.260948809061</x:v>
      </x:c>
      <x:c r="E9" s="31" t="n">
        <x:f>IF(B9=0,"",B9*D9)</x:f>
        <x:v>13909081.564191688</x:v>
      </x:c>
    </x:row>
    <x:row r="10" ht="18" customHeight="1">
      <x:c r="A10" s="24" t="str">
        <x:v>Medium benthopelagics (30 - 89 cm)</x:v>
      </x:c>
      <x:c r="B10" s="31" t="n">
        <x:v>68689.4608595995</x:v>
      </x:c>
      <x:c r="C10" s="32" t="n">
        <x:v>3.0935356701550485</x:v>
      </x:c>
      <x:c r="D10" s="32" t="n">
        <x:f>IF(C10="","",(1/'Metadata'!$B$5)^(C10-1))</x:f>
        <x:v>124.03254932927837</x:v>
      </x:c>
      <x:c r="E10" s="31" t="n">
        <x:f>IF(B10=0,"",B10*D10)</x:f>
        <x:v>8519728.94246981</x:v>
      </x:c>
    </x:row>
    <x:row r="11" ht="18" customHeight="1">
      <x:c r="A11" s="24" t="str">
        <x:v>Medium demersals (30 - 89 cm)</x:v>
      </x:c>
      <x:c r="B11" s="31" t="n">
        <x:v>796844.491991622</x:v>
      </x:c>
      <x:c r="C11" s="32" t="n">
        <x:v>3.317407451781249</x:v>
      </x:c>
      <x:c r="D11" s="32" t="n">
        <x:f>IF(C11="","",(1/'Metadata'!$B$5)^(C11-1))</x:f>
        <x:v>207.6861099002946</x:v>
      </x:c>
      <x:c r="E11" s="31" t="n">
        <x:f>IF(B11=0,"",B11*D11)</x:f>
        <x:v>165493532.73721644</x:v>
      </x:c>
    </x:row>
    <x:row r="12" ht="18" customHeight="1">
      <x:c r="A12" s="24" t="str">
        <x:v>Medium pelagics (30 - 89 cm)</x:v>
      </x:c>
      <x:c r="B12" s="31" t="n">
        <x:v>785527.3741092623</x:v>
      </x:c>
      <x:c r="C12" s="32" t="n">
        <x:v>3.5089450519038987</x:v>
      </x:c>
      <x:c r="D12" s="32" t="n">
        <x:f>IF(C12="","",(1/'Metadata'!$B$5)^(C12-1))</x:f>
        <x:v>322.8085669865809</x:v>
      </x:c>
      <x:c r="E12" s="31" t="n">
        <x:f>IF(B12=0,"",B12*D12)</x:f>
        <x:v>253574965.96494278</x:v>
      </x:c>
    </x:row>
    <x:row r="13" ht="18" customHeight="1">
      <x:c r="A13" s="24" t="str">
        <x:v>Medium reef assoc. fish (30 - 89 cm)</x:v>
      </x:c>
      <x:c r="B13" s="31" t="n">
        <x:v>350791.7349699881</x:v>
      </x:c>
      <x:c r="C13" s="32" t="n">
        <x:v>3.6384142201381096</x:v>
      </x:c>
      <x:c r="D13" s="32" t="n">
        <x:f>IF(C13="","",(1/'Metadata'!$B$5)^(C13-1))</x:f>
        <x:v>434.9248477775412</x:v>
      </x:c>
      <x:c r="E13" s="31" t="n">
        <x:f>IF(B13=0,"",B13*D13)</x:f>
        <x:v>152568041.93344164</x:v>
      </x:c>
    </x:row>
    <x:row r="14" ht="18" customHeight="1">
      <x:c r="A14" s="24" t="str">
        <x:v>Other demersal invertebrates</x:v>
      </x:c>
      <x:c r="B14" s="31" t="n">
        <x:v>44703.9965662468</x:v>
      </x:c>
      <x:c r="C14" s="32" t="n">
        <x:v>2.07807860843156</x:v>
      </x:c>
      <x:c r="D14" s="32" t="n">
        <x:f>IF(C14="","",(1/'Metadata'!$B$5)^(C14-1))</x:f>
        <x:v>11.969571640631138</x:v>
      </x:c>
      <x:c r="E14" s="31" t="n">
        <x:f>IF(B14=0,"",B14*D14)</x:f>
        <x:v>535087.6895222195</x:v>
      </x:c>
    </x:row>
    <x:row r="15" ht="18" customHeight="1">
      <x:c r="A15" s="24" t="str">
        <x:v>Shrimps</x:v>
      </x:c>
      <x:c r="B15" s="31" t="n">
        <x:v>138605.49003406352</x:v>
      </x:c>
      <x:c r="C15" s="32" t="n">
        <x:v>2.70374783557818</x:v>
      </x:c>
      <x:c r="D15" s="32" t="n">
        <x:f>IF(C15="","",(1/'Metadata'!$B$5)^(C15-1))</x:f>
        <x:v>50.55310502582049</x:v>
      </x:c>
      <x:c r="E15" s="31" t="n">
        <x:f>IF(B15=0,"",B15*D15)</x:f>
        <x:v>7006937.894847329</x:v>
      </x:c>
    </x:row>
    <x:row r="16" ht="18" customHeight="1">
      <x:c r="A16" s="24" t="str">
        <x:v>Small benthopelagics (&lt;30 cm)</x:v>
      </x:c>
      <x:c r="B16" s="31" t="n">
        <x:v>48430.7889588707</x:v>
      </x:c>
      <x:c r="C16" s="32" t="n">
        <x:v>3.225715459636806</x:v>
      </x:c>
      <x:c r="D16" s="32" t="n">
        <x:f>IF(C16="","",(1/'Metadata'!$B$5)^(C16-1))</x:f>
        <x:v>168.15719704461017</x:v>
      </x:c>
      <x:c r="E16" s="31" t="n">
        <x:f>IF(B16=0,"",B16*D16)</x:f>
        <x:v>8143985.72198275</x:v>
      </x:c>
    </x:row>
    <x:row r="17" ht="18" customHeight="1">
      <x:c r="A17" s="24" t="str">
        <x:v>Small demersals (&lt;30 cm)</x:v>
      </x:c>
      <x:c r="B17" s="31" t="n">
        <x:v>134675.0438589322</x:v>
      </x:c>
      <x:c r="C17" s="32" t="n">
        <x:v>3.7737203460716224</x:v>
      </x:c>
      <x:c r="D17" s="32" t="n">
        <x:f>IF(C17="","",(1/'Metadata'!$B$5)^(C17-1))</x:f>
        <x:v>593.9096010513387</x:v>
      </x:c>
      <x:c r="E17" s="31" t="n">
        <x:f>IF(B17=0,"",B17*D17)</x:f>
        <x:v>79984801.56982996</x:v>
      </x:c>
    </x:row>
    <x:row r="18" ht="18" customHeight="1">
      <x:c r="A18" s="24" t="str">
        <x:v>Small pelagics (&lt;30 cm)</x:v>
      </x:c>
      <x:c r="B18" s="31" t="n">
        <x:v>534161.7683823823</x:v>
      </x:c>
      <x:c r="C18" s="32" t="n">
        <x:v>3.185554729532312</x:v>
      </x:c>
      <x:c r="D18" s="32" t="n">
        <x:f>IF(C18="","",(1/'Metadata'!$B$5)^(C18-1))</x:f>
        <x:v>153.30443875323283</x:v>
      </x:c>
      <x:c r="E18" s="31" t="n">
        <x:f>IF(B18=0,"",B18*D18)</x:f>
        <x:v>81889370.10529548</x:v>
      </x:c>
    </x:row>
    <x:row r="19" ht="18" customHeight="1">
      <x:c r="A19" s="24" t="str">
        <x:v>Small reef assoc. fish (&lt;30 cm)</x:v>
      </x:c>
      <x:c r="B19" s="31" t="n">
        <x:v>43714.1763153794</x:v>
      </x:c>
      <x:c r="C19" s="32" t="n">
        <x:v>4.065757320360866</x:v>
      </x:c>
      <x:c r="D19" s="32" t="n">
        <x:f>IF(C19="","",(1/'Metadata'!$B$5)^(C19-1))</x:f>
        <x:v>1163.4757085353122</x:v>
      </x:c>
      <x:c r="E19" s="31" t="n">
        <x:f>IF(B19=0,"",B19*D19)</x:f>
        <x:v>50860382.26157361</x:v>
      </x:c>
    </x:row>
    <x:row r="20" ht="18" customHeight="1">
      <x:c r="A20" s="24" t="str">
        <x:v>Small to medium flatfishes (&lt;90 cm)</x:v>
      </x:c>
      <x:c r="B20" s="31" t="n">
        <x:v>72.6317794552</x:v>
      </x:c>
      <x:c r="C20" s="32" t="n">
        <x:v>3.489424805103009</x:v>
      </x:c>
      <x:c r="D20" s="32" t="n">
        <x:f>IF(C20="","",(1/'Metadata'!$B$5)^(C20-1))</x:f>
        <x:v>308.62052456702514</x:v>
      </x:c>
      <x:c r="E20" s="31" t="n">
        <x:f>IF(B20=0,"",B20*D20)</x:f>
        <x:v>22415.657875700304</x:v>
      </x:c>
    </x:row>
  </x:sheetData>
  <x:pageMargins left="0.7" right="0.7" top="0.75" bottom="0.75" header="0.3" footer="0.3"/>
  <x:tableParts count="1">
    <x:tablePart xmlns:r="http://schemas.openxmlformats.org/officeDocument/2006/relationships" r:id="Ra924655897bb41a9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EEZ_361</x:v>
      </x:c>
      <x:c r="B2" s="24" t="str">
        <x:v>raw_filtered_tonnes</x:v>
      </x:c>
      <x:c r="C2" s="24" t="n">
        <x:v>3382553.534088444</x:v>
      </x:c>
      <x:c r="D2" s="24" t="str">
        <x:v>tonnes</x:v>
      </x:c>
    </x:row>
    <x:row r="3" ht="18" customHeight="1">
      <x:c r="A3" s="24" t="str">
        <x:v>EEZ_361</x:v>
      </x:c>
      <x:c r="B3" s="24" t="str">
        <x:v>species_catch_tonnes</x:v>
      </x:c>
      <x:c r="C3" s="24" t="n">
        <x:v>3382553.5340884444</x:v>
      </x:c>
      <x:c r="D3" s="24" t="str">
        <x:v>tonnes</x:v>
      </x:c>
    </x:row>
    <x:row r="4" ht="18" customHeight="1">
      <x:c r="A4" s="24" t="str">
        <x:v>EEZ_361</x:v>
      </x:c>
      <x:c r="B4" s="24" t="str">
        <x:v>catch_difference_tonnes</x:v>
      </x:c>
      <x:c r="C4" s="24" t="n">
        <x:v>4.656612873077393e-10</x:v>
      </x:c>
      <x:c r="D4" s="24" t="str">
        <x:v>tonnes</x:v>
      </x:c>
    </x:row>
    <x:row r="5" ht="18" customHeight="1">
      <x:c r="A5" s="24" t="str">
        <x:v>EEZ_361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EEZ_361</x:v>
      </x:c>
      <x:c r="B6" s="24" t="str">
        <x:v>matched_catch_tonnes</x:v>
      </x:c>
      <x:c r="C6" s="24" t="n">
        <x:v>3382553.5340884444</x:v>
      </x:c>
      <x:c r="D6" s="24" t="str">
        <x:v>tonnes</x:v>
      </x:c>
    </x:row>
    <x:row r="7" ht="18" customHeight="1">
      <x:c r="A7" s="24" t="str">
        <x:v>EEZ_361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EEZ_361</x:v>
      </x:c>
      <x:c r="B8" s="24" t="str">
        <x:v>taxa_count</x:v>
      </x:c>
      <x:c r="C8" s="24" t="n">
        <x:v>146</x:v>
      </x:c>
      <x:c r="D8" s="24" t="str">
        <x:v>count</x:v>
      </x:c>
    </x:row>
    <x:row r="9" ht="18" customHeight="1">
      <x:c r="A9" s="24" t="str">
        <x:v>EEZ_361</x:v>
      </x:c>
      <x:c r="B9" s="24" t="str">
        <x:v>matched_taxa_count</x:v>
      </x:c>
      <x:c r="C9" s="24" t="n">
        <x:v>146</x:v>
      </x:c>
      <x:c r="D9" s="24" t="str">
        <x:v>count</x:v>
      </x:c>
    </x:row>
    <x:row r="10" ht="18" customHeight="1">
      <x:c r="A10" s="24" t="str">
        <x:v>EEZ_361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EEZ_361</x:v>
      </x:c>
      <x:c r="B11" s="24" t="str">
        <x:v>species_ppr</x:v>
      </x:c>
      <x:c r="C11" s="24" t="n">
        <x:v>2093542875.0827374</x:v>
      </x:c>
      <x:c r="D11" s="24" t="str">
        <x:v>tonnes_primary_production_equivalent</x:v>
      </x:c>
    </x:row>
    <x:row r="12" ht="18" customHeight="1">
      <x:c r="A12" s="24" t="str">
        <x:v>EEZ_361</x:v>
      </x:c>
      <x:c r="B12" s="24" t="str">
        <x:v>commercial_ppr</x:v>
      </x:c>
      <x:c r="C12" s="24" t="n">
        <x:v>1439043330.8649027</x:v>
      </x:c>
      <x:c r="D12" s="24" t="str">
        <x:v>tonnes_primary_production_equivalent</x:v>
      </x:c>
    </x:row>
    <x:row r="13" ht="18" customHeight="1">
      <x:c r="A13" s="24" t="str">
        <x:v>EEZ_361</x:v>
      </x:c>
      <x:c r="B13" s="24" t="str">
        <x:v>functional_ppr</x:v>
      </x:c>
      <x:c r="C13" s="24" t="n">
        <x:v>1548987104.3551705</x:v>
      </x:c>
      <x:c r="D13" s="24" t="str">
        <x:v>tonnes_primary_production_equivalent</x:v>
      </x:c>
    </x:row>
    <x:row r="14" ht="18" customHeight="1">
      <x:c r="A14" s="24" t="str">
        <x:v>EEZ_361</x:v>
      </x:c>
      <x:c r="B14" s="24" t="str">
        <x:v>commercial_ppr_difference</x:v>
      </x:c>
      <x:c r="C14" s="24" t="n">
        <x:v>-654499544.2178347</x:v>
      </x:c>
      <x:c r="D14" s="24" t="str">
        <x:v>tonnes_primary_production_equivalent</x:v>
      </x:c>
    </x:row>
    <x:row r="15" ht="18" customHeight="1">
      <x:c r="A15" s="24" t="str">
        <x:v>EEZ_361</x:v>
      </x:c>
      <x:c r="B15" s="24" t="str">
        <x:v>functional_ppr_difference</x:v>
      </x:c>
      <x:c r="C15" s="24" t="n">
        <x:v>-544555770.727567</x:v>
      </x:c>
      <x:c r="D15" s="24" t="str">
        <x:v>tonnes_primary_production_equivalent</x:v>
      </x:c>
    </x:row>
    <x:row r="16" ht="18" customHeight="1">
      <x:c r="A16" s="24" t="str">
        <x:v>EEZ_361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EEZ_361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09dc3611033542d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EEZ_361 - Indonesia (Eastern)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EEZ_361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raw_data/SAU_downloads/EEZ_361-catch.zip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