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8a01d7fdc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4eee148ff394a32"/>
    <x:sheet xmlns:r="http://schemas.openxmlformats.org/officeDocument/2006/relationships" name="Commercial" sheetId="2" r:id="R75eaccabcdb94c1e"/>
    <x:sheet xmlns:r="http://schemas.openxmlformats.org/officeDocument/2006/relationships" name="Functional" sheetId="3" r:id="R616d929d7697482c"/>
    <x:sheet xmlns:r="http://schemas.openxmlformats.org/officeDocument/2006/relationships" name="Missing TL" sheetId="4" r:id="Rcf81ce9bed284869"/>
    <x:sheet xmlns:r="http://schemas.openxmlformats.org/officeDocument/2006/relationships" name="Validation" sheetId="5" r:id="R7577c80c98c34813"/>
    <x:sheet xmlns:r="http://schemas.openxmlformats.org/officeDocument/2006/relationships" name="Metadata" sheetId="6" r:id="R8ae713559ee8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23fd6f8004824" /><Relationship Type="http://schemas.openxmlformats.org/officeDocument/2006/relationships/theme" Target="/xl/theme/theme1.xml" Id="R08fcf4c6fa084ef4" /><Relationship Type="http://schemas.microsoft.com/office/2022/11/relationships/FeaturePropertyBag" Target="/xl/featurePropertyBag/featurePropertyBag.xml" Id="Rb5359738222146e7" /><Relationship Type="http://schemas.openxmlformats.org/officeDocument/2006/relationships/sharedStrings" Target="/xl/sharedStrings.xml" Id="R5bdf4c7d5d7d4bf0" /><Relationship Type="http://schemas.openxmlformats.org/officeDocument/2006/relationships/worksheet" Target="/xl/worksheets/sheet1.xml" Id="R14eee148ff394a32" /><Relationship Type="http://schemas.openxmlformats.org/officeDocument/2006/relationships/worksheet" Target="/xl/worksheets/sheet2.xml" Id="R75eaccabcdb94c1e" /><Relationship Type="http://schemas.openxmlformats.org/officeDocument/2006/relationships/worksheet" Target="/xl/worksheets/sheet3.xml" Id="R616d929d7697482c" /><Relationship Type="http://schemas.openxmlformats.org/officeDocument/2006/relationships/worksheet" Target="/xl/worksheets/sheet4.xml" Id="Rcf81ce9bed284869" /><Relationship Type="http://schemas.openxmlformats.org/officeDocument/2006/relationships/worksheet" Target="/xl/worksheets/sheet5.xml" Id="R7577c80c98c34813" /><Relationship Type="http://schemas.openxmlformats.org/officeDocument/2006/relationships/worksheet" Target="/xl/worksheets/sheet6.xml" Id="R8ae713559ee844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04SpeciesTable" displayName="EEZ104SpeciesTable" ref="A1:U82" headerRowCount="1" totalsRowCount="0" totalsRowShown="0">
  <x:autoFilter ref="A1:U8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04CommercialTable" displayName="EEZ10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04FunctionalTable" displayName="EEZ104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04ValidationTable" displayName="EEZ1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dc8d58463f49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64a4869c6846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7c93786e1443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5a8b70ef9747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EEZ_104</x:v>
      </x:c>
      <x:c r="B2" s="24" t="str">
        <x:v>Myanmar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476932.92088960856</x:v>
      </x:c>
      <x:c r="J2" s="31" t="n">
        <x:v>449289.2862904263</x:v>
      </x:c>
      <x:c r="K2" s="31" t="n">
        <x:v>27643.6345991823</x:v>
      </x:c>
      <x:c r="L2" s="31" t="n">
        <x:v>430187.5870577651</x:v>
      </x:c>
      <x:c r="M2" s="31" t="n">
        <x:v>46745.3338318435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90877694.58586217</x:v>
      </x:c>
    </x:row>
    <x:row r="3" ht="18" customHeight="1">
      <x:c r="A3" s="24" t="str">
        <x:v>EEZ_104</x:v>
      </x:c>
      <x:c r="B3" s="24" t="str">
        <x:v>Myanmar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82621.9669247571</x:v>
      </x:c>
      <x:c r="J3" s="31" t="n">
        <x:v>77671.26814083291</x:v>
      </x:c>
      <x:c r="K3" s="31" t="n">
        <x:v>4950.6987839242</x:v>
      </x:c>
      <x:c r="L3" s="31" t="n">
        <x:v>74691.4674937873</x:v>
      </x:c>
      <x:c r="M3" s="31" t="n">
        <x:v>7930.4994309698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47543979.469854854</x:v>
      </x:c>
    </x:row>
    <x:row r="4" ht="18" customHeight="1">
      <x:c r="A4" s="24" t="str">
        <x:v>EEZ_104</x:v>
      </x:c>
      <x:c r="B4" s="24" t="str">
        <x:v>Myanmar</x:v>
      </x:c>
      <x:c r="C4" s="24" t="str">
        <x:v>EEZ</x:v>
      </x:c>
      <x:c r="D4" s="30" t="n">
        <x:v>2019</x:v>
      </x:c>
      <x:c r="E4" s="24" t="str">
        <x:v>Clupeidae</x:v>
      </x:c>
      <x:c r="F4" s="24" t="str">
        <x:v>Herrings, sardines, menhadens</x:v>
      </x:c>
      <x:c r="G4" s="24" t="str">
        <x:v>Small pelagics (&lt;30 cm)</x:v>
      </x:c>
      <x:c r="H4" s="24" t="str">
        <x:v>Herring-likes</x:v>
      </x:c>
      <x:c r="I4" s="31" t="n">
        <x:v>82444.285520359</x:v>
      </x:c>
      <x:c r="J4" s="31" t="n">
        <x:v>77693.4663113671</x:v>
      </x:c>
      <x:c r="K4" s="31" t="n">
        <x:v>4750.8192089919</x:v>
      </x:c>
      <x:c r="L4" s="31" t="n">
        <x:v>74063.7589646487</x:v>
      </x:c>
      <x:c r="M4" s="31" t="n">
        <x:v>8380.5265557103</x:v>
      </x:c>
      <x:c r="N4" s="24" t="str">
        <x:v>clupeidae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Clupeidae</x:v>
      </x:c>
      <x:c r="T4" s="32" t="n">
        <x:f>IF(O4="","",(1/'Metadata'!$B$5)^(O4-1))</x:f>
        <x:v>144.5439770745928</x:v>
      </x:c>
      <x:c r="U4" s="31" t="n">
        <x:f>IF(T4="","",I4*T4)</x:f>
        <x:v>11916824.916185953</x:v>
      </x:c>
    </x:row>
    <x:row r="5" ht="18" customHeight="1">
      <x:c r="A5" s="24" t="str">
        <x:v>EEZ_104</x:v>
      </x:c>
      <x:c r="B5" s="24" t="str">
        <x:v>Myanmar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72327.4368244245</x:v>
      </x:c>
      <x:c r="J5" s="31" t="n">
        <x:v>68401.7729976363</x:v>
      </x:c>
      <x:c r="K5" s="31" t="n">
        <x:v>3925.6638267882</x:v>
      </x:c>
      <x:c r="L5" s="31" t="n">
        <x:v>63051.9868415902</x:v>
      </x:c>
      <x:c r="M5" s="31" t="n">
        <x:v>9275.4499828343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81152718.86936365</x:v>
      </x:c>
    </x:row>
    <x:row r="6" ht="18" customHeight="1">
      <x:c r="A6" s="24" t="str">
        <x:v>EEZ_104</x:v>
      </x:c>
      <x:c r="B6" s="24" t="str">
        <x:v>Myanmar</x:v>
      </x:c>
      <x:c r="C6" s="24" t="str">
        <x:v>EEZ</x:v>
      </x:c>
      <x:c r="D6" s="30" t="n">
        <x:v>2019</x:v>
      </x:c>
      <x:c r="E6" s="24" t="str">
        <x:v>Anguilliformes</x:v>
      </x:c>
      <x:c r="F6" s="24" t="str">
        <x:v>Eels, morays</x:v>
      </x:c>
      <x:c r="G6" s="24" t="str">
        <x:v>Large demersals (&gt;=90 cm)</x:v>
      </x:c>
      <x:c r="H6" s="24" t="str">
        <x:v>Other fishes &amp; inverts</x:v>
      </x:c>
      <x:c r="I6" s="31" t="n">
        <x:v>58219.6567269688</x:v>
      </x:c>
      <x:c r="J6" s="31" t="n">
        <x:v>57640.2785857023</x:v>
      </x:c>
      <x:c r="K6" s="31" t="n">
        <x:v>579.3781412665</x:v>
      </x:c>
      <x:c r="L6" s="31" t="n">
        <x:v>9032.3208931085</x:v>
      </x:c>
      <x:c r="M6" s="31" t="n">
        <x:v>49187.3358338603</x:v>
      </x:c>
      <x:c r="N6" s="24" t="str">
        <x:v>anguilliformes</x:v>
      </x:c>
      <x:c r="O6" s="32" t="n">
        <x:v>3.89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Anguilliformes</x:v>
      </x:c>
      <x:c r="T6" s="32" t="n">
        <x:f>IF(O6="","",(1/'Metadata'!$B$5)^(O6-1))</x:f>
        <x:v>776.247116628692</x:v>
      </x:c>
      <x:c r="U6" s="31" t="n">
        <x:f>IF(T6="","",I6*T6)</x:f>
        <x:v>45192840.66542176</x:v>
      </x:c>
    </x:row>
    <x:row r="7" ht="18" customHeight="1">
      <x:c r="A7" s="24" t="str">
        <x:v>EEZ_104</x:v>
      </x:c>
      <x:c r="B7" s="24" t="str">
        <x:v>Myanmar</x:v>
      </x:c>
      <x:c r="C7" s="24" t="str">
        <x:v>EEZ</x:v>
      </x:c>
      <x:c r="D7" s="30" t="n">
        <x:v>2019</x:v>
      </x:c>
      <x:c r="E7" s="24" t="str">
        <x:v>Nemipteridae</x:v>
      </x:c>
      <x:c r="F7" s="24" t="str">
        <x:v>Threadfins, whiptail breams</x:v>
      </x:c>
      <x:c r="G7" s="24" t="str">
        <x:v>Small demersals (&lt;30 cm)</x:v>
      </x:c>
      <x:c r="H7" s="24" t="str">
        <x:v>Perch-likes</x:v>
      </x:c>
      <x:c r="I7" s="31" t="n">
        <x:v>48696.2670498706</x:v>
      </x:c>
      <x:c r="J7" s="31" t="n">
        <x:v>47129.7569640514</x:v>
      </x:c>
      <x:c r="K7" s="31" t="n">
        <x:v>1566.5100858192</x:v>
      </x:c>
      <x:c r="L7" s="31" t="n">
        <x:v>27609.0282544215</x:v>
      </x:c>
      <x:c r="M7" s="31" t="n">
        <x:v>21087.238795449102</x:v>
      </x:c>
      <x:c r="N7" s="24" t="str">
        <x:v>nemipteridae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Nemipteridae</x:v>
      </x:c>
      <x:c r="T7" s="32" t="n">
        <x:f>IF(O7="","",(1/'Metadata'!$B$5)^(O7-1))</x:f>
        <x:v>323.5936569296281</x:v>
      </x:c>
      <x:c r="U7" s="31" t="n">
        <x:f>IF(T7="","",I7*T7)</x:f>
        <x:v>15757803.13348938</x:v>
      </x:c>
    </x:row>
    <x:row r="8" ht="18" customHeight="1">
      <x:c r="A8" s="24" t="str">
        <x:v>EEZ_104</x:v>
      </x:c>
      <x:c r="B8" s="24" t="str">
        <x:v>Myanmar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46527.6532798057</x:v>
      </x:c>
      <x:c r="J8" s="31" t="n">
        <x:v>43853.7194147332</x:v>
      </x:c>
      <x:c r="K8" s="31" t="n">
        <x:v>2673.9338650725</x:v>
      </x:c>
      <x:c r="L8" s="31" t="n">
        <x:v>41706.5562466957</x:v>
      </x:c>
      <x:c r="M8" s="31" t="n">
        <x:v>4821.09703311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52204885.61530525</x:v>
      </x:c>
    </x:row>
    <x:row r="9" ht="18" customHeight="1">
      <x:c r="A9" s="24" t="str">
        <x:v>EEZ_104</x:v>
      </x:c>
      <x:c r="B9" s="24" t="str">
        <x:v>Myanmar</x:v>
      </x:c>
      <x:c r="C9" s="24" t="str">
        <x:v>EEZ</x:v>
      </x:c>
      <x:c r="D9" s="30" t="n">
        <x:v>2019</x:v>
      </x:c>
      <x:c r="E9" s="24" t="str">
        <x:v>Engraulidae</x:v>
      </x:c>
      <x:c r="F9" s="24" t="str">
        <x:v>Anchovies, round herrings</x:v>
      </x:c>
      <x:c r="G9" s="24" t="str">
        <x:v>Small pelagics (&lt;30 cm)</x:v>
      </x:c>
      <x:c r="H9" s="24" t="str">
        <x:v>Anchovies</x:v>
      </x:c>
      <x:c r="I9" s="31" t="n">
        <x:v>41179.7022503415</x:v>
      </x:c>
      <x:c r="J9" s="31" t="n">
        <x:v>39015.3328895475</x:v>
      </x:c>
      <x:c r="K9" s="31" t="n">
        <x:v>2164.369360794</x:v>
      </x:c>
      <x:c r="L9" s="31" t="n">
        <x:v>36668.1181344136</x:v>
      </x:c>
      <x:c r="M9" s="31" t="n">
        <x:v>4511.5841159279</x:v>
      </x:c>
      <x:c r="N9" s="24" t="str">
        <x:v>engraulidae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Engraulidae</x:v>
      </x:c>
      <x:c r="T9" s="32" t="n">
        <x:f>IF(O9="","",(1/'Metadata'!$B$5)^(O9-1))</x:f>
        <x:v>158.48931924611142</x:v>
      </x:c>
      <x:c r="U9" s="31" t="n">
        <x:f>IF(T9="","",I9*T9)</x:f>
        <x:v>6526542.976414187</x:v>
      </x:c>
    </x:row>
    <x:row r="10" ht="18" customHeight="1">
      <x:c r="A10" s="24" t="str">
        <x:v>EEZ_104</x:v>
      </x:c>
      <x:c r="B10" s="24" t="str">
        <x:v>Myanmar</x:v>
      </x:c>
      <x:c r="C10" s="24" t="str">
        <x:v>EEZ</x:v>
      </x:c>
      <x:c r="D10" s="30" t="n">
        <x:v>2019</x:v>
      </x:c>
      <x:c r="E10" s="24" t="str">
        <x:v>Rastrelliger kanagurta</x:v>
      </x:c>
      <x:c r="F10" s="24" t="str">
        <x:v>Indian mackerel</x:v>
      </x:c>
      <x:c r="G10" s="24" t="str">
        <x:v>Medium pelagics (30 - 89 cm)</x:v>
      </x:c>
      <x:c r="H10" s="24" t="str">
        <x:v>Perch-likes</x:v>
      </x:c>
      <x:c r="I10" s="31" t="n">
        <x:v>40730.0561685991</x:v>
      </x:c>
      <x:c r="J10" s="31" t="n">
        <x:v>38613.0080390941</x:v>
      </x:c>
      <x:c r="K10" s="31" t="n">
        <x:v>2117.048129505</x:v>
      </x:c>
      <x:c r="L10" s="31" t="n">
        <x:v>35546.5780981622</x:v>
      </x:c>
      <x:c r="M10" s="31" t="n">
        <x:v>5183.4780704368995</x:v>
      </x:c>
      <x:c r="N10" s="24" t="str">
        <x:v>rastrelliger kanagurta</x:v>
      </x:c>
      <x:c r="O10" s="32" t="n">
        <x:v>3.19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kanagurta</x:v>
      </x:c>
      <x:c r="T10" s="32" t="n">
        <x:f>IF(O10="","",(1/'Metadata'!$B$5)^(O10-1))</x:f>
        <x:v>154.88166189124811</x:v>
      </x:c>
      <x:c r="U10" s="31" t="n">
        <x:f>IF(T10="","",I10*T10)</x:f>
        <x:v>6308338.78831651</x:v>
      </x:c>
    </x:row>
    <x:row r="11" ht="18" customHeight="1">
      <x:c r="A11" s="24" t="str">
        <x:v>EEZ_104</x:v>
      </x:c>
      <x:c r="B11" s="24" t="str">
        <x:v>Myanmar</x:v>
      </x:c>
      <x:c r="C11" s="24" t="str">
        <x:v>EEZ</x:v>
      </x:c>
      <x:c r="D11" s="30" t="n">
        <x:v>2019</x:v>
      </x:c>
      <x:c r="E11" s="24" t="str">
        <x:v>Cephalopoda</x:v>
      </x:c>
      <x:c r="F11" s="24" t="str">
        <x:v>Squids, cuttlefishes, octopuses</x:v>
      </x:c>
      <x:c r="G11" s="24" t="str">
        <x:v>Cephalopods</x:v>
      </x:c>
      <x:c r="H11" s="24" t="str">
        <x:v>Other fishes &amp; inverts</x:v>
      </x:c>
      <x:c r="I11" s="31" t="n">
        <x:v>39770.4112572415</x:v>
      </x:c>
      <x:c r="J11" s="31" t="n">
        <x:v>37459.377671166</x:v>
      </x:c>
      <x:c r="K11" s="31" t="n">
        <x:v>2311.0335860755004</x:v>
      </x:c>
      <x:c r="L11" s="31" t="n">
        <x:v>36028.274752391</x:v>
      </x:c>
      <x:c r="M11" s="31" t="n">
        <x:v>3742.1365048505004</x:v>
      </x:c>
      <x:c r="N11" s="24" t="str">
        <x:v>cephalopoda</x:v>
      </x:c>
      <x:c r="O11" s="32" t="n">
        <x:v>3.81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Cephalopoda</x:v>
      </x:c>
      <x:c r="T11" s="32" t="n">
        <x:f>IF(O11="","",(1/'Metadata'!$B$5)^(O11-1))</x:f>
        <x:v>645.6542290346556</x:v>
      </x:c>
      <x:c r="U11" s="31" t="n">
        <x:f>IF(T11="","",I11*T11)</x:f>
        <x:v>25677934.218685452</x:v>
      </x:c>
    </x:row>
    <x:row r="12" ht="18" customHeight="1">
      <x:c r="A12" s="24" t="str">
        <x:v>EEZ_104</x:v>
      </x:c>
      <x:c r="B12" s="24" t="str">
        <x:v>Myanmar</x:v>
      </x:c>
      <x:c r="C12" s="24" t="str">
        <x:v>EEZ</x:v>
      </x:c>
      <x:c r="D12" s="30" t="n">
        <x:v>2019</x:v>
      </x:c>
      <x:c r="E12" s="24" t="str">
        <x:v>Ariidae</x:v>
      </x:c>
      <x:c r="F12" s="24" t="str">
        <x:v>Sea catfishes, coblers</x:v>
      </x:c>
      <x:c r="G12" s="24" t="str">
        <x:v>Medium demersals (30 - 89 cm)</x:v>
      </x:c>
      <x:c r="H12" s="24" t="str">
        <x:v>Other fishes &amp; inverts</x:v>
      </x:c>
      <x:c r="I12" s="31" t="n">
        <x:v>34812.6046889478</x:v>
      </x:c>
      <x:c r="J12" s="31" t="n">
        <x:v>32912.5866689763</x:v>
      </x:c>
      <x:c r="K12" s="31" t="n">
        <x:v>1900.0180199715</x:v>
      </x:c>
      <x:c r="L12" s="31" t="n">
        <x:v>29654.6415434658</x:v>
      </x:c>
      <x:c r="M12" s="31" t="n">
        <x:v>5157.963145482</x:v>
      </x:c>
      <x:c r="N12" s="24" t="str">
        <x:v>ariidae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Ariidae</x:v>
      </x:c>
      <x:c r="T12" s="32" t="n">
        <x:f>IF(O12="","",(1/'Metadata'!$B$5)^(O12-1))</x:f>
        <x:v>301.9951720402016</x:v>
      </x:c>
      <x:c r="U12" s="31" t="n">
        <x:f>IF(T12="","",I12*T12)</x:f>
        <x:v>10513238.54220632</x:v>
      </x:c>
    </x:row>
    <x:row r="13" ht="18" customHeight="1">
      <x:c r="A13" s="24" t="str">
        <x:v>EEZ_104</x:v>
      </x:c>
      <x:c r="B13" s="24" t="str">
        <x:v>Myanmar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34662.394252691396</x:v>
      </x:c>
      <x:c r="J13" s="31" t="n">
        <x:v>32827.8437277814</x:v>
      </x:c>
      <x:c r="K13" s="31" t="n">
        <x:v>1834.55052491</x:v>
      </x:c>
      <x:c r="L13" s="31" t="n">
        <x:v>28600.060417548997</x:v>
      </x:c>
      <x:c r="M13" s="31" t="n">
        <x:v>6062.3338351424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63075188.58310026</x:v>
      </x:c>
    </x:row>
    <x:row r="14" ht="18" customHeight="1">
      <x:c r="A14" s="24" t="str">
        <x:v>EEZ_104</x:v>
      </x:c>
      <x:c r="B14" s="24" t="str">
        <x:v>Myanmar</x:v>
      </x:c>
      <x:c r="C14" s="24" t="str">
        <x:v>EEZ</x:v>
      </x:c>
      <x:c r="D14" s="30" t="n">
        <x:v>2019</x:v>
      </x:c>
      <x:c r="E14" s="24" t="str">
        <x:v>Portunidae</x:v>
      </x:c>
      <x:c r="F14" s="24" t="str">
        <x:v>Swimming crabs</x:v>
      </x:c>
      <x:c r="G14" s="24" t="str">
        <x:v>Lobsters, crabs</x:v>
      </x:c>
      <x:c r="H14" s="24" t="str">
        <x:v>Crustaceans</x:v>
      </x:c>
      <x:c r="I14" s="31" t="n">
        <x:v>28398.331990346996</x:v>
      </x:c>
      <x:c r="J14" s="31" t="n">
        <x:v>26753.7477950158</x:v>
      </x:c>
      <x:c r="K14" s="31" t="n">
        <x:v>1644.5841953312</x:v>
      </x:c>
      <x:c r="L14" s="31" t="n">
        <x:v>25638.5408037053</x:v>
      </x:c>
      <x:c r="M14" s="31" t="n">
        <x:v>2759.7911866417</x:v>
      </x:c>
      <x:c r="N14" s="24" t="str">
        <x:v>portunidae</x:v>
      </x:c>
      <x:c r="O14" s="32" t="n">
        <x:v>3.56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Portunidae</x:v>
      </x:c>
      <x:c r="T14" s="32" t="n">
        <x:f>IF(O14="","",(1/'Metadata'!$B$5)^(O14-1))</x:f>
        <x:v>363.0780547701014</x:v>
      </x:c>
      <x:c r="U14" s="31" t="n">
        <x:f>IF(T14="","",I14*T14)</x:f>
        <x:v>10310811.13777073</x:v>
      </x:c>
    </x:row>
    <x:row r="15" ht="18" customHeight="1">
      <x:c r="A15" s="24" t="str">
        <x:v>EEZ_104</x:v>
      </x:c>
      <x:c r="B15" s="24" t="str">
        <x:v>Myanmar</x:v>
      </x:c>
      <x:c r="C15" s="24" t="str">
        <x:v>EEZ</x:v>
      </x:c>
      <x:c r="D15" s="30" t="n">
        <x:v>2019</x:v>
      </x:c>
      <x:c r="E15" s="24" t="str">
        <x:v>Penaeidae</x:v>
      </x:c>
      <x:c r="F15" s="24" t="str">
        <x:v>Commercial shrimps and prawns</x:v>
      </x:c>
      <x:c r="G15" s="24" t="str">
        <x:v>Shrimps</x:v>
      </x:c>
      <x:c r="H15" s="24" t="str">
        <x:v>Crustaceans</x:v>
      </x:c>
      <x:c r="I15" s="31" t="n">
        <x:v>24886.0864121209</x:v>
      </x:c>
      <x:c r="J15" s="31" t="n">
        <x:v>21420.499841003</x:v>
      </x:c>
      <x:c r="K15" s="31" t="n">
        <x:v>3465.5865711179</x:v>
      </x:c>
      <x:c r="L15" s="31" t="n">
        <x:v>18644.0010886071</x:v>
      </x:c>
      <x:c r="M15" s="31" t="n">
        <x:v>6242.0853235138</x:v>
      </x:c>
      <x:c r="N15" s="24" t="str">
        <x:v>penaeidae</x:v>
      </x:c>
      <x:c r="O15" s="32" t="n">
        <x:v>3.31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Penaeidae</x:v>
      </x:c>
      <x:c r="T15" s="32" t="n">
        <x:f>IF(O15="","",(1/'Metadata'!$B$5)^(O15-1))</x:f>
        <x:v>204.17379446695296</x:v>
      </x:c>
      <x:c r="U15" s="31" t="n">
        <x:f>IF(T15="","",I15*T15)</x:f>
        <x:v>5081086.692195204</x:v>
      </x:c>
    </x:row>
    <x:row r="16" ht="18" customHeight="1">
      <x:c r="A16" s="24" t="str">
        <x:v>EEZ_104</x:v>
      </x:c>
      <x:c r="B16" s="24" t="str">
        <x:v>Myanmar</x:v>
      </x:c>
      <x:c r="C16" s="24" t="str">
        <x:v>EEZ</x:v>
      </x:c>
      <x:c r="D16" s="30" t="n">
        <x:v>2019</x:v>
      </x:c>
      <x:c r="E16" s="24" t="str">
        <x:v>Trichiuridae</x:v>
      </x:c>
      <x:c r="F16" s="24" t="str">
        <x:v>Cutlassfishes</x:v>
      </x:c>
      <x:c r="G16" s="24" t="str">
        <x:v>Large benthopelagics (&gt;=90 cm)</x:v>
      </x:c>
      <x:c r="H16" s="24" t="str">
        <x:v>Perch-likes</x:v>
      </x:c>
      <x:c r="I16" s="31" t="n">
        <x:v>20524.3595179413</x:v>
      </x:c>
      <x:c r="J16" s="31" t="n">
        <x:v>19340.4245299092</x:v>
      </x:c>
      <x:c r="K16" s="31" t="n">
        <x:v>1183.9349880321001</x:v>
      </x:c>
      <x:c r="L16" s="31" t="n">
        <x:v>18457.1729336852</x:v>
      </x:c>
      <x:c r="M16" s="31" t="n">
        <x:v>2067.1865842561</x:v>
      </x:c>
      <x:c r="N16" s="24" t="str">
        <x:v>trichiuridae</x:v>
      </x:c>
      <x:c r="O16" s="32" t="n">
        <x:v>4.15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Trichiuridae</x:v>
      </x:c>
      <x:c r="T16" s="32" t="n">
        <x:f>IF(O16="","",(1/'Metadata'!$B$5)^(O16-1))</x:f>
        <x:v>1412.5375446227554</x:v>
      </x:c>
      <x:c r="U16" s="31" t="n">
        <x:f>IF(T16="","",I16*T16)</x:f>
        <x:v>28991428.398427483</x:v>
      </x:c>
    </x:row>
    <x:row r="17" ht="18" customHeight="1">
      <x:c r="A17" s="24" t="str">
        <x:v>EEZ_104</x:v>
      </x:c>
      <x:c r="B17" s="24" t="str">
        <x:v>Myanmar</x:v>
      </x:c>
      <x:c r="C17" s="24" t="str">
        <x:v>EEZ</x:v>
      </x:c>
      <x:c r="D17" s="30" t="n">
        <x:v>2019</x:v>
      </x:c>
      <x:c r="E17" s="24" t="str">
        <x:v>Pampus argenteus</x:v>
      </x:c>
      <x:c r="F17" s="24" t="str">
        <x:v>Silver pomfret</x:v>
      </x:c>
      <x:c r="G17" s="24" t="str">
        <x:v>Medium benthopelagics (30 - 89 cm)</x:v>
      </x:c>
      <x:c r="H17" s="24" t="str">
        <x:v>Perch-likes</x:v>
      </x:c>
      <x:c r="I17" s="31" t="n">
        <x:v>19201.5791326471</x:v>
      </x:c>
      <x:c r="J17" s="31" t="n">
        <x:v>18143.8974695699</x:v>
      </x:c>
      <x:c r="K17" s="31" t="n">
        <x:v>1057.6816630772</x:v>
      </x:c>
      <x:c r="L17" s="31" t="n">
        <x:v>16491.0777072571</x:v>
      </x:c>
      <x:c r="M17" s="31" t="n">
        <x:v>2710.50142539</x:v>
      </x:c>
      <x:c r="N17" s="24" t="str">
        <x:v>pampus argenteus</x:v>
      </x:c>
      <x:c r="O17" s="32" t="n">
        <x:v>3.3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Pampus argenteus</x:v>
      </x:c>
      <x:c r="T17" s="32" t="n">
        <x:f>IF(O17="","",(1/'Metadata'!$B$5)^(O17-1))</x:f>
        <x:v>199.52623149688787</x:v>
      </x:c>
      <x:c r="U17" s="31" t="n">
        <x:f>IF(T17="","",I17*T17)</x:f>
        <x:v>3831218.723126357</x:v>
      </x:c>
    </x:row>
    <x:row r="18" ht="18" customHeight="1">
      <x:c r="A18" s="24" t="str">
        <x:v>EEZ_104</x:v>
      </x:c>
      <x:c r="B18" s="24" t="str">
        <x:v>Myanmar</x:v>
      </x:c>
      <x:c r="C18" s="24" t="str">
        <x:v>EEZ</x:v>
      </x:c>
      <x:c r="D18" s="30" t="n">
        <x:v>2019</x:v>
      </x:c>
      <x:c r="E18" s="24" t="str">
        <x:v>Chirocentrus</x:v>
      </x:c>
      <x:c r="F18" s="24" t="str">
        <x:v>Wolf herrings</x:v>
      </x:c>
      <x:c r="G18" s="24" t="str">
        <x:v>Large pelagics (&gt;=90 cm)</x:v>
      </x:c>
      <x:c r="H18" s="24" t="str">
        <x:v>Herring-likes</x:v>
      </x:c>
      <x:c r="I18" s="31" t="n">
        <x:v>16734.6984595097</x:v>
      </x:c>
      <x:c r="J18" s="31" t="n">
        <x:v>15911.9083792596</x:v>
      </x:c>
      <x:c r="K18" s="31" t="n">
        <x:v>822.7900802501</x:v>
      </x:c>
      <x:c r="L18" s="31" t="n">
        <x:v>12827.0356589658</x:v>
      </x:c>
      <x:c r="M18" s="31" t="n">
        <x:v>3907.6628005438997</x:v>
      </x:c>
      <x:c r="N18" s="24" t="str">
        <x:v>chirocentrus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Chirocentrus</x:v>
      </x:c>
      <x:c r="T18" s="32" t="n">
        <x:f>IF(O18="","",(1/'Metadata'!$B$5)^(O18-1))</x:f>
        <x:v>1995.2623149688789</x:v>
      </x:c>
      <x:c r="U18" s="31" t="n">
        <x:f>IF(T18="","",I18*T18)</x:f>
        <x:v>33390113.18862745</x:v>
      </x:c>
    </x:row>
    <x:row r="19" ht="18" customHeight="1">
      <x:c r="A19" s="24" t="str">
        <x:v>EEZ_104</x:v>
      </x:c>
      <x:c r="B19" s="24" t="str">
        <x:v>Myanmar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16137.000333197298</x:v>
      </x:c>
      <x:c r="J19" s="31" t="n">
        <x:v>15202.436040932</x:v>
      </x:c>
      <x:c r="K19" s="31" t="n">
        <x:v>934.5642922653</x:v>
      </x:c>
      <x:c r="L19" s="31" t="n">
        <x:v>14613.7097782117</x:v>
      </x:c>
      <x:c r="M19" s="31" t="n">
        <x:v>1523.2905549856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546792.8260520267</x:v>
      </x:c>
    </x:row>
    <x:row r="20" ht="18" customHeight="1">
      <x:c r="A20" s="24" t="str">
        <x:v>EEZ_104</x:v>
      </x:c>
      <x:c r="B20" s="24" t="str">
        <x:v>Myanmar</x:v>
      </x:c>
      <x:c r="C20" s="24" t="str">
        <x:v>EEZ</x:v>
      </x:c>
      <x:c r="D20" s="30" t="n">
        <x:v>2019</x:v>
      </x:c>
      <x:c r="E20" s="24" t="str">
        <x:v>Polynemidae</x:v>
      </x:c>
      <x:c r="F20" s="24" t="str">
        <x:v>Threadfins</x:v>
      </x:c>
      <x:c r="G20" s="24" t="str">
        <x:v>Small demersals (&lt;30 cm)</x:v>
      </x:c>
      <x:c r="H20" s="24" t="str">
        <x:v>Perch-likes</x:v>
      </x:c>
      <x:c r="I20" s="31" t="n">
        <x:v>16018.5339390102</x:v>
      </x:c>
      <x:c r="J20" s="31" t="n">
        <x:v>15223.7417909444</x:v>
      </x:c>
      <x:c r="K20" s="31" t="n">
        <x:v>794.7921480658</x:v>
      </x:c>
      <x:c r="L20" s="31" t="n">
        <x:v>12415.6265757228</x:v>
      </x:c>
      <x:c r="M20" s="31" t="n">
        <x:v>3602.9073632874</x:v>
      </x:c>
      <x:c r="N20" s="24" t="str">
        <x:v>polynemidae</x:v>
      </x:c>
      <x:c r="O20" s="32" t="n">
        <x:v>3.62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Polynemidae</x:v>
      </x:c>
      <x:c r="T20" s="32" t="n">
        <x:f>IF(O20="","",(1/'Metadata'!$B$5)^(O20-1))</x:f>
        <x:v>416.8693834703355</x:v>
      </x:c>
      <x:c r="U20" s="31" t="n">
        <x:f>IF(T20="","",I20*T20)</x:f>
        <x:v>6677636.367253827</x:v>
      </x:c>
    </x:row>
    <x:row r="21" ht="18" customHeight="1">
      <x:c r="A21" s="24" t="str">
        <x:v>EEZ_104</x:v>
      </x:c>
      <x:c r="B21" s="24" t="str">
        <x:v>Myanmar</x:v>
      </x:c>
      <x:c r="C21" s="24" t="str">
        <x:v>EEZ</x:v>
      </x:c>
      <x:c r="D21" s="30" t="n">
        <x:v>2019</x:v>
      </x:c>
      <x:c r="E21" s="24" t="str">
        <x:v>Scomberomorus</x:v>
      </x:c>
      <x:c r="F21" s="24" t="str">
        <x:v>Spanish mackerels</x:v>
      </x:c>
      <x:c r="G21" s="24" t="str">
        <x:v>Large pelagics (&gt;=90 cm)</x:v>
      </x:c>
      <x:c r="H21" s="24" t="str">
        <x:v>Perch-likes</x:v>
      </x:c>
      <x:c r="I21" s="31" t="n">
        <x:v>14222.0593437841</x:v>
      </x:c>
      <x:c r="J21" s="31" t="n">
        <x:v>13014.0093471836</x:v>
      </x:c>
      <x:c r="K21" s="31" t="n">
        <x:v>1208.0499966005002</x:v>
      </x:c>
      <x:c r="L21" s="31" t="n">
        <x:v>10802.8148297888</x:v>
      </x:c>
      <x:c r="M21" s="31" t="n">
        <x:v>3419.2445139953</x:v>
      </x:c>
      <x:c r="N21" s="24" t="str">
        <x:v>scomberomorus</x:v>
      </x:c>
      <x:c r="O21" s="32" t="n">
        <x:v>4.35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Scomberomorus</x:v>
      </x:c>
      <x:c r="T21" s="32" t="n">
        <x:f>IF(O21="","",(1/'Metadata'!$B$5)^(O21-1))</x:f>
        <x:v>2238.7211385683377</x:v>
      </x:c>
      <x:c r="U21" s="31" t="n">
        <x:f>IF(T21="","",I21*T21)</x:f>
        <x:v>31839224.886902805</x:v>
      </x:c>
    </x:row>
    <x:row r="22" ht="18" customHeight="1">
      <x:c r="A22" s="24" t="str">
        <x:v>EEZ_104</x:v>
      </x:c>
      <x:c r="B22" s="24" t="str">
        <x:v>Myanmar</x:v>
      </x:c>
      <x:c r="C22" s="24" t="str">
        <x:v>EEZ</x:v>
      </x:c>
      <x:c r="D22" s="30" t="n">
        <x:v>2019</x:v>
      </x:c>
      <x:c r="E22" s="24" t="str">
        <x:v>Synodontidae</x:v>
      </x:c>
      <x:c r="F22" s="24" t="str">
        <x:v>Lizardfishes, sauries</x:v>
      </x:c>
      <x:c r="G22" s="24" t="str">
        <x:v>Medium demersals (30 - 89 cm)</x:v>
      </x:c>
      <x:c r="H22" s="24" t="str">
        <x:v>Other fishes &amp; inverts</x:v>
      </x:c>
      <x:c r="I22" s="31" t="n">
        <x:v>12488.3166861884</x:v>
      </x:c>
      <x:c r="J22" s="31" t="n">
        <x:v>11525.0945634493</x:v>
      </x:c>
      <x:c r="K22" s="31" t="n">
        <x:v>963.2221227391001</x:v>
      </x:c>
      <x:c r="L22" s="31" t="n">
        <x:v>10764.8139344744</x:v>
      </x:c>
      <x:c r="M22" s="31" t="n">
        <x:v>1723.502751714</x:v>
      </x:c>
      <x:c r="N22" s="24" t="str">
        <x:v>synodontidae</x:v>
      </x:c>
      <x:c r="O22" s="32" t="n">
        <x:v>4.3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Synodontidae</x:v>
      </x:c>
      <x:c r="T22" s="32" t="n">
        <x:f>IF(O22="","",(1/'Metadata'!$B$5)^(O22-1))</x:f>
        <x:v>1995.2623149688789</x:v>
      </x:c>
      <x:c r="U22" s="31" t="n">
        <x:f>IF(T22="","",I22*T22)</x:f>
        <x:v>24917467.661348745</x:v>
      </x:c>
    </x:row>
    <x:row r="23" ht="18" customHeight="1">
      <x:c r="A23" s="24" t="str">
        <x:v>EEZ_104</x:v>
      </x:c>
      <x:c r="B23" s="24" t="str">
        <x:v>Myanmar</x:v>
      </x:c>
      <x:c r="C23" s="24" t="str">
        <x:v>EEZ</x:v>
      </x:c>
      <x:c r="D23" s="30" t="n">
        <x:v>2019</x:v>
      </x:c>
      <x:c r="E23" s="24" t="str">
        <x:v>Parastromateus niger</x:v>
      </x:c>
      <x:c r="F23" s="24" t="str">
        <x:v>Black pomfret</x:v>
      </x:c>
      <x:c r="G23" s="24" t="str">
        <x:v>Medium benthopelagics (30 - 89 cm)</x:v>
      </x:c>
      <x:c r="H23" s="24" t="str">
        <x:v>Perch-likes</x:v>
      </x:c>
      <x:c r="I23" s="31" t="n">
        <x:v>11958.3785964409</x:v>
      </x:c>
      <x:c r="J23" s="31" t="n">
        <x:v>11268.837695389999</x:v>
      </x:c>
      <x:c r="K23" s="31" t="n">
        <x:v>689.5409010509</x:v>
      </x:c>
      <x:c r="L23" s="31" t="n">
        <x:v>10761.790798075599</x:v>
      </x:c>
      <x:c r="M23" s="31" t="n">
        <x:v>1196.5877983653</x:v>
      </x:c>
      <x:c r="N23" s="24" t="str">
        <x:v>parastromateus niger</x:v>
      </x:c>
      <x:c r="O23" s="32" t="n">
        <x:v>2.93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Parastromateus niger</x:v>
      </x:c>
      <x:c r="T23" s="32" t="n">
        <x:f>IF(O23="","",(1/'Metadata'!$B$5)^(O23-1))</x:f>
        <x:v>85.11380382023768</x:v>
      </x:c>
      <x:c r="U23" s="31" t="n">
        <x:f>IF(T23="","",I23*T23)</x:f>
        <x:v>1017823.0898656</x:v>
      </x:c>
    </x:row>
    <x:row r="24" ht="18" customHeight="1">
      <x:c r="A24" s="24" t="str">
        <x:v>EEZ_104</x:v>
      </x:c>
      <x:c r="B24" s="24" t="str">
        <x:v>Myanmar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10308.3219970631</x:v>
      </x:c>
      <x:c r="J24" s="31" t="n">
        <x:v>9019.0086306445</x:v>
      </x:c>
      <x:c r="K24" s="31" t="n">
        <x:v>1289.3133664186</x:v>
      </x:c>
      <x:c r="L24" s="31" t="n">
        <x:v>7029.998911393</x:v>
      </x:c>
      <x:c r="M24" s="31" t="n">
        <x:v>3278.3230856700998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1791381.050951168</x:v>
      </x:c>
    </x:row>
    <x:row r="25" ht="18" customHeight="1">
      <x:c r="A25" s="24" t="str">
        <x:v>EEZ_104</x:v>
      </x:c>
      <x:c r="B25" s="24" t="str">
        <x:v>Myanmar</x:v>
      </x:c>
      <x:c r="C25" s="24" t="str">
        <x:v>EEZ</x:v>
      </x:c>
      <x:c r="D25" s="30" t="n">
        <x:v>2019</x:v>
      </x:c>
      <x:c r="E25" s="24" t="str">
        <x:v>Sphyraenidae</x:v>
      </x:c>
      <x:c r="F25" s="24" t="str">
        <x:v>Barracudas</x:v>
      </x:c>
      <x:c r="G25" s="24" t="str">
        <x:v>Medium reef assoc. fish (30 - 89 cm)</x:v>
      </x:c>
      <x:c r="H25" s="24" t="str">
        <x:v>Perch-likes</x:v>
      </x:c>
      <x:c r="I25" s="31" t="n">
        <x:v>9118.9809010424</x:v>
      </x:c>
      <x:c r="J25" s="31" t="n">
        <x:v>8596.8773011578</x:v>
      </x:c>
      <x:c r="K25" s="31" t="n">
        <x:v>522.1035998846</x:v>
      </x:c>
      <x:c r="L25" s="31" t="n">
        <x:v>8139.4329697735</x:v>
      </x:c>
      <x:c r="M25" s="31" t="n">
        <x:v>979.5479312689</x:v>
      </x:c>
      <x:c r="N25" s="24" t="str">
        <x:v>sphyraenidae</x:v>
      </x:c>
      <x:c r="O25" s="32" t="n">
        <x:v>4.4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Sphyraenidae</x:v>
      </x:c>
      <x:c r="T25" s="32" t="n">
        <x:f>IF(O25="","",(1/'Metadata'!$B$5)^(O25-1))</x:f>
        <x:v>2511.886431509582</x:v>
      </x:c>
      <x:c r="U25" s="31" t="n">
        <x:f>IF(T25="","",I25*T25)</x:f>
        <x:v>22905844.394523427</x:v>
      </x:c>
    </x:row>
    <x:row r="26" ht="18" customHeight="1">
      <x:c r="A26" s="24" t="str">
        <x:v>EEZ_104</x:v>
      </x:c>
      <x:c r="B26" s="24" t="str">
        <x:v>Myanmar</x:v>
      </x:c>
      <x:c r="C26" s="24" t="str">
        <x:v>EEZ</x:v>
      </x:c>
      <x:c r="D26" s="30" t="n">
        <x:v>2019</x:v>
      </x:c>
      <x:c r="E26" s="24" t="str">
        <x:v>Lutjanidae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7917.0776007317</x:v>
      </x:c>
      <x:c r="J26" s="31" t="n">
        <x:v>7492.6576811794</x:v>
      </x:c>
      <x:c r="K26" s="31" t="n">
        <x:v>424.41991955230003</x:v>
      </x:c>
      <x:c r="L26" s="31" t="n">
        <x:v>7171.5771168916</x:v>
      </x:c>
      <x:c r="M26" s="31" t="n">
        <x:v>745.5004838401001</x:v>
      </x:c>
      <x:c r="N26" s="24" t="str">
        <x:v>lutjanidae</x:v>
      </x:c>
      <x:c r="O26" s="32" t="n">
        <x:v>4.02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Lutjanidae</x:v>
      </x:c>
      <x:c r="T26" s="32" t="n">
        <x:f>IF(O26="","",(1/'Metadata'!$B$5)^(O26-1))</x:f>
        <x:v>1047.1285480508984</x:v>
      </x:c>
      <x:c r="U26" s="31" t="n">
        <x:f>IF(T26="","",I26*T26)</x:f>
        <x:v>8290197.972860475</x:v>
      </x:c>
    </x:row>
    <x:row r="27" ht="18" customHeight="1">
      <x:c r="A27" s="24" t="str">
        <x:v>EEZ_104</x:v>
      </x:c>
      <x:c r="B27" s="24" t="str">
        <x:v>Myanmar</x:v>
      </x:c>
      <x:c r="C27" s="24" t="str">
        <x:v>EEZ</x:v>
      </x:c>
      <x:c r="D27" s="30" t="n">
        <x:v>2019</x:v>
      </x:c>
      <x:c r="E27" s="24" t="str">
        <x:v>Leiognathidae</x:v>
      </x:c>
      <x:c r="F27" s="24" t="str">
        <x:v>Slipmouths, ponyfishes</x:v>
      </x:c>
      <x:c r="G27" s="24" t="str">
        <x:v>Small benthopelagics (&lt;30 cm)</x:v>
      </x:c>
      <x:c r="H27" s="24" t="str">
        <x:v>Perch-likes</x:v>
      </x:c>
      <x:c r="I27" s="31" t="n">
        <x:v>6786.6552484896</x:v>
      </x:c>
      <x:c r="J27" s="31" t="n">
        <x:v>6749.6485036966</x:v>
      </x:c>
      <x:c r="K27" s="31" t="n">
        <x:v>37.006744793</x:v>
      </x:c>
      <x:c r="L27" s="31" t="n">
        <x:v>4504.227037376199</x:v>
      </x:c>
      <x:c r="M27" s="31" t="n">
        <x:v>2282.4282111134003</x:v>
      </x:c>
      <x:c r="N27" s="24" t="str">
        <x:v>leiognathidae</x:v>
      </x:c>
      <x:c r="O27" s="32" t="n">
        <x:v>3.24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Leiognathidae</x:v>
      </x:c>
      <x:c r="T27" s="32" t="n">
        <x:f>IF(O27="","",(1/'Metadata'!$B$5)^(O27-1))</x:f>
        <x:v>173.78008287493762</x:v>
      </x:c>
      <x:c r="U27" s="31" t="n">
        <x:f>IF(T27="","",I27*T27)</x:f>
        <x:v>1179385.511526153</x:v>
      </x:c>
    </x:row>
    <x:row r="28" ht="18" customHeight="1">
      <x:c r="A28" s="24" t="str">
        <x:v>EEZ_104</x:v>
      </x:c>
      <x:c r="B28" s="24" t="str">
        <x:v>Myanmar</x:v>
      </x:c>
      <x:c r="C28" s="24" t="str">
        <x:v>EEZ</x:v>
      </x:c>
      <x:c r="D28" s="30" t="n">
        <x:v>2019</x:v>
      </x:c>
      <x:c r="E28" s="24" t="str">
        <x:v>Decapterus russelli</x:v>
      </x:c>
      <x:c r="F28" s="24" t="str">
        <x:v>Indian scad</x:v>
      </x:c>
      <x:c r="G28" s="24" t="str">
        <x:v>Medium pelagics (30 - 89 cm)</x:v>
      </x:c>
      <x:c r="H28" s="24" t="str">
        <x:v>Perch-likes</x:v>
      </x:c>
      <x:c r="I28" s="31" t="n">
        <x:v>6459.4833608627</x:v>
      </x:c>
      <x:c r="J28" s="31" t="n">
        <x:v>6459.4833608627</x:v>
      </x:c>
      <x:c r="K28" s="31" t="n">
        <x:v>0</x:v>
      </x:c>
      <x:c r="L28" s="31" t="n">
        <x:v>2671.6589234201</x:v>
      </x:c>
      <x:c r="M28" s="31" t="n">
        <x:v>3787.8244374426</x:v>
      </x:c>
      <x:c r="N28" s="24" t="str">
        <x:v>decapterus russelli</x:v>
      </x:c>
      <x:c r="O28" s="32" t="n">
        <x:v>3.68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Decapterus russelli</x:v>
      </x:c>
      <x:c r="T28" s="32" t="n">
        <x:f>IF(O28="","",(1/'Metadata'!$B$5)^(O28-1))</x:f>
        <x:v>478.6300923226385</x:v>
      </x:c>
      <x:c r="U28" s="31" t="n">
        <x:f>IF(T28="","",I28*T28)</x:f>
        <x:v>3091703.1173662613</x:v>
      </x:c>
    </x:row>
    <x:row r="29" ht="18" customHeight="1">
      <x:c r="A29" s="24" t="str">
        <x:v>EEZ_104</x:v>
      </x:c>
      <x:c r="B29" s="24" t="str">
        <x:v>Myanmar</x:v>
      </x:c>
      <x:c r="C29" s="24" t="str">
        <x:v>EEZ</x:v>
      </x:c>
      <x:c r="D29" s="30" t="n">
        <x:v>2019</x:v>
      </x:c>
      <x:c r="E29" s="24" t="str">
        <x:v>Euthynnus affinis</x:v>
      </x:c>
      <x:c r="F29" s="24" t="str">
        <x:v>Kawakawa</x:v>
      </x:c>
      <x:c r="G29" s="24" t="str">
        <x:v>Large pelagics (&gt;=90 cm)</x:v>
      </x:c>
      <x:c r="H29" s="24" t="str">
        <x:v>Tuna &amp; billfishes</x:v>
      </x:c>
      <x:c r="I29" s="31" t="n">
        <x:v>6070.6359757665</x:v>
      </x:c>
      <x:c r="J29" s="31" t="n">
        <x:v>6029.3984306895</x:v>
      </x:c>
      <x:c r="K29" s="31" t="n">
        <x:v>41.237545077</x:v>
      </x:c>
      <x:c r="L29" s="31" t="n">
        <x:v>3882.0361654485</x:v>
      </x:c>
      <x:c r="M29" s="31" t="n">
        <x:v>2188.599810318</x:v>
      </x:c>
      <x:c r="N29" s="24" t="str">
        <x:v>euthynnus affinis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Euthynnus affinis</x:v>
      </x:c>
      <x:c r="T29" s="32" t="n">
        <x:f>IF(O29="","",(1/'Metadata'!$B$5)^(O29-1))</x:f>
        <x:v>3162.2776601683795</x:v>
      </x:c>
      <x:c r="U29" s="31" t="n">
        <x:f>IF(T29="","",I29*T29)</x:f>
        <x:v>19197036.529180877</x:v>
      </x:c>
    </x:row>
    <x:row r="30" ht="18" customHeight="1">
      <x:c r="A30" s="24" t="str">
        <x:v>EEZ_104</x:v>
      </x:c>
      <x:c r="B30" s="24" t="str">
        <x:v>Myanmar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4756.697022471099</x:v>
      </x:c>
      <x:c r="J30" s="31" t="n">
        <x:v>4538.336455036199</x:v>
      </x:c>
      <x:c r="K30" s="31" t="n">
        <x:v>218.3605674349</x:v>
      </x:c>
      <x:c r="L30" s="31" t="n">
        <x:v>3591.1696186015997</x:v>
      </x:c>
      <x:c r="M30" s="31" t="n">
        <x:v>1165.5274038695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4542610.39041014</x:v>
      </x:c>
    </x:row>
    <x:row r="31" ht="18" customHeight="1">
      <x:c r="A31" s="24" t="str">
        <x:v>EEZ_104</x:v>
      </x:c>
      <x:c r="B31" s="24" t="str">
        <x:v>Myanmar</x:v>
      </x:c>
      <x:c r="C31" s="24" t="str">
        <x:v>EEZ</x:v>
      </x:c>
      <x:c r="D31" s="30" t="n">
        <x:v>2019</x:v>
      </x:c>
      <x:c r="E31" s="24" t="str">
        <x:v>Psettodes erumei</x:v>
      </x:c>
      <x:c r="F31" s="24" t="str">
        <x:v>Indian halibut</x:v>
      </x:c>
      <x:c r="G31" s="24" t="str">
        <x:v>Small to medium flatfishes (&lt;90 cm)</x:v>
      </x:c>
      <x:c r="H31" s="24" t="str">
        <x:v>Flatfishes</x:v>
      </x:c>
      <x:c r="I31" s="31" t="n">
        <x:v>3958.0456304902</x:v>
      </x:c>
      <x:c r="J31" s="31" t="n">
        <x:v>3758.998162761</x:v>
      </x:c>
      <x:c r="K31" s="31" t="n">
        <x:v>199.0474677292</x:v>
      </x:c>
      <x:c r="L31" s="31" t="n">
        <x:v>3111.9730717339003</x:v>
      </x:c>
      <x:c r="M31" s="31" t="n">
        <x:v>846.0725587563</x:v>
      </x:c>
      <x:c r="N31" s="24" t="str">
        <x:v>psettodes erumei</x:v>
      </x:c>
      <x:c r="O31" s="32" t="n">
        <x:v>4.39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Psettodes erumei</x:v>
      </x:c>
      <x:c r="T31" s="32" t="n">
        <x:f>IF(O31="","",(1/'Metadata'!$B$5)^(O31-1))</x:f>
        <x:v>2454.7089156850284</x:v>
      </x:c>
      <x:c r="U31" s="31" t="n">
        <x:f>IF(T31="","",I31*T31)</x:f>
        <x:v>9715849.897852464</x:v>
      </x:c>
    </x:row>
    <x:row r="32" ht="18" customHeight="1">
      <x:c r="A32" s="24" t="str">
        <x:v>EEZ_104</x:v>
      </x:c>
      <x:c r="B32" s="24" t="str">
        <x:v>Myanmar</x:v>
      </x:c>
      <x:c r="C32" s="24" t="str">
        <x:v>EEZ</x:v>
      </x:c>
      <x:c r="D32" s="30" t="n">
        <x:v>2019</x:v>
      </x:c>
      <x:c r="E32" s="24" t="str">
        <x:v>Plotosidae</x:v>
      </x:c>
      <x:c r="F32" s="24" t="str">
        <x:v>Eeltail catfishes</x:v>
      </x:c>
      <x:c r="G32" s="24" t="str">
        <x:v>Medium reef assoc. fish (30 - 89 cm)</x:v>
      </x:c>
      <x:c r="H32" s="24" t="str">
        <x:v>Other fishes &amp; inverts</x:v>
      </x:c>
      <x:c r="I32" s="31" t="n">
        <x:v>3927.0958980766</x:v>
      </x:c>
      <x:c r="J32" s="31" t="n">
        <x:v>3730.2093553939</x:v>
      </x:c>
      <x:c r="K32" s="31" t="n">
        <x:v>196.8865426827</x:v>
      </x:c>
      <x:c r="L32" s="31" t="n">
        <x:v>3149.7529509946</x:v>
      </x:c>
      <x:c r="M32" s="31" t="n">
        <x:v>777.342947082</x:v>
      </x:c>
      <x:c r="N32" s="24" t="str">
        <x:v>plotosidae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Plotosidae</x:v>
      </x:c>
      <x:c r="T32" s="32" t="n">
        <x:f>IF(O32="","",(1/'Metadata'!$B$5)^(O32-1))</x:f>
        <x:v>309.0295432513592</x:v>
      </x:c>
      <x:c r="U32" s="31" t="n">
        <x:f>IF(T32="","",I32*T32)</x:f>
        <x:v>1213588.651686898</x:v>
      </x:c>
    </x:row>
    <x:row r="33" ht="18" customHeight="1">
      <x:c r="A33" s="24" t="str">
        <x:v>EEZ_104</x:v>
      </x:c>
      <x:c r="B33" s="24" t="str">
        <x:v>Myanmar</x:v>
      </x:c>
      <x:c r="C33" s="24" t="str">
        <x:v>EEZ</x:v>
      </x:c>
      <x:c r="D33" s="30" t="n">
        <x:v>2019</x:v>
      </x:c>
      <x:c r="E33" s="24" t="str">
        <x:v>Lactarius lactarius</x:v>
      </x:c>
      <x:c r="F33" s="24" t="str">
        <x:v>False trevally</x:v>
      </x:c>
      <x:c r="G33" s="24" t="str">
        <x:v>Medium pelagics (30 - 89 cm)</x:v>
      </x:c>
      <x:c r="H33" s="24" t="str">
        <x:v>Perch-likes</x:v>
      </x:c>
      <x:c r="I33" s="31" t="n">
        <x:v>3315.0440963726</x:v>
      </x:c>
      <x:c r="J33" s="31" t="n">
        <x:v>3205.7196250342</x:v>
      </x:c>
      <x:c r="K33" s="31" t="n">
        <x:v>109.3244713384</x:v>
      </x:c>
      <x:c r="L33" s="31" t="n">
        <x:v>1704.333330623</x:v>
      </x:c>
      <x:c r="M33" s="31" t="n">
        <x:v>1610.7107657496</x:v>
      </x:c>
      <x:c r="N33" s="24" t="str">
        <x:v>lactarius lactarius</x:v>
      </x:c>
      <x:c r="O33" s="32" t="n">
        <x:v>3.97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Lactarius lactarius</x:v>
      </x:c>
      <x:c r="T33" s="32" t="n">
        <x:f>IF(O33="","",(1/'Metadata'!$B$5)^(O33-1))</x:f>
        <x:v>933.2543007969915</x:v>
      </x:c>
      <x:c r="U33" s="31" t="n">
        <x:f>IF(T33="","",I33*T33)</x:f>
        <x:v>3093779.1602714052</x:v>
      </x:c>
    </x:row>
    <x:row r="34" ht="18" customHeight="1">
      <x:c r="A34" s="24" t="str">
        <x:v>EEZ_104</x:v>
      </x:c>
      <x:c r="B34" s="24" t="str">
        <x:v>Myanmar</x:v>
      </x:c>
      <x:c r="C34" s="24" t="str">
        <x:v>EEZ</x:v>
      </x:c>
      <x:c r="D34" s="30" t="n">
        <x:v>2019</x:v>
      </x:c>
      <x:c r="E34" s="24" t="str">
        <x:v>Selar crumenophthalmus</x:v>
      </x:c>
      <x:c r="F34" s="24" t="str">
        <x:v>Bigeye scad</x:v>
      </x:c>
      <x:c r="G34" s="24" t="str">
        <x:v>Medium pelagics (30 - 89 cm)</x:v>
      </x:c>
      <x:c r="H34" s="24" t="str">
        <x:v>Perch-likes</x:v>
      </x:c>
      <x:c r="I34" s="31" t="n">
        <x:v>2864.9415427238</x:v>
      </x:c>
      <x:c r="J34" s="31" t="n">
        <x:v>2864.9415427238</x:v>
      </x:c>
      <x:c r="K34" s="31" t="n">
        <x:v>0</x:v>
      </x:c>
      <x:c r="L34" s="31" t="n">
        <x:v>1633.3976352184</x:v>
      </x:c>
      <x:c r="M34" s="31" t="n">
        <x:v>1231.5439075054</x:v>
      </x:c>
      <x:c r="N34" s="24" t="str">
        <x:v>selar crumenophthalmus</x:v>
      </x:c>
      <x:c r="O34" s="32" t="n">
        <x:v>3.81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Selar crumenophthalmus</x:v>
      </x:c>
      <x:c r="T34" s="32" t="n">
        <x:f>IF(O34="","",(1/'Metadata'!$B$5)^(O34-1))</x:f>
        <x:v>645.6542290346556</x:v>
      </x:c>
      <x:c r="U34" s="31" t="n">
        <x:f>IF(T34="","",I34*T34)</x:f>
        <x:v>1849761.6229966918</x:v>
      </x:c>
    </x:row>
    <x:row r="35" ht="18" customHeight="1">
      <x:c r="A35" s="24" t="str">
        <x:v>EEZ_104</x:v>
      </x:c>
      <x:c r="B35" s="24" t="str">
        <x:v>Myanmar</x:v>
      </x:c>
      <x:c r="C35" s="24" t="str">
        <x:v>EEZ</x:v>
      </x:c>
      <x:c r="D35" s="30" t="n">
        <x:v>2019</x:v>
      </x:c>
      <x:c r="E35" s="24" t="str">
        <x:v>Cephea</x:v>
      </x:c>
      <x:c r="F35" s="24" t="str">
        <x:v>Cepheid jellyfishes</x:v>
      </x:c>
      <x:c r="G35" s="24" t="str">
        <x:v>Jellyfish</x:v>
      </x:c>
      <x:c r="H35" s="24" t="str">
        <x:v>Other fishes &amp; inverts</x:v>
      </x:c>
      <x:c r="I35" s="31" t="n">
        <x:v>2793.7556410028</x:v>
      </x:c>
      <x:c r="J35" s="31" t="n">
        <x:v>2793.7556410028</x:v>
      </x:c>
      <x:c r="K35" s="31" t="n">
        <x:v>0</x:v>
      </x:c>
      <x:c r="L35" s="31" t="n">
        <x:v>573.80797746</x:v>
      </x:c>
      <x:c r="M35" s="31" t="n">
        <x:v>2219.9476635428</x:v>
      </x:c>
      <x:c r="N35" s="24" t="str">
        <x:v>cephea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Cephea</x:v>
      </x:c>
      <x:c r="T35" s="32" t="n">
        <x:f>IF(O35="","",(1/'Metadata'!$B$5)^(O35-1))</x:f>
        <x:v>288.40315031266056</x:v>
      </x:c>
      <x:c r="U35" s="31" t="n">
        <x:f>IF(T35="","",I35*T35)</x:f>
        <x:v>805727.9280689739</x:v>
      </x:c>
    </x:row>
    <x:row r="36" ht="18" customHeight="1">
      <x:c r="A36" s="24" t="str">
        <x:v>EEZ_104</x:v>
      </x:c>
      <x:c r="B36" s="24" t="str">
        <x:v>Myanmar</x:v>
      </x:c>
      <x:c r="C36" s="24" t="str">
        <x:v>EEZ</x:v>
      </x:c>
      <x:c r="D36" s="30" t="n">
        <x:v>2019</x:v>
      </x:c>
      <x:c r="E36" s="24" t="str">
        <x:v>Palinuridae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2456.8890481123</x:v>
      </x:c>
      <x:c r="J36" s="31" t="n">
        <x:v>2350.0226689797</x:v>
      </x:c>
      <x:c r="K36" s="31" t="n">
        <x:v>106.8663791326</x:v>
      </x:c>
      <x:c r="L36" s="31" t="n">
        <x:v>1666.0133285405</x:v>
      </x:c>
      <x:c r="M36" s="31" t="n">
        <x:v>790.8757195717999</x:v>
      </x:c>
      <x:c r="N36" s="24" t="str">
        <x:v>palinuridae</x:v>
      </x:c>
      <x:c r="O36" s="32" t="n">
        <x:v>3.14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Palinuridae</x:v>
      </x:c>
      <x:c r="T36" s="32" t="n">
        <x:f>IF(O36="","",(1/'Metadata'!$B$5)^(O36-1))</x:f>
        <x:v>138.03842646028852</x:v>
      </x:c>
      <x:c r="U36" s="31" t="n">
        <x:f>IF(T36="","",I36*T36)</x:f>
        <x:v>339145.098188938</x:v>
      </x:c>
    </x:row>
    <x:row r="37" ht="18" customHeight="1">
      <x:c r="A37" s="24" t="str">
        <x:v>EEZ_104</x:v>
      </x:c>
      <x:c r="B37" s="24" t="str">
        <x:v>Myanmar</x:v>
      </x:c>
      <x:c r="C37" s="24" t="str">
        <x:v>EEZ</x:v>
      </x:c>
      <x:c r="D37" s="30" t="n">
        <x:v>2019</x:v>
      </x:c>
      <x:c r="E37" s="24" t="str">
        <x:v>Scomberomorus commerson</x:v>
      </x:c>
      <x:c r="F37" s="24" t="str">
        <x:v>Narrow-barred Spanish mackerel</x:v>
      </x:c>
      <x:c r="G37" s="24" t="str">
        <x:v>Large pelagics (&gt;=90 cm)</x:v>
      </x:c>
      <x:c r="H37" s="24" t="str">
        <x:v>Perch-likes</x:v>
      </x:c>
      <x:c r="I37" s="31" t="n">
        <x:v>2118.1278117602</x:v>
      </x:c>
      <x:c r="J37" s="31" t="n">
        <x:v>2118.1278117602</x:v>
      </x:c>
      <x:c r="K37" s="31" t="n">
        <x:v>0</x:v>
      </x:c>
      <x:c r="L37" s="31" t="n">
        <x:v>2118.1278117602</x:v>
      </x:c>
      <x:c r="M37" s="31" t="n">
        <x:v>0</x:v>
      </x:c>
      <x:c r="N37" s="24" t="str">
        <x:v>scomberomorus commerson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commerson</x:v>
      </x:c>
      <x:c r="T37" s="32" t="n">
        <x:f>IF(O37="","",(1/'Metadata'!$B$5)^(O37-1))</x:f>
        <x:v>3162.2776601683795</x:v>
      </x:c>
      <x:c r="U37" s="31" t="n">
        <x:f>IF(T37="","",I37*T37)</x:f>
        <x:v>6698108.260510615</x:v>
      </x:c>
    </x:row>
    <x:row r="38" ht="18" customHeight="1">
      <x:c r="A38" s="24" t="str">
        <x:v>EEZ_104</x:v>
      </x:c>
      <x:c r="B38" s="24" t="str">
        <x:v>Myanmar</x:v>
      </x:c>
      <x:c r="C38" s="24" t="str">
        <x:v>EEZ</x:v>
      </x:c>
      <x:c r="D38" s="30" t="n">
        <x:v>2019</x:v>
      </x:c>
      <x:c r="E38" s="24" t="str">
        <x:v>Megalaspis cordyla</x:v>
      </x:c>
      <x:c r="F38" s="24" t="str">
        <x:v>Torpedo scad</x:v>
      </x:c>
      <x:c r="G38" s="24" t="str">
        <x:v>Medium pelagics (30 - 89 cm)</x:v>
      </x:c>
      <x:c r="H38" s="24" t="str">
        <x:v>Perch-likes</x:v>
      </x:c>
      <x:c r="I38" s="31" t="n">
        <x:v>1834.2836212521</x:v>
      </x:c>
      <x:c r="J38" s="31" t="n">
        <x:v>1834.2836212521</x:v>
      </x:c>
      <x:c r="K38" s="31" t="n">
        <x:v>0</x:v>
      </x:c>
      <x:c r="L38" s="31" t="n">
        <x:v>861.8345119562999</x:v>
      </x:c>
      <x:c r="M38" s="31" t="n">
        <x:v>972.4491092958001</x:v>
      </x:c>
      <x:c r="N38" s="24" t="str">
        <x:v>megalaspis cordyla</x:v>
      </x:c>
      <x:c r="O38" s="32" t="n">
        <x:v>4.24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Megalaspis cordyla</x:v>
      </x:c>
      <x:c r="T38" s="32" t="n">
        <x:f>IF(O38="","",(1/'Metadata'!$B$5)^(O38-1))</x:f>
        <x:v>1737.8008287493763</x:v>
      </x:c>
      <x:c r="U38" s="31" t="n">
        <x:f>IF(T38="","",I38*T38)</x:f>
        <x:v>3187619.597173306</x:v>
      </x:c>
    </x:row>
    <x:row r="39" ht="18" customHeight="1">
      <x:c r="A39" s="24" t="str">
        <x:v>EEZ_104</x:v>
      </x:c>
      <x:c r="B39" s="24" t="str">
        <x:v>Myanmar</x:v>
      </x:c>
      <x:c r="C39" s="24" t="str">
        <x:v>EEZ</x:v>
      </x:c>
      <x:c r="D39" s="30" t="n">
        <x:v>2019</x:v>
      </x:c>
      <x:c r="E39" s="24" t="str">
        <x:v>Loliginidae</x:v>
      </x:c>
      <x:c r="F39" s="24" t="str">
        <x:v>Common pencil squids</x:v>
      </x:c>
      <x:c r="G39" s="24" t="str">
        <x:v>Cephalopods</x:v>
      </x:c>
      <x:c r="H39" s="24" t="str">
        <x:v>Other fishes &amp; inverts</x:v>
      </x:c>
      <x:c r="I39" s="31" t="n">
        <x:v>1824.4780410868002</x:v>
      </x:c>
      <x:c r="J39" s="31" t="n">
        <x:v>1824.4780410868002</x:v>
      </x:c>
      <x:c r="K39" s="31" t="n">
        <x:v>0</x:v>
      </x:c>
      <x:c r="L39" s="31" t="n">
        <x:v>1737.7008459892002</x:v>
      </x:c>
      <x:c r="M39" s="31" t="n">
        <x:v>86.7771950976</x:v>
      </x:c>
      <x:c r="N39" s="24" t="str">
        <x:v>loliginidae</x:v>
      </x:c>
      <x:c r="O39" s="32" t="n">
        <x:v>3.9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Loliginidae</x:v>
      </x:c>
      <x:c r="T39" s="32" t="n">
        <x:f>IF(O39="","",(1/'Metadata'!$B$5)^(O39-1))</x:f>
        <x:v>794.3282347242813</x:v>
      </x:c>
      <x:c r="U39" s="31" t="n">
        <x:f>IF(T39="","",I39*T39)</x:f>
        <x:v>1449234.4216696927</x:v>
      </x:c>
    </x:row>
    <x:row r="40" ht="18" customHeight="1">
      <x:c r="A40" s="24" t="str">
        <x:v>EEZ_104</x:v>
      </x:c>
      <x:c r="B40" s="24" t="str">
        <x:v>Myanmar</x:v>
      </x:c>
      <x:c r="C40" s="24" t="str">
        <x:v>EEZ</x:v>
      </x:c>
      <x:c r="D40" s="30" t="n">
        <x:v>2019</x:v>
      </x:c>
      <x:c r="E40" s="24" t="str">
        <x:v>Auxis</x:v>
      </x:c>
      <x:c r="F40" s="24" t="str">
        <x:v>Bullet and frigate tunas</x:v>
      </x:c>
      <x:c r="G40" s="24" t="str">
        <x:v>Medium pelagics (30 - 89 cm)</x:v>
      </x:c>
      <x:c r="H40" s="24" t="str">
        <x:v>Tuna &amp; billfishes</x:v>
      </x:c>
      <x:c r="I40" s="31" t="n">
        <x:v>1800.3797793514</x:v>
      </x:c>
      <x:c r="J40" s="31" t="n">
        <x:v>1728.7436013226</x:v>
      </x:c>
      <x:c r="K40" s="31" t="n">
        <x:v>71.6361780288</x:v>
      </x:c>
      <x:c r="L40" s="31" t="n">
        <x:v>1197.6087478263</x:v>
      </x:c>
      <x:c r="M40" s="31" t="n">
        <x:v>602.7710315251</x:v>
      </x:c>
      <x:c r="N40" s="24" t="str">
        <x:v>auxis</x:v>
      </x:c>
      <x:c r="O40" s="32" t="n">
        <x:v>4.24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Auxis</x:v>
      </x:c>
      <x:c r="T40" s="32" t="n">
        <x:f>IF(O40="","",(1/'Metadata'!$B$5)^(O40-1))</x:f>
        <x:v>1737.8008287493763</x:v>
      </x:c>
      <x:c r="U40" s="31" t="n">
        <x:f>IF(T40="","",I40*T40)</x:f>
        <x:v>3128701.472620482</x:v>
      </x:c>
    </x:row>
    <x:row r="41" ht="18" customHeight="1">
      <x:c r="A41" s="24" t="str">
        <x:v>EEZ_104</x:v>
      </x:c>
      <x:c r="B41" s="24" t="str">
        <x:v>Myanmar</x:v>
      </x:c>
      <x:c r="C41" s="24" t="str">
        <x:v>EEZ</x:v>
      </x:c>
      <x:c r="D41" s="30" t="n">
        <x:v>2019</x:v>
      </x:c>
      <x:c r="E41" s="24" t="str">
        <x:v>Sardinella</x:v>
      </x:c>
      <x:c r="F41" s="24" t="str">
        <x:v>Sardinellas</x:v>
      </x:c>
      <x:c r="G41" s="24" t="str">
        <x:v>Small pelagics (&lt;30 cm)</x:v>
      </x:c>
      <x:c r="H41" s="24" t="str">
        <x:v>Herring-likes</x:v>
      </x:c>
      <x:c r="I41" s="31" t="n">
        <x:v>1697.3680469562</x:v>
      </x:c>
      <x:c r="J41" s="31" t="n">
        <x:v>1697.3680469562</x:v>
      </x:c>
      <x:c r="K41" s="31" t="n">
        <x:v>0</x:v>
      </x:c>
      <x:c r="L41" s="31" t="n">
        <x:v>1252.3868930933</x:v>
      </x:c>
      <x:c r="M41" s="31" t="n">
        <x:v>444.9811538629</x:v>
      </x:c>
      <x:c r="N41" s="24" t="str">
        <x:v>sardinella</x:v>
      </x:c>
      <x:c r="O41" s="32" t="n">
        <x:v>2.77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Sardinella</x:v>
      </x:c>
      <x:c r="T41" s="32" t="n">
        <x:f>IF(O41="","",(1/'Metadata'!$B$5)^(O41-1))</x:f>
        <x:v>58.8843655355589</x:v>
      </x:c>
      <x:c r="U41" s="31" t="n">
        <x:f>IF(T41="","",I41*T41)</x:f>
        <x:v>99948.44052534658</x:v>
      </x:c>
    </x:row>
    <x:row r="42" ht="18" customHeight="1">
      <x:c r="A42" s="24" t="str">
        <x:v>EEZ_104</x:v>
      </x:c>
      <x:c r="B42" s="24" t="str">
        <x:v>Myanmar</x:v>
      </x:c>
      <x:c r="C42" s="24" t="str">
        <x:v>EEZ</x:v>
      </x:c>
      <x:c r="D42" s="30" t="n">
        <x:v>2019</x:v>
      </x:c>
      <x:c r="E42" s="24" t="str">
        <x:v>Platycephalidae</x:v>
      </x:c>
      <x:c r="F42" s="24" t="str">
        <x:v>Flatheads</x:v>
      </x:c>
      <x:c r="G42" s="24" t="str">
        <x:v>Medium demersals (30 - 89 cm)</x:v>
      </x:c>
      <x:c r="H42" s="24" t="str">
        <x:v>Scorpionfishes</x:v>
      </x:c>
      <x:c r="I42" s="31" t="n">
        <x:v>1427.0050507493</x:v>
      </x:c>
      <x:c r="J42" s="31" t="n">
        <x:v>1162.6895156714</x:v>
      </x:c>
      <x:c r="K42" s="31" t="n">
        <x:v>264.3155350779</x:v>
      </x:c>
      <x:c r="L42" s="31" t="n">
        <x:v>1119.3515526487</x:v>
      </x:c>
      <x:c r="M42" s="31" t="n">
        <x:v>307.6534981006</x:v>
      </x:c>
      <x:c r="N42" s="24" t="str">
        <x:v>platycephalidae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Platycephalidae</x:v>
      </x:c>
      <x:c r="T42" s="32" t="n">
        <x:f>IF(O42="","",(1/'Metadata'!$B$5)^(O42-1))</x:f>
        <x:v>794.3282347242813</x:v>
      </x:c>
      <x:c r="U42" s="31" t="n">
        <x:f>IF(T42="","",I42*T42)</x:f>
        <x:v>1133510.402904325</x:v>
      </x:c>
    </x:row>
    <x:row r="43" ht="18" customHeight="1">
      <x:c r="A43" s="24" t="str">
        <x:v>EEZ_104</x:v>
      </x:c>
      <x:c r="B43" s="24" t="str">
        <x:v>Myanmar</x:v>
      </x:c>
      <x:c r="C43" s="24" t="str">
        <x:v>EEZ</x:v>
      </x:c>
      <x:c r="D43" s="30" t="n">
        <x:v>2019</x:v>
      </x:c>
      <x:c r="E43" s="24" t="str">
        <x:v>Thunnus tonggol</x:v>
      </x:c>
      <x:c r="F43" s="24" t="str">
        <x:v>Longtail tuna</x:v>
      </x:c>
      <x:c r="G43" s="24" t="str">
        <x:v>Large pelagics (&gt;=90 cm)</x:v>
      </x:c>
      <x:c r="H43" s="24" t="str">
        <x:v>Tuna &amp; billfishes</x:v>
      </x:c>
      <x:c r="I43" s="31" t="n">
        <x:v>1343.2210946382002</x:v>
      </x:c>
      <x:c r="J43" s="31" t="n">
        <x:v>1335.1738849127</x:v>
      </x:c>
      <x:c r="K43" s="31" t="n">
        <x:v>8.0472097255</x:v>
      </x:c>
      <x:c r="L43" s="31" t="n">
        <x:v>871.682130131</x:v>
      </x:c>
      <x:c r="M43" s="31" t="n">
        <x:v>471.53896450720003</x:v>
      </x:c>
      <x:c r="N43" s="24" t="str">
        <x:v>thunnus tonggol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tonggol</x:v>
      </x:c>
      <x:c r="T43" s="32" t="n">
        <x:f>IF(O43="","",(1/'Metadata'!$B$5)^(O43-1))</x:f>
        <x:v>3162.2776601683795</x:v>
      </x:c>
      <x:c r="U43" s="31" t="n">
        <x:f>IF(T43="","",I43*T43)</x:f>
        <x:v>4247638.060241297</x:v>
      </x:c>
    </x:row>
    <x:row r="44" ht="18" customHeight="1">
      <x:c r="A44" s="24" t="str">
        <x:v>EEZ_104</x:v>
      </x:c>
      <x:c r="B44" s="24" t="str">
        <x:v>Myanmar</x:v>
      </x:c>
      <x:c r="C44" s="24" t="str">
        <x:v>EEZ</x:v>
      </x:c>
      <x:c r="D44" s="30" t="n">
        <x:v>2019</x:v>
      </x:c>
      <x:c r="E44" s="24" t="str">
        <x:v>Saurida</x:v>
      </x:c>
      <x:c r="F44" s="24" t="str">
        <x:v>Lizardfishes</x:v>
      </x:c>
      <x:c r="G44" s="24" t="str">
        <x:v>Medium demersals (30 - 89 cm)</x:v>
      </x:c>
      <x:c r="H44" s="24" t="str">
        <x:v>Other fishes &amp; inverts</x:v>
      </x:c>
      <x:c r="I44" s="31" t="n">
        <x:v>1319.4013587746</x:v>
      </x:c>
      <x:c r="J44" s="31" t="n">
        <x:v>1319.4013587746</x:v>
      </x:c>
      <x:c r="K44" s="31" t="n">
        <x:v>0</x:v>
      </x:c>
      <x:c r="L44" s="31" t="n">
        <x:v>1235.0809791987</x:v>
      </x:c>
      <x:c r="M44" s="31" t="n">
        <x:v>84.3203795759</x:v>
      </x:c>
      <x:c r="N44" s="24" t="str">
        <x:v>saurida</x:v>
      </x:c>
      <x:c r="O44" s="32" t="n">
        <x:v>4.35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Saurida</x:v>
      </x:c>
      <x:c r="T44" s="32" t="n">
        <x:f>IF(O44="","",(1/'Metadata'!$B$5)^(O44-1))</x:f>
        <x:v>2238.7211385683377</x:v>
      </x:c>
      <x:c r="U44" s="31" t="n">
        <x:f>IF(T44="","",I44*T44)</x:f>
        <x:v>2953771.7121444847</x:v>
      </x:c>
    </x:row>
    <x:row r="45" ht="18" customHeight="1">
      <x:c r="A45" s="24" t="str">
        <x:v>EEZ_104</x:v>
      </x:c>
      <x:c r="B45" s="24" t="str">
        <x:v>Myanmar</x:v>
      </x:c>
      <x:c r="C45" s="24" t="str">
        <x:v>EEZ</x:v>
      </x:c>
      <x:c r="D45" s="30" t="n">
        <x:v>2019</x:v>
      </x:c>
      <x:c r="E45" s="24" t="str">
        <x:v>Katsuwonus pelamis</x:v>
      </x:c>
      <x:c r="F45" s="24" t="str">
        <x:v>Skipjack tuna</x:v>
      </x:c>
      <x:c r="G45" s="24" t="str">
        <x:v>Large pelagics (&gt;=90 cm)</x:v>
      </x:c>
      <x:c r="H45" s="24" t="str">
        <x:v>Tuna &amp; billfishes</x:v>
      </x:c>
      <x:c r="I45" s="31" t="n">
        <x:v>1314.5932318343</x:v>
      </x:c>
      <x:c r="J45" s="31" t="n">
        <x:v>1296.1122199037002</x:v>
      </x:c>
      <x:c r="K45" s="31" t="n">
        <x:v>18.4810119306</x:v>
      </x:c>
      <x:c r="L45" s="31" t="n">
        <x:v>1056.257079315</x:v>
      </x:c>
      <x:c r="M45" s="31" t="n">
        <x:v>258.3361525193</x:v>
      </x:c>
      <x:c r="N45" s="24" t="str">
        <x:v>katsuwonus pelamis</x:v>
      </x:c>
      <x:c r="O45" s="32" t="n">
        <x:v>4.43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Katsuwonus pelamis</x:v>
      </x:c>
      <x:c r="T45" s="32" t="n">
        <x:f>IF(O45="","",(1/'Metadata'!$B$5)^(O45-1))</x:f>
        <x:v>2691.534803926914</x:v>
      </x:c>
      <x:c r="U45" s="31" t="n">
        <x:f>IF(T45="","",I45*T45)</x:f>
        <x:v>3538273.4364887807</x:v>
      </x:c>
    </x:row>
    <x:row r="46" ht="18" customHeight="1">
      <x:c r="A46" s="24" t="str">
        <x:v>EEZ_104</x:v>
      </x:c>
      <x:c r="B46" s="24" t="str">
        <x:v>Myanmar</x:v>
      </x:c>
      <x:c r="C46" s="24" t="str">
        <x:v>EEZ</x:v>
      </x:c>
      <x:c r="D46" s="30" t="n">
        <x:v>2019</x:v>
      </x:c>
      <x:c r="E46" s="24" t="str">
        <x:v>Thunnus</x:v>
      </x:c>
      <x:c r="F46" s="24" t="str">
        <x:v>Tunas</x:v>
      </x:c>
      <x:c r="G46" s="24" t="str">
        <x:v>Large pelagics (&gt;=90 cm)</x:v>
      </x:c>
      <x:c r="H46" s="24" t="str">
        <x:v>Tuna &amp; billfishes</x:v>
      </x:c>
      <x:c r="I46" s="31" t="n">
        <x:v>1278.9501057802</x:v>
      </x:c>
      <x:c r="J46" s="31" t="n">
        <x:v>1261.5628904579999</x:v>
      </x:c>
      <x:c r="K46" s="31" t="n">
        <x:v>17.3872153222</x:v>
      </x:c>
      <x:c r="L46" s="31" t="n">
        <x:v>993.7426233623</x:v>
      </x:c>
      <x:c r="M46" s="31" t="n">
        <x:v>285.2074824179</x:v>
      </x:c>
      <x:c r="N46" s="24" t="str">
        <x:v>thunnus</x:v>
      </x:c>
      <x:c r="O46" s="32" t="n">
        <x:v>4.34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Thunnus</x:v>
      </x:c>
      <x:c r="T46" s="32" t="n">
        <x:f>IF(O46="","",(1/'Metadata'!$B$5)^(O46-1))</x:f>
        <x:v>2187.761623949552</x:v>
      </x:c>
      <x:c r="U46" s="31" t="n">
        <x:f>IF(T46="","",I46*T46)</x:f>
        <x:v>2798037.9603721416</x:v>
      </x:c>
    </x:row>
    <x:row r="47" ht="18" customHeight="1">
      <x:c r="A47" s="24" t="str">
        <x:v>EEZ_104</x:v>
      </x:c>
      <x:c r="B47" s="24" t="str">
        <x:v>Myanmar</x:v>
      </x:c>
      <x:c r="C47" s="24" t="str">
        <x:v>EEZ</x:v>
      </x:c>
      <x:c r="D47" s="30" t="n">
        <x:v>2019</x:v>
      </x:c>
      <x:c r="E47" s="24" t="str">
        <x:v>Portunus pelagicus</x:v>
      </x:c>
      <x:c r="F47" s="24" t="str">
        <x:v>Blue swimming crab</x:v>
      </x:c>
      <x:c r="G47" s="24" t="str">
        <x:v>Lobsters, crabs</x:v>
      </x:c>
      <x:c r="H47" s="24" t="str">
        <x:v>Crustaceans</x:v>
      </x:c>
      <x:c r="I47" s="31" t="n">
        <x:v>1107.6242689367</x:v>
      </x:c>
      <x:c r="J47" s="31" t="n">
        <x:v>1107.6242689367</x:v>
      </x:c>
      <x:c r="K47" s="31" t="n">
        <x:v>0</x:v>
      </x:c>
      <x:c r="L47" s="31" t="n">
        <x:v>843.3125068148</x:v>
      </x:c>
      <x:c r="M47" s="31" t="n">
        <x:v>264.3117621219</x:v>
      </x:c>
      <x:c r="N47" s="24" t="str">
        <x:v>portunus pelagicus</x:v>
      </x:c>
      <x:c r="O47" s="32" t="n">
        <x:v>2.48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Portunus pelagicus</x:v>
      </x:c>
      <x:c r="T47" s="32" t="n">
        <x:f>IF(O47="","",(1/'Metadata'!$B$5)^(O47-1))</x:f>
        <x:v>30.19951720402016</x:v>
      </x:c>
      <x:c r="U47" s="31" t="n">
        <x:f>IF(T47="","",I47*T47)</x:f>
        <x:v>33449.71816534412</x:v>
      </x:c>
    </x:row>
    <x:row r="48" ht="18" customHeight="1">
      <x:c r="A48" s="24" t="str">
        <x:v>EEZ_104</x:v>
      </x:c>
      <x:c r="B48" s="24" t="str">
        <x:v>Myanmar</x:v>
      </x:c>
      <x:c r="C48" s="24" t="str">
        <x:v>EEZ</x:v>
      </x:c>
      <x:c r="D48" s="30" t="n">
        <x:v>2019</x:v>
      </x:c>
      <x:c r="E48" s="24" t="str">
        <x:v>Sphyraena</x:v>
      </x:c>
      <x:c r="F48" s="24" t="str">
        <x:v>Barracudas, sennets</x:v>
      </x:c>
      <x:c r="G48" s="24" t="str">
        <x:v>Large pelagics (&gt;=90 cm)</x:v>
      </x:c>
      <x:c r="H48" s="24" t="str">
        <x:v>Perch-likes</x:v>
      </x:c>
      <x:c r="I48" s="31" t="n">
        <x:v>1034.6560275933</x:v>
      </x:c>
      <x:c r="J48" s="31" t="n">
        <x:v>1034.6560275933</x:v>
      </x:c>
      <x:c r="K48" s="31" t="n">
        <x:v>0</x:v>
      </x:c>
      <x:c r="L48" s="31" t="n">
        <x:v>533.6769663205</x:v>
      </x:c>
      <x:c r="M48" s="31" t="n">
        <x:v>500.9790612728</x:v>
      </x:c>
      <x:c r="N48" s="24" t="str">
        <x:v>sphyraena</x:v>
      </x:c>
      <x:c r="O48" s="32" t="n">
        <x:v>4.4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Sphyraena</x:v>
      </x:c>
      <x:c r="T48" s="32" t="n">
        <x:f>IF(O48="","",(1/'Metadata'!$B$5)^(O48-1))</x:f>
        <x:v>2511.886431509582</x:v>
      </x:c>
      <x:c r="U48" s="31" t="n">
        <x:f>IF(T48="","",I48*T48)</x:f>
        <x:v>2598938.436991214</x:v>
      </x:c>
    </x:row>
    <x:row r="49" ht="18" customHeight="1">
      <x:c r="A49" s="24" t="str">
        <x:v>EEZ_104</x:v>
      </x:c>
      <x:c r="B49" s="24" t="str">
        <x:v>Myanmar</x:v>
      </x:c>
      <x:c r="C49" s="24" t="str">
        <x:v>EEZ</x:v>
      </x:c>
      <x:c r="D49" s="30" t="n">
        <x:v>2019</x:v>
      </x:c>
      <x:c r="E49" s="24" t="str">
        <x:v>Scomberomorus guttatus</x:v>
      </x:c>
      <x:c r="F49" s="24" t="str">
        <x:v>Indo-Pacific king mackerel</x:v>
      </x:c>
      <x:c r="G49" s="24" t="str">
        <x:v>Medium pelagics (30 - 89 cm)</x:v>
      </x:c>
      <x:c r="H49" s="24" t="str">
        <x:v>Perch-likes</x:v>
      </x:c>
      <x:c r="I49" s="31" t="n">
        <x:v>977.2284859947</x:v>
      </x:c>
      <x:c r="J49" s="31" t="n">
        <x:v>977.2284859947</x:v>
      </x:c>
      <x:c r="K49" s="31" t="n">
        <x:v>0</x:v>
      </x:c>
      <x:c r="L49" s="31" t="n">
        <x:v>977.2284859947</x:v>
      </x:c>
      <x:c r="M49" s="31" t="n">
        <x:v>0</x:v>
      </x:c>
      <x:c r="N49" s="24" t="str">
        <x:v>scomberomorus guttatus</x:v>
      </x:c>
      <x:c r="O49" s="32" t="n">
        <x:v>4.28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Scomberomorus guttatus</x:v>
      </x:c>
      <x:c r="T49" s="32" t="n">
        <x:f>IF(O49="","",(1/'Metadata'!$B$5)^(O49-1))</x:f>
        <x:v>1905.4607179632483</x:v>
      </x:c>
      <x:c r="U49" s="31" t="n">
        <x:f>IF(T49="","",I49*T49)</x:f>
        <x:v>1862070.4925375993</x:v>
      </x:c>
    </x:row>
    <x:row r="50" ht="18" customHeight="1">
      <x:c r="A50" s="24" t="str">
        <x:v>EEZ_104</x:v>
      </x:c>
      <x:c r="B50" s="24" t="str">
        <x:v>Myanmar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944.193114489</x:v>
      </x:c>
      <x:c r="J50" s="31" t="n">
        <x:v>900.1521755767</x:v>
      </x:c>
      <x:c r="K50" s="31" t="n">
        <x:v>44.0409389123</x:v>
      </x:c>
      <x:c r="L50" s="31" t="n">
        <x:v>688.1745611834</x:v>
      </x:c>
      <x:c r="M50" s="31" t="n">
        <x:v>256.0185533056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11886.687054712818</x:v>
      </x:c>
    </x:row>
    <x:row r="51" ht="18" customHeight="1">
      <x:c r="A51" s="24" t="str">
        <x:v>EEZ_104</x:v>
      </x:c>
      <x:c r="B51" s="24" t="str">
        <x:v>Myanmar</x:v>
      </x:c>
      <x:c r="C51" s="24" t="str">
        <x:v>EEZ</x:v>
      </x:c>
      <x:c r="D51" s="30" t="n">
        <x:v>2019</x:v>
      </x:c>
      <x:c r="E51" s="24" t="str">
        <x:v>Priacanthus</x:v>
      </x:c>
      <x:c r="F51" s="24" t="str">
        <x:v>Bigeyes</x:v>
      </x:c>
      <x:c r="G51" s="24" t="str">
        <x:v>Medium reef assoc. fish (30 - 89 cm)</x:v>
      </x:c>
      <x:c r="H51" s="24" t="str">
        <x:v>Perch-likes</x:v>
      </x:c>
      <x:c r="I51" s="31" t="n">
        <x:v>542.2770731055</x:v>
      </x:c>
      <x:c r="J51" s="31" t="n">
        <x:v>542.2770731055</x:v>
      </x:c>
      <x:c r="K51" s="31" t="n">
        <x:v>0</x:v>
      </x:c>
      <x:c r="L51" s="31" t="n">
        <x:v>530.2157835416001</x:v>
      </x:c>
      <x:c r="M51" s="31" t="n">
        <x:v>12.0612895639</x:v>
      </x:c>
      <x:c r="N51" s="24" t="str">
        <x:v>priacanthus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Priacanthus</x:v>
      </x:c>
      <x:c r="T51" s="32" t="n">
        <x:f>IF(O51="","",(1/'Metadata'!$B$5)^(O51-1))</x:f>
        <x:v>645.6542290346556</x:v>
      </x:c>
      <x:c r="U51" s="31" t="n">
        <x:f>IF(T51="","",I51*T51)</x:f>
        <x:v>350123.48555910116</x:v>
      </x:c>
    </x:row>
    <x:row r="52" ht="18" customHeight="1">
      <x:c r="A52" s="24" t="str">
        <x:v>EEZ_104</x:v>
      </x:c>
      <x:c r="B52" s="24" t="str">
        <x:v>Myanmar</x:v>
      </x:c>
      <x:c r="C52" s="24" t="str">
        <x:v>EEZ</x:v>
      </x:c>
      <x:c r="D52" s="30" t="n">
        <x:v>2019</x:v>
      </x:c>
      <x:c r="E52" s="24" t="str">
        <x:v>Istiophoridae</x:v>
      </x:c>
      <x:c r="F52" s="24" t="str">
        <x:v>Billfishes</x:v>
      </x:c>
      <x:c r="G52" s="24" t="str">
        <x:v>Large pelagics (&gt;=90 cm)</x:v>
      </x:c>
      <x:c r="H52" s="24" t="str">
        <x:v>Tuna &amp; billfishes</x:v>
      </x:c>
      <x:c r="I52" s="31" t="n">
        <x:v>535.1315260169</x:v>
      </x:c>
      <x:c r="J52" s="31" t="n">
        <x:v>533.3253938542999</x:v>
      </x:c>
      <x:c r="K52" s="31" t="n">
        <x:v>1.8061321626</x:v>
      </x:c>
      <x:c r="L52" s="31" t="n">
        <x:v>103.2270251524</x:v>
      </x:c>
      <x:c r="M52" s="31" t="n">
        <x:v>431.9045008645</x:v>
      </x:c>
      <x:c r="N52" s="24" t="str">
        <x:v>istiophoridae</x:v>
      </x:c>
      <x:c r="O52" s="32" t="n">
        <x:v>4.48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Istiophoridae</x:v>
      </x:c>
      <x:c r="T52" s="32" t="n">
        <x:f>IF(O52="","",(1/'Metadata'!$B$5)^(O52-1))</x:f>
        <x:v>3019.951720402019</x:v>
      </x:c>
      <x:c r="U52" s="31" t="n">
        <x:f>IF(T52="","",I52*T52)</x:f>
        <x:v>1616071.372636095</x:v>
      </x:c>
    </x:row>
    <x:row r="53" ht="18" customHeight="1">
      <x:c r="A53" s="24" t="str">
        <x:v>EEZ_104</x:v>
      </x:c>
      <x:c r="B53" s="24" t="str">
        <x:v>Myanmar</x:v>
      </x:c>
      <x:c r="C53" s="24" t="str">
        <x:v>EEZ</x:v>
      </x:c>
      <x:c r="D53" s="30" t="n">
        <x:v>2019</x:v>
      </x:c>
      <x:c r="E53" s="24" t="str">
        <x:v>Scolopsis</x:v>
      </x:c>
      <x:c r="F53" s="24" t="str">
        <x:v>Monocle breams</x:v>
      </x:c>
      <x:c r="G53" s="24" t="str">
        <x:v>Small reef assoc. fish (&lt;30 cm)</x:v>
      </x:c>
      <x:c r="H53" s="24" t="str">
        <x:v>Perch-likes</x:v>
      </x:c>
      <x:c r="I53" s="31" t="n">
        <x:v>343.7621428502</x:v>
      </x:c>
      <x:c r="J53" s="31" t="n">
        <x:v>343.7621428502</x:v>
      </x:c>
      <x:c r="K53" s="31" t="n">
        <x:v>0</x:v>
      </x:c>
      <x:c r="L53" s="31" t="n">
        <x:v>151.9178603514</x:v>
      </x:c>
      <x:c r="M53" s="31" t="n">
        <x:v>191.8442824988</x:v>
      </x:c>
      <x:c r="N53" s="24" t="str">
        <x:v>scolopsis</x:v>
      </x:c>
      <x:c r="O53" s="32" t="n">
        <x:v>3.3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Scolopsis</x:v>
      </x:c>
      <x:c r="T53" s="32" t="n">
        <x:f>IF(O53="","",(1/'Metadata'!$B$5)^(O53-1))</x:f>
        <x:v>199.52623149688787</x:v>
      </x:c>
      <x:c r="U53" s="31" t="n">
        <x:f>IF(T53="","",I53*T53)</x:f>
        <x:v>68589.56489419524</x:v>
      </x:c>
    </x:row>
    <x:row r="54" ht="18" customHeight="1">
      <x:c r="A54" s="24" t="str">
        <x:v>EEZ_104</x:v>
      </x:c>
      <x:c r="B54" s="24" t="str">
        <x:v>Myanmar</x:v>
      </x:c>
      <x:c r="C54" s="24" t="str">
        <x:v>EEZ</x:v>
      </x:c>
      <x:c r="D54" s="30" t="n">
        <x:v>2019</x:v>
      </x:c>
      <x:c r="E54" s="24" t="str">
        <x:v>Sepiidae</x:v>
      </x:c>
      <x:c r="F54" s="24" t="str">
        <x:v>Cuttlefishes</x:v>
      </x:c>
      <x:c r="G54" s="24" t="str">
        <x:v>Cephalopods</x:v>
      </x:c>
      <x:c r="H54" s="24" t="str">
        <x:v>Other fishes &amp; inverts</x:v>
      </x:c>
      <x:c r="I54" s="31" t="n">
        <x:v>290.19776675879996</x:v>
      </x:c>
      <x:c r="J54" s="31" t="n">
        <x:v>290.19776675879996</x:v>
      </x:c>
      <x:c r="K54" s="31" t="n">
        <x:v>0</x:v>
      </x:c>
      <x:c r="L54" s="31" t="n">
        <x:v>267.35298330309996</x:v>
      </x:c>
      <x:c r="M54" s="31" t="n">
        <x:v>22.8447834557</x:v>
      </x:c>
      <x:c r="N54" s="24" t="str">
        <x:v>sepiidae</x:v>
      </x:c>
      <x:c r="O54" s="32" t="n">
        <x:v>3.6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Sepiidae</x:v>
      </x:c>
      <x:c r="T54" s="32" t="n">
        <x:f>IF(O54="","",(1/'Metadata'!$B$5)^(O54-1))</x:f>
        <x:v>398.1071705534973</x:v>
      </x:c>
      <x:c r="U54" s="31" t="n">
        <x:f>IF(T54="","",I54*T54)</x:f>
        <x:v>115529.81182528961</x:v>
      </x:c>
    </x:row>
    <x:row r="55" ht="18" customHeight="1">
      <x:c r="A55" s="24" t="str">
        <x:v>EEZ_104</x:v>
      </x:c>
      <x:c r="B55" s="24" t="str">
        <x:v>Myanmar</x:v>
      </x:c>
      <x:c r="C55" s="24" t="str">
        <x:v>EEZ</x:v>
      </x:c>
      <x:c r="D55" s="30" t="n">
        <x:v>2019</x:v>
      </x:c>
      <x:c r="E55" s="24" t="str">
        <x:v>Auxis thazard</x:v>
      </x:c>
      <x:c r="F55" s="24" t="str">
        <x:v>Frigate tuna</x:v>
      </x:c>
      <x:c r="G55" s="24" t="str">
        <x:v>Medium pelagics (30 - 89 cm)</x:v>
      </x:c>
      <x:c r="H55" s="24" t="str">
        <x:v>Tuna &amp; billfishes</x:v>
      </x:c>
      <x:c r="I55" s="31" t="n">
        <x:v>237.12327602320002</x:v>
      </x:c>
      <x:c r="J55" s="31" t="n">
        <x:v>237.12327602320002</x:v>
      </x:c>
      <x:c r="K55" s="31" t="n">
        <x:v>0</x:v>
      </x:c>
      <x:c r="L55" s="31" t="n">
        <x:v>237.12327602320002</x:v>
      </x:c>
      <x:c r="M55" s="31" t="n">
        <x:v>0</x:v>
      </x:c>
      <x:c r="N55" s="24" t="str">
        <x:v>auxis thazard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thazard</x:v>
      </x:c>
      <x:c r="T55" s="32" t="n">
        <x:f>IF(O55="","",(1/'Metadata'!$B$5)^(O55-1))</x:f>
        <x:v>2344.228815319923</x:v>
      </x:c>
      <x:c r="U55" s="31" t="n">
        <x:f>IF(T55="","",I55*T55)</x:f>
        <x:v>555871.2164366452</x:v>
      </x:c>
    </x:row>
    <x:row r="56" ht="18" customHeight="1">
      <x:c r="A56" s="24" t="str">
        <x:v>EEZ_104</x:v>
      </x:c>
      <x:c r="B56" s="24" t="str">
        <x:v>Myanmar</x:v>
      </x:c>
      <x:c r="C56" s="24" t="str">
        <x:v>EEZ</x:v>
      </x:c>
      <x:c r="D56" s="30" t="n">
        <x:v>2019</x:v>
      </x:c>
      <x:c r="E56" s="24" t="str">
        <x:v>Chirocentrus dorab</x:v>
      </x:c>
      <x:c r="F56" s="24" t="str">
        <x:v>Dorab wolf-herring</x:v>
      </x:c>
      <x:c r="G56" s="24" t="str">
        <x:v>Large benthopelagics (&gt;=90 cm)</x:v>
      </x:c>
      <x:c r="H56" s="24" t="str">
        <x:v>Herring-likes</x:v>
      </x:c>
      <x:c r="I56" s="31" t="n">
        <x:v>232.3359011326</x:v>
      </x:c>
      <x:c r="J56" s="31" t="n">
        <x:v>232.3359011326</x:v>
      </x:c>
      <x:c r="K56" s="31" t="n">
        <x:v>0</x:v>
      </x:c>
      <x:c r="L56" s="31" t="n">
        <x:v>111.2255763287</x:v>
      </x:c>
      <x:c r="M56" s="31" t="n">
        <x:v>121.1103248039</x:v>
      </x:c>
      <x:c r="N56" s="24" t="str">
        <x:v>chirocentrus dorab</x:v>
      </x:c>
      <x:c r="O56" s="32" t="n">
        <x:v>4.2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Chirocentrus dorab</x:v>
      </x:c>
      <x:c r="T56" s="32" t="n">
        <x:f>IF(O56="","",(1/'Metadata'!$B$5)^(O56-1))</x:f>
        <x:v>1584.893192461114</x:v>
      </x:c>
      <x:c r="U56" s="31" t="n">
        <x:f>IF(T56="","",I56*T56)</x:f>
        <x:v>368227.5880693761</x:v>
      </x:c>
    </x:row>
    <x:row r="57" ht="18" customHeight="1">
      <x:c r="A57" s="24" t="str">
        <x:v>EEZ_104</x:v>
      </x:c>
      <x:c r="B57" s="24" t="str">
        <x:v>Myanmar</x:v>
      </x:c>
      <x:c r="C57" s="24" t="str">
        <x:v>EEZ</x:v>
      </x:c>
      <x:c r="D57" s="30" t="n">
        <x:v>2019</x:v>
      </x:c>
      <x:c r="E57" s="24" t="str">
        <x:v>Trichiurus lepturus</x:v>
      </x:c>
      <x:c r="F57" s="24" t="str">
        <x:v>Largehead hairtail</x:v>
      </x:c>
      <x:c r="G57" s="24" t="str">
        <x:v>Large benthopelagics (&gt;=90 cm)</x:v>
      </x:c>
      <x:c r="H57" s="24" t="str">
        <x:v>Perch-likes</x:v>
      </x:c>
      <x:c r="I57" s="31" t="n">
        <x:v>207.4344118036</x:v>
      </x:c>
      <x:c r="J57" s="31" t="n">
        <x:v>207.4344118036</x:v>
      </x:c>
      <x:c r="K57" s="31" t="n">
        <x:v>0</x:v>
      </x:c>
      <x:c r="L57" s="31" t="n">
        <x:v>187.1845065044</x:v>
      </x:c>
      <x:c r="M57" s="31" t="n">
        <x:v>20.2499052992</x:v>
      </x:c>
      <x:c r="N57" s="24" t="str">
        <x:v>trichiurus lepturus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Trichiurus lepturus</x:v>
      </x:c>
      <x:c r="T57" s="32" t="n">
        <x:f>IF(O57="","",(1/'Metadata'!$B$5)^(O57-1))</x:f>
        <x:v>2630.2679918953813</x:v>
      </x:c>
      <x:c r="U57" s="31" t="n">
        <x:f>IF(T57="","",I57*T57)</x:f>
        <x:v>545608.0937846545</x:v>
      </x:c>
    </x:row>
    <x:row r="58" ht="18" customHeight="1">
      <x:c r="A58" s="24" t="str">
        <x:v>EEZ_104</x:v>
      </x:c>
      <x:c r="B58" s="24" t="str">
        <x:v>Myanmar</x:v>
      </x:c>
      <x:c r="C58" s="24" t="str">
        <x:v>EEZ</x:v>
      </x:c>
      <x:c r="D58" s="30" t="n">
        <x:v>2019</x:v>
      </x:c>
      <x:c r="E58" s="24" t="str">
        <x:v>Sepioteuthis lessoniana</x:v>
      </x:c>
      <x:c r="F58" s="24" t="str">
        <x:v>Bigfin reef squid</x:v>
      </x:c>
      <x:c r="G58" s="24" t="str">
        <x:v>Cephalopods</x:v>
      </x:c>
      <x:c r="H58" s="24" t="str">
        <x:v>Other fishes &amp; inverts</x:v>
      </x:c>
      <x:c r="I58" s="31" t="n">
        <x:v>181.3105923824</x:v>
      </x:c>
      <x:c r="J58" s="31" t="n">
        <x:v>181.3105923824</x:v>
      </x:c>
      <x:c r="K58" s="31" t="n">
        <x:v>0</x:v>
      </x:c>
      <x:c r="L58" s="31" t="n">
        <x:v>72.9654747993</x:v>
      </x:c>
      <x:c r="M58" s="31" t="n">
        <x:v>108.34511758309999</x:v>
      </x:c>
      <x:c r="N58" s="24" t="str">
        <x:v>sepioteuthis lessoniana</x:v>
      </x:c>
      <x:c r="O58" s="32" t="n">
        <x:v>3.98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Sepioteuthis lessoniana</x:v>
      </x:c>
      <x:c r="T58" s="32" t="n">
        <x:f>IF(O58="","",(1/'Metadata'!$B$5)^(O58-1))</x:f>
        <x:v>954.992586021436</x:v>
      </x:c>
      <x:c r="U58" s="31" t="n">
        <x:f>IF(T58="","",I58*T58)</x:f>
        <x:v>173150.27149234663</x:v>
      </x:c>
    </x:row>
    <x:row r="59" ht="18" customHeight="1">
      <x:c r="A59" s="24" t="str">
        <x:v>EEZ_104</x:v>
      </x:c>
      <x:c r="B59" s="24" t="str">
        <x:v>Myanmar</x:v>
      </x:c>
      <x:c r="C59" s="24" t="str">
        <x:v>EEZ</x:v>
      </x:c>
      <x:c r="D59" s="30" t="n">
        <x:v>2019</x:v>
      </x:c>
      <x:c r="E59" s="24" t="str">
        <x:v>Penaeus</x:v>
      </x:c>
      <x:c r="F59" s="24" t="str">
        <x:v>Tiger prawns</x:v>
      </x:c>
      <x:c r="G59" s="24" t="str">
        <x:v>Shrimps</x:v>
      </x:c>
      <x:c r="H59" s="24" t="str">
        <x:v>Crustaceans</x:v>
      </x:c>
      <x:c r="I59" s="31" t="n">
        <x:v>168.7862197531</x:v>
      </x:c>
      <x:c r="J59" s="31" t="n">
        <x:v>168.7862197531</x:v>
      </x:c>
      <x:c r="K59" s="31" t="n">
        <x:v>0</x:v>
      </x:c>
      <x:c r="L59" s="31" t="n">
        <x:v>161.27240840250002</x:v>
      </x:c>
      <x:c r="M59" s="31" t="n">
        <x:v>7.5138113506</x:v>
      </x:c>
      <x:c r="N59" s="24" t="str">
        <x:v>penaeus</x:v>
      </x:c>
      <x:c r="O59" s="32" t="n">
        <x:v>2.7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Penaeus</x:v>
      </x:c>
      <x:c r="T59" s="32" t="n">
        <x:f>IF(O59="","",(1/'Metadata'!$B$5)^(O59-1))</x:f>
        <x:v>50.11872336272725</x:v>
      </x:c>
      <x:c r="U59" s="31" t="n">
        <x:f>IF(T59="","",I59*T59)</x:f>
        <x:v>8459.34985524611</x:v>
      </x:c>
    </x:row>
    <x:row r="60" ht="18" customHeight="1">
      <x:c r="A60" s="24" t="str">
        <x:v>EEZ_104</x:v>
      </x:c>
      <x:c r="B60" s="24" t="str">
        <x:v>Myanmar</x:v>
      </x:c>
      <x:c r="C60" s="24" t="str">
        <x:v>EEZ</x:v>
      </x:c>
      <x:c r="D60" s="30" t="n">
        <x:v>2019</x:v>
      </x:c>
      <x:c r="E60" s="24" t="str">
        <x:v>Penaeus merguiensis</x:v>
      </x:c>
      <x:c r="F60" s="24" t="str">
        <x:v>Banana prawn</x:v>
      </x:c>
      <x:c r="G60" s="24" t="str">
        <x:v>Shrimps</x:v>
      </x:c>
      <x:c r="H60" s="24" t="str">
        <x:v>Crustaceans</x:v>
      </x:c>
      <x:c r="I60" s="31" t="n">
        <x:v>160.8982264804</x:v>
      </x:c>
      <x:c r="J60" s="31" t="n">
        <x:v>160.8982264804</x:v>
      </x:c>
      <x:c r="K60" s="31" t="n">
        <x:v>0</x:v>
      </x:c>
      <x:c r="L60" s="31" t="n">
        <x:v>160.8982264804</x:v>
      </x:c>
      <x:c r="M60" s="31" t="n">
        <x:v>0</x:v>
      </x:c>
      <x:c r="N60" s="24" t="str">
        <x:v>penaeus merguiensis</x:v>
      </x:c>
      <x:c r="O60" s="32" t="n">
        <x:v>3.77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Penaeus merguiensis</x:v>
      </x:c>
      <x:c r="T60" s="32" t="n">
        <x:f>IF(O60="","",(1/'Metadata'!$B$5)^(O60-1))</x:f>
        <x:v>588.843655355589</x:v>
      </x:c>
      <x:c r="U60" s="31" t="n">
        <x:f>IF(T60="","",I60*T60)</x:f>
        <x:v>94743.89982095017</x:v>
      </x:c>
    </x:row>
    <x:row r="61" ht="18" customHeight="1">
      <x:c r="A61" s="24" t="str">
        <x:v>EEZ_104</x:v>
      </x:c>
      <x:c r="B61" s="24" t="str">
        <x:v>Myanmar</x:v>
      </x:c>
      <x:c r="C61" s="24" t="str">
        <x:v>EEZ</x:v>
      </x:c>
      <x:c r="D61" s="30" t="n">
        <x:v>2019</x:v>
      </x:c>
      <x:c r="E61" s="24" t="str">
        <x:v>Auxis rochei</x:v>
      </x:c>
      <x:c r="F61" s="24" t="str">
        <x:v>Bullet tuna</x:v>
      </x:c>
      <x:c r="G61" s="24" t="str">
        <x:v>Medium pelagics (30 - 89 cm)</x:v>
      </x:c>
      <x:c r="H61" s="24" t="str">
        <x:v>Tuna &amp; billfishes</x:v>
      </x:c>
      <x:c r="I61" s="31" t="n">
        <x:v>153.2320624054</x:v>
      </x:c>
      <x:c r="J61" s="31" t="n">
        <x:v>153.2320624054</x:v>
      </x:c>
      <x:c r="K61" s="31" t="n">
        <x:v>0</x:v>
      </x:c>
      <x:c r="L61" s="31" t="n">
        <x:v>153.2320624054</x:v>
      </x:c>
      <x:c r="M61" s="31" t="n">
        <x:v>0</x:v>
      </x:c>
      <x:c r="N61" s="24" t="str">
        <x:v>auxis rochei</x:v>
      </x:c>
      <x:c r="O61" s="32" t="n">
        <x:v>4.13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Auxis rochei</x:v>
      </x:c>
      <x:c r="T61" s="32" t="n">
        <x:f>IF(O61="","",(1/'Metadata'!$B$5)^(O61-1))</x:f>
        <x:v>1348.9628825916532</x:v>
      </x:c>
      <x:c r="U61" s="31" t="n">
        <x:f>IF(T61="","",I61*T61)</x:f>
        <x:v>206704.36460785248</x:v>
      </x:c>
    </x:row>
    <x:row r="62" ht="18" customHeight="1">
      <x:c r="A62" s="24" t="str">
        <x:v>EEZ_104</x:v>
      </x:c>
      <x:c r="B62" s="24" t="str">
        <x:v>Myanmar</x:v>
      </x:c>
      <x:c r="C62" s="24" t="str">
        <x:v>EEZ</x:v>
      </x:c>
      <x:c r="D62" s="30" t="n">
        <x:v>2019</x:v>
      </x:c>
      <x:c r="E62" s="24" t="str">
        <x:v>Octopodidae</x:v>
      </x:c>
      <x:c r="F62" s="24" t="str">
        <x:v>Octopuses</x:v>
      </x:c>
      <x:c r="G62" s="24" t="str">
        <x:v>Cephalopods</x:v>
      </x:c>
      <x:c r="H62" s="24" t="str">
        <x:v>Other fishes &amp; inverts</x:v>
      </x:c>
      <x:c r="I62" s="31" t="n">
        <x:v>101.6725685737</x:v>
      </x:c>
      <x:c r="J62" s="31" t="n">
        <x:v>101.6725685737</x:v>
      </x:c>
      <x:c r="K62" s="31" t="n">
        <x:v>0</x:v>
      </x:c>
      <x:c r="L62" s="31" t="n">
        <x:v>97.5679361739</x:v>
      </x:c>
      <x:c r="M62" s="31" t="n">
        <x:v>4.1046323998</x:v>
      </x:c>
      <x:c r="N62" s="24" t="str">
        <x:v>octopodidae</x:v>
      </x:c>
      <x:c r="O62" s="32" t="n">
        <x:v>3.59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Octopodidae</x:v>
      </x:c>
      <x:c r="T62" s="32" t="n">
        <x:f>IF(O62="","",(1/'Metadata'!$B$5)^(O62-1))</x:f>
        <x:v>389.04514499428046</x:v>
      </x:c>
      <x:c r="U62" s="31" t="n">
        <x:f>IF(T62="","",I62*T62)</x:f>
        <x:v>39555.21918269604</x:v>
      </x:c>
    </x:row>
    <x:row r="63" ht="18" customHeight="1">
      <x:c r="A63" s="24" t="str">
        <x:v>EEZ_104</x:v>
      </x:c>
      <x:c r="B63" s="24" t="str">
        <x:v>Myanmar</x:v>
      </x:c>
      <x:c r="C63" s="24" t="str">
        <x:v>EEZ</x:v>
      </x:c>
      <x:c r="D63" s="30" t="n">
        <x:v>2019</x:v>
      </x:c>
      <x:c r="E63" s="24" t="str">
        <x:v>Xiphias gladius</x:v>
      </x:c>
      <x:c r="F63" s="24" t="str">
        <x:v>Swordfish</x:v>
      </x:c>
      <x:c r="G63" s="24" t="str">
        <x:v>Large pelagics (&gt;=90 cm)</x:v>
      </x:c>
      <x:c r="H63" s="24" t="str">
        <x:v>Tuna &amp; billfishes</x:v>
      </x:c>
      <x:c r="I63" s="31" t="n">
        <x:v>99.5963349387</x:v>
      </x:c>
      <x:c r="J63" s="31" t="n">
        <x:v>99.3216741015</x:v>
      </x:c>
      <x:c r="K63" s="31" t="n">
        <x:v>0.2746608372</x:v>
      </x:c>
      <x:c r="L63" s="31" t="n">
        <x:v>16.0953902909</x:v>
      </x:c>
      <x:c r="M63" s="31" t="n">
        <x:v>83.5009446478</x:v>
      </x:c>
      <x:c r="N63" s="24" t="str">
        <x:v>xiphias gladius</x:v>
      </x:c>
      <x:c r="O63" s="32" t="n">
        <x:v>4.53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Xiphias gladius</x:v>
      </x:c>
      <x:c r="T63" s="32" t="n">
        <x:f>IF(O63="","",(1/'Metadata'!$B$5)^(O63-1))</x:f>
        <x:v>3388.4415613920273</x:v>
      </x:c>
      <x:c r="U63" s="31" t="n">
        <x:f>IF(T63="","",I63*T63)</x:f>
        <x:v>337476.36066861195</x:v>
      </x:c>
    </x:row>
    <x:row r="64" ht="18" customHeight="1">
      <x:c r="A64" s="24" t="str">
        <x:v>EEZ_104</x:v>
      </x:c>
      <x:c r="B64" s="24" t="str">
        <x:v>Myanmar</x:v>
      </x:c>
      <x:c r="C64" s="24" t="str">
        <x:v>EEZ</x:v>
      </x:c>
      <x:c r="D64" s="30" t="n">
        <x:v>2019</x:v>
      </x:c>
      <x:c r="E64" s="24" t="str">
        <x:v>Miscellaneous aquatic invertebrates</x:v>
      </x:c>
      <x:c r="F64" s="24" t="str">
        <x:v>Aquatic invertebrates</x:v>
      </x:c>
      <x:c r="G64" s="24" t="str">
        <x:v>Other demersal invertebrates</x:v>
      </x:c>
      <x:c r="H64" s="24" t="str">
        <x:v>Other fishes &amp; inverts</x:v>
      </x:c>
      <x:c r="I64" s="31" t="n">
        <x:v>62.90644770859999</x:v>
      </x:c>
      <x:c r="J64" s="31" t="n">
        <x:v>62.90644770859999</x:v>
      </x:c>
      <x:c r="K64" s="31" t="n">
        <x:v>0</x:v>
      </x:c>
      <x:c r="L64" s="31" t="n">
        <x:v>28.7184625172</x:v>
      </x:c>
      <x:c r="M64" s="31" t="n">
        <x:v>34.187985191399996</x:v>
      </x:c>
      <x:c r="N64" s="24" t="str">
        <x:v>miscellaneous aquatic invertebrates</x:v>
      </x:c>
      <x:c r="O64" s="32" t="n">
        <x:v>2.43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aquatic invertebrates</x:v>
      </x:c>
      <x:c r="T64" s="32" t="n">
        <x:f>IF(O64="","",(1/'Metadata'!$B$5)^(O64-1))</x:f>
        <x:v>26.915348039269166</x:v>
      </x:c>
      <x:c r="U64" s="31" t="n">
        <x:f>IF(T64="","",I64*T64)</x:f>
        <x:v>1693.1489339910552</x:v>
      </x:c>
    </x:row>
    <x:row r="65" ht="18" customHeight="1">
      <x:c r="A65" s="24" t="str">
        <x:v>EEZ_104</x:v>
      </x:c>
      <x:c r="B65" s="24" t="str">
        <x:v>Myanmar</x:v>
      </x:c>
      <x:c r="C65" s="24" t="str">
        <x:v>EEZ</x:v>
      </x:c>
      <x:c r="D65" s="30" t="n">
        <x:v>2019</x:v>
      </x:c>
      <x:c r="E65" s="24" t="str">
        <x:v>Penaeus semisulcatus</x:v>
      </x:c>
      <x:c r="F65" s="24" t="str">
        <x:v>Green tiger prawn</x:v>
      </x:c>
      <x:c r="G65" s="24" t="str">
        <x:v>Shrimps</x:v>
      </x:c>
      <x:c r="H65" s="24" t="str">
        <x:v>Crustaceans</x:v>
      </x:c>
      <x:c r="I65" s="31" t="n">
        <x:v>58.2411361409</x:v>
      </x:c>
      <x:c r="J65" s="31" t="n">
        <x:v>58.2411361409</x:v>
      </x:c>
      <x:c r="K65" s="31" t="n">
        <x:v>0</x:v>
      </x:c>
      <x:c r="L65" s="31" t="n">
        <x:v>50.3274685155</x:v>
      </x:c>
      <x:c r="M65" s="31" t="n">
        <x:v>7.9136676254</x:v>
      </x:c>
      <x:c r="N65" s="24" t="str">
        <x:v>penaeus semisulcatus</x:v>
      </x:c>
      <x:c r="O65" s="32" t="n">
        <x:v>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Penaeus semisulcatus</x:v>
      </x:c>
      <x:c r="T65" s="32" t="n">
        <x:f>IF(O65="","",(1/'Metadata'!$B$5)^(O65-1))</x:f>
        <x:v>10</x:v>
      </x:c>
      <x:c r="U65" s="31" t="n">
        <x:f>IF(T65="","",I65*T65)</x:f>
        <x:v>582.4113614089999</x:v>
      </x:c>
    </x:row>
    <x:row r="66" ht="18" customHeight="1">
      <x:c r="A66" s="24" t="str">
        <x:v>EEZ_104</x:v>
      </x:c>
      <x:c r="B66" s="24" t="str">
        <x:v>Myanmar</x:v>
      </x:c>
      <x:c r="C66" s="24" t="str">
        <x:v>EEZ</x:v>
      </x:c>
      <x:c r="D66" s="30" t="n">
        <x:v>2019</x:v>
      </x:c>
      <x:c r="E66" s="24" t="str">
        <x:v>Sillago</x:v>
      </x:c>
      <x:c r="F66" s="24" t="str">
        <x:v>Smelt-whitings</x:v>
      </x:c>
      <x:c r="G66" s="24" t="str">
        <x:v>Medium demersals (30 - 89 cm)</x:v>
      </x:c>
      <x:c r="H66" s="24" t="str">
        <x:v>Perch-likes</x:v>
      </x:c>
      <x:c r="I66" s="31" t="n">
        <x:v>55.8240166466</x:v>
      </x:c>
      <x:c r="J66" s="31" t="n">
        <x:v>55.8240166466</x:v>
      </x:c>
      <x:c r="K66" s="31" t="n">
        <x:v>0</x:v>
      </x:c>
      <x:c r="L66" s="31" t="n">
        <x:v>54.3499241774</x:v>
      </x:c>
      <x:c r="M66" s="31" t="n">
        <x:v>1.4740924692000001</x:v>
      </x:c>
      <x:c r="N66" s="24" t="str">
        <x:v>sillago</x:v>
      </x:c>
      <x:c r="O66" s="32" t="n">
        <x:v>3.33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Sillago</x:v>
      </x:c>
      <x:c r="T66" s="32" t="n">
        <x:f>IF(O66="","",(1/'Metadata'!$B$5)^(O66-1))</x:f>
        <x:v>213.79620895022325</x:v>
      </x:c>
      <x:c r="U66" s="31" t="n">
        <x:f>IF(T66="","",I66*T66)</x:f>
        <x:v>11934.963127417235</x:v>
      </x:c>
    </x:row>
    <x:row r="67" ht="18" customHeight="1">
      <x:c r="A67" s="24" t="str">
        <x:v>EEZ_104</x:v>
      </x:c>
      <x:c r="B67" s="24" t="str">
        <x:v>Myanmar</x:v>
      </x:c>
      <x:c r="C67" s="24" t="str">
        <x:v>EEZ</x:v>
      </x:c>
      <x:c r="D67" s="30" t="n">
        <x:v>2019</x:v>
      </x:c>
      <x:c r="E67" s="24" t="str">
        <x:v>Batoidea</x:v>
      </x:c>
      <x:c r="F67" s="24" t="str">
        <x:v>Batoids, skates, rays, sawfishes</x:v>
      </x:c>
      <x:c r="G67" s="24" t="str">
        <x:v>Large rays (&gt;=90 cm)</x:v>
      </x:c>
      <x:c r="H67" s="24" t="str">
        <x:v>Sharks &amp; rays</x:v>
      </x:c>
      <x:c r="I67" s="31" t="n">
        <x:v>46.8220219367</x:v>
      </x:c>
      <x:c r="J67" s="31" t="n">
        <x:v>46.8220219367</x:v>
      </x:c>
      <x:c r="K67" s="31" t="n">
        <x:v>0</x:v>
      </x:c>
      <x:c r="L67" s="31" t="n">
        <x:v>41.6277388278</x:v>
      </x:c>
      <x:c r="M67" s="31" t="n">
        <x:v>5.1942831089</x:v>
      </x:c>
      <x:c r="N67" s="24" t="str">
        <x:v>batoidea</x:v>
      </x:c>
      <x:c r="O67" s="32" t="n">
        <x:v>3.72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Batoidea</x:v>
      </x:c>
      <x:c r="T67" s="32" t="n">
        <x:f>IF(O67="","",(1/'Metadata'!$B$5)^(O67-1))</x:f>
        <x:v>524.8074602497728</x:v>
      </x:c>
      <x:c r="U67" s="31" t="n">
        <x:f>IF(T67="","",I67*T67)</x:f>
        <x:v>24572.546416358673</x:v>
      </x:c>
    </x:row>
    <x:row r="68" ht="18" customHeight="1">
      <x:c r="A68" s="24" t="str">
        <x:v>EEZ_104</x:v>
      </x:c>
      <x:c r="B68" s="24" t="str">
        <x:v>Myanmar</x:v>
      </x:c>
      <x:c r="C68" s="24" t="str">
        <x:v>EEZ</x:v>
      </x:c>
      <x:c r="D68" s="30" t="n">
        <x:v>2019</x:v>
      </x:c>
      <x:c r="E68" s="24" t="str">
        <x:v>Metapenaeus</x:v>
      </x:c>
      <x:c r="F68" s="24" t="str">
        <x:v>Indo-Pacific prawns</x:v>
      </x:c>
      <x:c r="G68" s="24" t="str">
        <x:v>Shrimps</x:v>
      </x:c>
      <x:c r="H68" s="24" t="str">
        <x:v>Crustaceans</x:v>
      </x:c>
      <x:c r="I68" s="31" t="n">
        <x:v>39.1619956562</x:v>
      </x:c>
      <x:c r="J68" s="31" t="n">
        <x:v>39.1619956562</x:v>
      </x:c>
      <x:c r="K68" s="31" t="n">
        <x:v>0</x:v>
      </x:c>
      <x:c r="L68" s="31" t="n">
        <x:v>35.5472825945</x:v>
      </x:c>
      <x:c r="M68" s="31" t="n">
        <x:v>3.6147130617000003</x:v>
      </x:c>
      <x:c r="N68" s="24" t="str">
        <x:v>metapenaeus</x:v>
      </x:c>
      <x:c r="O68" s="32" t="n">
        <x:v>2.7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Metapenaeus</x:v>
      </x:c>
      <x:c r="T68" s="32" t="n">
        <x:f>IF(O68="","",(1/'Metadata'!$B$5)^(O68-1))</x:f>
        <x:v>50.11872336272725</x:v>
      </x:c>
      <x:c r="U68" s="31" t="n">
        <x:f>IF(T68="","",I68*T68)</x:f>
        <x:v>1962.749226625414</x:v>
      </x:c>
    </x:row>
    <x:row r="69" ht="18" customHeight="1">
      <x:c r="A69" s="24" t="str">
        <x:v>EEZ_104</x:v>
      </x:c>
      <x:c r="B69" s="24" t="str">
        <x:v>Myanmar</x:v>
      </x:c>
      <x:c r="C69" s="24" t="str">
        <x:v>EEZ</x:v>
      </x:c>
      <x:c r="D69" s="30" t="n">
        <x:v>2019</x:v>
      </x:c>
      <x:c r="E69" s="24" t="str">
        <x:v>Scylla serrata</x:v>
      </x:c>
      <x:c r="F69" s="24" t="str">
        <x:v>Indo-Pacific swamp crab</x:v>
      </x:c>
      <x:c r="G69" s="24" t="str">
        <x:v>Lobsters, crabs</x:v>
      </x:c>
      <x:c r="H69" s="24" t="str">
        <x:v>Crustaceans</x:v>
      </x:c>
      <x:c r="I69" s="31" t="n">
        <x:v>35.827919036</x:v>
      </x:c>
      <x:c r="J69" s="31" t="n">
        <x:v>35.827919036</x:v>
      </x:c>
      <x:c r="K69" s="31" t="n">
        <x:v>0</x:v>
      </x:c>
      <x:c r="L69" s="31" t="n">
        <x:v>35.827919036</x:v>
      </x:c>
      <x:c r="M69" s="31" t="n">
        <x:v>0</x:v>
      </x:c>
      <x:c r="N69" s="24" t="str">
        <x:v>scylla serrata</x:v>
      </x:c>
      <x:c r="O69" s="32" t="n">
        <x:v>3.17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Scylla serrata</x:v>
      </x:c>
      <x:c r="T69" s="32" t="n">
        <x:f>IF(O69="","",(1/'Metadata'!$B$5)^(O69-1))</x:f>
        <x:v>147.91083881682073</x:v>
      </x:c>
      <x:c r="U69" s="31" t="n">
        <x:f>IF(T69="","",I69*T69)</x:f>
        <x:v>5299.337557675899</x:v>
      </x:c>
    </x:row>
    <x:row r="70" ht="18" customHeight="1">
      <x:c r="A70" s="24" t="str">
        <x:v>EEZ_104</x:v>
      </x:c>
      <x:c r="B70" s="24" t="str">
        <x:v>Myanmar</x:v>
      </x:c>
      <x:c r="C70" s="24" t="str">
        <x:v>EEZ</x:v>
      </x:c>
      <x:c r="D70" s="30" t="n">
        <x:v>2019</x:v>
      </x:c>
      <x:c r="E70" s="24" t="str">
        <x:v>Thunnus albacares</x:v>
      </x:c>
      <x:c r="F70" s="24" t="str">
        <x:v>Yellowfin tuna</x:v>
      </x:c>
      <x:c r="G70" s="24" t="str">
        <x:v>Large pelagics (&gt;=90 cm)</x:v>
      </x:c>
      <x:c r="H70" s="24" t="str">
        <x:v>Tuna &amp; billfishes</x:v>
      </x:c>
      <x:c r="I70" s="31" t="n">
        <x:v>30.5925644933</x:v>
      </x:c>
      <x:c r="J70" s="31" t="n">
        <x:v>30.5925644933</x:v>
      </x:c>
      <x:c r="K70" s="31" t="n">
        <x:v>0</x:v>
      </x:c>
      <x:c r="L70" s="31" t="n">
        <x:v>30.5925644933</x:v>
      </x:c>
      <x:c r="M70" s="31" t="n">
        <x:v>0</x:v>
      </x:c>
      <x:c r="N70" s="24" t="str">
        <x:v>thunnus albacares</x:v>
      </x:c>
      <x:c r="O70" s="32" t="n">
        <x:v>4.41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albacares</x:v>
      </x:c>
      <x:c r="T70" s="32" t="n">
        <x:f>IF(O70="","",(1/'Metadata'!$B$5)^(O70-1))</x:f>
        <x:v>2570.3957827688646</x:v>
      </x:c>
      <x:c r="U70" s="31" t="n">
        <x:f>IF(T70="","",I70*T70)</x:f>
        <x:v>78634.99875766282</x:v>
      </x:c>
    </x:row>
    <x:row r="71" ht="18" customHeight="1">
      <x:c r="A71" s="24" t="str">
        <x:v>EEZ_104</x:v>
      </x:c>
      <x:c r="B71" s="24" t="str">
        <x:v>Myanmar</x:v>
      </x:c>
      <x:c r="C71" s="24" t="str">
        <x:v>EEZ</x:v>
      </x:c>
      <x:c r="D71" s="30" t="n">
        <x:v>2019</x:v>
      </x:c>
      <x:c r="E71" s="24" t="str">
        <x:v>Muraenesox cinereus</x:v>
      </x:c>
      <x:c r="F71" s="24" t="str">
        <x:v>Daggertooth pike conger</x:v>
      </x:c>
      <x:c r="G71" s="24" t="str">
        <x:v>Large demersals (&gt;=90 cm)</x:v>
      </x:c>
      <x:c r="H71" s="24" t="str">
        <x:v>Other fishes &amp; inverts</x:v>
      </x:c>
      <x:c r="I71" s="31" t="n">
        <x:v>25.846875531000002</x:v>
      </x:c>
      <x:c r="J71" s="31" t="n">
        <x:v>25.846875531000002</x:v>
      </x:c>
      <x:c r="K71" s="31" t="n">
        <x:v>0</x:v>
      </x:c>
      <x:c r="L71" s="31" t="n">
        <x:v>22.5444608034</x:v>
      </x:c>
      <x:c r="M71" s="31" t="n">
        <x:v>3.3024147276</x:v>
      </x:c>
      <x:c r="N71" s="24" t="str">
        <x:v>muraenesox cinereus</x:v>
      </x:c>
      <x:c r="O71" s="32" t="n">
        <x:v>4.38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Muraenesox cinereus</x:v>
      </x:c>
      <x:c r="T71" s="32" t="n">
        <x:f>IF(O71="","",(1/'Metadata'!$B$5)^(O71-1))</x:f>
        <x:v>2398.83291901949</x:v>
      </x:c>
      <x:c r="U71" s="31" t="n">
        <x:f>IF(T71="","",I71*T71)</x:f>
        <x:v>62002.33587756217</x:v>
      </x:c>
    </x:row>
    <x:row r="72" ht="18" customHeight="1">
      <x:c r="A72" s="24" t="str">
        <x:v>EEZ_104</x:v>
      </x:c>
      <x:c r="B72" s="24" t="str">
        <x:v>Myanmar</x:v>
      </x:c>
      <x:c r="C72" s="24" t="str">
        <x:v>EEZ</x:v>
      </x:c>
      <x:c r="D72" s="30" t="n">
        <x:v>2019</x:v>
      </x:c>
      <x:c r="E72" s="24" t="str">
        <x:v>Lates calcarifer</x:v>
      </x:c>
      <x:c r="F72" s="24" t="str">
        <x:v>Barramundi</x:v>
      </x:c>
      <x:c r="G72" s="24" t="str">
        <x:v>Large demersals (&gt;=90 cm)</x:v>
      </x:c>
      <x:c r="H72" s="24" t="str">
        <x:v>Perch-likes</x:v>
      </x:c>
      <x:c r="I72" s="31" t="n">
        <x:v>17.8272197595</x:v>
      </x:c>
      <x:c r="J72" s="31" t="n">
        <x:v>17.8272197595</x:v>
      </x:c>
      <x:c r="K72" s="31" t="n">
        <x:v>0</x:v>
      </x:c>
      <x:c r="L72" s="31" t="n">
        <x:v>17.7736412972</x:v>
      </x:c>
      <x:c r="M72" s="31" t="n">
        <x:v>0.0535784623</x:v>
      </x:c>
      <x:c r="N72" s="24" t="str">
        <x:v>lates calcarifer</x:v>
      </x:c>
      <x:c r="O72" s="32" t="n">
        <x:v>4.35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Lates calcarifer</x:v>
      </x:c>
      <x:c r="T72" s="32" t="n">
        <x:f>IF(O72="","",(1/'Metadata'!$B$5)^(O72-1))</x:f>
        <x:v>2238.7211385683377</x:v>
      </x:c>
      <x:c r="U72" s="31" t="n">
        <x:f>IF(T72="","",I72*T72)</x:f>
        <x:v>39910.17371749581</x:v>
      </x:c>
    </x:row>
    <x:row r="73" ht="18" customHeight="1">
      <x:c r="A73" s="24" t="str">
        <x:v>EEZ_104</x:v>
      </x:c>
      <x:c r="B73" s="24" t="str">
        <x:v>Myanmar</x:v>
      </x:c>
      <x:c r="C73" s="24" t="str">
        <x:v>EEZ</x:v>
      </x:c>
      <x:c r="D73" s="30" t="n">
        <x:v>2019</x:v>
      </x:c>
      <x:c r="E73" s="24" t="str">
        <x:v>Seriolina nigrofasciata</x:v>
      </x:c>
      <x:c r="F73" s="24" t="str">
        <x:v>Blackbanded trevally</x:v>
      </x:c>
      <x:c r="G73" s="24" t="str">
        <x:v>Medium reef assoc. fish (30 - 89 cm)</x:v>
      </x:c>
      <x:c r="H73" s="24" t="str">
        <x:v>Perch-likes</x:v>
      </x:c>
      <x:c r="I73" s="31" t="n">
        <x:v>17.2980659981</x:v>
      </x:c>
      <x:c r="J73" s="31" t="n">
        <x:v>17.2980659981</x:v>
      </x:c>
      <x:c r="K73" s="31" t="n">
        <x:v>0</x:v>
      </x:c>
      <x:c r="L73" s="31" t="n">
        <x:v>11.0383667005</x:v>
      </x:c>
      <x:c r="M73" s="31" t="n">
        <x:v>6.2596992976</x:v>
      </x:c>
      <x:c r="N73" s="24" t="str">
        <x:v>seriolina nigrofasciata</x:v>
      </x:c>
      <x:c r="O73" s="32" t="n">
        <x:v>4.17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Seriolina nigrofasciata</x:v>
      </x:c>
      <x:c r="T73" s="32" t="n">
        <x:f>IF(O73="","",(1/'Metadata'!$B$5)^(O73-1))</x:f>
        <x:v>1479.1083881682073</x:v>
      </x:c>
      <x:c r="U73" s="31" t="n">
        <x:f>IF(T73="","",I73*T73)</x:f>
        <x:v>25585.714516876964</x:v>
      </x:c>
    </x:row>
    <x:row r="74" ht="18" customHeight="1">
      <x:c r="A74" s="24" t="str">
        <x:v>EEZ_104</x:v>
      </x:c>
      <x:c r="B74" s="24" t="str">
        <x:v>Myanmar</x:v>
      </x:c>
      <x:c r="C74" s="24" t="str">
        <x:v>EEZ</x:v>
      </x:c>
      <x:c r="D74" s="30" t="n">
        <x:v>2019</x:v>
      </x:c>
      <x:c r="E74" s="24" t="str">
        <x:v>Marine pelagic fishes not identified</x:v>
      </x:c>
      <x:c r="F74" s="24" t="str">
        <x:v>Pelagic fishes</x:v>
      </x:c>
      <x:c r="G74" s="24" t="str">
        <x:v>Medium pelagics (30 - 89 cm)</x:v>
      </x:c>
      <x:c r="H74" s="24" t="str">
        <x:v>Other fishes &amp; inverts</x:v>
      </x:c>
      <x:c r="I74" s="31" t="n">
        <x:v>14.036690434699999</x:v>
      </x:c>
      <x:c r="J74" s="31" t="n">
        <x:v>14.036690434699999</x:v>
      </x:c>
      <x:c r="K74" s="31" t="n">
        <x:v>0</x:v>
      </x:c>
      <x:c r="L74" s="31" t="n">
        <x:v>14.036690434699999</x:v>
      </x:c>
      <x:c r="M74" s="31" t="n">
        <x:v>0</x:v>
      </x:c>
      <x:c r="N74" s="24" t="str">
        <x:v>marine pelagic fishes not identified</x:v>
      </x:c>
      <x:c r="O74" s="32" t="n">
        <x:v>3.35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Marine pelagic fishes not identified</x:v>
      </x:c>
      <x:c r="T74" s="32" t="n">
        <x:f>IF(O74="","",(1/'Metadata'!$B$5)^(O74-1))</x:f>
        <x:v>223.872113856834</x:v>
      </x:c>
      <x:c r="U74" s="31" t="n">
        <x:f>IF(T74="","",I74*T74)</x:f>
        <x:v>3142.423559170291</x:v>
      </x:c>
    </x:row>
    <x:row r="75" ht="18" customHeight="1">
      <x:c r="A75" s="24" t="str">
        <x:v>EEZ_104</x:v>
      </x:c>
      <x:c r="B75" s="24" t="str">
        <x:v>Myanmar</x:v>
      </x:c>
      <x:c r="C75" s="24" t="str">
        <x:v>EEZ</x:v>
      </x:c>
      <x:c r="D75" s="30" t="n">
        <x:v>2019</x:v>
      </x:c>
      <x:c r="E75" s="24" t="str">
        <x:v>Penaeus monodon</x:v>
      </x:c>
      <x:c r="F75" s="24" t="str">
        <x:v>Giant tiger prawn</x:v>
      </x:c>
      <x:c r="G75" s="24" t="str">
        <x:v>Shrimps</x:v>
      </x:c>
      <x:c r="H75" s="24" t="str">
        <x:v>Crustaceans</x:v>
      </x:c>
      <x:c r="I75" s="31" t="n">
        <x:v>10.850420141599999</x:v>
      </x:c>
      <x:c r="J75" s="31" t="n">
        <x:v>10.850420141599999</x:v>
      </x:c>
      <x:c r="K75" s="31" t="n">
        <x:v>0</x:v>
      </x:c>
      <x:c r="L75" s="31" t="n">
        <x:v>10.4770938173</x:v>
      </x:c>
      <x:c r="M75" s="31" t="n">
        <x:v>0.3733263243</x:v>
      </x:c>
      <x:c r="N75" s="24" t="str">
        <x:v>penaeus monodon</x:v>
      </x:c>
      <x:c r="O75" s="32" t="n">
        <x:v>2.6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Penaeus monodon</x:v>
      </x:c>
      <x:c r="T75" s="32" t="n">
        <x:f>IF(O75="","",(1/'Metadata'!$B$5)^(O75-1))</x:f>
        <x:v>39.810717055349734</x:v>
      </x:c>
      <x:c r="U75" s="31" t="n">
        <x:f>IF(T75="","",I75*T75)</x:f>
        <x:v>431.96300618890535</x:v>
      </x:c>
    </x:row>
    <x:row r="76" ht="18" customHeight="1">
      <x:c r="A76" s="24" t="str">
        <x:v>EEZ_104</x:v>
      </x:c>
      <x:c r="B76" s="24" t="str">
        <x:v>Myanmar</x:v>
      </x:c>
      <x:c r="C76" s="24" t="str">
        <x:v>EEZ</x:v>
      </x:c>
      <x:c r="D76" s="30" t="n">
        <x:v>2019</x:v>
      </x:c>
      <x:c r="E76" s="24" t="str">
        <x:v>Thenus orientalis</x:v>
      </x:c>
      <x:c r="F76" s="24" t="str">
        <x:v>Flathead lobster</x:v>
      </x:c>
      <x:c r="G76" s="24" t="str">
        <x:v>Lobsters, crabs</x:v>
      </x:c>
      <x:c r="H76" s="24" t="str">
        <x:v>Crustaceans</x:v>
      </x:c>
      <x:c r="I76" s="31" t="n">
        <x:v>7.4836384409</x:v>
      </x:c>
      <x:c r="J76" s="31" t="n">
        <x:v>7.4836384409</x:v>
      </x:c>
      <x:c r="K76" s="31" t="n">
        <x:v>0</x:v>
      </x:c>
      <x:c r="L76" s="31" t="n">
        <x:v>7.4836384409</x:v>
      </x:c>
      <x:c r="M76" s="31" t="n">
        <x:v>0</x:v>
      </x:c>
      <x:c r="N76" s="24" t="str">
        <x:v>thenus orientalis</x:v>
      </x:c>
      <x:c r="O76" s="32" t="n">
        <x:v>2.5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Thenus orientalis</x:v>
      </x:c>
      <x:c r="T76" s="32" t="n">
        <x:f>IF(O76="","",(1/'Metadata'!$B$5)^(O76-1))</x:f>
        <x:v>31.622776601683793</x:v>
      </x:c>
      <x:c r="U76" s="31" t="n">
        <x:f>IF(T76="","",I76*T76)</x:f>
        <x:v>236.6534265843539</x:v>
      </x:c>
    </x:row>
    <x:row r="77" ht="18" customHeight="1">
      <x:c r="A77" s="24" t="str">
        <x:v>EEZ_104</x:v>
      </x:c>
      <x:c r="B77" s="24" t="str">
        <x:v>Myanmar</x:v>
      </x:c>
      <x:c r="C77" s="24" t="str">
        <x:v>EEZ</x:v>
      </x:c>
      <x:c r="D77" s="30" t="n">
        <x:v>2019</x:v>
      </x:c>
      <x:c r="E77" s="24" t="str">
        <x:v>Penaeus latisulcatus</x:v>
      </x:c>
      <x:c r="F77" s="24" t="str">
        <x:v>Western king prawn</x:v>
      </x:c>
      <x:c r="G77" s="24" t="str">
        <x:v>Shrimps</x:v>
      </x:c>
      <x:c r="H77" s="24" t="str">
        <x:v>Crustaceans</x:v>
      </x:c>
      <x:c r="I77" s="31" t="n">
        <x:v>7.4092692088</x:v>
      </x:c>
      <x:c r="J77" s="31" t="n">
        <x:v>7.4092692088</x:v>
      </x:c>
      <x:c r="K77" s="31" t="n">
        <x:v>0</x:v>
      </x:c>
      <x:c r="L77" s="31" t="n">
        <x:v>6.9223655579</x:v>
      </x:c>
      <x:c r="M77" s="31" t="n">
        <x:v>0.4869036509</x:v>
      </x:c>
      <x:c r="N77" s="24" t="str">
        <x:v>penaeus latisulcatus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latisulcatus</x:v>
      </x:c>
      <x:c r="T77" s="32" t="n">
        <x:f>IF(O77="","",(1/'Metadata'!$B$5)^(O77-1))</x:f>
        <x:v>50.11872336272725</x:v>
      </x:c>
      <x:c r="U77" s="31" t="n">
        <x:f>IF(T77="","",I77*T77)</x:f>
        <x:v>371.3431137958202</x:v>
      </x:c>
    </x:row>
    <x:row r="78" ht="18" customHeight="1">
      <x:c r="A78" s="24" t="str">
        <x:v>EEZ_104</x:v>
      </x:c>
      <x:c r="B78" s="24" t="str">
        <x:v>Myanmar</x:v>
      </x:c>
      <x:c r="C78" s="24" t="str">
        <x:v>EEZ</x:v>
      </x:c>
      <x:c r="D78" s="30" t="n">
        <x:v>2019</x:v>
      </x:c>
      <x:c r="E78" s="24" t="str">
        <x:v>Sergestidae</x:v>
      </x:c>
      <x:c r="F78" s="24" t="str">
        <x:v>Sergestid shrimp</x:v>
      </x:c>
      <x:c r="G78" s="24" t="str">
        <x:v>Shrimps</x:v>
      </x:c>
      <x:c r="H78" s="24" t="str">
        <x:v>Crustaceans</x:v>
      </x:c>
      <x:c r="I78" s="31" t="n">
        <x:v>0.8419093246999999</x:v>
      </x:c>
      <x:c r="J78" s="31" t="n">
        <x:v>0.8419093246999999</x:v>
      </x:c>
      <x:c r="K78" s="31" t="n">
        <x:v>0</x:v>
      </x:c>
      <x:c r="L78" s="31" t="n">
        <x:v>0.8419093246999999</x:v>
      </x:c>
      <x:c r="M78" s="31" t="n">
        <x:v>0</x:v>
      </x:c>
      <x:c r="N78" s="24" t="str">
        <x:v>sergestidae</x:v>
      </x:c>
      <x:c r="O78" s="32" t="n">
        <x:v>2.93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Sergestidae</x:v>
      </x:c>
      <x:c r="T78" s="32" t="n">
        <x:f>IF(O78="","",(1/'Metadata'!$B$5)^(O78-1))</x:f>
        <x:v>85.11380382023768</x:v>
      </x:c>
      <x:c r="U78" s="31" t="n">
        <x:f>IF(T78="","",I78*T78)</x:f>
        <x:v>71.65810509694458</x:v>
      </x:c>
    </x:row>
    <x:row r="79" ht="18" customHeight="1">
      <x:c r="A79" s="24" t="str">
        <x:v>EEZ_104</x:v>
      </x:c>
      <x:c r="B79" s="24" t="str">
        <x:v>Myanmar</x:v>
      </x:c>
      <x:c r="C79" s="24" t="str">
        <x:v>EEZ</x:v>
      </x:c>
      <x:c r="D79" s="30" t="n">
        <x:v>2019</x:v>
      </x:c>
      <x:c r="E79" s="24" t="str">
        <x:v>Istiophorus platypterus</x:v>
      </x:c>
      <x:c r="F79" s="24" t="str">
        <x:v>Indo-Pacific sailfish</x:v>
      </x:c>
      <x:c r="G79" s="24" t="str">
        <x:v>Large pelagics (&gt;=90 cm)</x:v>
      </x:c>
      <x:c r="H79" s="24" t="str">
        <x:v>Tuna &amp; billfishes</x:v>
      </x:c>
      <x:c r="I79" s="31" t="n">
        <x:v>0.3127999939</x:v>
      </x:c>
      <x:c r="J79" s="31" t="n">
        <x:v>0.3127999939</x:v>
      </x:c>
      <x:c r="K79" s="31" t="n">
        <x:v>0</x:v>
      </x:c>
      <x:c r="L79" s="31" t="n">
        <x:v>0.3127999939</x:v>
      </x:c>
      <x:c r="M79" s="31" t="n">
        <x:v>0</x:v>
      </x:c>
      <x:c r="N79" s="24" t="str">
        <x:v>istiophorus platypterus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Istiophorus platypterus</x:v>
      </x:c>
      <x:c r="T79" s="32" t="n">
        <x:f>IF(O79="","",(1/'Metadata'!$B$5)^(O79-1))</x:f>
        <x:v>3162.2776601683795</x:v>
      </x:c>
      <x:c r="U79" s="31" t="n">
        <x:f>IF(T79="","",I79*T79)</x:f>
        <x:v>989.1604328107754</x:v>
      </x:c>
    </x:row>
    <x:row r="80" ht="18" customHeight="1">
      <x:c r="A80" s="24" t="str">
        <x:v>EEZ_104</x:v>
      </x:c>
      <x:c r="B80" s="24" t="str">
        <x:v>Myanmar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0.0171201154</x:v>
      </x:c>
      <x:c r="J80" s="31" t="n">
        <x:v>0.0171201154</x:v>
      </x:c>
      <x:c r="K80" s="31" t="n">
        <x:v>0</x:v>
      </x:c>
      <x:c r="L80" s="31" t="n">
        <x:v>0.0171201154</x:v>
      </x:c>
      <x:c r="M80" s="31" t="n">
        <x:v>0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40.13346784228237</x:v>
      </x:c>
    </x:row>
    <x:row r="81" ht="18" customHeight="1">
      <x:c r="A81" s="24" t="str">
        <x:v>EEZ_104</x:v>
      </x:c>
      <x:c r="B81" s="24" t="str">
        <x:v>Myanmar</x:v>
      </x:c>
      <x:c r="C81" s="24" t="str">
        <x:v>EEZ</x:v>
      </x:c>
      <x:c r="D81" s="30" t="n">
        <x:v>2019</x:v>
      </x:c>
      <x:c r="E81" s="24" t="str">
        <x:v>Mobula birostris</x:v>
      </x:c>
      <x:c r="F81" s="24" t="str">
        <x:v>Giant manta</x:v>
      </x:c>
      <x:c r="G81" s="24" t="str">
        <x:v>Large rays (&gt;=90 cm)</x:v>
      </x:c>
      <x:c r="H81" s="24" t="str">
        <x:v>Sharks &amp; rays</x:v>
      </x:c>
      <x:c r="I81" s="31" t="n">
        <x:v>0.0060202609</x:v>
      </x:c>
      <x:c r="J81" s="31" t="n">
        <x:v>0.0060202609</x:v>
      </x:c>
      <x:c r="K81" s="31" t="n">
        <x:v>0</x:v>
      </x:c>
      <x:c r="L81" s="31" t="n">
        <x:v>0.0060202609</x:v>
      </x:c>
      <x:c r="M81" s="31" t="n">
        <x:v>0</x:v>
      </x:c>
      <x:c r="N81" s="24" t="str">
        <x:v>mobula birostris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Mobula birostris</x:v>
      </x:c>
      <x:c r="T81" s="32" t="n">
        <x:f>IF(O81="","",(1/'Metadata'!$B$5)^(O81-1))</x:f>
        <x:v>288.40315031266056</x:v>
      </x:c>
      <x:c r="U81" s="31" t="n">
        <x:f>IF(T81="","",I81*T81)</x:f>
        <x:v>1.736262209264133</x:v>
      </x:c>
    </x:row>
    <x:row r="82" ht="18" customHeight="1">
      <x:c r="A82" s="24" t="str">
        <x:v>EEZ_104</x:v>
      </x:c>
      <x:c r="B82" s="24" t="str">
        <x:v>Myanmar</x:v>
      </x:c>
      <x:c r="C82" s="24" t="str">
        <x:v>EEZ</x:v>
      </x:c>
      <x:c r="D82" s="30" t="n">
        <x:v>2019</x:v>
      </x:c>
      <x:c r="E82" s="24" t="str">
        <x:v>Istiompax indica</x:v>
      </x:c>
      <x:c r="F82" s="24" t="str">
        <x:v>Black marlin</x:v>
      </x:c>
      <x:c r="G82" s="24" t="str">
        <x:v>Large pelagics (&gt;=90 cm)</x:v>
      </x:c>
      <x:c r="H82" s="24" t="str">
        <x:v>Tuna &amp; billfishes</x:v>
      </x:c>
      <x:c r="I82" s="31" t="n">
        <x:v>0.0007566204</x:v>
      </x:c>
      <x:c r="J82" s="31" t="n">
        <x:v>0.0007566204</x:v>
      </x:c>
      <x:c r="K82" s="31" t="n">
        <x:v>0</x:v>
      </x:c>
      <x:c r="L82" s="31" t="n">
        <x:v>0.0007566204</x:v>
      </x:c>
      <x:c r="M82" s="31" t="n">
        <x:v>0</x:v>
      </x:c>
      <x:c r="N82" s="24" t="str">
        <x:v>istiompax indica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Istiompax indica</x:v>
      </x:c>
      <x:c r="T82" s="32" t="n">
        <x:f>IF(O82="","",(1/'Metadata'!$B$5)^(O82-1))</x:f>
        <x:v>3162.2776601683795</x:v>
      </x:c>
      <x:c r="U82" s="31" t="n">
        <x:f>IF(T82="","",I82*T82)</x:f>
        <x:v>2.392643788147663</x:v>
      </x:c>
    </x:row>
  </x:sheetData>
  <x:conditionalFormatting sqref="R2:R8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adc8d58463f49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41179.7022503415</x:v>
      </x:c>
      <x:c r="C2" s="32" t="n">
        <x:v>3.1999999999999997</x:v>
      </x:c>
      <x:c r="D2" s="32" t="n">
        <x:f>IF(C2="","",(1/'Metadata'!$B$5)^(C2-1))</x:f>
        <x:v>158.48931924611125</x:v>
      </x:c>
      <x:c r="E2" s="31" t="n">
        <x:f>IF(B2=0,"",B2*D2)</x:f>
        <x:v>6526542.976414179</x:v>
      </x:c>
    </x:row>
    <x:row r="3" ht="18" customHeight="1">
      <x:c r="A3" s="24" t="str">
        <x:v>Crustaceans</x:v>
      </x:c>
      <x:c r="B3" s="31" t="n">
        <x:v>67646.75445076262</x:v>
      </x:c>
      <x:c r="C3" s="32" t="n">
        <x:v>3.3822613977072176</x:v>
      </x:c>
      <x:c r="D3" s="32" t="n">
        <x:f>IF(C3="","",(1/'Metadata'!$B$5)^(C3-1))</x:f>
        <x:v>241.13563643915992</x:v>
      </x:c>
      <x:c r="E3" s="31" t="n">
        <x:f>IF(B3=0,"",B3*D3)</x:f>
        <x:v>16312043.187528217</x:v>
      </x:c>
    </x:row>
    <x:row r="4" ht="18" customHeight="1">
      <x:c r="A4" s="24" t="str">
        <x:v>Flatfishes</x:v>
      </x:c>
      <x:c r="B4" s="31" t="n">
        <x:v>3958.0456304902</x:v>
      </x:c>
      <x:c r="C4" s="32" t="n">
        <x:v>4.39</x:v>
      </x:c>
      <x:c r="D4" s="32" t="n">
        <x:f>IF(C4="","",(1/'Metadata'!$B$5)^(C4-1))</x:f>
        <x:v>2454.7089156850284</x:v>
      </x:c>
      <x:c r="E4" s="31" t="n">
        <x:f>IF(B4=0,"",B4*D4)</x:f>
        <x:v>9715849.897852464</x:v>
      </x:c>
    </x:row>
    <x:row r="5" ht="18" customHeight="1">
      <x:c r="A5" s="24" t="str">
        <x:v>Herring-likes</x:v>
      </x:c>
      <x:c r="B5" s="31" t="n">
        <x:v>101108.6879279575</x:v>
      </x:c>
      <x:c r="C5" s="32" t="n">
        <x:v>3.344526299619275</x:v>
      </x:c>
      <x:c r="D5" s="32" t="n">
        <x:f>IF(C5="","",(1/'Metadata'!$B$5)^(C5-1))</x:f>
        <x:v>221.0682124769484</x:v>
      </x:c>
      <x:c r="E5" s="31" t="n">
        <x:f>IF(B5=0,"",B5*D5)</x:f>
        <x:v>22351916.906123172</x:v>
      </x:c>
    </x:row>
    <x:row r="6" ht="18" customHeight="1">
      <x:c r="A6" s="24" t="str">
        <x:v>Molluscs</x:v>
      </x:c>
      <x:c r="B6" s="31" t="n">
        <x:v>944.193114489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11886.687054712818</x:v>
      </x:c>
    </x:row>
    <x:row r="7" ht="18" customHeight="1">
      <x:c r="A7" s="24" t="str">
        <x:v>Other fishes &amp; inverts</x:v>
      </x:c>
      <x:c r="B7" s="31" t="n">
        <x:v>632764.6121292852</x:v>
      </x:c>
      <x:c r="C7" s="32" t="n">
        <x:v>3.407046702402432</x:v>
      </x:c>
      <x:c r="D7" s="32" t="n">
        <x:f>IF(C7="","",(1/'Metadata'!$B$5)^(C7-1))</x:f>
        <x:v>255.29758253614273</x:v>
      </x:c>
      <x:c r="E7" s="31" t="n">
        <x:f>IF(B7=0,"",B7*D7)</x:f>
        <x:v>161543275.79102653</x:v>
      </x:c>
    </x:row>
    <x:row r="8" ht="18" customHeight="1">
      <x:c r="A8" s="24" t="str">
        <x:v>Perch-likes</x:v>
      </x:c>
      <x:c r="B8" s="31" t="n">
        <x:v>425467.6478529367</x:v>
      </x:c>
      <x:c r="C8" s="32" t="n">
        <x:v>3.731359863392143</x:v>
      </x:c>
      <x:c r="D8" s="32" t="n">
        <x:f>IF(C8="","",(1/'Metadata'!$B$5)^(C8-1))</x:f>
        <x:v>538.7159863549853</x:v>
      </x:c>
      <x:c r="E8" s="31" t="n">
        <x:f>IF(B8=0,"",B8*D8)</x:f>
        <x:v>229206223.57523033</x:v>
      </x:c>
    </x:row>
    <x:row r="9" ht="18" customHeight="1">
      <x:c r="A9" s="24" t="str">
        <x:v>Scorpionfishes</x:v>
      </x:c>
      <x:c r="B9" s="31" t="n">
        <x:v>1427.0050507493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1133510.402904325</x:v>
      </x:c>
    </x:row>
    <x:row r="10" ht="18" customHeight="1">
      <x:c r="A10" s="24" t="str">
        <x:v>Sharks &amp; rays</x:v>
      </x:c>
      <x:c r="B10" s="31" t="n">
        <x:v>46574.4813220033</x:v>
      </x:c>
      <x:c r="C10" s="32" t="n">
        <x:v>4.0496681698055585</x:v>
      </x:c>
      <x:c r="D10" s="32" t="n">
        <x:f>IF(C10="","",(1/'Metadata'!$B$5)^(C10-1))</x:f>
        <x:v>1121.1614841699973</x:v>
      </x:c>
      <x:c r="E10" s="31" t="n">
        <x:f>IF(B10=0,"",B10*D10)</x:f>
        <x:v>52217514.60342504</x:v>
      </x:c>
    </x:row>
    <x:row r="11" ht="18" customHeight="1">
      <x:c r="A11" s="24" t="str">
        <x:v>Tuna &amp; billfishes</x:v>
      </x:c>
      <x:c r="B11" s="31" t="n">
        <x:v>12863.7695078624</x:v>
      </x:c>
      <x:c r="C11" s="32" t="n">
        <x:v>4.432932392367037</x:v>
      </x:c>
      <x:c r="D11" s="32" t="n">
        <x:f>IF(C11="","",(1/'Metadata'!$B$5)^(C11-1))</x:f>
        <x:v>2709.7697628881474</x:v>
      </x:c>
      <x:c r="E11" s="31" t="n">
        <x:f>IF(B11=0,"",B11*D11)</x:f>
        <x:v>34857853.649168074</x:v>
      </x:c>
    </x:row>
  </x:sheetData>
  <x:pageMargins left="0.7" right="0.7" top="0.75" bottom="0.75" header="0.3" footer="0.3"/>
  <x:tableParts count="1">
    <x:tablePart xmlns:r="http://schemas.openxmlformats.org/officeDocument/2006/relationships" r:id="R1964a4869c6846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42168.07022604319</x:v>
      </x:c>
      <x:c r="C2" s="32" t="n">
        <x:v>3.81264931090511</x:v>
      </x:c>
      <x:c r="D2" s="32" t="n">
        <x:f>IF(C2="","",(1/'Metadata'!$B$5)^(C2-1))</x:f>
        <x:v>649.6049280548863</x:v>
      </x:c>
      <x:c r="E2" s="31" t="n">
        <x:f>IF(B2=0,"",B2*D2)</x:f>
        <x:v>27392586.22540218</x:v>
      </x:c>
    </x:row>
    <x:row r="3" ht="18" customHeight="1">
      <x:c r="A3" s="24" t="str">
        <x:v>Jellyfish</x:v>
      </x:c>
      <x:c r="B3" s="31" t="n">
        <x:v>2793.7556410028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805727.9280689739</x:v>
      </x:c>
    </x:row>
    <x:row r="4" ht="18" customHeight="1">
      <x:c r="A4" s="24" t="str">
        <x:v>Large benthopelagics (&gt;=90 cm)</x:v>
      </x:c>
      <x:c r="B4" s="31" t="n">
        <x:v>20964.129830877497</x:v>
      </x:c>
      <x:c r="C4" s="32" t="n">
        <x:v>4.1532257044193654</x:v>
      </x:c>
      <x:c r="D4" s="32" t="n">
        <x:f>IF(C4="","",(1/'Metadata'!$B$5)^(C4-1))</x:f>
        <x:v>1423.068168671605</x:v>
      </x:c>
      <x:c r="E4" s="31" t="n">
        <x:f>IF(B4=0,"",B4*D4)</x:f>
        <x:v>29833385.846220605</x:v>
      </x:c>
    </x:row>
    <x:row r="5" ht="18" customHeight="1">
      <x:c r="A5" s="24" t="str">
        <x:v>Large demersals (&gt;=90 cm)</x:v>
      </x:c>
      <x:c r="B5" s="31" t="n">
        <x:v>58263.330822259304</x:v>
      </x:c>
      <x:c r="C5" s="32" t="n">
        <x:v>3.8903581238800644</x:v>
      </x:c>
      <x:c r="D5" s="32" t="n">
        <x:f>IF(C5="","",(1/'Metadata'!$B$5)^(C5-1))</x:f>
        <x:v>776.88748230278</x:v>
      </x:c>
      <x:c r="E5" s="31" t="n">
        <x:f>IF(B5=0,"",B5*D5)</x:f>
        <x:v>45264052.39307899</x:v>
      </x:c>
    </x:row>
    <x:row r="6" ht="18" customHeight="1">
      <x:c r="A6" s="24" t="str">
        <x:v>Large pelagics (&gt;=90 cm)</x:v>
      </x:c>
      <x:c r="B6" s="31" t="n">
        <x:v>44782.593152845104</x:v>
      </x:c>
      <x:c r="C6" s="32" t="n">
        <x:v>4.368456969069031</x:v>
      </x:c>
      <x:c r="D6" s="32" t="n">
        <x:f>IF(C6="","",(1/'Metadata'!$B$5)^(C6-1))</x:f>
        <x:v>2335.914642769628</x:v>
      </x:c>
      <x:c r="E6" s="31" t="n">
        <x:f>IF(B6=0,"",B6*D6)</x:f>
        <x:v>104608315.08692575</x:v>
      </x:c>
    </x:row>
    <x:row r="7" ht="18" customHeight="1">
      <x:c r="A7" s="24" t="str">
        <x:v>Large rays (&gt;=90 cm)</x:v>
      </x:c>
      <x:c r="B7" s="31" t="n">
        <x:v>46.8280421976</x:v>
      </x:c>
      <x:c r="C7" s="32" t="n">
        <x:v>3.719966574134631</x:v>
      </x:c>
      <x:c r="D7" s="32" t="n">
        <x:f>IF(C7="","",(1/'Metadata'!$B$5)^(C7-1))</x:f>
        <x:v>524.7670695259991</x:v>
      </x:c>
      <x:c r="E7" s="31" t="n">
        <x:f>IF(B7=0,"",B7*D7)</x:f>
        <x:v>24573.81447567438</x:v>
      </x:c>
    </x:row>
    <x:row r="8" ht="18" customHeight="1">
      <x:c r="A8" s="24" t="str">
        <x:v>Large sharks (&gt;=90 cm)</x:v>
      </x:c>
      <x:c r="B8" s="31" t="n">
        <x:v>46527.6532798057</x:v>
      </x:c>
      <x:c r="C8" s="32" t="n">
        <x:v>4.05</x:v>
      </x:c>
      <x:c r="D8" s="32" t="n">
        <x:f>IF(C8="","",(1/'Metadata'!$B$5)^(C8-1))</x:f>
        <x:v>1122.018454301963</x:v>
      </x:c>
      <x:c r="E8" s="31" t="n">
        <x:f>IF(B8=0,"",B8*D8)</x:f>
        <x:v>52204885.61530525</x:v>
      </x:c>
    </x:row>
    <x:row r="9" ht="18" customHeight="1">
      <x:c r="A9" s="24" t="str">
        <x:v>Lobsters, crabs</x:v>
      </x:c>
      <x:c r="B9" s="31" t="n">
        <x:v>32006.156864872897</x:v>
      </x:c>
      <x:c r="C9" s="32" t="n">
        <x:v>3.489699989744797</x:v>
      </x:c>
      <x:c r="D9" s="32" t="n">
        <x:f>IF(C9="","",(1/'Metadata'!$B$5)^(C9-1))</x:f>
        <x:v>308.8161396262283</x:v>
      </x:c>
      <x:c r="E9" s="31" t="n">
        <x:f>IF(B9=0,"",B9*D9)</x:f>
        <x:v>9884017.807281554</x:v>
      </x:c>
    </x:row>
    <x:row r="10" ht="18" customHeight="1">
      <x:c r="A10" s="24" t="str">
        <x:v>Medium benthopelagics (30 - 89 cm)</x:v>
      </x:c>
      <x:c r="B10" s="31" t="n">
        <x:v>31159.957729088</x:v>
      </x:c>
      <x:c r="C10" s="32" t="n">
        <x:v>3.158003655872975</x:v>
      </x:c>
      <x:c r="D10" s="32" t="n">
        <x:f>IF(C10="","",(1/'Metadata'!$B$5)^(C10-1))</x:f>
        <x:v>143.88106900537093</x:v>
      </x:c>
      <x:c r="E10" s="31" t="n">
        <x:f>IF(B10=0,"",B10*D10)</x:f>
        <x:v>4483328.028223352</x:v>
      </x:c>
    </x:row>
    <x:row r="11" ht="18" customHeight="1">
      <x:c r="A11" s="24" t="str">
        <x:v>Medium demersals (30 - 89 cm)</x:v>
      </x:c>
      <x:c r="B11" s="31" t="n">
        <x:v>609658.0396156724</x:v>
      </x:c>
      <x:c r="C11" s="32" t="n">
        <x:v>3.381136108869556</x:v>
      </x:c>
      <x:c r="D11" s="32" t="n">
        <x:f>IF(C11="","",(1/'Metadata'!$B$5)^(C11-1))</x:f>
        <x:v>240.5116450819807</x:v>
      </x:c>
      <x:c r="E11" s="31" t="n">
        <x:f>IF(B11=0,"",B11*D11)</x:f>
        <x:v>146629858.04542074</x:v>
      </x:c>
    </x:row>
    <x:row r="12" ht="18" customHeight="1">
      <x:c r="A12" s="24" t="str">
        <x:v>Medium pelagics (30 - 89 cm)</x:v>
      </x:c>
      <x:c r="B12" s="31" t="n">
        <x:v>165375.6401611356</x:v>
      </x:c>
      <x:c r="C12" s="32" t="n">
        <x:v>3.8680029241538976</x:v>
      </x:c>
      <x:c r="D12" s="32" t="n">
        <x:f>IF(C12="","",(1/'Metadata'!$B$5)^(C12-1))</x:f>
        <x:v>737.9091985385205</x:v>
      </x:c>
      <x:c r="E12" s="31" t="n">
        <x:f>IF(B12=0,"",B12*D12)</x:f>
        <x:v>122032206.08909835</x:v>
      </x:c>
    </x:row>
    <x:row r="13" ht="18" customHeight="1">
      <x:c r="A13" s="24" t="str">
        <x:v>Medium reef assoc. fish (30 - 89 cm)</x:v>
      </x:c>
      <x:c r="B13" s="31" t="n">
        <x:v>42416.42689462269</x:v>
      </x:c>
      <x:c r="C13" s="32" t="n">
        <x:v>3.478657137871491</x:v>
      </x:c>
      <x:c r="D13" s="32" t="n">
        <x:f>IF(C13="","",(1/'Metadata'!$B$5)^(C13-1))</x:f>
        <x:v>301.0628287350626</x:v>
      </x:c>
      <x:c r="E13" s="31" t="n">
        <x:f>IF(B13=0,"",B13*D13)</x:f>
        <x:v>12770009.465729095</x:v>
      </x:c>
    </x:row>
    <x:row r="14" ht="18" customHeight="1">
      <x:c r="A14" s="24" t="str">
        <x:v>Other demersal invertebrates</x:v>
      </x:c>
      <x:c r="B14" s="31" t="n">
        <x:v>1007.0995621976</x:v>
      </x:c>
      <x:c r="C14" s="32" t="n">
        <x:v>2.1206127859876527</x:v>
      </x:c>
      <x:c r="D14" s="32" t="n">
        <x:f>IF(C14="","",(1/'Metadata'!$B$5)^(C14-1))</x:f>
        <x:v>13.20118100985568</x:v>
      </x:c>
      <x:c r="E14" s="31" t="n">
        <x:f>IF(B14=0,"",B14*D14)</x:f>
        <x:v>13294.903615516927</x:v>
      </x:c>
    </x:row>
    <x:row r="15" ht="18" customHeight="1">
      <x:c r="A15" s="24" t="str">
        <x:v>Shrimps</x:v>
      </x:c>
      <x:c r="B15" s="31" t="n">
        <x:v>35640.59758588971</x:v>
      </x:c>
      <x:c r="C15" s="32" t="n">
        <x:v>3.285778828305596</x:v>
      </x:c>
      <x:c r="D15" s="32" t="n">
        <x:f>IF(C15="","",(1/'Metadata'!$B$5)^(C15-1))</x:f>
        <x:v>193.0984680478821</x:v>
      </x:c>
      <x:c r="E15" s="31" t="n">
        <x:f>IF(B15=0,"",B15*D15)</x:f>
        <x:v>6882144.794146348</x:v>
      </x:c>
    </x:row>
    <x:row r="16" ht="18" customHeight="1">
      <x:c r="A16" s="24" t="str">
        <x:v>Small benthopelagics (&lt;30 cm)</x:v>
      </x:c>
      <x:c r="B16" s="31" t="n">
        <x:v>6786.6552484896</x:v>
      </x:c>
      <x:c r="C16" s="32" t="n">
        <x:v>3.24</x:v>
      </x:c>
      <x:c r="D16" s="32" t="n">
        <x:f>IF(C16="","",(1/'Metadata'!$B$5)^(C16-1))</x:f>
        <x:v>173.78008287493762</x:v>
      </x:c>
      <x:c r="E16" s="31" t="n">
        <x:f>IF(B16=0,"",B16*D16)</x:f>
        <x:v>1179385.511526153</x:v>
      </x:c>
    </x:row>
    <x:row r="17" ht="18" customHeight="1">
      <x:c r="A17" s="24" t="str">
        <x:v>Small demersals (&lt;30 cm)</x:v>
      </x:c>
      <x:c r="B17" s="31" t="n">
        <x:v>64714.8009888808</x:v>
      </x:c>
      <x:c r="C17" s="32" t="n">
        <x:v>3.5372277548005417</x:v>
      </x:c>
      <x:c r="D17" s="32" t="n">
        <x:f>IF(C17="","",(1/'Metadata'!$B$5)^(C17-1))</x:f>
        <x:v>344.5305637699405</x:v>
      </x:c>
      <x:c r="E17" s="31" t="n">
        <x:f>IF(B17=0,"",B17*D17)</x:f>
        <x:v>22296226.868958604</x:v>
      </x:c>
    </x:row>
    <x:row r="18" ht="18" customHeight="1">
      <x:c r="A18" s="24" t="str">
        <x:v>Small pelagics (&lt;30 cm)</x:v>
      </x:c>
      <x:c r="B18" s="31" t="n">
        <x:v>125321.3558176567</x:v>
      </x:c>
      <x:c r="C18" s="32" t="n">
        <x:v>3.167861505688897</x:v>
      </x:c>
      <x:c r="D18" s="32" t="n">
        <x:f>IF(C18="","",(1/'Metadata'!$B$5)^(C18-1))</x:f>
        <x:v>147.18430642858755</x:v>
      </x:c>
      <x:c r="E18" s="31" t="n">
        <x:f>IF(B18=0,"",B18*D18)</x:f>
        <x:v>18445336.836712036</x:v>
      </x:c>
    </x:row>
    <x:row r="19" ht="18" customHeight="1">
      <x:c r="A19" s="24" t="str">
        <x:v>Small reef assoc. fish (&lt;30 cm)</x:v>
      </x:c>
      <x:c r="B19" s="31" t="n">
        <x:v>343.7621428502</x:v>
      </x:c>
      <x:c r="C19" s="32" t="n">
        <x:v>3.3</x:v>
      </x:c>
      <x:c r="D19" s="32" t="n">
        <x:f>IF(C19="","",(1/'Metadata'!$B$5)^(C19-1))</x:f>
        <x:v>199.52623149688787</x:v>
      </x:c>
      <x:c r="E19" s="31" t="n">
        <x:f>IF(B19=0,"",B19*D19)</x:f>
        <x:v>68589.56489419524</x:v>
      </x:c>
    </x:row>
    <x:row r="20" ht="18" customHeight="1">
      <x:c r="A20" s="24" t="str">
        <x:v>Small to medium flatfishes (&lt;90 cm)</x:v>
      </x:c>
      <x:c r="B20" s="31" t="n">
        <x:v>3958.0456304902</x:v>
      </x:c>
      <x:c r="C20" s="32" t="n">
        <x:v>4.39</x:v>
      </x:c>
      <x:c r="D20" s="32" t="n">
        <x:f>IF(C20="","",(1/'Metadata'!$B$5)^(C20-1))</x:f>
        <x:v>2454.7089156850284</x:v>
      </x:c>
      <x:c r="E20" s="31" t="n">
        <x:f>IF(B20=0,"",B20*D20)</x:f>
        <x:v>9715849.897852464</x:v>
      </x:c>
    </x:row>
  </x:sheetData>
  <x:pageMargins left="0.7" right="0.7" top="0.75" bottom="0.75" header="0.3" footer="0.3"/>
  <x:tableParts count="1">
    <x:tablePart xmlns:r="http://schemas.openxmlformats.org/officeDocument/2006/relationships" r:id="Re77c93786e1443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EEZ_104</x:v>
      </x:c>
      <x:c r="B2" s="24" t="str">
        <x:v>raw_filtered_tonnes</x:v>
      </x:c>
      <x:c r="C2" s="24" t="n">
        <x:v>1333934.8992368777</x:v>
      </x:c>
      <x:c r="D2" s="24" t="str">
        <x:v>tonnes</x:v>
      </x:c>
    </x:row>
    <x:row r="3" ht="18" customHeight="1">
      <x:c r="A3" s="24" t="str">
        <x:v>EEZ_104</x:v>
      </x:c>
      <x:c r="B3" s="24" t="str">
        <x:v>species_catch_tonnes</x:v>
      </x:c>
      <x:c r="C3" s="24" t="n">
        <x:v>1333934.8992368777</x:v>
      </x:c>
      <x:c r="D3" s="24" t="str">
        <x:v>tonnes</x:v>
      </x:c>
    </x:row>
    <x:row r="4" ht="18" customHeight="1">
      <x:c r="A4" s="24" t="str">
        <x:v>EEZ_104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EEZ_104</x:v>
      </x:c>
      <x:c r="B6" s="24" t="str">
        <x:v>matched_catch_tonnes</x:v>
      </x:c>
      <x:c r="C6" s="24" t="n">
        <x:v>1333934.8992368777</x:v>
      </x:c>
      <x:c r="D6" s="24" t="str">
        <x:v>tonnes</x:v>
      </x:c>
    </x:row>
    <x:row r="7" ht="18" customHeight="1">
      <x:c r="A7" s="24" t="str">
        <x:v>EEZ_104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EEZ_104</x:v>
      </x:c>
      <x:c r="B8" s="24" t="str">
        <x:v>taxa_count</x:v>
      </x:c>
      <x:c r="C8" s="24" t="n">
        <x:v>81</x:v>
      </x:c>
      <x:c r="D8" s="24" t="str">
        <x:v>count</x:v>
      </x:c>
    </x:row>
    <x:row r="9" ht="18" customHeight="1">
      <x:c r="A9" s="24" t="str">
        <x:v>EEZ_104</x:v>
      </x:c>
      <x:c r="B9" s="24" t="str">
        <x:v>matched_taxa_count</x:v>
      </x:c>
      <x:c r="C9" s="24" t="n">
        <x:v>81</x:v>
      </x:c>
      <x:c r="D9" s="24" t="str">
        <x:v>count</x:v>
      </x:c>
    </x:row>
    <x:row r="10" ht="18" customHeight="1">
      <x:c r="A10" s="24" t="str">
        <x:v>EEZ_104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EEZ_104</x:v>
      </x:c>
      <x:c r="B11" s="24" t="str">
        <x:v>species_ppr</x:v>
      </x:c>
      <x:c r="C11" s="24" t="n">
        <x:v>719846370.2034029</x:v>
      </x:c>
      <x:c r="D11" s="24" t="str">
        <x:v>tonnes_primary_production_equivalent</x:v>
      </x:c>
    </x:row>
    <x:row r="12" ht="18" customHeight="1">
      <x:c r="A12" s="24" t="str">
        <x:v>EEZ_104</x:v>
      </x:c>
      <x:c r="B12" s="24" t="str">
        <x:v>commercial_ppr</x:v>
      </x:c>
      <x:c r="C12" s="24" t="n">
        <x:v>533876617.67672706</x:v>
      </x:c>
      <x:c r="D12" s="24" t="str">
        <x:v>tonnes_primary_production_equivalent</x:v>
      </x:c>
    </x:row>
    <x:row r="13" ht="18" customHeight="1">
      <x:c r="A13" s="24" t="str">
        <x:v>EEZ_104</x:v>
      </x:c>
      <x:c r="B13" s="24" t="str">
        <x:v>functional_ppr</x:v>
      </x:c>
      <x:c r="C13" s="24" t="n">
        <x:v>614533774.7229358</x:v>
      </x:c>
      <x:c r="D13" s="24" t="str">
        <x:v>tonnes_primary_production_equivalent</x:v>
      </x:c>
    </x:row>
    <x:row r="14" ht="18" customHeight="1">
      <x:c r="A14" s="24" t="str">
        <x:v>EEZ_104</x:v>
      </x:c>
      <x:c r="B14" s="24" t="str">
        <x:v>commercial_ppr_difference</x:v>
      </x:c>
      <x:c r="C14" s="24" t="n">
        <x:v>-185969752.52667582</x:v>
      </x:c>
      <x:c r="D14" s="24" t="str">
        <x:v>tonnes_primary_production_equivalent</x:v>
      </x:c>
    </x:row>
    <x:row r="15" ht="18" customHeight="1">
      <x:c r="A15" s="24" t="str">
        <x:v>EEZ_104</x:v>
      </x:c>
      <x:c r="B15" s="24" t="str">
        <x:v>functional_ppr_difference</x:v>
      </x:c>
      <x:c r="C15" s="24" t="n">
        <x:v>-105312595.48046708</x:v>
      </x:c>
      <x:c r="D15" s="24" t="str">
        <x:v>tonnes_primary_production_equivalent</x:v>
      </x:c>
    </x:row>
    <x:row r="16" ht="18" customHeight="1">
      <x:c r="A16" s="24" t="str">
        <x:v>EEZ_104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c5a8b70ef9747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EEZ_104 - Myanmar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