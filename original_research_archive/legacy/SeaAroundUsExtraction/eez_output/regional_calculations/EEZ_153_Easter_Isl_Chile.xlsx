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00bdf92e9a4e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1b515bdfb03487c"/>
    <x:sheet xmlns:r="http://schemas.openxmlformats.org/officeDocument/2006/relationships" name="Commercial" sheetId="2" r:id="Rf518728adfa54c52"/>
    <x:sheet xmlns:r="http://schemas.openxmlformats.org/officeDocument/2006/relationships" name="Functional" sheetId="3" r:id="R27c1e4e0d441498f"/>
    <x:sheet xmlns:r="http://schemas.openxmlformats.org/officeDocument/2006/relationships" name="Missing TL" sheetId="4" r:id="R2986786ab0064f01"/>
    <x:sheet xmlns:r="http://schemas.openxmlformats.org/officeDocument/2006/relationships" name="Validation" sheetId="5" r:id="R773027072aee4e33"/>
    <x:sheet xmlns:r="http://schemas.openxmlformats.org/officeDocument/2006/relationships" name="Metadata" sheetId="6" r:id="R14c0736cdaa64f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b12c83805d47fb" /><Relationship Type="http://schemas.openxmlformats.org/officeDocument/2006/relationships/theme" Target="/xl/theme/theme1.xml" Id="R6152f91dc46f44fa" /><Relationship Type="http://schemas.microsoft.com/office/2022/11/relationships/FeaturePropertyBag" Target="/xl/featurePropertyBag/featurePropertyBag.xml" Id="Rc3249a2608b646c2" /><Relationship Type="http://schemas.openxmlformats.org/officeDocument/2006/relationships/sharedStrings" Target="/xl/sharedStrings.xml" Id="R4e20fee029b84aff" /><Relationship Type="http://schemas.openxmlformats.org/officeDocument/2006/relationships/worksheet" Target="/xl/worksheets/sheet1.xml" Id="R21b515bdfb03487c" /><Relationship Type="http://schemas.openxmlformats.org/officeDocument/2006/relationships/worksheet" Target="/xl/worksheets/sheet2.xml" Id="Rf518728adfa54c52" /><Relationship Type="http://schemas.openxmlformats.org/officeDocument/2006/relationships/worksheet" Target="/xl/worksheets/sheet3.xml" Id="R27c1e4e0d441498f" /><Relationship Type="http://schemas.openxmlformats.org/officeDocument/2006/relationships/worksheet" Target="/xl/worksheets/sheet4.xml" Id="R2986786ab0064f01" /><Relationship Type="http://schemas.openxmlformats.org/officeDocument/2006/relationships/worksheet" Target="/xl/worksheets/sheet5.xml" Id="R773027072aee4e33" /><Relationship Type="http://schemas.openxmlformats.org/officeDocument/2006/relationships/worksheet" Target="/xl/worksheets/sheet6.xml" Id="R14c0736cdaa64f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53SpeciesTable" displayName="EEZ153SpeciesTable" ref="A1:U37" headerRowCount="1" totalsRowCount="0" totalsRowShown="0">
  <x:autoFilter ref="A1:U3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53CommercialTable" displayName="EEZ153CommercialTable" ref="A1:E6" headerRowCount="1" totalsRowCount="0" totalsRowShown="0">
  <x:autoFilter ref="A1:E6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53FunctionalTable" displayName="EEZ153FunctionalTable" ref="A1:E9" headerRowCount="1" totalsRowCount="0" totalsRowShown="0">
  <x:autoFilter ref="A1:E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53ValidationTable" displayName="EEZ153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aa6b0ce1fe4e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d057e936db143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24f04f166f141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a06a481e8e47a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EEZ_153</x:v>
      </x:c>
      <x:c r="B2" s="24" t="str">
        <x:v>Easter Isl. (Chile)</x:v>
      </x:c>
      <x:c r="C2" s="24" t="str">
        <x:v>EEZ</x:v>
      </x:c>
      <x:c r="D2" s="30" t="n">
        <x:v>2019</x:v>
      </x:c>
      <x:c r="E2" s="24" t="str">
        <x:v>Prionace glauca</x:v>
      </x:c>
      <x:c r="F2" s="24" t="str">
        <x:v>Blue shark</x:v>
      </x:c>
      <x:c r="G2" s="24" t="str">
        <x:v>Large sharks (&gt;=90 cm)</x:v>
      </x:c>
      <x:c r="H2" s="24" t="str">
        <x:v>Sharks &amp; rays</x:v>
      </x:c>
      <x:c r="I2" s="31" t="n">
        <x:v>2159.4641729874998</x:v>
      </x:c>
      <x:c r="J2" s="31" t="n">
        <x:v>2133.9619880111</x:v>
      </x:c>
      <x:c r="K2" s="31" t="n">
        <x:v>25.5021849764</x:v>
      </x:c>
      <x:c r="L2" s="31" t="n">
        <x:v>2133.9619880111</x:v>
      </x:c>
      <x:c r="M2" s="31" t="n">
        <x:v>25.5021849764</x:v>
      </x:c>
      <x:c r="N2" s="24" t="str">
        <x:v>prionace glauca</x:v>
      </x:c>
      <x:c r="O2" s="32" t="n">
        <x:v>4.35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Prionace glauca</x:v>
      </x:c>
      <x:c r="T2" s="32" t="n">
        <x:f>IF(O2="","",(1/'Metadata'!$B$5)^(O2-1))</x:f>
        <x:v>2238.7211385683377</x:v>
      </x:c>
      <x:c r="U2" s="31" t="n">
        <x:f>IF(T2="","",I2*T2)</x:f>
        <x:v>4834438.0920481095</x:v>
      </x:c>
    </x:row>
    <x:row r="3" ht="18" customHeight="1">
      <x:c r="A3" s="24" t="str">
        <x:v>EEZ_153</x:v>
      </x:c>
      <x:c r="B3" s="24" t="str">
        <x:v>Easter Isl. (Chile)</x:v>
      </x:c>
      <x:c r="C3" s="24" t="str">
        <x:v>EEZ</x:v>
      </x:c>
      <x:c r="D3" s="30" t="n">
        <x:v>2019</x:v>
      </x:c>
      <x:c r="E3" s="24" t="str">
        <x:v>Trachurus murphyi</x:v>
      </x:c>
      <x:c r="F3" s="24" t="str">
        <x:v>Chilean jack mackerel</x:v>
      </x:c>
      <x:c r="G3" s="24" t="str">
        <x:v>Medium pelagics (30 - 89 cm)</x:v>
      </x:c>
      <x:c r="H3" s="24" t="str">
        <x:v>Perch-likes</x:v>
      </x:c>
      <x:c r="I3" s="31" t="n">
        <x:v>419.9972195244</x:v>
      </x:c>
      <x:c r="J3" s="31" t="n">
        <x:v>419.9972195244</x:v>
      </x:c>
      <x:c r="K3" s="31" t="n">
        <x:v>0</x:v>
      </x:c>
      <x:c r="L3" s="31" t="n">
        <x:v>0.0497195244</x:v>
      </x:c>
      <x:c r="M3" s="31" t="n">
        <x:v>419.9475</x:v>
      </x:c>
      <x:c r="N3" s="24" t="str">
        <x:v>trachurus murphyi</x:v>
      </x:c>
      <x:c r="O3" s="32" t="n">
        <x:v>3.33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Trachurus murphyi</x:v>
      </x:c>
      <x:c r="T3" s="32" t="n">
        <x:f>IF(O3="","",(1/'Metadata'!$B$5)^(O3-1))</x:f>
        <x:v>213.79620895022325</x:v>
      </x:c>
      <x:c r="U3" s="31" t="n">
        <x:f>IF(T3="","",I3*T3)</x:f>
        <x:v>89793.8133039514</x:v>
      </x:c>
    </x:row>
    <x:row r="4" ht="18" customHeight="1">
      <x:c r="A4" s="24" t="str">
        <x:v>EEZ_153</x:v>
      </x:c>
      <x:c r="B4" s="24" t="str">
        <x:v>Easter Isl. (Chile)</x:v>
      </x:c>
      <x:c r="C4" s="24" t="str">
        <x:v>EEZ</x:v>
      </x:c>
      <x:c r="D4" s="30" t="n">
        <x:v>2019</x:v>
      </x:c>
      <x:c r="E4" s="24" t="str">
        <x:v>Isurus oxyrinchus</x:v>
      </x:c>
      <x:c r="F4" s="24" t="str">
        <x:v>Shortfin mako</x:v>
      </x:c>
      <x:c r="G4" s="24" t="str">
        <x:v>Large sharks (&gt;=90 cm)</x:v>
      </x:c>
      <x:c r="H4" s="24" t="str">
        <x:v>Sharks &amp; rays</x:v>
      </x:c>
      <x:c r="I4" s="31" t="n">
        <x:v>418.3953542873</x:v>
      </x:c>
      <x:c r="J4" s="31" t="n">
        <x:v>418.3953542873</x:v>
      </x:c>
      <x:c r="K4" s="31" t="n">
        <x:v>0</x:v>
      </x:c>
      <x:c r="L4" s="31" t="n">
        <x:v>418.3953542873</x:v>
      </x:c>
      <x:c r="M4" s="31" t="n">
        <x:v>0</x:v>
      </x:c>
      <x:c r="N4" s="24" t="str">
        <x:v>isurus oxyrinchus</x:v>
      </x:c>
      <x:c r="O4" s="32" t="n">
        <x:v>4.5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Isurus oxyrinchus</x:v>
      </x:c>
      <x:c r="T4" s="32" t="n">
        <x:f>IF(O4="","",(1/'Metadata'!$B$5)^(O4-1))</x:f>
        <x:v>3162.2776601683795</x:v>
      </x:c>
      <x:c r="U4" s="31" t="n">
        <x:f>IF(T4="","",I4*T4)</x:f>
        <x:v>1323082.2819809632</x:v>
      </x:c>
    </x:row>
    <x:row r="5" ht="18" customHeight="1">
      <x:c r="A5" s="24" t="str">
        <x:v>EEZ_153</x:v>
      </x:c>
      <x:c r="B5" s="24" t="str">
        <x:v>Easter Isl. (Chile)</x:v>
      </x:c>
      <x:c r="C5" s="24" t="str">
        <x:v>EEZ</x:v>
      </x:c>
      <x:c r="D5" s="30" t="n">
        <x:v>2019</x:v>
      </x:c>
      <x:c r="E5" s="24" t="str">
        <x:v>Scombridae</x:v>
      </x:c>
      <x:c r="F5" s="24" t="str">
        <x:v>Mackerels, tunas, bonitos</x:v>
      </x:c>
      <x:c r="G5" s="24" t="str">
        <x:v>Medium pelagics (30 - 89 cm)</x:v>
      </x:c>
      <x:c r="H5" s="24" t="str">
        <x:v>Perch-likes</x:v>
      </x:c>
      <x:c r="I5" s="31" t="n">
        <x:v>318.0776384594</x:v>
      </x:c>
      <x:c r="J5" s="31" t="n">
        <x:v>315</x:v>
      </x:c>
      <x:c r="K5" s="31" t="n">
        <x:v>3.0776384594</x:v>
      </x:c>
      <x:c r="L5" s="31" t="n">
        <x:v>0</x:v>
      </x:c>
      <x:c r="M5" s="31" t="n">
        <x:v>318.0776384594</x:v>
      </x:c>
      <x:c r="N5" s="24" t="str">
        <x:v>scombridae</x:v>
      </x:c>
      <x:c r="O5" s="32" t="n">
        <x:v>4.26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Scombridae</x:v>
      </x:c>
      <x:c r="T5" s="32" t="n">
        <x:f>IF(O5="","",(1/'Metadata'!$B$5)^(O5-1))</x:f>
        <x:v>1819.7008586099826</x:v>
      </x:c>
      <x:c r="U5" s="31" t="n">
        <x:f>IF(T5="","",I5*T5)</x:f>
        <x:v>578806.1518092059</x:v>
      </x:c>
    </x:row>
    <x:row r="6" ht="18" customHeight="1">
      <x:c r="A6" s="24" t="str">
        <x:v>EEZ_153</x:v>
      </x:c>
      <x:c r="B6" s="24" t="str">
        <x:v>Easter Isl. (Chile)</x:v>
      </x:c>
      <x:c r="C6" s="24" t="str">
        <x:v>EEZ</x:v>
      </x:c>
      <x:c r="D6" s="30" t="n">
        <x:v>2019</x:v>
      </x:c>
      <x:c r="E6" s="24" t="str">
        <x:v>Thunnus alalunga</x:v>
      </x:c>
      <x:c r="F6" s="24" t="str">
        <x:v>Albacore</x:v>
      </x:c>
      <x:c r="G6" s="24" t="str">
        <x:v>Large pelagics (&gt;=90 cm)</x:v>
      </x:c>
      <x:c r="H6" s="24" t="str">
        <x:v>Tuna &amp; billfishes</x:v>
      </x:c>
      <x:c r="I6" s="31" t="n">
        <x:v>110.84375556149999</x:v>
      </x:c>
      <x:c r="J6" s="31" t="n">
        <x:v>110.84375556149999</x:v>
      </x:c>
      <x:c r="K6" s="31" t="n">
        <x:v>0</x:v>
      </x:c>
      <x:c r="L6" s="31" t="n">
        <x:v>110.84375556149999</x:v>
      </x:c>
      <x:c r="M6" s="31" t="n">
        <x:v>0</x:v>
      </x:c>
      <x:c r="N6" s="24" t="str">
        <x:v>thunnus alalunga</x:v>
      </x:c>
      <x:c r="O6" s="32" t="n">
        <x:v>4.3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alalunga</x:v>
      </x:c>
      <x:c r="T6" s="32" t="n">
        <x:f>IF(O6="","",(1/'Metadata'!$B$5)^(O6-1))</x:f>
        <x:v>1995.2623149688789</x:v>
      </x:c>
      <x:c r="U6" s="31" t="n">
        <x:f>IF(T6="","",I6*T6)</x:f>
        <x:v>221162.36832148302</x:v>
      </x:c>
    </x:row>
    <x:row r="7" ht="18" customHeight="1">
      <x:c r="A7" s="24" t="str">
        <x:v>EEZ_153</x:v>
      </x:c>
      <x:c r="B7" s="24" t="str">
        <x:v>Easter Isl. (Chile)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31.859312306199996</x:v>
      </x:c>
      <x:c r="J7" s="31" t="n">
        <x:v>20.864325456699998</x:v>
      </x:c>
      <x:c r="K7" s="31" t="n">
        <x:v>10.9949868495</x:v>
      </x:c>
      <x:c r="L7" s="31" t="n">
        <x:v>3.3842847106</x:v>
      </x:c>
      <x:c r="M7" s="31" t="n">
        <x:v>28.475027595599997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6070.666810078714</x:v>
      </x:c>
    </x:row>
    <x:row r="8" ht="18" customHeight="1">
      <x:c r="A8" s="24" t="str">
        <x:v>EEZ_153</x:v>
      </x:c>
      <x:c r="B8" s="24" t="str">
        <x:v>Easter Isl. (Chile)</x:v>
      </x:c>
      <x:c r="C8" s="24" t="str">
        <x:v>EEZ</x:v>
      </x:c>
      <x:c r="D8" s="30" t="n">
        <x:v>2019</x:v>
      </x:c>
      <x:c r="E8" s="24" t="str">
        <x:v>Coryphaena hippurus</x:v>
      </x:c>
      <x:c r="F8" s="24" t="str">
        <x:v>Common dolphinfish</x:v>
      </x:c>
      <x:c r="G8" s="24" t="str">
        <x:v>Large pelagics (&gt;=90 cm)</x:v>
      </x:c>
      <x:c r="H8" s="24" t="str">
        <x:v>Perch-likes</x:v>
      </x:c>
      <x:c r="I8" s="31" t="n">
        <x:v>28.111140167400002</x:v>
      </x:c>
      <x:c r="J8" s="31" t="n">
        <x:v>27.179782049700002</x:v>
      </x:c>
      <x:c r="K8" s="31" t="n">
        <x:v>0.9313581177</x:v>
      </x:c>
      <x:c r="L8" s="31" t="n">
        <x:v>27.179782049700002</x:v>
      </x:c>
      <x:c r="M8" s="31" t="n">
        <x:v>0.9313581177</x:v>
      </x:c>
      <x:c r="N8" s="24" t="str">
        <x:v>coryphaena hippurus</x:v>
      </x:c>
      <x:c r="O8" s="32" t="n">
        <x:v>4.37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Coryphaena hippurus</x:v>
      </x:c>
      <x:c r="T8" s="32" t="n">
        <x:f>IF(O8="","",(1/'Metadata'!$B$5)^(O8-1))</x:f>
        <x:v>2344.228815319923</x:v>
      </x:c>
      <x:c r="U8" s="31" t="n">
        <x:f>IF(T8="","",I8*T8)</x:f>
        <x:v>65898.9448119164</x:v>
      </x:c>
    </x:row>
    <x:row r="9" ht="18" customHeight="1">
      <x:c r="A9" s="24" t="str">
        <x:v>EEZ_153</x:v>
      </x:c>
      <x:c r="B9" s="24" t="str">
        <x:v>Easter Isl. (Chile)</x:v>
      </x:c>
      <x:c r="C9" s="24" t="str">
        <x:v>EEZ</x:v>
      </x:c>
      <x:c r="D9" s="30" t="n">
        <x:v>2019</x:v>
      </x:c>
      <x:c r="E9" s="24" t="str">
        <x:v>Thunnus obesus</x:v>
      </x:c>
      <x:c r="F9" s="24" t="str">
        <x:v>Bigeye tuna</x:v>
      </x:c>
      <x:c r="G9" s="24" t="str">
        <x:v>Large pelagics (&gt;=90 cm)</x:v>
      </x:c>
      <x:c r="H9" s="24" t="str">
        <x:v>Tuna &amp; billfishes</x:v>
      </x:c>
      <x:c r="I9" s="31" t="n">
        <x:v>15.7306620944</x:v>
      </x:c>
      <x:c r="J9" s="31" t="n">
        <x:v>15.2568354841</x:v>
      </x:c>
      <x:c r="K9" s="31" t="n">
        <x:v>0.4738266103</x:v>
      </x:c>
      <x:c r="L9" s="31" t="n">
        <x:v>15.2568354841</x:v>
      </x:c>
      <x:c r="M9" s="31" t="n">
        <x:v>0.4738266103</x:v>
      </x:c>
      <x:c r="N9" s="24" t="str">
        <x:v>thunnus obesus</x:v>
      </x:c>
      <x:c r="O9" s="32" t="n">
        <x:v>4.49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obesus</x:v>
      </x:c>
      <x:c r="T9" s="32" t="n">
        <x:f>IF(O9="","",(1/'Metadata'!$B$5)^(O9-1))</x:f>
        <x:v>3090.295432513592</x:v>
      </x:c>
      <x:c r="U9" s="31" t="n">
        <x:f>IF(T9="","",I9*T9)</x:f>
        <x:v>48612.39322073902</x:v>
      </x:c>
    </x:row>
    <x:row r="10" ht="18" customHeight="1">
      <x:c r="A10" s="24" t="str">
        <x:v>EEZ_153</x:v>
      </x:c>
      <x:c r="B10" s="24" t="str">
        <x:v>Easter Isl. (Chile)</x:v>
      </x:c>
      <x:c r="C10" s="24" t="str">
        <x:v>EEZ</x:v>
      </x:c>
      <x:c r="D10" s="30" t="n">
        <x:v>2019</x:v>
      </x:c>
      <x:c r="E10" s="24" t="str">
        <x:v>Centrolophidae</x:v>
      </x:c>
      <x:c r="F10" s="24" t="str">
        <x:v>Medusafishes</x:v>
      </x:c>
      <x:c r="G10" s="24" t="str">
        <x:v>Medium benthopelagics (30 - 89 cm)</x:v>
      </x:c>
      <x:c r="H10" s="24" t="str">
        <x:v>Perch-likes</x:v>
      </x:c>
      <x:c r="I10" s="31" t="n">
        <x:v>14.3018515195</x:v>
      </x:c>
      <x:c r="J10" s="31" t="n">
        <x:v>14.3018515195</x:v>
      </x:c>
      <x:c r="K10" s="31" t="n">
        <x:v>0</x:v>
      </x:c>
      <x:c r="L10" s="31" t="n">
        <x:v>0</x:v>
      </x:c>
      <x:c r="M10" s="31" t="n">
        <x:v>14.3018515195</x:v>
      </x:c>
      <x:c r="N10" s="24" t="str">
        <x:v>centrolophidae</x:v>
      </x:c>
      <x:c r="O10" s="32" t="n">
        <x:v>3.65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Centrolophidae</x:v>
      </x:c>
      <x:c r="T10" s="32" t="n">
        <x:f>IF(O10="","",(1/'Metadata'!$B$5)^(O10-1))</x:f>
        <x:v>446.683592150963</x:v>
      </x:c>
      <x:c r="U10" s="31" t="n">
        <x:f>IF(T10="","",I10*T10)</x:f>
        <x:v>6388.4024111399685</x:v>
      </x:c>
    </x:row>
    <x:row r="11" ht="18" customHeight="1">
      <x:c r="A11" s="24" t="str">
        <x:v>EEZ_153</x:v>
      </x:c>
      <x:c r="B11" s="24" t="str">
        <x:v>Easter Isl. (Chile)</x:v>
      </x:c>
      <x:c r="C11" s="24" t="str">
        <x:v>EEZ</x:v>
      </x:c>
      <x:c r="D11" s="30" t="n">
        <x:v>2019</x:v>
      </x:c>
      <x:c r="E11" s="24" t="str">
        <x:v>Elagatis bipinnulata</x:v>
      </x:c>
      <x:c r="F11" s="24" t="str">
        <x:v>Rainbow runner</x:v>
      </x:c>
      <x:c r="G11" s="24" t="str">
        <x:v>Large pelagics (&gt;=90 cm)</x:v>
      </x:c>
      <x:c r="H11" s="24" t="str">
        <x:v>Perch-likes</x:v>
      </x:c>
      <x:c r="I11" s="31" t="n">
        <x:v>12.5345676797</x:v>
      </x:c>
      <x:c r="J11" s="31" t="n">
        <x:v>12.5345676797</x:v>
      </x:c>
      <x:c r="K11" s="31" t="n">
        <x:v>0</x:v>
      </x:c>
      <x:c r="L11" s="31" t="n">
        <x:v>3</x:v>
      </x:c>
      <x:c r="M11" s="31" t="n">
        <x:v>9.5345676797</x:v>
      </x:c>
      <x:c r="N11" s="24" t="str">
        <x:v>elagatis bipinnulata</x:v>
      </x:c>
      <x:c r="O11" s="32" t="n">
        <x:v>4.27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Elagatis bipinnulata</x:v>
      </x:c>
      <x:c r="T11" s="32" t="n">
        <x:f>IF(O11="","",(1/'Metadata'!$B$5)^(O11-1))</x:f>
        <x:v>1862.0871366628655</x:v>
      </x:c>
      <x:c r="U11" s="31" t="n">
        <x:f>IF(T11="","",I11*T11)</x:f>
        <x:v>23340.457239999472</x:v>
      </x:c>
    </x:row>
    <x:row r="12" ht="18" customHeight="1">
      <x:c r="A12" s="24" t="str">
        <x:v>EEZ_153</x:v>
      </x:c>
      <x:c r="B12" s="24" t="str">
        <x:v>Easter Isl. (Chile)</x:v>
      </x:c>
      <x:c r="C12" s="24" t="str">
        <x:v>EEZ</x:v>
      </x:c>
      <x:c r="D12" s="30" t="n">
        <x:v>2019</x:v>
      </x:c>
      <x:c r="E12" s="24" t="str">
        <x:v>Elasmobranchii</x:v>
      </x:c>
      <x:c r="F12" s="24" t="str">
        <x:v>Sharks, rays, skates</x:v>
      </x:c>
      <x:c r="G12" s="24" t="str">
        <x:v>Large sharks (&gt;=90 cm)</x:v>
      </x:c>
      <x:c r="H12" s="24" t="str">
        <x:v>Sharks &amp; rays</x:v>
      </x:c>
      <x:c r="I12" s="31" t="n">
        <x:v>11.082052392400001</x:v>
      </x:c>
      <x:c r="J12" s="31" t="n">
        <x:v>11.0756873729</x:v>
      </x:c>
      <x:c r="K12" s="31" t="n">
        <x:v>0.0063650195</x:v>
      </x:c>
      <x:c r="L12" s="31" t="n">
        <x:v>11.0756873729</x:v>
      </x:c>
      <x:c r="M12" s="31" t="n">
        <x:v>0.0063650195</x:v>
      </x:c>
      <x:c r="N12" s="24" t="str">
        <x:v>elasmobranchii</x:v>
      </x:c>
      <x:c r="O12" s="32" t="n">
        <x:v>4.05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Elasmobranchii</x:v>
      </x:c>
      <x:c r="T12" s="32" t="n">
        <x:f>IF(O12="","",(1/'Metadata'!$B$5)^(O12-1))</x:f>
        <x:v>1122.018454301963</x:v>
      </x:c>
      <x:c r="U12" s="31" t="n">
        <x:f>IF(T12="","",I12*T12)</x:f>
        <x:v>12434.26729581402</x:v>
      </x:c>
    </x:row>
    <x:row r="13" ht="18" customHeight="1">
      <x:c r="A13" s="24" t="str">
        <x:v>EEZ_153</x:v>
      </x:c>
      <x:c r="B13" s="24" t="str">
        <x:v>Easter Isl. (Chile)</x:v>
      </x:c>
      <x:c r="C13" s="24" t="str">
        <x:v>EEZ</x:v>
      </x:c>
      <x:c r="D13" s="30" t="n">
        <x:v>2019</x:v>
      </x:c>
      <x:c r="E13" s="24" t="str">
        <x:v>Ruvettus pretiosus</x:v>
      </x:c>
      <x:c r="F13" s="24" t="str">
        <x:v>Oilfish</x:v>
      </x:c>
      <x:c r="G13" s="24" t="str">
        <x:v>Large benthopelagics (&gt;=90 cm)</x:v>
      </x:c>
      <x:c r="H13" s="24" t="str">
        <x:v>Perch-likes</x:v>
      </x:c>
      <x:c r="I13" s="31" t="n">
        <x:v>9</x:v>
      </x:c>
      <x:c r="J13" s="31" t="n">
        <x:v>9</x:v>
      </x:c>
      <x:c r="K13" s="31" t="n">
        <x:v>0</x:v>
      </x:c>
      <x:c r="L13" s="31" t="n">
        <x:v>9</x:v>
      </x:c>
      <x:c r="M13" s="31" t="n">
        <x:v>0</x:v>
      </x:c>
      <x:c r="N13" s="24" t="str">
        <x:v>ruvettus pretiosus</x:v>
      </x:c>
      <x:c r="O13" s="32" t="n">
        <x:v>4.18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Ruvettus pretiosus</x:v>
      </x:c>
      <x:c r="T13" s="32" t="n">
        <x:f>IF(O13="","",(1/'Metadata'!$B$5)^(O13-1))</x:f>
        <x:v>1513.5612484362073</x:v>
      </x:c>
      <x:c r="U13" s="31" t="n">
        <x:f>IF(T13="","",I13*T13)</x:f>
        <x:v>13622.051235925865</x:v>
      </x:c>
    </x:row>
    <x:row r="14" ht="18" customHeight="1">
      <x:c r="A14" s="24" t="str">
        <x:v>EEZ_153</x:v>
      </x:c>
      <x:c r="B14" s="24" t="str">
        <x:v>Easter Isl. (Chile)</x:v>
      </x:c>
      <x:c r="C14" s="24" t="str">
        <x:v>EEZ</x:v>
      </x:c>
      <x:c r="D14" s="30" t="n">
        <x:v>2019</x:v>
      </x:c>
      <x:c r="E14" s="24" t="str">
        <x:v>Thunnus albacares</x:v>
      </x:c>
      <x:c r="F14" s="24" t="str">
        <x:v>Yellowfin tuna</x:v>
      </x:c>
      <x:c r="G14" s="24" t="str">
        <x:v>Large pelagics (&gt;=90 cm)</x:v>
      </x:c>
      <x:c r="H14" s="24" t="str">
        <x:v>Tuna &amp; billfishes</x:v>
      </x:c>
      <x:c r="I14" s="31" t="n">
        <x:v>5.799413521</x:v>
      </x:c>
      <x:c r="J14" s="31" t="n">
        <x:v>5.7600610191</x:v>
      </x:c>
      <x:c r="K14" s="31" t="n">
        <x:v>0.039352501899999996</x:v>
      </x:c>
      <x:c r="L14" s="31" t="n">
        <x:v>5.7600610191</x:v>
      </x:c>
      <x:c r="M14" s="31" t="n">
        <x:v>0.039352501899999996</x:v>
      </x:c>
      <x:c r="N14" s="24" t="str">
        <x:v>thunnus albacares</x:v>
      </x:c>
      <x:c r="O14" s="32" t="n">
        <x:v>4.41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albacares</x:v>
      </x:c>
      <x:c r="T14" s="32" t="n">
        <x:f>IF(O14="","",(1/'Metadata'!$B$5)^(O14-1))</x:f>
        <x:v>2570.3957827688646</x:v>
      </x:c>
      <x:c r="U14" s="31" t="n">
        <x:f>IF(T14="","",I14*T14)</x:f>
        <x:v>14906.788056911131</x:v>
      </x:c>
    </x:row>
    <x:row r="15" ht="18" customHeight="1">
      <x:c r="A15" s="24" t="str">
        <x:v>EEZ_153</x:v>
      </x:c>
      <x:c r="B15" s="24" t="str">
        <x:v>Easter Isl. (Chile)</x:v>
      </x:c>
      <x:c r="C15" s="24" t="str">
        <x:v>EEZ</x:v>
      </x:c>
      <x:c r="D15" s="30" t="n">
        <x:v>2019</x:v>
      </x:c>
      <x:c r="E15" s="24" t="str">
        <x:v>Xiphias gladius</x:v>
      </x:c>
      <x:c r="F15" s="24" t="str">
        <x:v>Swordfish</x:v>
      </x:c>
      <x:c r="G15" s="24" t="str">
        <x:v>Large pelagics (&gt;=90 cm)</x:v>
      </x:c>
      <x:c r="H15" s="24" t="str">
        <x:v>Tuna &amp; billfishes</x:v>
      </x:c>
      <x:c r="I15" s="31" t="n">
        <x:v>5.3845240101</x:v>
      </x:c>
      <x:c r="J15" s="31" t="n">
        <x:v>1.5028453129000001</x:v>
      </x:c>
      <x:c r="K15" s="31" t="n">
        <x:v>3.8816786972</x:v>
      </x:c>
      <x:c r="L15" s="31" t="n">
        <x:v>1.5028453129000001</x:v>
      </x:c>
      <x:c r="M15" s="31" t="n">
        <x:v>3.8816786972</x:v>
      </x:c>
      <x:c r="N15" s="24" t="str">
        <x:v>xiphias gladius</x:v>
      </x:c>
      <x:c r="O15" s="32" t="n">
        <x:v>4.53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Xiphias gladius</x:v>
      </x:c>
      <x:c r="T15" s="32" t="n">
        <x:f>IF(O15="","",(1/'Metadata'!$B$5)^(O15-1))</x:f>
        <x:v>3388.4415613920273</x:v>
      </x:c>
      <x:c r="U15" s="31" t="n">
        <x:f>IF(T15="","",I15*T15)</x:f>
        <x:v>18245.144944136104</x:v>
      </x:c>
    </x:row>
    <x:row r="16" ht="18" customHeight="1">
      <x:c r="A16" s="24" t="str">
        <x:v>EEZ_153</x:v>
      </x:c>
      <x:c r="B16" s="24" t="str">
        <x:v>Easter Isl. (Chile)</x:v>
      </x:c>
      <x:c r="C16" s="24" t="str">
        <x:v>EEZ</x:v>
      </x:c>
      <x:c r="D16" s="30" t="n">
        <x:v>2019</x:v>
      </x:c>
      <x:c r="E16" s="24" t="str">
        <x:v>Marine pelagic fishes not identified</x:v>
      </x:c>
      <x:c r="F16" s="24" t="str">
        <x:v>Pelagic fishes</x:v>
      </x:c>
      <x:c r="G16" s="24" t="str">
        <x:v>Medium pelagics (30 - 89 cm)</x:v>
      </x:c>
      <x:c r="H16" s="24" t="str">
        <x:v>Other fishes &amp; inverts</x:v>
      </x:c>
      <x:c r="I16" s="31" t="n">
        <x:v>5.0257208674</x:v>
      </x:c>
      <x:c r="J16" s="31" t="n">
        <x:v>0.0448518671</x:v>
      </x:c>
      <x:c r="K16" s="31" t="n">
        <x:v>4.9808690003</x:v>
      </x:c>
      <x:c r="L16" s="31" t="n">
        <x:v>0.0448518671</x:v>
      </x:c>
      <x:c r="M16" s="31" t="n">
        <x:v>4.9808690003</x:v>
      </x:c>
      <x:c r="N16" s="24" t="str">
        <x:v>marine pelagic fishes not identified</x:v>
      </x:c>
      <x:c r="O16" s="32" t="n">
        <x:v>3.35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Marine pelagic fishes not identified</x:v>
      </x:c>
      <x:c r="T16" s="32" t="n">
        <x:f>IF(O16="","",(1/'Metadata'!$B$5)^(O16-1))</x:f>
        <x:v>223.872113856834</x:v>
      </x:c>
      <x:c r="U16" s="31" t="n">
        <x:f>IF(T16="","",I16*T16)</x:f>
        <x:v>1125.1187542392393</x:v>
      </x:c>
    </x:row>
    <x:row r="17" ht="18" customHeight="1">
      <x:c r="A17" s="24" t="str">
        <x:v>EEZ_153</x:v>
      </x:c>
      <x:c r="B17" s="24" t="str">
        <x:v>Easter Isl. (Chile)</x:v>
      </x:c>
      <x:c r="C17" s="24" t="str">
        <x:v>EEZ</x:v>
      </x:c>
      <x:c r="D17" s="30" t="n">
        <x:v>2019</x:v>
      </x:c>
      <x:c r="E17" s="24" t="str">
        <x:v>Isurus</x:v>
      </x:c>
      <x:c r="F17" s="24" t="str">
        <x:v>Mako sharks</x:v>
      </x:c>
      <x:c r="G17" s="24" t="str">
        <x:v>Large sharks (&gt;=90 cm)</x:v>
      </x:c>
      <x:c r="H17" s="24" t="str">
        <x:v>Sharks &amp; rays</x:v>
      </x:c>
      <x:c r="I17" s="31" t="n">
        <x:v>2.9186083152999998</x:v>
      </x:c>
      <x:c r="J17" s="31" t="n">
        <x:v>0</x:v>
      </x:c>
      <x:c r="K17" s="31" t="n">
        <x:v>2.9186083152999998</x:v>
      </x:c>
      <x:c r="L17" s="31" t="n">
        <x:v>0</x:v>
      </x:c>
      <x:c r="M17" s="31" t="n">
        <x:v>2.9186083152999998</x:v>
      </x:c>
      <x:c r="N17" s="24" t="str">
        <x:v>isurus</x:v>
      </x:c>
      <x:c r="O17" s="32" t="n">
        <x:v>4.5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Isurus</x:v>
      </x:c>
      <x:c r="T17" s="32" t="n">
        <x:f>IF(O17="","",(1/'Metadata'!$B$5)^(O17-1))</x:f>
        <x:v>3162.2776601683795</x:v>
      </x:c>
      <x:c r="U17" s="31" t="n">
        <x:f>IF(T17="","",I17*T17)</x:f>
        <x:v>9229.449874254859</x:v>
      </x:c>
    </x:row>
    <x:row r="18" ht="18" customHeight="1">
      <x:c r="A18" s="24" t="str">
        <x:v>EEZ_153</x:v>
      </x:c>
      <x:c r="B18" s="24" t="str">
        <x:v>Easter Isl. (Chile)</x:v>
      </x:c>
      <x:c r="C18" s="24" t="str">
        <x:v>EEZ</x:v>
      </x:c>
      <x:c r="D18" s="30" t="n">
        <x:v>2019</x:v>
      </x:c>
      <x:c r="E18" s="24" t="str">
        <x:v>Katsuwonus pelamis</x:v>
      </x:c>
      <x:c r="F18" s="24" t="str">
        <x:v>Skipjack tuna</x:v>
      </x:c>
      <x:c r="G18" s="24" t="str">
        <x:v>Large pelagics (&gt;=90 cm)</x:v>
      </x:c>
      <x:c r="H18" s="24" t="str">
        <x:v>Tuna &amp; billfishes</x:v>
      </x:c>
      <x:c r="I18" s="31" t="n">
        <x:v>2.874942737</x:v>
      </x:c>
      <x:c r="J18" s="31" t="n">
        <x:v>2.874942737</x:v>
      </x:c>
      <x:c r="K18" s="31" t="n">
        <x:v>0</x:v>
      </x:c>
      <x:c r="L18" s="31" t="n">
        <x:v>2.874942737</x:v>
      </x:c>
      <x:c r="M18" s="31" t="n">
        <x:v>0</x:v>
      </x:c>
      <x:c r="N18" s="24" t="str">
        <x:v>katsuwonus pelamis</x:v>
      </x:c>
      <x:c r="O18" s="32" t="n">
        <x:v>4.43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Katsuwonus pelamis</x:v>
      </x:c>
      <x:c r="T18" s="32" t="n">
        <x:f>IF(O18="","",(1/'Metadata'!$B$5)^(O18-1))</x:f>
        <x:v>2691.534803926914</x:v>
      </x:c>
      <x:c r="U18" s="31" t="n">
        <x:f>IF(T18="","",I18*T18)</x:f>
        <x:v>7738.0084359324</x:v>
      </x:c>
    </x:row>
    <x:row r="19" ht="18" customHeight="1">
      <x:c r="A19" s="24" t="str">
        <x:v>EEZ_153</x:v>
      </x:c>
      <x:c r="B19" s="24" t="str">
        <x:v>Easter Isl. (Chile)</x:v>
      </x:c>
      <x:c r="C19" s="24" t="str">
        <x:v>EEZ</x:v>
      </x:c>
      <x:c r="D19" s="30" t="n">
        <x:v>2019</x:v>
      </x:c>
      <x:c r="E19" s="24" t="str">
        <x:v>Marine finfishes not identified</x:v>
      </x:c>
      <x:c r="F19" s="24" t="str">
        <x:v>Finfishes</x:v>
      </x:c>
      <x:c r="G19" s="24" t="str">
        <x:v>Medium demersals (30 - 89 cm)</x:v>
      </x:c>
      <x:c r="H19" s="24" t="str">
        <x:v>Other fishes &amp; inverts</x:v>
      </x:c>
      <x:c r="I19" s="31" t="n">
        <x:v>2.7411882079</x:v>
      </x:c>
      <x:c r="J19" s="31" t="n">
        <x:v>2.7411882079</x:v>
      </x:c>
      <x:c r="K19" s="31" t="n">
        <x:v>0</x:v>
      </x:c>
      <x:c r="L19" s="31" t="n">
        <x:v>0</x:v>
      </x:c>
      <x:c r="M19" s="31" t="n">
        <x:v>2.7411882079</x:v>
      </x:c>
      <x:c r="N19" s="24" t="str">
        <x:v>marine finfishes not identified</x:v>
      </x:c>
      <x:c r="O19" s="32" t="n">
        <x:v>3.23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Marine finfishes not identified</x:v>
      </x:c>
      <x:c r="T19" s="32" t="n">
        <x:f>IF(O19="","",(1/'Metadata'!$B$5)^(O19-1))</x:f>
        <x:v>169.82436524617444</x:v>
      </x:c>
      <x:c r="U19" s="31" t="n">
        <x:f>IF(T19="","",I19*T19)</x:f>
        <x:v>465.520547426916</x:v>
      </x:c>
    </x:row>
    <x:row r="20" ht="18" customHeight="1">
      <x:c r="A20" s="24" t="str">
        <x:v>EEZ_153</x:v>
      </x:c>
      <x:c r="B20" s="24" t="str">
        <x:v>Easter Isl. (Chile)</x:v>
      </x:c>
      <x:c r="C20" s="24" t="str">
        <x:v>EEZ</x:v>
      </x:c>
      <x:c r="D20" s="30" t="n">
        <x:v>2019</x:v>
      </x:c>
      <x:c r="E20" s="24" t="str">
        <x:v>Kajikia audax</x:v>
      </x:c>
      <x:c r="F20" s="24" t="str">
        <x:v>Striped marlin</x:v>
      </x:c>
      <x:c r="G20" s="24" t="str">
        <x:v>Large pelagics (&gt;=90 cm)</x:v>
      </x:c>
      <x:c r="H20" s="24" t="str">
        <x:v>Tuna &amp; billfishes</x:v>
      </x:c>
      <x:c r="I20" s="31" t="n">
        <x:v>1.965903066</x:v>
      </x:c>
      <x:c r="J20" s="31" t="n">
        <x:v>1.965903066</x:v>
      </x:c>
      <x:c r="K20" s="31" t="n">
        <x:v>0</x:v>
      </x:c>
      <x:c r="L20" s="31" t="n">
        <x:v>1.965903066</x:v>
      </x:c>
      <x:c r="M20" s="31" t="n">
        <x:v>0</x:v>
      </x:c>
      <x:c r="N20" s="24" t="str">
        <x:v>kajikia audax</x:v>
      </x:c>
      <x:c r="O20" s="32" t="n">
        <x:v>4.58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Kajikia audax</x:v>
      </x:c>
      <x:c r="T20" s="32" t="n">
        <x:f>IF(O20="","",(1/'Metadata'!$B$5)^(O20-1))</x:f>
        <x:v>3801.8939632056126</x:v>
      </x:c>
      <x:c r="U20" s="31" t="n">
        <x:f>IF(T20="","",I20*T20)</x:f>
        <x:v>7474.154998872806</x:v>
      </x:c>
    </x:row>
    <x:row r="21" ht="18" customHeight="1">
      <x:c r="A21" s="24" t="str">
        <x:v>EEZ_153</x:v>
      </x:c>
      <x:c r="B21" s="24" t="str">
        <x:v>Easter Isl. (Chile)</x:v>
      </x:c>
      <x:c r="C21" s="24" t="str">
        <x:v>EEZ</x:v>
      </x:c>
      <x:c r="D21" s="30" t="n">
        <x:v>2019</x:v>
      </x:c>
      <x:c r="E21" s="24" t="str">
        <x:v>Caranx lugubris</x:v>
      </x:c>
      <x:c r="F21" s="24" t="str">
        <x:v>Black jack</x:v>
      </x:c>
      <x:c r="G21" s="24" t="str">
        <x:v>Large benthopelagics (&gt;=90 cm)</x:v>
      </x:c>
      <x:c r="H21" s="24" t="str">
        <x:v>Perch-likes</x:v>
      </x:c>
      <x:c r="I21" s="31" t="n">
        <x:v>1.7877314399</x:v>
      </x:c>
      <x:c r="J21" s="31" t="n">
        <x:v>1.7877314399</x:v>
      </x:c>
      <x:c r="K21" s="31" t="n">
        <x:v>0</x:v>
      </x:c>
      <x:c r="L21" s="31" t="n">
        <x:v>0</x:v>
      </x:c>
      <x:c r="M21" s="31" t="n">
        <x:v>1.7877314399</x:v>
      </x:c>
      <x:c r="N21" s="24" t="str">
        <x:v>caranx lugubris</x:v>
      </x:c>
      <x:c r="O21" s="32" t="n">
        <x:v>4.5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Caranx lugubris</x:v>
      </x:c>
      <x:c r="T21" s="32" t="n">
        <x:f>IF(O21="","",(1/'Metadata'!$B$5)^(O21-1))</x:f>
        <x:v>3162.2776601683795</x:v>
      </x:c>
      <x:c r="U21" s="31" t="n">
        <x:f>IF(T21="","",I21*T21)</x:f>
        <x:v>5653.303194776419</x:v>
      </x:c>
    </x:row>
    <x:row r="22" ht="18" customHeight="1">
      <x:c r="A22" s="24" t="str">
        <x:v>EEZ_153</x:v>
      </x:c>
      <x:c r="B22" s="24" t="str">
        <x:v>Easter Isl. (Chile)</x:v>
      </x:c>
      <x:c r="C22" s="24" t="str">
        <x:v>EEZ</x:v>
      </x:c>
      <x:c r="D22" s="30" t="n">
        <x:v>2019</x:v>
      </x:c>
      <x:c r="E22" s="24" t="str">
        <x:v>Panulirus</x:v>
      </x:c>
      <x:c r="F22" s="24" t="str">
        <x:v>Spiny lobsters</x:v>
      </x:c>
      <x:c r="G22" s="24" t="str">
        <x:v>Lobsters, crabs</x:v>
      </x:c>
      <x:c r="H22" s="24" t="str">
        <x:v>Crustaceans</x:v>
      </x:c>
      <x:c r="I22" s="31" t="n">
        <x:v>0.9931841333</x:v>
      </x:c>
      <x:c r="J22" s="31" t="n">
        <x:v>0.9931841333</x:v>
      </x:c>
      <x:c r="K22" s="31" t="n">
        <x:v>0</x:v>
      </x:c>
      <x:c r="L22" s="31" t="n">
        <x:v>0</x:v>
      </x:c>
      <x:c r="M22" s="31" t="n">
        <x:v>0.9931841333</x:v>
      </x:c>
      <x:c r="N22" s="24" t="str">
        <x:v>panulirus</x:v>
      </x:c>
      <x:c r="O22" s="32" t="n">
        <x:v>2.6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Panulirus</x:v>
      </x:c>
      <x:c r="T22" s="32" t="n">
        <x:f>IF(O22="","",(1/'Metadata'!$B$5)^(O22-1))</x:f>
        <x:v>39.810717055349734</x:v>
      </x:c>
      <x:c r="U22" s="31" t="n">
        <x:f>IF(T22="","",I22*T22)</x:f>
        <x:v>39.539372514669054</x:v>
      </x:c>
    </x:row>
    <x:row r="23" ht="18" customHeight="1">
      <x:c r="A23" s="24" t="str">
        <x:v>EEZ_153</x:v>
      </x:c>
      <x:c r="B23" s="24" t="str">
        <x:v>Easter Isl. (Chile)</x:v>
      </x:c>
      <x:c r="C23" s="24" t="str">
        <x:v>EEZ</x:v>
      </x:c>
      <x:c r="D23" s="30" t="n">
        <x:v>2019</x:v>
      </x:c>
      <x:c r="E23" s="24" t="str">
        <x:v>Alopias</x:v>
      </x:c>
      <x:c r="F23" s="24" t="str">
        <x:v>Thresher sharks</x:v>
      </x:c>
      <x:c r="G23" s="24" t="str">
        <x:v>Large sharks (&gt;=90 cm)</x:v>
      </x:c>
      <x:c r="H23" s="24" t="str">
        <x:v>Sharks &amp; rays</x:v>
      </x:c>
      <x:c r="I23" s="31" t="n">
        <x:v>0.9843309764</x:v>
      </x:c>
      <x:c r="J23" s="31" t="n">
        <x:v>0</x:v>
      </x:c>
      <x:c r="K23" s="31" t="n">
        <x:v>0.9843309764</x:v>
      </x:c>
      <x:c r="L23" s="31" t="n">
        <x:v>0</x:v>
      </x:c>
      <x:c r="M23" s="31" t="n">
        <x:v>0.9843309764</x:v>
      </x:c>
      <x:c r="N23" s="24" t="str">
        <x:v>alopias</x:v>
      </x:c>
      <x:c r="O23" s="32" t="n">
        <x:v>4.5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Alopias</x:v>
      </x:c>
      <x:c r="T23" s="32" t="n">
        <x:f>IF(O23="","",(1/'Metadata'!$B$5)^(O23-1))</x:f>
        <x:v>3162.2776601683795</x:v>
      </x:c>
      <x:c r="U23" s="31" t="n">
        <x:f>IF(T23="","",I23*T23)</x:f>
        <x:v>3112.7278568814486</x:v>
      </x:c>
    </x:row>
    <x:row r="24" ht="18" customHeight="1">
      <x:c r="A24" s="24" t="str">
        <x:v>EEZ_153</x:v>
      </x:c>
      <x:c r="B24" s="24" t="str">
        <x:v>Easter Isl. (Chile)</x:v>
      </x:c>
      <x:c r="C24" s="24" t="str">
        <x:v>EEZ</x:v>
      </x:c>
      <x:c r="D24" s="30" t="n">
        <x:v>2019</x:v>
      </x:c>
      <x:c r="E24" s="24" t="str">
        <x:v>Seriola lalandi</x:v>
      </x:c>
      <x:c r="F24" s="24" t="str">
        <x:v>Yellowtail amberjack</x:v>
      </x:c>
      <x:c r="G24" s="24" t="str">
        <x:v>Large benthopelagics (&gt;=90 cm)</x:v>
      </x:c>
      <x:c r="H24" s="24" t="str">
        <x:v>Perch-likes</x:v>
      </x:c>
      <x:c r="I24" s="31" t="n">
        <x:v>0.5944795602</x:v>
      </x:c>
      <x:c r="J24" s="31" t="n">
        <x:v>0.5944795602</x:v>
      </x:c>
      <x:c r="K24" s="31" t="n">
        <x:v>0</x:v>
      </x:c>
      <x:c r="L24" s="31" t="n">
        <x:v>0.5944795602</x:v>
      </x:c>
      <x:c r="M24" s="31" t="n">
        <x:v>0</x:v>
      </x:c>
      <x:c r="N24" s="24" t="str">
        <x:v>seriola lalandi</x:v>
      </x:c>
      <x:c r="O24" s="32" t="n">
        <x:v>4.16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Seriola lalandi</x:v>
      </x:c>
      <x:c r="T24" s="32" t="n">
        <x:f>IF(O24="","",(1/'Metadata'!$B$5)^(O24-1))</x:f>
        <x:v>1445.439770745928</x:v>
      </x:c>
      <x:c r="U24" s="31" t="n">
        <x:f>IF(T24="","",I24*T24)</x:f>
        <x:v>859.2843992086281</x:v>
      </x:c>
    </x:row>
    <x:row r="25" ht="18" customHeight="1">
      <x:c r="A25" s="24" t="str">
        <x:v>EEZ_153</x:v>
      </x:c>
      <x:c r="B25" s="24" t="str">
        <x:v>Easter Isl. (Chile)</x:v>
      </x:c>
      <x:c r="C25" s="24" t="str">
        <x:v>EEZ</x:v>
      </x:c>
      <x:c r="D25" s="30" t="n">
        <x:v>2019</x:v>
      </x:c>
      <x:c r="E25" s="24" t="str">
        <x:v>Istiophoridae</x:v>
      </x:c>
      <x:c r="F25" s="24" t="str">
        <x:v>Billfishes</x:v>
      </x:c>
      <x:c r="G25" s="24" t="str">
        <x:v>Large pelagics (&gt;=90 cm)</x:v>
      </x:c>
      <x:c r="H25" s="24" t="str">
        <x:v>Tuna &amp; billfishes</x:v>
      </x:c>
      <x:c r="I25" s="31" t="n">
        <x:v>0.4877632423</x:v>
      </x:c>
      <x:c r="J25" s="31" t="n">
        <x:v>0.0064755881000000005</x:v>
      </x:c>
      <x:c r="K25" s="31" t="n">
        <x:v>0.4812876542</x:v>
      </x:c>
      <x:c r="L25" s="31" t="n">
        <x:v>0.0064755881000000005</x:v>
      </x:c>
      <x:c r="M25" s="31" t="n">
        <x:v>0.4812876542</x:v>
      </x:c>
      <x:c r="N25" s="24" t="str">
        <x:v>istiophoridae</x:v>
      </x:c>
      <x:c r="O25" s="32" t="n">
        <x:v>4.48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Istiophoridae</x:v>
      </x:c>
      <x:c r="T25" s="32" t="n">
        <x:f>IF(O25="","",(1/'Metadata'!$B$5)^(O25-1))</x:f>
        <x:v>3019.951720402019</x:v>
      </x:c>
      <x:c r="U25" s="31" t="n">
        <x:f>IF(T25="","",I25*T25)</x:f>
        <x:v>1473.021442732752</x:v>
      </x:c>
    </x:row>
    <x:row r="26" ht="18" customHeight="1">
      <x:c r="A26" s="24" t="str">
        <x:v>EEZ_153</x:v>
      </x:c>
      <x:c r="B26" s="24" t="str">
        <x:v>Easter Isl. (Chile)</x:v>
      </x:c>
      <x:c r="C26" s="24" t="str">
        <x:v>EEZ</x:v>
      </x:c>
      <x:c r="D26" s="30" t="n">
        <x:v>2019</x:v>
      </x:c>
      <x:c r="E26" s="24" t="str">
        <x:v>Carcharhinus falciformis</x:v>
      </x:c>
      <x:c r="F26" s="24" t="str">
        <x:v>Silky shark</x:v>
      </x:c>
      <x:c r="G26" s="24" t="str">
        <x:v>Large sharks (&gt;=90 cm)</x:v>
      </x:c>
      <x:c r="H26" s="24" t="str">
        <x:v>Sharks &amp; rays</x:v>
      </x:c>
      <x:c r="I26" s="31" t="n">
        <x:v>0.420398596</x:v>
      </x:c>
      <x:c r="J26" s="31" t="n">
        <x:v>0</x:v>
      </x:c>
      <x:c r="K26" s="31" t="n">
        <x:v>0.420398596</x:v>
      </x:c>
      <x:c r="L26" s="31" t="n">
        <x:v>0</x:v>
      </x:c>
      <x:c r="M26" s="31" t="n">
        <x:v>0.420398596</x:v>
      </x:c>
      <x:c r="N26" s="24" t="str">
        <x:v>carcharhinus falciformis</x:v>
      </x:c>
      <x:c r="O26" s="32" t="n">
        <x:v>4.51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Carcharhinus falciformis</x:v>
      </x:c>
      <x:c r="T26" s="32" t="n">
        <x:f>IF(O26="","",(1/'Metadata'!$B$5)^(O26-1))</x:f>
        <x:v>3235.936569296281</x:v>
      </x:c>
      <x:c r="U26" s="31" t="n">
        <x:f>IF(T26="","",I26*T26)</x:f>
        <x:v>1360.3831904772132</x:v>
      </x:c>
    </x:row>
    <x:row r="27" ht="18" customHeight="1">
      <x:c r="A27" s="24" t="str">
        <x:v>EEZ_153</x:v>
      </x:c>
      <x:c r="B27" s="24" t="str">
        <x:v>Easter Isl. (Chile)</x:v>
      </x:c>
      <x:c r="C27" s="24" t="str">
        <x:v>EEZ</x:v>
      </x:c>
      <x:c r="D27" s="30" t="n">
        <x:v>2019</x:v>
      </x:c>
      <x:c r="E27" s="24" t="str">
        <x:v>Carangoides</x:v>
      </x:c>
      <x:c r="F27" s="24" t="str">
        <x:v>Trevallies</x:v>
      </x:c>
      <x:c r="G27" s="24" t="str">
        <x:v>Medium reef assoc. fish (30 - 89 cm)</x:v>
      </x:c>
      <x:c r="H27" s="24" t="str">
        <x:v>Perch-likes</x:v>
      </x:c>
      <x:c r="I27" s="31" t="n">
        <x:v>0.3178189227</x:v>
      </x:c>
      <x:c r="J27" s="31" t="n">
        <x:v>0.3178189227</x:v>
      </x:c>
      <x:c r="K27" s="31" t="n">
        <x:v>0</x:v>
      </x:c>
      <x:c r="L27" s="31" t="n">
        <x:v>0</x:v>
      </x:c>
      <x:c r="M27" s="31" t="n">
        <x:v>0.3178189227</x:v>
      </x:c>
      <x:c r="N27" s="24" t="str">
        <x:v>carangoides</x:v>
      </x:c>
      <x:c r="O27" s="32" t="n">
        <x:v>4.34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Carangoides</x:v>
      </x:c>
      <x:c r="T27" s="32" t="n">
        <x:f>IF(O27="","",(1/'Metadata'!$B$5)^(O27-1))</x:f>
        <x:v>2187.761623949552</x:v>
      </x:c>
      <x:c r="U27" s="31" t="n">
        <x:f>IF(T27="","",I27*T27)</x:f>
        <x:v>695.3120424480492</x:v>
      </x:c>
    </x:row>
    <x:row r="28" ht="18" customHeight="1">
      <x:c r="A28" s="24" t="str">
        <x:v>EEZ_153</x:v>
      </x:c>
      <x:c r="B28" s="24" t="str">
        <x:v>Easter Isl. (Chile)</x:v>
      </x:c>
      <x:c r="C28" s="24" t="str">
        <x:v>EEZ</x:v>
      </x:c>
      <x:c r="D28" s="30" t="n">
        <x:v>2019</x:v>
      </x:c>
      <x:c r="E28" s="24" t="str">
        <x:v>Chondrichthyes</x:v>
      </x:c>
      <x:c r="F28" s="24" t="str">
        <x:v>Sharks, rays, chimaeras</x:v>
      </x:c>
      <x:c r="G28" s="24" t="str">
        <x:v>Large sharks (&gt;=90 cm)</x:v>
      </x:c>
      <x:c r="H28" s="24" t="str">
        <x:v>Sharks &amp; rays</x:v>
      </x:c>
      <x:c r="I28" s="31" t="n">
        <x:v>0.2600702306</x:v>
      </x:c>
      <x:c r="J28" s="31" t="n">
        <x:v>0.2600702306</x:v>
      </x:c>
      <x:c r="K28" s="31" t="n">
        <x:v>0</x:v>
      </x:c>
      <x:c r="L28" s="31" t="n">
        <x:v>0.2600702306</x:v>
      </x:c>
      <x:c r="M28" s="31" t="n">
        <x:v>0</x:v>
      </x:c>
      <x:c r="N28" s="24" t="str">
        <x:v>chondrichthyes</x:v>
      </x:c>
      <x:c r="O28" s="32" t="n">
        <x:v>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Chondrichthyes</x:v>
      </x:c>
      <x:c r="T28" s="32" t="n">
        <x:f>IF(O28="","",(1/'Metadata'!$B$5)^(O28-1))</x:f>
        <x:v>1000</x:v>
      </x:c>
      <x:c r="U28" s="31" t="n">
        <x:f>IF(T28="","",I28*T28)</x:f>
        <x:v>260.0702306</x:v>
      </x:c>
    </x:row>
    <x:row r="29" ht="18" customHeight="1">
      <x:c r="A29" s="24" t="str">
        <x:v>EEZ_153</x:v>
      </x:c>
      <x:c r="B29" s="24" t="str">
        <x:v>Easter Isl. (Chile)</x:v>
      </x:c>
      <x:c r="C29" s="24" t="str">
        <x:v>EEZ</x:v>
      </x:c>
      <x:c r="D29" s="30" t="n">
        <x:v>2019</x:v>
      </x:c>
      <x:c r="E29" s="24" t="str">
        <x:v>Carcharhinus galapagensis</x:v>
      </x:c>
      <x:c r="F29" s="24" t="str">
        <x:v>Galapagos shark</x:v>
      </x:c>
      <x:c r="G29" s="24" t="str">
        <x:v>Large sharks (&gt;=90 cm)</x:v>
      </x:c>
      <x:c r="H29" s="24" t="str">
        <x:v>Sharks &amp; rays</x:v>
      </x:c>
      <x:c r="I29" s="31" t="n">
        <x:v>0.119182096</x:v>
      </x:c>
      <x:c r="J29" s="31" t="n">
        <x:v>0.119182096</x:v>
      </x:c>
      <x:c r="K29" s="31" t="n">
        <x:v>0</x:v>
      </x:c>
      <x:c r="L29" s="31" t="n">
        <x:v>0</x:v>
      </x:c>
      <x:c r="M29" s="31" t="n">
        <x:v>0.119182096</x:v>
      </x:c>
      <x:c r="N29" s="24" t="str">
        <x:v>carcharhinus galapagensis</x:v>
      </x:c>
      <x:c r="O29" s="32" t="n">
        <x:v>4.23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Carcharhinus galapagensis</x:v>
      </x:c>
      <x:c r="T29" s="32" t="n">
        <x:f>IF(O29="","",(1/'Metadata'!$B$5)^(O29-1))</x:f>
        <x:v>1698.243652461746</x:v>
      </x:c>
      <x:c r="U29" s="31" t="n">
        <x:f>IF(T29="","",I29*T29)</x:f>
        <x:v>202.40023801908646</x:v>
      </x:c>
    </x:row>
    <x:row r="30" ht="18" customHeight="1">
      <x:c r="A30" s="24" t="str">
        <x:v>EEZ_153</x:v>
      </x:c>
      <x:c r="B30" s="24" t="str">
        <x:v>Easter Isl. (Chile)</x:v>
      </x:c>
      <x:c r="C30" s="24" t="str">
        <x:v>EEZ</x:v>
      </x:c>
      <x:c r="D30" s="30" t="n">
        <x:v>2019</x:v>
      </x:c>
      <x:c r="E30" s="24" t="str">
        <x:v>Istiompax indica</x:v>
      </x:c>
      <x:c r="F30" s="24" t="str">
        <x:v>Black marlin</x:v>
      </x:c>
      <x:c r="G30" s="24" t="str">
        <x:v>Large pelagics (&gt;=90 cm)</x:v>
      </x:c>
      <x:c r="H30" s="24" t="str">
        <x:v>Tuna &amp; billfishes</x:v>
      </x:c>
      <x:c r="I30" s="31" t="n">
        <x:v>0.11731323639999999</x:v>
      </x:c>
      <x:c r="J30" s="31" t="n">
        <x:v>0.11731323639999999</x:v>
      </x:c>
      <x:c r="K30" s="31" t="n">
        <x:v>0</x:v>
      </x:c>
      <x:c r="L30" s="31" t="n">
        <x:v>0.11731323639999999</x:v>
      </x:c>
      <x:c r="M30" s="31" t="n">
        <x:v>0</x:v>
      </x:c>
      <x:c r="N30" s="24" t="str">
        <x:v>istiompax indica</x:v>
      </x:c>
      <x:c r="O30" s="32" t="n">
        <x:v>4.5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Istiompax indica</x:v>
      </x:c>
      <x:c r="T30" s="32" t="n">
        <x:f>IF(O30="","",(1/'Metadata'!$B$5)^(O30-1))</x:f>
        <x:v>3162.2776601683795</x:v>
      </x:c>
      <x:c r="U30" s="31" t="n">
        <x:f>IF(T30="","",I30*T30)</x:f>
        <x:v>370.97702670977196</x:v>
      </x:c>
    </x:row>
    <x:row r="31" ht="18" customHeight="1">
      <x:c r="A31" s="24" t="str">
        <x:v>EEZ_153</x:v>
      </x:c>
      <x:c r="B31" s="24" t="str">
        <x:v>Easter Isl. (Chile)</x:v>
      </x:c>
      <x:c r="C31" s="24" t="str">
        <x:v>EEZ</x:v>
      </x:c>
      <x:c r="D31" s="30" t="n">
        <x:v>2019</x:v>
      </x:c>
      <x:c r="E31" s="24" t="str">
        <x:v>Carcharhinus longimanus</x:v>
      </x:c>
      <x:c r="F31" s="24" t="str">
        <x:v>Oceanic whitetip shark</x:v>
      </x:c>
      <x:c r="G31" s="24" t="str">
        <x:v>Large sharks (&gt;=90 cm)</x:v>
      </x:c>
      <x:c r="H31" s="24" t="str">
        <x:v>Sharks &amp; rays</x:v>
      </x:c>
      <x:c r="I31" s="31" t="n">
        <x:v>0.11509293770000001</x:v>
      </x:c>
      <x:c r="J31" s="31" t="n">
        <x:v>0</x:v>
      </x:c>
      <x:c r="K31" s="31" t="n">
        <x:v>0.11509293770000001</x:v>
      </x:c>
      <x:c r="L31" s="31" t="n">
        <x:v>0</x:v>
      </x:c>
      <x:c r="M31" s="31" t="n">
        <x:v>0.11509293770000001</x:v>
      </x:c>
      <x:c r="N31" s="24" t="str">
        <x:v>carcharhinus longimanus</x:v>
      </x:c>
      <x:c r="O31" s="32" t="n">
        <x:v>4.16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Carcharhinus longimanus</x:v>
      </x:c>
      <x:c r="T31" s="32" t="n">
        <x:f>IF(O31="","",(1/'Metadata'!$B$5)^(O31-1))</x:f>
        <x:v>1445.439770745928</x:v>
      </x:c>
      <x:c r="U31" s="31" t="n">
        <x:f>IF(T31="","",I31*T31)</x:f>
        <x:v>166.35990948356337</x:v>
      </x:c>
    </x:row>
    <x:row r="32" ht="18" customHeight="1">
      <x:c r="A32" s="24" t="str">
        <x:v>EEZ_153</x:v>
      </x:c>
      <x:c r="B32" s="24" t="str">
        <x:v>Easter Isl. (Chile)</x:v>
      </x:c>
      <x:c r="C32" s="24" t="str">
        <x:v>EEZ</x:v>
      </x:c>
      <x:c r="D32" s="30" t="n">
        <x:v>2019</x:v>
      </x:c>
      <x:c r="E32" s="24" t="str">
        <x:v>Tetrapturus angustirostris</x:v>
      </x:c>
      <x:c r="F32" s="24" t="str">
        <x:v>Shortbill spearfish</x:v>
      </x:c>
      <x:c r="G32" s="24" t="str">
        <x:v>Large pelagics (&gt;=90 cm)</x:v>
      </x:c>
      <x:c r="H32" s="24" t="str">
        <x:v>Tuna &amp; billfishes</x:v>
      </x:c>
      <x:c r="I32" s="31" t="n">
        <x:v>0.0509770421</x:v>
      </x:c>
      <x:c r="J32" s="31" t="n">
        <x:v>0.0509770421</x:v>
      </x:c>
      <x:c r="K32" s="31" t="n">
        <x:v>0</x:v>
      </x:c>
      <x:c r="L32" s="31" t="n">
        <x:v>0.0509770421</x:v>
      </x:c>
      <x:c r="M32" s="31" t="n">
        <x:v>0</x:v>
      </x:c>
      <x:c r="N32" s="24" t="str">
        <x:v>tetrapturus angustirostris</x:v>
      </x:c>
      <x:c r="O32" s="32" t="n">
        <x:v>4.5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Tetrapturus angustirostris</x:v>
      </x:c>
      <x:c r="T32" s="32" t="n">
        <x:f>IF(O32="","",(1/'Metadata'!$B$5)^(O32-1))</x:f>
        <x:v>3162.2776601683795</x:v>
      </x:c>
      <x:c r="U32" s="31" t="n">
        <x:f>IF(T32="","",I32*T32)</x:f>
        <x:v>161.20356141429298</x:v>
      </x:c>
    </x:row>
    <x:row r="33" ht="18" customHeight="1">
      <x:c r="A33" s="24" t="str">
        <x:v>EEZ_153</x:v>
      </x:c>
      <x:c r="B33" s="24" t="str">
        <x:v>Easter Isl. (Chile)</x:v>
      </x:c>
      <x:c r="C33" s="24" t="str">
        <x:v>EEZ</x:v>
      </x:c>
      <x:c r="D33" s="30" t="n">
        <x:v>2019</x:v>
      </x:c>
      <x:c r="E33" s="24" t="str">
        <x:v>Coryphaena</x:v>
      </x:c>
      <x:c r="F33" s="24" t="str">
        <x:v>Dolphinfishes</x:v>
      </x:c>
      <x:c r="G33" s="24" t="str">
        <x:v>Large pelagics (&gt;=90 cm)</x:v>
      </x:c>
      <x:c r="H33" s="24" t="str">
        <x:v>Perch-likes</x:v>
      </x:c>
      <x:c r="I33" s="31" t="n">
        <x:v>0.040378384499999996</x:v>
      </x:c>
      <x:c r="J33" s="31" t="n">
        <x:v>0.040378384499999996</x:v>
      </x:c>
      <x:c r="K33" s="31" t="n">
        <x:v>0</x:v>
      </x:c>
      <x:c r="L33" s="31" t="n">
        <x:v>0.040378384499999996</x:v>
      </x:c>
      <x:c r="M33" s="31" t="n">
        <x:v>0</x:v>
      </x:c>
      <x:c r="N33" s="24" t="str">
        <x:v>coryphaena</x:v>
      </x:c>
      <x:c r="O33" s="32" t="n">
        <x:v>4.49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Coryphaena</x:v>
      </x:c>
      <x:c r="T33" s="32" t="n">
        <x:f>IF(O33="","",(1/'Metadata'!$B$5)^(O33-1))</x:f>
        <x:v>3090.295432513592</x:v>
      </x:c>
      <x:c r="U33" s="31" t="n">
        <x:f>IF(T33="","",I33*T33)</x:f>
        <x:v>124.78113719262761</x:v>
      </x:c>
    </x:row>
    <x:row r="34" ht="18" customHeight="1">
      <x:c r="A34" s="24" t="str">
        <x:v>EEZ_153</x:v>
      </x:c>
      <x:c r="B34" s="24" t="str">
        <x:v>Easter Isl. (Chile)</x:v>
      </x:c>
      <x:c r="C34" s="24" t="str">
        <x:v>EEZ</x:v>
      </x:c>
      <x:c r="D34" s="30" t="n">
        <x:v>2019</x:v>
      </x:c>
      <x:c r="E34" s="24" t="str">
        <x:v>Thunnus orientalis</x:v>
      </x:c>
      <x:c r="F34" s="24" t="str">
        <x:v>Pacific bluefin tuna</x:v>
      </x:c>
      <x:c r="G34" s="24" t="str">
        <x:v>Large pelagics (&gt;=90 cm)</x:v>
      </x:c>
      <x:c r="H34" s="24" t="str">
        <x:v>Tuna &amp; billfishes</x:v>
      </x:c>
      <x:c r="I34" s="31" t="n">
        <x:v>0.0027009577</x:v>
      </x:c>
      <x:c r="J34" s="31" t="n">
        <x:v>0</x:v>
      </x:c>
      <x:c r="K34" s="31" t="n">
        <x:v>0.0027009577</x:v>
      </x:c>
      <x:c r="L34" s="31" t="n">
        <x:v>0</x:v>
      </x:c>
      <x:c r="M34" s="31" t="n">
        <x:v>0.0027009577</x:v>
      </x:c>
      <x:c r="N34" s="24" t="str">
        <x:v>thunnus orientalis</x:v>
      </x:c>
      <x:c r="O34" s="32" t="n">
        <x:v>4.05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Thunnus orientalis</x:v>
      </x:c>
      <x:c r="T34" s="32" t="n">
        <x:f>IF(O34="","",(1/'Metadata'!$B$5)^(O34-1))</x:f>
        <x:v>1122.018454301963</x:v>
      </x:c>
      <x:c r="U34" s="31" t="n">
        <x:f>IF(T34="","",I34*T34)</x:f>
        <x:v>3.0305243836889852</x:v>
      </x:c>
    </x:row>
    <x:row r="35" ht="18" customHeight="1">
      <x:c r="A35" s="24" t="str">
        <x:v>EEZ_153</x:v>
      </x:c>
      <x:c r="B35" s="24" t="str">
        <x:v>Easter Isl. (Chile)</x:v>
      </x:c>
      <x:c r="C35" s="24" t="str">
        <x:v>EEZ</x:v>
      </x:c>
      <x:c r="D35" s="30" t="n">
        <x:v>2019</x:v>
      </x:c>
      <x:c r="E35" s="24" t="str">
        <x:v>Thunnus maccoyii</x:v>
      </x:c>
      <x:c r="F35" s="24" t="str">
        <x:v>Southern bluefin tuna</x:v>
      </x:c>
      <x:c r="G35" s="24" t="str">
        <x:v>Large pelagics (&gt;=90 cm)</x:v>
      </x:c>
      <x:c r="H35" s="24" t="str">
        <x:v>Tuna &amp; billfishes</x:v>
      </x:c>
      <x:c r="I35" s="31" t="n">
        <x:v>0.0026632202</x:v>
      </x:c>
      <x:c r="J35" s="31" t="n">
        <x:v>0</x:v>
      </x:c>
      <x:c r="K35" s="31" t="n">
        <x:v>0.0026632202</x:v>
      </x:c>
      <x:c r="L35" s="31" t="n">
        <x:v>0</x:v>
      </x:c>
      <x:c r="M35" s="31" t="n">
        <x:v>0.0026632202</x:v>
      </x:c>
      <x:c r="N35" s="24" t="str">
        <x:v>thunnus maccoyii</x:v>
      </x:c>
      <x:c r="O35" s="32" t="n">
        <x:v>3.93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Thunnus maccoyii</x:v>
      </x:c>
      <x:c r="T35" s="32" t="n">
        <x:f>IF(O35="","",(1/'Metadata'!$B$5)^(O35-1))</x:f>
        <x:v>851.1380382023768</x:v>
      </x:c>
      <x:c r="U35" s="31" t="n">
        <x:f>IF(T35="","",I35*T35)</x:f>
        <x:v>2.2667680163289416</x:v>
      </x:c>
    </x:row>
    <x:row r="36" ht="18" customHeight="1">
      <x:c r="A36" s="24" t="str">
        <x:v>EEZ_153</x:v>
      </x:c>
      <x:c r="B36" s="24" t="str">
        <x:v>Easter Isl. (Chile)</x:v>
      </x:c>
      <x:c r="C36" s="24" t="str">
        <x:v>EEZ</x:v>
      </x:c>
      <x:c r="D36" s="30" t="n">
        <x:v>2019</x:v>
      </x:c>
      <x:c r="E36" s="24" t="str">
        <x:v>Istiophorus platypterus</x:v>
      </x:c>
      <x:c r="F36" s="24" t="str">
        <x:v>Indo-Pacific sailfish</x:v>
      </x:c>
      <x:c r="G36" s="24" t="str">
        <x:v>Large pelagics (&gt;=90 cm)</x:v>
      </x:c>
      <x:c r="H36" s="24" t="str">
        <x:v>Tuna &amp; billfishes</x:v>
      </x:c>
      <x:c r="I36" s="31" t="n">
        <x:v>0.0014173297</x:v>
      </x:c>
      <x:c r="J36" s="31" t="n">
        <x:v>0.0014173297</x:v>
      </x:c>
      <x:c r="K36" s="31" t="n">
        <x:v>0</x:v>
      </x:c>
      <x:c r="L36" s="31" t="n">
        <x:v>0.0014173297</x:v>
      </x:c>
      <x:c r="M36" s="31" t="n">
        <x:v>0</x:v>
      </x:c>
      <x:c r="N36" s="24" t="str">
        <x:v>istiophorus platypterus</x:v>
      </x:c>
      <x:c r="O36" s="32" t="n">
        <x:v>4.5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Istiophorus platypterus</x:v>
      </x:c>
      <x:c r="T36" s="32" t="n">
        <x:f>IF(O36="","",(1/'Metadata'!$B$5)^(O36-1))</x:f>
        <x:v>3162.2776601683795</x:v>
      </x:c>
      <x:c r="U36" s="31" t="n">
        <x:f>IF(T36="","",I36*T36)</x:f>
        <x:v>4.481990047403151</x:v>
      </x:c>
    </x:row>
    <x:row r="37" ht="18" customHeight="1">
      <x:c r="A37" s="24" t="str">
        <x:v>EEZ_153</x:v>
      </x:c>
      <x:c r="B37" s="24" t="str">
        <x:v>Easter Isl. (Chile)</x:v>
      </x:c>
      <x:c r="C37" s="24" t="str">
        <x:v>EEZ</x:v>
      </x:c>
      <x:c r="D37" s="30" t="n">
        <x:v>2019</x:v>
      </x:c>
      <x:c r="E37" s="24" t="str">
        <x:v>Carangidae</x:v>
      </x:c>
      <x:c r="F37" s="24" t="str">
        <x:v>Jacks, pompanos</x:v>
      </x:c>
      <x:c r="G37" s="24" t="str">
        <x:v>Medium pelagics (30 - 89 cm)</x:v>
      </x:c>
      <x:c r="H37" s="24" t="str">
        <x:v>Perch-likes</x:v>
      </x:c>
      <x:c r="I37" s="31" t="n">
        <x:v>0.0003995035</x:v>
      </x:c>
      <x:c r="J37" s="31" t="n">
        <x:v>0.00033804699999999996</x:v>
      </x:c>
      <x:c r="K37" s="31" t="n">
        <x:v>0.0000614565</x:v>
      </x:c>
      <x:c r="L37" s="31" t="n">
        <x:v>0.00033804699999999996</x:v>
      </x:c>
      <x:c r="M37" s="31" t="n">
        <x:v>0.0000614565</x:v>
      </x:c>
      <x:c r="N37" s="24" t="str">
        <x:v>carangidae</x:v>
      </x:c>
      <x:c r="O37" s="32" t="n">
        <x:v>4.05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Carangidae</x:v>
      </x:c>
      <x:c r="T37" s="32" t="n">
        <x:f>IF(O37="","",(1/'Metadata'!$B$5)^(O37-1))</x:f>
        <x:v>1122.018454301963</x:v>
      </x:c>
      <x:c r="U37" s="31" t="n">
        <x:f>IF(T37="","",I37*T37)</x:f>
        <x:v>0.44825029955822426</x:v>
      </x:c>
    </x:row>
  </x:sheetData>
  <x:conditionalFormatting sqref="R2:R3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daa6b0ce1fe4ef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0.9931841333</x:v>
      </x:c>
      <x:c r="C2" s="32" t="n">
        <x:v>2.6</x:v>
      </x:c>
      <x:c r="D2" s="32" t="n">
        <x:f>IF(C2="","",(1/'Metadata'!$B$5)^(C2-1))</x:f>
        <x:v>39.810717055349734</x:v>
      </x:c>
      <x:c r="E2" s="31" t="n">
        <x:f>IF(B2=0,"",B2*D2)</x:f>
        <x:v>39.539372514669054</x:v>
      </x:c>
    </x:row>
    <x:row r="3" ht="18" customHeight="1">
      <x:c r="A3" s="24" t="str">
        <x:v>Other fishes &amp; inverts</x:v>
      </x:c>
      <x:c r="B3" s="31" t="n">
        <x:v>39.626221381499995</x:v>
      </x:c>
      <x:c r="C3" s="32" t="n">
        <x:v>3.2854191654625757</x:v>
      </x:c>
      <x:c r="D3" s="32" t="n">
        <x:f>IF(C3="","",(1/'Metadata'!$B$5)^(C3-1))</x:f>
        <x:v>192.93861892008934</x:v>
      </x:c>
      <x:c r="E3" s="31" t="n">
        <x:f>IF(B3=0,"",B3*D3)</x:f>
        <x:v>7645.428426368324</x:v>
      </x:c>
    </x:row>
    <x:row r="4" ht="18" customHeight="1">
      <x:c r="A4" s="24" t="str">
        <x:v>Perch-likes</x:v>
      </x:c>
      <x:c r="B4" s="31" t="n">
        <x:v>804.7632251612</x:v>
      </x:c>
      <x:c r="C4" s="32" t="n">
        <x:v>3.767408236535786</x:v>
      </x:c>
      <x:c r="D4" s="32" t="n">
        <x:f>IF(C4="","",(1/'Metadata'!$B$5)^(C4-1))</x:f>
        <x:v>585.3400448911949</x:v>
      </x:c>
      <x:c r="E4" s="31" t="n">
        <x:f>IF(B4=0,"",B4*D4)</x:f>
        <x:v>471060.1423426396</x:v>
      </x:c>
    </x:row>
    <x:row r="5" ht="18" customHeight="1">
      <x:c r="A5" s="24" t="str">
        <x:v>Sharks &amp; rays</x:v>
      </x:c>
      <x:c r="B5" s="31" t="n">
        <x:v>2593.7592628191996</x:v>
      </x:c>
      <x:c r="C5" s="32" t="n">
        <x:v>4.373117102216697</x:v>
      </x:c>
      <x:c r="D5" s="32" t="n">
        <x:f>IF(C5="","",(1/'Metadata'!$B$5)^(C5-1))</x:f>
        <x:v>2361.114793198514</x:v>
      </x:c>
      <x:c r="E5" s="31" t="n">
        <x:f>IF(B5=0,"",B5*D5)</x:f>
        <x:v>6124163.365438084</x:v>
      </x:c>
    </x:row>
    <x:row r="6" ht="18" customHeight="1">
      <x:c r="A6" s="24" t="str">
        <x:v>Tuna &amp; billfishes</x:v>
      </x:c>
      <x:c r="B6" s="31" t="n">
        <x:v>143.26203601839998</x:v>
      </x:c>
      <x:c r="C6" s="32" t="n">
        <x:v>4.341249417224918</x:v>
      </x:c>
      <x:c r="D6" s="32" t="n">
        <x:f>IF(C6="","",(1/'Metadata'!$B$5)^(C6-1))</x:f>
        <x:v>2194.064634528905</x:v>
      </x:c>
      <x:c r="E6" s="31" t="n">
        <x:f>IF(B6=0,"",B6*D6)</x:f>
        <x:v>314326.1666985776</x:v>
      </x:c>
    </x:row>
  </x:sheetData>
  <x:pageMargins left="0.7" right="0.7" top="0.75" bottom="0.75" header="0.3" footer="0.3"/>
  <x:tableParts count="1">
    <x:tablePart xmlns:r="http://schemas.openxmlformats.org/officeDocument/2006/relationships" r:id="Rcd057e936db143c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11.3822110001</x:v>
      </x:c>
      <x:c r="C2" s="32" t="n">
        <x:v>4.229215786771048</x:v>
      </x:c>
      <x:c r="D2" s="32" t="n">
        <x:f>IF(C2="","",(1/'Metadata'!$B$5)^(C2-1))</x:f>
        <x:v>1695.179870850166</x:v>
      </x:c>
      <x:c r="E2" s="31" t="n">
        <x:f>IF(B2=0,"",B2*D2)</x:f>
        <x:v>19294.894973138857</x:v>
      </x:c>
    </x:row>
    <x:row r="3" ht="18" customHeight="1">
      <x:c r="A3" s="24" t="str">
        <x:v>Large pelagics (&gt;=90 cm)</x:v>
      </x:c>
      <x:c r="B3" s="31" t="n">
        <x:v>183.94812224999995</x:v>
      </x:c>
      <x:c r="C3" s="32" t="n">
        <x:v>4.340820694871737</x:v>
      </x:c>
      <x:c r="D3" s="32" t="n">
        <x:f>IF(C3="","",(1/'Metadata'!$B$5)^(C3-1))</x:f>
        <x:v>2191.8997891137265</x:v>
      </x:c>
      <x:c r="E3" s="31" t="n">
        <x:f>IF(B3=0,"",B3*D3)</x:f>
        <x:v>403195.8503676409</x:v>
      </x:c>
    </x:row>
    <x:row r="4" ht="18" customHeight="1">
      <x:c r="A4" s="24" t="str">
        <x:v>Large sharks (&gt;=90 cm)</x:v>
      </x:c>
      <x:c r="B4" s="31" t="n">
        <x:v>2593.7592628191996</x:v>
      </x:c>
      <x:c r="C4" s="32" t="n">
        <x:v>4.373117102216697</x:v>
      </x:c>
      <x:c r="D4" s="32" t="n">
        <x:f>IF(C4="","",(1/'Metadata'!$B$5)^(C4-1))</x:f>
        <x:v>2361.114793198514</x:v>
      </x:c>
      <x:c r="E4" s="31" t="n">
        <x:f>IF(B4=0,"",B4*D4)</x:f>
        <x:v>6124163.365438084</x:v>
      </x:c>
    </x:row>
    <x:row r="5" ht="18" customHeight="1">
      <x:c r="A5" s="24" t="str">
        <x:v>Lobsters, crabs</x:v>
      </x:c>
      <x:c r="B5" s="31" t="n">
        <x:v>0.9931841333</x:v>
      </x:c>
      <x:c r="C5" s="32" t="n">
        <x:v>2.6</x:v>
      </x:c>
      <x:c r="D5" s="32" t="n">
        <x:f>IF(C5="","",(1/'Metadata'!$B$5)^(C5-1))</x:f>
        <x:v>39.810717055349734</x:v>
      </x:c>
      <x:c r="E5" s="31" t="n">
        <x:f>IF(B5=0,"",B5*D5)</x:f>
        <x:v>39.539372514669054</x:v>
      </x:c>
    </x:row>
    <x:row r="6" ht="18" customHeight="1">
      <x:c r="A6" s="24" t="str">
        <x:v>Medium benthopelagics (30 - 89 cm)</x:v>
      </x:c>
      <x:c r="B6" s="31" t="n">
        <x:v>14.3018515195</x:v>
      </x:c>
      <x:c r="C6" s="32" t="n">
        <x:v>3.65</x:v>
      </x:c>
      <x:c r="D6" s="32" t="n">
        <x:f>IF(C6="","",(1/'Metadata'!$B$5)^(C6-1))</x:f>
        <x:v>446.683592150963</x:v>
      </x:c>
      <x:c r="E6" s="31" t="n">
        <x:f>IF(B6=0,"",B6*D6)</x:f>
        <x:v>6388.4024111399685</x:v>
      </x:c>
    </x:row>
    <x:row r="7" ht="18" customHeight="1">
      <x:c r="A7" s="24" t="str">
        <x:v>Medium demersals (30 - 89 cm)</x:v>
      </x:c>
      <x:c r="B7" s="31" t="n">
        <x:v>34.6005005141</x:v>
      </x:c>
      <x:c r="C7" s="32" t="n">
        <x:v>3.276038802665899</x:v>
      </x:c>
      <x:c r="D7" s="32" t="n">
        <x:f>IF(C7="","",(1/'Metadata'!$B$5)^(C7-1))</x:f>
        <x:v>188.8160041938153</x:v>
      </x:c>
      <x:c r="E7" s="31" t="n">
        <x:f>IF(B7=0,"",B7*D7)</x:f>
        <x:v>6533.1282501784135</x:v>
      </x:c>
    </x:row>
    <x:row r="8" ht="18" customHeight="1">
      <x:c r="A8" s="24" t="str">
        <x:v>Medium pelagics (30 - 89 cm)</x:v>
      </x:c>
      <x:c r="B8" s="31" t="n">
        <x:v>743.1009783547</x:v>
      </x:c>
      <x:c r="C8" s="32" t="n">
        <x:v>3.7282137212122786</x:v>
      </x:c>
      <x:c r="D8" s="32" t="n">
        <x:f>IF(C8="","",(1/'Metadata'!$B$5)^(C8-1))</x:f>
        <x:v>534.827489286036</x:v>
      </x:c>
      <x:c r="E8" s="31" t="n">
        <x:f>IF(B8=0,"",B8*D8)</x:f>
        <x:v>397430.8305394412</x:v>
      </x:c>
    </x:row>
    <x:row r="9" ht="18" customHeight="1">
      <x:c r="A9" s="24" t="str">
        <x:v>Medium reef assoc. fish (30 - 89 cm)</x:v>
      </x:c>
      <x:c r="B9" s="31" t="n">
        <x:v>0.3178189227</x:v>
      </x:c>
      <x:c r="C9" s="32" t="n">
        <x:v>4.34</x:v>
      </x:c>
      <x:c r="D9" s="32" t="n">
        <x:f>IF(C9="","",(1/'Metadata'!$B$5)^(C9-1))</x:f>
        <x:v>2187.761623949552</x:v>
      </x:c>
      <x:c r="E9" s="31" t="n">
        <x:f>IF(B9=0,"",B9*D9)</x:f>
        <x:v>695.3120424480492</x:v>
      </x:c>
    </x:row>
  </x:sheetData>
  <x:pageMargins left="0.7" right="0.7" top="0.75" bottom="0.75" header="0.3" footer="0.3"/>
  <x:tableParts count="1">
    <x:tablePart xmlns:r="http://schemas.openxmlformats.org/officeDocument/2006/relationships" r:id="Ra24f04f166f1418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EEZ_153</x:v>
      </x:c>
      <x:c r="B2" s="24" t="str">
        <x:v>raw_filtered_tonnes</x:v>
      </x:c>
      <x:c r="C2" s="24" t="n">
        <x:v>3582.4039295136</x:v>
      </x:c>
      <x:c r="D2" s="24" t="str">
        <x:v>tonnes</x:v>
      </x:c>
    </x:row>
    <x:row r="3" ht="18" customHeight="1">
      <x:c r="A3" s="24" t="str">
        <x:v>EEZ_153</x:v>
      </x:c>
      <x:c r="B3" s="24" t="str">
        <x:v>species_catch_tonnes</x:v>
      </x:c>
      <x:c r="C3" s="24" t="n">
        <x:v>3582.4039295135995</x:v>
      </x:c>
      <x:c r="D3" s="24" t="str">
        <x:v>tonnes</x:v>
      </x:c>
    </x:row>
    <x:row r="4" ht="18" customHeight="1">
      <x:c r="A4" s="24" t="str">
        <x:v>EEZ_153</x:v>
      </x:c>
      <x:c r="B4" s="24" t="str">
        <x:v>catch_difference_tonnes</x:v>
      </x:c>
      <x:c r="C4" s="24" t="n">
        <x:v>-4.547473508864641e-13</x:v>
      </x:c>
      <x:c r="D4" s="24" t="str">
        <x:v>tonnes</x:v>
      </x:c>
    </x:row>
    <x:row r="5" ht="18" customHeight="1">
      <x:c r="A5" s="24" t="str">
        <x:v>EEZ_153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EEZ_153</x:v>
      </x:c>
      <x:c r="B6" s="24" t="str">
        <x:v>matched_catch_tonnes</x:v>
      </x:c>
      <x:c r="C6" s="24" t="n">
        <x:v>3582.4039295135995</x:v>
      </x:c>
      <x:c r="D6" s="24" t="str">
        <x:v>tonnes</x:v>
      </x:c>
    </x:row>
    <x:row r="7" ht="18" customHeight="1">
      <x:c r="A7" s="24" t="str">
        <x:v>EEZ_153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EEZ_153</x:v>
      </x:c>
      <x:c r="B8" s="24" t="str">
        <x:v>taxa_count</x:v>
      </x:c>
      <x:c r="C8" s="24" t="n">
        <x:v>36</x:v>
      </x:c>
      <x:c r="D8" s="24" t="str">
        <x:v>count</x:v>
      </x:c>
    </x:row>
    <x:row r="9" ht="18" customHeight="1">
      <x:c r="A9" s="24" t="str">
        <x:v>EEZ_153</x:v>
      </x:c>
      <x:c r="B9" s="24" t="str">
        <x:v>matched_taxa_count</x:v>
      </x:c>
      <x:c r="C9" s="24" t="n">
        <x:v>36</x:v>
      </x:c>
      <x:c r="D9" s="24" t="str">
        <x:v>count</x:v>
      </x:c>
    </x:row>
    <x:row r="10" ht="18" customHeight="1">
      <x:c r="A10" s="24" t="str">
        <x:v>EEZ_153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EEZ_153</x:v>
      </x:c>
      <x:c r="B11" s="24" t="str">
        <x:v>species_ppr</x:v>
      </x:c>
      <x:c r="C11" s="24" t="n">
        <x:v>7297323.667236304</x:v>
      </x:c>
      <x:c r="D11" s="24" t="str">
        <x:v>tonnes_primary_production_equivalent</x:v>
      </x:c>
    </x:row>
    <x:row r="12" ht="18" customHeight="1">
      <x:c r="A12" s="24" t="str">
        <x:v>EEZ_153</x:v>
      </x:c>
      <x:c r="B12" s="24" t="str">
        <x:v>commercial_ppr</x:v>
      </x:c>
      <x:c r="C12" s="24" t="n">
        <x:v>6917234.642278184</x:v>
      </x:c>
      <x:c r="D12" s="24" t="str">
        <x:v>tonnes_primary_production_equivalent</x:v>
      </x:c>
    </x:row>
    <x:row r="13" ht="18" customHeight="1">
      <x:c r="A13" s="24" t="str">
        <x:v>EEZ_153</x:v>
      </x:c>
      <x:c r="B13" s="24" t="str">
        <x:v>functional_ppr</x:v>
      </x:c>
      <x:c r="C13" s="24" t="n">
        <x:v>6957741.323394586</x:v>
      </x:c>
      <x:c r="D13" s="24" t="str">
        <x:v>tonnes_primary_production_equivalent</x:v>
      </x:c>
    </x:row>
    <x:row r="14" ht="18" customHeight="1">
      <x:c r="A14" s="24" t="str">
        <x:v>EEZ_153</x:v>
      </x:c>
      <x:c r="B14" s="24" t="str">
        <x:v>commercial_ppr_difference</x:v>
      </x:c>
      <x:c r="C14" s="24" t="n">
        <x:v>-380089.0249581197</x:v>
      </x:c>
      <x:c r="D14" s="24" t="str">
        <x:v>tonnes_primary_production_equivalent</x:v>
      </x:c>
    </x:row>
    <x:row r="15" ht="18" customHeight="1">
      <x:c r="A15" s="24" t="str">
        <x:v>EEZ_153</x:v>
      </x:c>
      <x:c r="B15" s="24" t="str">
        <x:v>functional_ppr_difference</x:v>
      </x:c>
      <x:c r="C15" s="24" t="n">
        <x:v>-339582.3438417176</x:v>
      </x:c>
      <x:c r="D15" s="24" t="str">
        <x:v>tonnes_primary_production_equivalent</x:v>
      </x:c>
    </x:row>
    <x:row r="16" ht="18" customHeight="1">
      <x:c r="A16" s="24" t="str">
        <x:v>EEZ_153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EEZ_153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67a06a481e8e47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EEZ_153 - Easter Isl. (Chile)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EEZ_153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raw_data/SAU_downloads/EEZ_153-catch.zip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