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843f83a4b548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c5b52db223e4d11"/>
    <x:sheet xmlns:r="http://schemas.openxmlformats.org/officeDocument/2006/relationships" name="Commercial" sheetId="2" r:id="R96d70693608f43b2"/>
    <x:sheet xmlns:r="http://schemas.openxmlformats.org/officeDocument/2006/relationships" name="Functional" sheetId="3" r:id="Rffb3077f505b481f"/>
    <x:sheet xmlns:r="http://schemas.openxmlformats.org/officeDocument/2006/relationships" name="Missing TL" sheetId="4" r:id="R07e603355a8e4f90"/>
    <x:sheet xmlns:r="http://schemas.openxmlformats.org/officeDocument/2006/relationships" name="Validation" sheetId="5" r:id="Re389ebf6009d4dbb"/>
    <x:sheet xmlns:r="http://schemas.openxmlformats.org/officeDocument/2006/relationships" name="Metadata" sheetId="6" r:id="R023e80b71f1d4b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f93d501b58490b" /><Relationship Type="http://schemas.openxmlformats.org/officeDocument/2006/relationships/theme" Target="/xl/theme/theme1.xml" Id="Ra7060e1ebea040e2" /><Relationship Type="http://schemas.microsoft.com/office/2022/11/relationships/FeaturePropertyBag" Target="/xl/featurePropertyBag/featurePropertyBag.xml" Id="Rfb51b72d84eb45bc" /><Relationship Type="http://schemas.openxmlformats.org/officeDocument/2006/relationships/sharedStrings" Target="/xl/sharedStrings.xml" Id="Ra89d46ec10a04761" /><Relationship Type="http://schemas.openxmlformats.org/officeDocument/2006/relationships/worksheet" Target="/xl/worksheets/sheet1.xml" Id="R0c5b52db223e4d11" /><Relationship Type="http://schemas.openxmlformats.org/officeDocument/2006/relationships/worksheet" Target="/xl/worksheets/sheet2.xml" Id="R96d70693608f43b2" /><Relationship Type="http://schemas.openxmlformats.org/officeDocument/2006/relationships/worksheet" Target="/xl/worksheets/sheet3.xml" Id="Rffb3077f505b481f" /><Relationship Type="http://schemas.openxmlformats.org/officeDocument/2006/relationships/worksheet" Target="/xl/worksheets/sheet4.xml" Id="R07e603355a8e4f90" /><Relationship Type="http://schemas.openxmlformats.org/officeDocument/2006/relationships/worksheet" Target="/xl/worksheets/sheet5.xml" Id="Re389ebf6009d4dbb" /><Relationship Type="http://schemas.openxmlformats.org/officeDocument/2006/relationships/worksheet" Target="/xl/worksheets/sheet6.xml" Id="R023e80b71f1d4b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21SpeciesTable" displayName="EEZ621SpeciesTable" ref="A1:U99" headerRowCount="1" totalsRowCount="0" totalsRowShown="0">
  <x:autoFilter ref="A1:U9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21CommercialTable" displayName="EEZ621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21FunctionalTable" displayName="EEZ621FunctionalTable" ref="A1:E23" headerRowCount="1" totalsRowCount="0" totalsRowShown="0">
  <x:autoFilter ref="A1:E23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21ValidationTable" displayName="EEZ621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bcdc2ed724486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107a270e1cf49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3ac635b131544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0ee07dd3cc483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EEZ_621</x:v>
      </x:c>
      <x:c r="B2" s="24" t="str">
        <x:v>Madeira Isl. (Portugal)</x:v>
      </x:c>
      <x:c r="C2" s="24" t="str">
        <x:v>EEZ</x:v>
      </x:c>
      <x:c r="D2" s="30" t="n">
        <x:v>2019</x:v>
      </x:c>
      <x:c r="E2" s="24" t="str">
        <x:v>Thunnus alalunga</x:v>
      </x:c>
      <x:c r="F2" s="24" t="str">
        <x:v>Albacore</x:v>
      </x:c>
      <x:c r="G2" s="24" t="str">
        <x:v>Large pelagics (&gt;=90 cm)</x:v>
      </x:c>
      <x:c r="H2" s="24" t="str">
        <x:v>Tuna &amp; billfishes</x:v>
      </x:c>
      <x:c r="I2" s="31" t="n">
        <x:v>4768.8811965774</x:v>
      </x:c>
      <x:c r="J2" s="31" t="n">
        <x:v>4768.8811965774</x:v>
      </x:c>
      <x:c r="K2" s="31" t="n">
        <x:v>0</x:v>
      </x:c>
      <x:c r="L2" s="31" t="n">
        <x:v>4768.8811965774</x:v>
      </x:c>
      <x:c r="M2" s="31" t="n">
        <x:v>0</x:v>
      </x:c>
      <x:c r="N2" s="24" t="str">
        <x:v>thunnus alalunga</x:v>
      </x:c>
      <x:c r="O2" s="32" t="n">
        <x:v>4.3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Thunnus alalunga</x:v>
      </x:c>
      <x:c r="T2" s="32" t="n">
        <x:f>IF(O2="","",(1/'Metadata'!$B$5)^(O2-1))</x:f>
        <x:v>1995.2623149688789</x:v>
      </x:c>
      <x:c r="U2" s="31" t="n">
        <x:f>IF(T2="","",I2*T2)</x:f>
        <x:v>9515168.93609458</x:v>
      </x:c>
    </x:row>
    <x:row r="3" ht="18" customHeight="1">
      <x:c r="A3" s="24" t="str">
        <x:v>EEZ_621</x:v>
      </x:c>
      <x:c r="B3" s="24" t="str">
        <x:v>Madeira Isl. (Portugal)</x:v>
      </x:c>
      <x:c r="C3" s="24" t="str">
        <x:v>EEZ</x:v>
      </x:c>
      <x:c r="D3" s="30" t="n">
        <x:v>2019</x:v>
      </x:c>
      <x:c r="E3" s="24" t="str">
        <x:v>Thunnus obesus</x:v>
      </x:c>
      <x:c r="F3" s="24" t="str">
        <x:v>Bigeye tuna</x:v>
      </x:c>
      <x:c r="G3" s="24" t="str">
        <x:v>Large pelagics (&gt;=90 cm)</x:v>
      </x:c>
      <x:c r="H3" s="24" t="str">
        <x:v>Tuna &amp; billfishes</x:v>
      </x:c>
      <x:c r="I3" s="31" t="n">
        <x:v>4042.7545384466002</x:v>
      </x:c>
      <x:c r="J3" s="31" t="n">
        <x:v>4042.7545384466002</x:v>
      </x:c>
      <x:c r="K3" s="31" t="n">
        <x:v>0</x:v>
      </x:c>
      <x:c r="L3" s="31" t="n">
        <x:v>4042.7545384466002</x:v>
      </x:c>
      <x:c r="M3" s="31" t="n">
        <x:v>0</x:v>
      </x:c>
      <x:c r="N3" s="24" t="str">
        <x:v>thunnus obesus</x:v>
      </x:c>
      <x:c r="O3" s="32" t="n">
        <x:v>4.49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obesus</x:v>
      </x:c>
      <x:c r="T3" s="32" t="n">
        <x:f>IF(O3="","",(1/'Metadata'!$B$5)^(O3-1))</x:f>
        <x:v>3090.295432513592</x:v>
      </x:c>
      <x:c r="U3" s="31" t="n">
        <x:f>IF(T3="","",I3*T3)</x:f>
        <x:v>12493305.884935124</x:v>
      </x:c>
    </x:row>
    <x:row r="4" ht="18" customHeight="1">
      <x:c r="A4" s="24" t="str">
        <x:v>EEZ_621</x:v>
      </x:c>
      <x:c r="B4" s="24" t="str">
        <x:v>Madeira Isl. (Portugal)</x:v>
      </x:c>
      <x:c r="C4" s="24" t="str">
        <x:v>EEZ</x:v>
      </x:c>
      <x:c r="D4" s="30" t="n">
        <x:v>2019</x:v>
      </x:c>
      <x:c r="E4" s="24" t="str">
        <x:v>Aphanopus carbo</x:v>
      </x:c>
      <x:c r="F4" s="24" t="str">
        <x:v>Black scabbardfish</x:v>
      </x:c>
      <x:c r="G4" s="24" t="str">
        <x:v>Large benthopelagics (&gt;=90 cm)</x:v>
      </x:c>
      <x:c r="H4" s="24" t="str">
        <x:v>Perch-likes</x:v>
      </x:c>
      <x:c r="I4" s="31" t="n">
        <x:v>2247</x:v>
      </x:c>
      <x:c r="J4" s="31" t="n">
        <x:v>2247</x:v>
      </x:c>
      <x:c r="K4" s="31" t="n">
        <x:v>0</x:v>
      </x:c>
      <x:c r="L4" s="31" t="n">
        <x:v>2247</x:v>
      </x:c>
      <x:c r="M4" s="31" t="n">
        <x:v>0</x:v>
      </x:c>
      <x:c r="N4" s="24" t="str">
        <x:v>aphanopus carbo</x:v>
      </x:c>
      <x:c r="O4" s="32" t="n">
        <x:v>4.48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Aphanopus carbo</x:v>
      </x:c>
      <x:c r="T4" s="32" t="n">
        <x:f>IF(O4="","",(1/'Metadata'!$B$5)^(O4-1))</x:f>
        <x:v>3019.951720402019</x:v>
      </x:c>
      <x:c r="U4" s="31" t="n">
        <x:f>IF(T4="","",I4*T4)</x:f>
        <x:v>6785831.515743337</x:v>
      </x:c>
    </x:row>
    <x:row r="5" ht="18" customHeight="1">
      <x:c r="A5" s="24" t="str">
        <x:v>EEZ_621</x:v>
      </x:c>
      <x:c r="B5" s="24" t="str">
        <x:v>Madeira Isl. (Portugal)</x:v>
      </x:c>
      <x:c r="C5" s="24" t="str">
        <x:v>EEZ</x:v>
      </x:c>
      <x:c r="D5" s="30" t="n">
        <x:v>2019</x:v>
      </x:c>
      <x:c r="E5" s="24" t="str">
        <x:v>Katsuwonus pelamis</x:v>
      </x:c>
      <x:c r="F5" s="24" t="str">
        <x:v>Skipjack tuna</x:v>
      </x:c>
      <x:c r="G5" s="24" t="str">
        <x:v>Large pelagics (&gt;=90 cm)</x:v>
      </x:c>
      <x:c r="H5" s="24" t="str">
        <x:v>Tuna &amp; billfishes</x:v>
      </x:c>
      <x:c r="I5" s="31" t="n">
        <x:v>1067.8206007646</x:v>
      </x:c>
      <x:c r="J5" s="31" t="n">
        <x:v>1067.8206007646</x:v>
      </x:c>
      <x:c r="K5" s="31" t="n">
        <x:v>0</x:v>
      </x:c>
      <x:c r="L5" s="31" t="n">
        <x:v>1067.8206007646</x:v>
      </x:c>
      <x:c r="M5" s="31" t="n">
        <x:v>0</x:v>
      </x:c>
      <x:c r="N5" s="24" t="str">
        <x:v>katsuwonus pelamis</x:v>
      </x:c>
      <x:c r="O5" s="32" t="n">
        <x:v>4.43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Katsuwonus pelamis</x:v>
      </x:c>
      <x:c r="T5" s="32" t="n">
        <x:f>IF(O5="","",(1/'Metadata'!$B$5)^(O5-1))</x:f>
        <x:v>2691.534803926914</x:v>
      </x:c>
      <x:c r="U5" s="31" t="n">
        <x:f>IF(T5="","",I5*T5)</x:f>
        <x:v>2874076.311308067</x:v>
      </x:c>
    </x:row>
    <x:row r="6" ht="18" customHeight="1">
      <x:c r="A6" s="24" t="str">
        <x:v>EEZ_621</x:v>
      </x:c>
      <x:c r="B6" s="24" t="str">
        <x:v>Madeira Isl. (Portugal)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937.7399633774</x:v>
      </x:c>
      <x:c r="J6" s="31" t="n">
        <x:v>842.6920919919</x:v>
      </x:c>
      <x:c r="K6" s="31" t="n">
        <x:v>95.0478713855</x:v>
      </x:c>
      <x:c r="L6" s="31" t="n">
        <x:v>221.74609237020002</x:v>
      </x:c>
      <x:c r="M6" s="31" t="n">
        <x:v>715.9938710072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178682.6663879929</x:v>
      </x:c>
    </x:row>
    <x:row r="7" ht="18" customHeight="1">
      <x:c r="A7" s="24" t="str">
        <x:v>EEZ_621</x:v>
      </x:c>
      <x:c r="B7" s="24" t="str">
        <x:v>Madeira Isl. (Portugal)</x:v>
      </x:c>
      <x:c r="C7" s="24" t="str">
        <x:v>EEZ</x:v>
      </x:c>
      <x:c r="D7" s="30" t="n">
        <x:v>2019</x:v>
      </x:c>
      <x:c r="E7" s="24" t="str">
        <x:v>Xiphias gladius</x:v>
      </x:c>
      <x:c r="F7" s="24" t="str">
        <x:v>Swordfish</x:v>
      </x:c>
      <x:c r="G7" s="24" t="str">
        <x:v>Large pelagics (&gt;=90 cm)</x:v>
      </x:c>
      <x:c r="H7" s="24" t="str">
        <x:v>Tuna &amp; billfishes</x:v>
      </x:c>
      <x:c r="I7" s="31" t="n">
        <x:v>423.964082727</x:v>
      </x:c>
      <x:c r="J7" s="31" t="n">
        <x:v>423.964082727</x:v>
      </x:c>
      <x:c r="K7" s="31" t="n">
        <x:v>0</x:v>
      </x:c>
      <x:c r="L7" s="31" t="n">
        <x:v>423.964082727</x:v>
      </x:c>
      <x:c r="M7" s="31" t="n">
        <x:v>0</x:v>
      </x:c>
      <x:c r="N7" s="24" t="str">
        <x:v>xiphias gladius</x:v>
      </x:c>
      <x:c r="O7" s="32" t="n">
        <x:v>4.53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Xiphias gladius</x:v>
      </x:c>
      <x:c r="T7" s="32" t="n">
        <x:f>IF(O7="","",(1/'Metadata'!$B$5)^(O7-1))</x:f>
        <x:v>3388.4415613920273</x:v>
      </x:c>
      <x:c r="U7" s="31" t="n">
        <x:f>IF(T7="","",I7*T7)</x:f>
        <x:v>1436577.5184496145</x:v>
      </x:c>
    </x:row>
    <x:row r="8" ht="18" customHeight="1">
      <x:c r="A8" s="24" t="str">
        <x:v>EEZ_621</x:v>
      </x:c>
      <x:c r="B8" s="24" t="str">
        <x:v>Madeira Isl. (Portugal)</x:v>
      </x:c>
      <x:c r="C8" s="24" t="str">
        <x:v>EEZ</x:v>
      </x:c>
      <x:c r="D8" s="30" t="n">
        <x:v>2019</x:v>
      </x:c>
      <x:c r="E8" s="24" t="str">
        <x:v>Trachurus picturatus</x:v>
      </x:c>
      <x:c r="F8" s="24" t="str">
        <x:v>Blue jack mackerel</x:v>
      </x:c>
      <x:c r="G8" s="24" t="str">
        <x:v>Medium benthopelagics (30 - 89 cm)</x:v>
      </x:c>
      <x:c r="H8" s="24" t="str">
        <x:v>Perch-likes</x:v>
      </x:c>
      <x:c r="I8" s="31" t="n">
        <x:v>382.4356527945</x:v>
      </x:c>
      <x:c r="J8" s="31" t="n">
        <x:v>382.4356527945</x:v>
      </x:c>
      <x:c r="K8" s="31" t="n">
        <x:v>0</x:v>
      </x:c>
      <x:c r="L8" s="31" t="n">
        <x:v>219.0009475393</x:v>
      </x:c>
      <x:c r="M8" s="31" t="n">
        <x:v>163.43470525520002</x:v>
      </x:c>
      <x:c r="N8" s="24" t="str">
        <x:v>trachurus picturatus</x:v>
      </x:c>
      <x:c r="O8" s="32" t="n">
        <x:v>3.32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Trachurus picturatus</x:v>
      </x:c>
      <x:c r="T8" s="32" t="n">
        <x:f>IF(O8="","",(1/'Metadata'!$B$5)^(O8-1))</x:f>
        <x:v>208.92961308540387</x:v>
      </x:c>
      <x:c r="U8" s="31" t="n">
        <x:f>IF(T8="","",I8*T8)</x:f>
        <x:v>79902.13296841874</x:v>
      </x:c>
    </x:row>
    <x:row r="9" ht="18" customHeight="1">
      <x:c r="A9" s="24" t="str">
        <x:v>EEZ_621</x:v>
      </x:c>
      <x:c r="B9" s="24" t="str">
        <x:v>Madeira Isl. (Portugal)</x:v>
      </x:c>
      <x:c r="C9" s="24" t="str">
        <x:v>EEZ</x:v>
      </x:c>
      <x:c r="D9" s="30" t="n">
        <x:v>2019</x:v>
      </x:c>
      <x:c r="E9" s="24" t="str">
        <x:v>Prionace glauca</x:v>
      </x:c>
      <x:c r="F9" s="24" t="str">
        <x:v>Blue shark</x:v>
      </x:c>
      <x:c r="G9" s="24" t="str">
        <x:v>Large sharks (&gt;=90 cm)</x:v>
      </x:c>
      <x:c r="H9" s="24" t="str">
        <x:v>Sharks &amp; rays</x:v>
      </x:c>
      <x:c r="I9" s="31" t="n">
        <x:v>268.9534932857</x:v>
      </x:c>
      <x:c r="J9" s="31" t="n">
        <x:v>268.9534932857</x:v>
      </x:c>
      <x:c r="K9" s="31" t="n">
        <x:v>0</x:v>
      </x:c>
      <x:c r="L9" s="31" t="n">
        <x:v>268.9534932857</x:v>
      </x:c>
      <x:c r="M9" s="31" t="n">
        <x:v>0</x:v>
      </x:c>
      <x:c r="N9" s="24" t="str">
        <x:v>prionace glauca</x:v>
      </x:c>
      <x:c r="O9" s="32" t="n">
        <x:v>4.35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Prionace glauca</x:v>
      </x:c>
      <x:c r="T9" s="32" t="n">
        <x:f>IF(O9="","",(1/'Metadata'!$B$5)^(O9-1))</x:f>
        <x:v>2238.7211385683377</x:v>
      </x:c>
      <x:c r="U9" s="31" t="n">
        <x:f>IF(T9="","",I9*T9)</x:f>
        <x:v>602111.8707104941</x:v>
      </x:c>
    </x:row>
    <x:row r="10" ht="18" customHeight="1">
      <x:c r="A10" s="24" t="str">
        <x:v>EEZ_621</x:v>
      </x:c>
      <x:c r="B10" s="24" t="str">
        <x:v>Madeira Isl. (Portugal)</x:v>
      </x:c>
      <x:c r="C10" s="24" t="str">
        <x:v>EEZ</x:v>
      </x:c>
      <x:c r="D10" s="30" t="n">
        <x:v>2019</x:v>
      </x:c>
      <x:c r="E10" s="24" t="str">
        <x:v>Scomber scombrus</x:v>
      </x:c>
      <x:c r="F10" s="24" t="str">
        <x:v>Atlantic mackerel</x:v>
      </x:c>
      <x:c r="G10" s="24" t="str">
        <x:v>Medium pelagics (30 - 89 cm)</x:v>
      </x:c>
      <x:c r="H10" s="24" t="str">
        <x:v>Perch-likes</x:v>
      </x:c>
      <x:c r="I10" s="31" t="n">
        <x:v>259.54462013</x:v>
      </x:c>
      <x:c r="J10" s="31" t="n">
        <x:v>259.54462013</x:v>
      </x:c>
      <x:c r="K10" s="31" t="n">
        <x:v>0</x:v>
      </x:c>
      <x:c r="L10" s="31" t="n">
        <x:v>222.57068627040002</x:v>
      </x:c>
      <x:c r="M10" s="31" t="n">
        <x:v>36.9739338596</x:v>
      </x:c>
      <x:c r="N10" s="24" t="str">
        <x:v>scomber scombrus</x:v>
      </x:c>
      <x:c r="O10" s="32" t="n">
        <x:v>3.63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Scomber scombrus</x:v>
      </x:c>
      <x:c r="T10" s="32" t="n">
        <x:f>IF(O10="","",(1/'Metadata'!$B$5)^(O10-1))</x:f>
        <x:v>426.57951880159254</x:v>
      </x:c>
      <x:c r="U10" s="31" t="n">
        <x:f>IF(T10="","",I10*T10)</x:f>
        <x:v>110716.41916259752</x:v>
      </x:c>
    </x:row>
    <x:row r="11" ht="18" customHeight="1">
      <x:c r="A11" s="24" t="str">
        <x:v>EEZ_621</x:v>
      </x:c>
      <x:c r="B11" s="24" t="str">
        <x:v>Madeira Isl. (Portugal)</x:v>
      </x:c>
      <x:c r="C11" s="24" t="str">
        <x:v>EEZ</x:v>
      </x:c>
      <x:c r="D11" s="30" t="n">
        <x:v>2019</x:v>
      </x:c>
      <x:c r="E11" s="24" t="str">
        <x:v>Scomber colias</x:v>
      </x:c>
      <x:c r="F11" s="24" t="str">
        <x:v>Atlantic chub mackerel</x:v>
      </x:c>
      <x:c r="G11" s="24" t="str">
        <x:v>Medium pelagics (30 - 89 cm)</x:v>
      </x:c>
      <x:c r="H11" s="24" t="str">
        <x:v>Perch-likes</x:v>
      </x:c>
      <x:c r="I11" s="31" t="n">
        <x:v>113.7045845336</x:v>
      </x:c>
      <x:c r="J11" s="31" t="n">
        <x:v>113.7045845336</x:v>
      </x:c>
      <x:c r="K11" s="31" t="n">
        <x:v>0</x:v>
      </x:c>
      <x:c r="L11" s="31" t="n">
        <x:v>0</x:v>
      </x:c>
      <x:c r="M11" s="31" t="n">
        <x:v>113.7045845336</x:v>
      </x:c>
      <x:c r="N11" s="24" t="str">
        <x:v>scomber colias</x:v>
      </x:c>
      <x:c r="O11" s="32" t="n">
        <x:v>3.91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Scomber colias</x:v>
      </x:c>
      <x:c r="T11" s="32" t="n">
        <x:f>IF(O11="","",(1/'Metadata'!$B$5)^(O11-1))</x:f>
        <x:v>812.8305161640995</x:v>
      </x:c>
      <x:c r="U11" s="31" t="n">
        <x:f>IF(T11="","",I11*T11)</x:f>
        <x:v>92422.55613667058</x:v>
      </x:c>
    </x:row>
    <x:row r="12" ht="18" customHeight="1">
      <x:c r="A12" s="24" t="str">
        <x:v>EEZ_621</x:v>
      </x:c>
      <x:c r="B12" s="24" t="str">
        <x:v>Madeira Isl. (Portugal)</x:v>
      </x:c>
      <x:c r="C12" s="24" t="str">
        <x:v>EEZ</x:v>
      </x:c>
      <x:c r="D12" s="30" t="n">
        <x:v>2019</x:v>
      </x:c>
      <x:c r="E12" s="24" t="str">
        <x:v>Thunnus thynnus</x:v>
      </x:c>
      <x:c r="F12" s="24" t="str">
        <x:v>Atlantic bluefin tuna</x:v>
      </x:c>
      <x:c r="G12" s="24" t="str">
        <x:v>Large pelagics (&gt;=90 cm)</x:v>
      </x:c>
      <x:c r="H12" s="24" t="str">
        <x:v>Tuna &amp; billfishes</x:v>
      </x:c>
      <x:c r="I12" s="31" t="n">
        <x:v>102.62970508779999</x:v>
      </x:c>
      <x:c r="J12" s="31" t="n">
        <x:v>102.62970508779999</x:v>
      </x:c>
      <x:c r="K12" s="31" t="n">
        <x:v>0</x:v>
      </x:c>
      <x:c r="L12" s="31" t="n">
        <x:v>102.62970508779999</x:v>
      </x:c>
      <x:c r="M12" s="31" t="n">
        <x:v>0</x:v>
      </x:c>
      <x:c r="N12" s="24" t="str">
        <x:v>thunnus thynnus</x:v>
      </x:c>
      <x:c r="O12" s="32" t="n">
        <x:v>4.45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Thunnus thynnus</x:v>
      </x:c>
      <x:c r="T12" s="32" t="n">
        <x:f>IF(O12="","",(1/'Metadata'!$B$5)^(O12-1))</x:f>
        <x:v>2818.382931264455</x:v>
      </x:c>
      <x:c r="U12" s="31" t="n">
        <x:f>IF(T12="","",I12*T12)</x:f>
        <x:v>289249.80906016025</x:v>
      </x:c>
    </x:row>
    <x:row r="13" ht="18" customHeight="1">
      <x:c r="A13" s="24" t="str">
        <x:v>EEZ_621</x:v>
      </x:c>
      <x:c r="B13" s="24" t="str">
        <x:v>Madeira Isl. (Portugal)</x:v>
      </x:c>
      <x:c r="C13" s="24" t="str">
        <x:v>EEZ</x:v>
      </x:c>
      <x:c r="D13" s="30" t="n">
        <x:v>2019</x:v>
      </x:c>
      <x:c r="E13" s="24" t="str">
        <x:v>Mollusca</x:v>
      </x:c>
      <x:c r="F13" s="24" t="str">
        <x:v>Clams, seasnails, squids, octopuses</x:v>
      </x:c>
      <x:c r="G13" s="24" t="str">
        <x:v>Other demersal invertebrates</x:v>
      </x:c>
      <x:c r="H13" s="24" t="str">
        <x:v>Molluscs</x:v>
      </x:c>
      <x:c r="I13" s="31" t="n">
        <x:v>81.2154836454</x:v>
      </x:c>
      <x:c r="J13" s="31" t="n">
        <x:v>81.2154836454</x:v>
      </x:c>
      <x:c r="K13" s="31" t="n">
        <x:v>0</x:v>
      </x:c>
      <x:c r="L13" s="31" t="n">
        <x:v>81.0004156605</x:v>
      </x:c>
      <x:c r="M13" s="31" t="n">
        <x:v>0.2150679849</x:v>
      </x:c>
      <x:c r="N13" s="24" t="str">
        <x:v>mollusca</x:v>
      </x:c>
      <x:c r="O13" s="32" t="n">
        <x:v>2.1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Mollusca</x:v>
      </x:c>
      <x:c r="T13" s="32" t="n">
        <x:f>IF(O13="","",(1/'Metadata'!$B$5)^(O13-1))</x:f>
        <x:v>12.589254117941675</x:v>
      </x:c>
      <x:c r="U13" s="31" t="n">
        <x:f>IF(T13="","",I13*T13)</x:f>
        <x:v>1022.4423619234767</x:v>
      </x:c>
    </x:row>
    <x:row r="14" ht="18" customHeight="1">
      <x:c r="A14" s="24" t="str">
        <x:v>EEZ_621</x:v>
      </x:c>
      <x:c r="B14" s="24" t="str">
        <x:v>Madeira Isl. (Portugal)</x:v>
      </x:c>
      <x:c r="C14" s="24" t="str">
        <x:v>EEZ</x:v>
      </x:c>
      <x:c r="D14" s="30" t="n">
        <x:v>2019</x:v>
      </x:c>
      <x:c r="E14" s="24" t="str">
        <x:v>Pagrus pagrus</x:v>
      </x:c>
      <x:c r="F14" s="24" t="str">
        <x:v>Red porgy</x:v>
      </x:c>
      <x:c r="G14" s="24" t="str">
        <x:v>Medium benthopelagics (30 - 89 cm)</x:v>
      </x:c>
      <x:c r="H14" s="24" t="str">
        <x:v>Perch-likes</x:v>
      </x:c>
      <x:c r="I14" s="31" t="n">
        <x:v>57.325618507399994</x:v>
      </x:c>
      <x:c r="J14" s="31" t="n">
        <x:v>57.325618507399994</x:v>
      </x:c>
      <x:c r="K14" s="31" t="n">
        <x:v>0</x:v>
      </x:c>
      <x:c r="L14" s="31" t="n">
        <x:v>56</x:v>
      </x:c>
      <x:c r="M14" s="31" t="n">
        <x:v>1.3256185074</x:v>
      </x:c>
      <x:c r="N14" s="24" t="str">
        <x:v>pagrus pagrus</x:v>
      </x:c>
      <x:c r="O14" s="32" t="n">
        <x:v>3.86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Pagrus pagrus</x:v>
      </x:c>
      <x:c r="T14" s="32" t="n">
        <x:f>IF(O14="","",(1/'Metadata'!$B$5)^(O14-1))</x:f>
        <x:v>724.4359600749899</x:v>
      </x:c>
      <x:c r="U14" s="31" t="n">
        <x:f>IF(T14="","",I14*T14)</x:f>
        <x:v>41528.73948030092</x:v>
      </x:c>
    </x:row>
    <x:row r="15" ht="18" customHeight="1">
      <x:c r="A15" s="24" t="str">
        <x:v>EEZ_621</x:v>
      </x:c>
      <x:c r="B15" s="24" t="str">
        <x:v>Madeira Isl. (Portugal)</x:v>
      </x:c>
      <x:c r="C15" s="24" t="str">
        <x:v>EEZ</x:v>
      </x:c>
      <x:c r="D15" s="30" t="n">
        <x:v>2019</x:v>
      </x:c>
      <x:c r="E15" s="24" t="str">
        <x:v>Etmopterus</x:v>
      </x:c>
      <x:c r="F15" s="24" t="str">
        <x:v>Lanternsharks</x:v>
      </x:c>
      <x:c r="G15" s="24" t="str">
        <x:v>Small to medium sharks (&lt;90 cm)</x:v>
      </x:c>
      <x:c r="H15" s="24" t="str">
        <x:v>Sharks &amp; rays</x:v>
      </x:c>
      <x:c r="I15" s="31" t="n">
        <x:v>29.3402993044</x:v>
      </x:c>
      <x:c r="J15" s="31" t="n">
        <x:v>0</x:v>
      </x:c>
      <x:c r="K15" s="31" t="n">
        <x:v>29.3402993044</x:v>
      </x:c>
      <x:c r="L15" s="31" t="n">
        <x:v>0</x:v>
      </x:c>
      <x:c r="M15" s="31" t="n">
        <x:v>29.3402993044</x:v>
      </x:c>
      <x:c r="N15" s="24" t="str">
        <x:v>etmopterus</x:v>
      </x:c>
      <x:c r="O15" s="32" t="n">
        <x:v>4.02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Etmopterus</x:v>
      </x:c>
      <x:c r="T15" s="32" t="n">
        <x:f>IF(O15="","",(1/'Metadata'!$B$5)^(O15-1))</x:f>
        <x:v>1047.1285480508984</x:v>
      </x:c>
      <x:c r="U15" s="31" t="n">
        <x:f>IF(T15="","",I15*T15)</x:f>
        <x:v>30723.065009995156</x:v>
      </x:c>
    </x:row>
    <x:row r="16" ht="18" customHeight="1">
      <x:c r="A16" s="24" t="str">
        <x:v>EEZ_621</x:v>
      </x:c>
      <x:c r="B16" s="24" t="str">
        <x:v>Madeira Isl. (Portugal)</x:v>
      </x:c>
      <x:c r="C16" s="24" t="str">
        <x:v>EEZ</x:v>
      </x:c>
      <x:c r="D16" s="30" t="n">
        <x:v>2019</x:v>
      </x:c>
      <x:c r="E16" s="24" t="str">
        <x:v>Isurus oxyrinchus</x:v>
      </x:c>
      <x:c r="F16" s="24" t="str">
        <x:v>Shortfin mako</x:v>
      </x:c>
      <x:c r="G16" s="24" t="str">
        <x:v>Large sharks (&gt;=90 cm)</x:v>
      </x:c>
      <x:c r="H16" s="24" t="str">
        <x:v>Sharks &amp; rays</x:v>
      </x:c>
      <x:c r="I16" s="31" t="n">
        <x:v>23.351519941200003</x:v>
      </x:c>
      <x:c r="J16" s="31" t="n">
        <x:v>23.351519941200003</x:v>
      </x:c>
      <x:c r="K16" s="31" t="n">
        <x:v>0</x:v>
      </x:c>
      <x:c r="L16" s="31" t="n">
        <x:v>23.351519941200003</x:v>
      </x:c>
      <x:c r="M16" s="31" t="n">
        <x:v>0</x:v>
      </x:c>
      <x:c r="N16" s="24" t="str">
        <x:v>isurus oxyrinchus</x:v>
      </x:c>
      <x:c r="O16" s="32" t="n">
        <x:v>4.5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Isurus oxyrinchus</x:v>
      </x:c>
      <x:c r="T16" s="32" t="n">
        <x:f>IF(O16="","",(1/'Metadata'!$B$5)^(O16-1))</x:f>
        <x:v>3162.2776601683795</x:v>
      </x:c>
      <x:c r="U16" s="31" t="n">
        <x:f>IF(T16="","",I16*T16)</x:f>
        <x:v>73843.9898410332</x:v>
      </x:c>
    </x:row>
    <x:row r="17" ht="18" customHeight="1">
      <x:c r="A17" s="24" t="str">
        <x:v>EEZ_621</x:v>
      </x:c>
      <x:c r="B17" s="24" t="str">
        <x:v>Madeira Isl. (Portugal)</x:v>
      </x:c>
      <x:c r="C17" s="24" t="str">
        <x:v>EEZ</x:v>
      </x:c>
      <x:c r="D17" s="30" t="n">
        <x:v>2019</x:v>
      </x:c>
      <x:c r="E17" s="24" t="str">
        <x:v>Phycis phycis</x:v>
      </x:c>
      <x:c r="F17" s="24" t="str">
        <x:v>Forkbeard</x:v>
      </x:c>
      <x:c r="G17" s="24" t="str">
        <x:v>Medium benthopelagics (30 - 89 cm)</x:v>
      </x:c>
      <x:c r="H17" s="24" t="str">
        <x:v>Cod-likes</x:v>
      </x:c>
      <x:c r="I17" s="31" t="n">
        <x:v>16.461611262599998</x:v>
      </x:c>
      <x:c r="J17" s="31" t="n">
        <x:v>16.461611262599998</x:v>
      </x:c>
      <x:c r="K17" s="31" t="n">
        <x:v>0</x:v>
      </x:c>
      <x:c r="L17" s="31" t="n">
        <x:v>14.000000000000002</x:v>
      </x:c>
      <x:c r="M17" s="31" t="n">
        <x:v>2.4616112626</x:v>
      </x:c>
      <x:c r="N17" s="24" t="str">
        <x:v>phycis phycis</x:v>
      </x:c>
      <x:c r="O17" s="32" t="n">
        <x:v>4.25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Phycis phycis</x:v>
      </x:c>
      <x:c r="T17" s="32" t="n">
        <x:f>IF(O17="","",(1/'Metadata'!$B$5)^(O17-1))</x:f>
        <x:v>1778.2794100389228</x:v>
      </x:c>
      <x:c r="U17" s="31" t="n">
        <x:f>IF(T17="","",I17*T17)</x:f>
        <x:v>29273.344364346412</x:v>
      </x:c>
    </x:row>
    <x:row r="18" ht="18" customHeight="1">
      <x:c r="A18" s="24" t="str">
        <x:v>EEZ_621</x:v>
      </x:c>
      <x:c r="B18" s="24" t="str">
        <x:v>Madeira Isl. (Portugal)</x:v>
      </x:c>
      <x:c r="C18" s="24" t="str">
        <x:v>EEZ</x:v>
      </x:c>
      <x:c r="D18" s="30" t="n">
        <x:v>2019</x:v>
      </x:c>
      <x:c r="E18" s="24" t="str">
        <x:v>Istiophorus albicans</x:v>
      </x:c>
      <x:c r="F18" s="24" t="str">
        <x:v>Atlantic sailfish</x:v>
      </x:c>
      <x:c r="G18" s="24" t="str">
        <x:v>Large pelagics (&gt;=90 cm)</x:v>
      </x:c>
      <x:c r="H18" s="24" t="str">
        <x:v>Tuna &amp; billfishes</x:v>
      </x:c>
      <x:c r="I18" s="31" t="n">
        <x:v>12.4487852802</x:v>
      </x:c>
      <x:c r="J18" s="31" t="n">
        <x:v>12.4487852802</x:v>
      </x:c>
      <x:c r="K18" s="31" t="n">
        <x:v>0</x:v>
      </x:c>
      <x:c r="L18" s="31" t="n">
        <x:v>12.4487852802</x:v>
      </x:c>
      <x:c r="M18" s="31" t="n">
        <x:v>0</x:v>
      </x:c>
      <x:c r="N18" s="24" t="str">
        <x:v>istiophorus albicans</x:v>
      </x:c>
      <x:c r="O18" s="32" t="n">
        <x:v>4.5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Istiophorus albicans</x:v>
      </x:c>
      <x:c r="T18" s="32" t="n">
        <x:f>IF(O18="","",(1/'Metadata'!$B$5)^(O18-1))</x:f>
        <x:v>3162.2776601683795</x:v>
      </x:c>
      <x:c r="U18" s="31" t="n">
        <x:f>IF(T18="","",I18*T18)</x:f>
        <x:v>39366.515587809416</x:v>
      </x:c>
    </x:row>
    <x:row r="19" ht="18" customHeight="1">
      <x:c r="A19" s="24" t="str">
        <x:v>EEZ_621</x:v>
      </x:c>
      <x:c r="B19" s="24" t="str">
        <x:v>Madeira Isl. (Portugal)</x:v>
      </x:c>
      <x:c r="C19" s="24" t="str">
        <x:v>EEZ</x:v>
      </x:c>
      <x:c r="D19" s="30" t="n">
        <x:v>2019</x:v>
      </x:c>
      <x:c r="E19" s="24" t="str">
        <x:v>Thunnus albacares</x:v>
      </x:c>
      <x:c r="F19" s="24" t="str">
        <x:v>Yellowfin tuna</x:v>
      </x:c>
      <x:c r="G19" s="24" t="str">
        <x:v>Large pelagics (&gt;=90 cm)</x:v>
      </x:c>
      <x:c r="H19" s="24" t="str">
        <x:v>Tuna &amp; billfishes</x:v>
      </x:c>
      <x:c r="I19" s="31" t="n">
        <x:v>12.0952370799</x:v>
      </x:c>
      <x:c r="J19" s="31" t="n">
        <x:v>12.0952370799</x:v>
      </x:c>
      <x:c r="K19" s="31" t="n">
        <x:v>0</x:v>
      </x:c>
      <x:c r="L19" s="31" t="n">
        <x:v>12.0952370799</x:v>
      </x:c>
      <x:c r="M19" s="31" t="n">
        <x:v>0</x:v>
      </x:c>
      <x:c r="N19" s="24" t="str">
        <x:v>thunnus albacares</x:v>
      </x:c>
      <x:c r="O19" s="32" t="n">
        <x:v>4.41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Thunnus albacares</x:v>
      </x:c>
      <x:c r="T19" s="32" t="n">
        <x:f>IF(O19="","",(1/'Metadata'!$B$5)^(O19-1))</x:f>
        <x:v>2570.3957827688646</x:v>
      </x:c>
      <x:c r="U19" s="31" t="n">
        <x:f>IF(T19="","",I19*T19)</x:f>
        <x:v>31089.546381764558</x:v>
      </x:c>
    </x:row>
    <x:row r="20" ht="18" customHeight="1">
      <x:c r="A20" s="24" t="str">
        <x:v>EEZ_621</x:v>
      </x:c>
      <x:c r="B20" s="24" t="str">
        <x:v>Madeira Isl. (Portugal)</x:v>
      </x:c>
      <x:c r="C20" s="24" t="str">
        <x:v>EEZ</x:v>
      </x:c>
      <x:c r="D20" s="30" t="n">
        <x:v>2019</x:v>
      </x:c>
      <x:c r="E20" s="24" t="str">
        <x:v>Serranus</x:v>
      </x:c>
      <x:c r="F20" s="24" t="str">
        <x:v>Groupers</x:v>
      </x:c>
      <x:c r="G20" s="24" t="str">
        <x:v>Small reef assoc. fish (&lt;30 cm)</x:v>
      </x:c>
      <x:c r="H20" s="24" t="str">
        <x:v>Perch-likes</x:v>
      </x:c>
      <x:c r="I20" s="31" t="n">
        <x:v>10.6455989643</x:v>
      </x:c>
      <x:c r="J20" s="31" t="n">
        <x:v>10.6455989643</x:v>
      </x:c>
      <x:c r="K20" s="31" t="n">
        <x:v>0</x:v>
      </x:c>
      <x:c r="L20" s="31" t="n">
        <x:v>9.9999999999</x:v>
      </x:c>
      <x:c r="M20" s="31" t="n">
        <x:v>0.6455989644</x:v>
      </x:c>
      <x:c r="N20" s="24" t="str">
        <x:v>serranus</x:v>
      </x:c>
      <x:c r="O20" s="32" t="n">
        <x:v>3.73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Serranus</x:v>
      </x:c>
      <x:c r="T20" s="32" t="n">
        <x:f>IF(O20="","",(1/'Metadata'!$B$5)^(O20-1))</x:f>
        <x:v>537.0317963702527</x:v>
      </x:c>
      <x:c r="U20" s="31" t="n">
        <x:f>IF(T20="","",I20*T20)</x:f>
        <x:v>5717.02513523533</x:v>
      </x:c>
    </x:row>
    <x:row r="21" ht="18" customHeight="1">
      <x:c r="A21" s="24" t="str">
        <x:v>EEZ_621</x:v>
      </x:c>
      <x:c r="B21" s="24" t="str">
        <x:v>Madeira Isl. (Portugal)</x:v>
      </x:c>
      <x:c r="C21" s="24" t="str">
        <x:v>EEZ</x:v>
      </x:c>
      <x:c r="D21" s="30" t="n">
        <x:v>2019</x:v>
      </x:c>
      <x:c r="E21" s="24" t="str">
        <x:v>Sarda sarda</x:v>
      </x:c>
      <x:c r="F21" s="24" t="str">
        <x:v>Atlantic bonito</x:v>
      </x:c>
      <x:c r="G21" s="24" t="str">
        <x:v>Medium pelagics (30 - 89 cm)</x:v>
      </x:c>
      <x:c r="H21" s="24" t="str">
        <x:v>Tuna &amp; billfishes</x:v>
      </x:c>
      <x:c r="I21" s="31" t="n">
        <x:v>8.6244361597</x:v>
      </x:c>
      <x:c r="J21" s="31" t="n">
        <x:v>8.6244361597</x:v>
      </x:c>
      <x:c r="K21" s="31" t="n">
        <x:v>0</x:v>
      </x:c>
      <x:c r="L21" s="31" t="n">
        <x:v>8.6244361597</x:v>
      </x:c>
      <x:c r="M21" s="31" t="n">
        <x:v>0</x:v>
      </x:c>
      <x:c r="N21" s="24" t="str">
        <x:v>sarda sarda</x:v>
      </x:c>
      <x:c r="O21" s="32" t="n">
        <x:v>4.5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Sarda sarda</x:v>
      </x:c>
      <x:c r="T21" s="32" t="n">
        <x:f>IF(O21="","",(1/'Metadata'!$B$5)^(O21-1))</x:f>
        <x:v>3162.2776601683795</x:v>
      </x:c>
      <x:c r="U21" s="31" t="n">
        <x:f>IF(T21="","",I21*T21)</x:f>
        <x:v>27272.86179936768</x:v>
      </x:c>
    </x:row>
    <x:row r="22" ht="18" customHeight="1">
      <x:c r="A22" s="24" t="str">
        <x:v>EEZ_621</x:v>
      </x:c>
      <x:c r="B22" s="24" t="str">
        <x:v>Madeira Isl. (Portugal)</x:v>
      </x:c>
      <x:c r="C22" s="24" t="str">
        <x:v>EEZ</x:v>
      </x:c>
      <x:c r="D22" s="30" t="n">
        <x:v>2019</x:v>
      </x:c>
      <x:c r="E22" s="24" t="str">
        <x:v>Brama brama</x:v>
      </x:c>
      <x:c r="F22" s="24" t="str">
        <x:v>Atlantic pomfret</x:v>
      </x:c>
      <x:c r="G22" s="24" t="str">
        <x:v>Medium bathypelagics (30 - 89 cm)</x:v>
      </x:c>
      <x:c r="H22" s="24" t="str">
        <x:v>Perch-likes</x:v>
      </x:c>
      <x:c r="I22" s="31" t="n">
        <x:v>7.0661833162</x:v>
      </x:c>
      <x:c r="J22" s="31" t="n">
        <x:v>7.0661833162</x:v>
      </x:c>
      <x:c r="K22" s="31" t="n">
        <x:v>0</x:v>
      </x:c>
      <x:c r="L22" s="31" t="n">
        <x:v>1.0638313749</x:v>
      </x:c>
      <x:c r="M22" s="31" t="n">
        <x:v>6.0023519413</x:v>
      </x:c>
      <x:c r="N22" s="24" t="str">
        <x:v>brama brama</x:v>
      </x:c>
      <x:c r="O22" s="32" t="n">
        <x:v>4.08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Brama brama</x:v>
      </x:c>
      <x:c r="T22" s="32" t="n">
        <x:f>IF(O22="","",(1/'Metadata'!$B$5)^(O22-1))</x:f>
        <x:v>1202.2644346174131</x:v>
      </x:c>
      <x:c r="U22" s="31" t="n">
        <x:f>IF(T22="","",I22*T22)</x:f>
        <x:v>8495.42088955419</x:v>
      </x:c>
    </x:row>
    <x:row r="23" ht="18" customHeight="1">
      <x:c r="A23" s="24" t="str">
        <x:v>EEZ_621</x:v>
      </x:c>
      <x:c r="B23" s="24" t="str">
        <x:v>Madeira Isl. (Portugal)</x:v>
      </x:c>
      <x:c r="C23" s="24" t="str">
        <x:v>EEZ</x:v>
      </x:c>
      <x:c r="D23" s="30" t="n">
        <x:v>2019</x:v>
      </x:c>
      <x:c r="E23" s="24" t="str">
        <x:v>Auxis thazard</x:v>
      </x:c>
      <x:c r="F23" s="24" t="str">
        <x:v>Frigate tuna</x:v>
      </x:c>
      <x:c r="G23" s="24" t="str">
        <x:v>Medium pelagics (30 - 89 cm)</x:v>
      </x:c>
      <x:c r="H23" s="24" t="str">
        <x:v>Tuna &amp; billfishes</x:v>
      </x:c>
      <x:c r="I23" s="31" t="n">
        <x:v>6.5719143718</x:v>
      </x:c>
      <x:c r="J23" s="31" t="n">
        <x:v>6.5719143718</x:v>
      </x:c>
      <x:c r="K23" s="31" t="n">
        <x:v>0</x:v>
      </x:c>
      <x:c r="L23" s="31" t="n">
        <x:v>6.5719143718</x:v>
      </x:c>
      <x:c r="M23" s="31" t="n">
        <x:v>0</x:v>
      </x:c>
      <x:c r="N23" s="24" t="str">
        <x:v>auxis thazard</x:v>
      </x:c>
      <x:c r="O23" s="32" t="n">
        <x:v>4.37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Auxis thazard</x:v>
      </x:c>
      <x:c r="T23" s="32" t="n">
        <x:f>IF(O23="","",(1/'Metadata'!$B$5)^(O23-1))</x:f>
        <x:v>2344.228815319923</x:v>
      </x:c>
      <x:c r="U23" s="31" t="n">
        <x:f>IF(T23="","",I23*T23)</x:f>
        <x:v>15406.071042188689</x:v>
      </x:c>
    </x:row>
    <x:row r="24" ht="18" customHeight="1">
      <x:c r="A24" s="24" t="str">
        <x:v>EEZ_621</x:v>
      </x:c>
      <x:c r="B24" s="24" t="str">
        <x:v>Madeira Isl. (Portugal)</x:v>
      </x:c>
      <x:c r="C24" s="24" t="str">
        <x:v>EEZ</x:v>
      </x:c>
      <x:c r="D24" s="30" t="n">
        <x:v>2019</x:v>
      </x:c>
      <x:c r="E24" s="24" t="str">
        <x:v>Alepocephalus bairdii</x:v>
      </x:c>
      <x:c r="F24" s="24" t="str">
        <x:v>Baird's slickhead</x:v>
      </x:c>
      <x:c r="G24" s="24" t="str">
        <x:v>Large bathydemersals (&gt;=90 cm)</x:v>
      </x:c>
      <x:c r="H24" s="24" t="str">
        <x:v>Salmon, smelts, etc</x:v>
      </x:c>
      <x:c r="I24" s="31" t="n">
        <x:v>5.4622897641</x:v>
      </x:c>
      <x:c r="J24" s="31" t="n">
        <x:v>0</x:v>
      </x:c>
      <x:c r="K24" s="31" t="n">
        <x:v>5.4622897641</x:v>
      </x:c>
      <x:c r="L24" s="31" t="n">
        <x:v>0</x:v>
      </x:c>
      <x:c r="M24" s="31" t="n">
        <x:v>5.4622897641</x:v>
      </x:c>
      <x:c r="N24" s="24" t="str">
        <x:v>alepocephalus bairdii</x:v>
      </x:c>
      <x:c r="O24" s="32" t="n">
        <x:v>3.69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Alepocephalus bairdii</x:v>
      </x:c>
      <x:c r="T24" s="32" t="n">
        <x:f>IF(O24="","",(1/'Metadata'!$B$5)^(O24-1))</x:f>
        <x:v>489.77881936844614</x:v>
      </x:c>
      <x:c r="U24" s="31" t="n">
        <x:f>IF(T24="","",I24*T24)</x:f>
        <x:v>2675.313831709246</x:v>
      </x:c>
    </x:row>
    <x:row r="25" ht="18" customHeight="1">
      <x:c r="A25" s="24" t="str">
        <x:v>EEZ_621</x:v>
      </x:c>
      <x:c r="B25" s="24" t="str">
        <x:v>Madeira Isl. (Portugal)</x:v>
      </x:c>
      <x:c r="C25" s="24" t="str">
        <x:v>EEZ</x:v>
      </x:c>
      <x:c r="D25" s="30" t="n">
        <x:v>2019</x:v>
      </x:c>
      <x:c r="E25" s="24" t="str">
        <x:v>Marine pelagic fishes not identified</x:v>
      </x:c>
      <x:c r="F25" s="24" t="str">
        <x:v>Pelagic fishes</x:v>
      </x:c>
      <x:c r="G25" s="24" t="str">
        <x:v>Medium pelagics (30 - 89 cm)</x:v>
      </x:c>
      <x:c r="H25" s="24" t="str">
        <x:v>Other fishes &amp; inverts</x:v>
      </x:c>
      <x:c r="I25" s="31" t="n">
        <x:v>4.4476402263</x:v>
      </x:c>
      <x:c r="J25" s="31" t="n">
        <x:v>4.4476402263</x:v>
      </x:c>
      <x:c r="K25" s="31" t="n">
        <x:v>0</x:v>
      </x:c>
      <x:c r="L25" s="31" t="n">
        <x:v>4.4476402263</x:v>
      </x:c>
      <x:c r="M25" s="31" t="n">
        <x:v>0</x:v>
      </x:c>
      <x:c r="N25" s="24" t="str">
        <x:v>marine pelagic fishes not identified</x:v>
      </x:c>
      <x:c r="O25" s="32" t="n">
        <x:v>3.35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Marine pelagic fishes not identified</x:v>
      </x:c>
      <x:c r="T25" s="32" t="n">
        <x:f>IF(O25="","",(1/'Metadata'!$B$5)^(O25-1))</x:f>
        <x:v>223.872113856834</x:v>
      </x:c>
      <x:c r="U25" s="31" t="n">
        <x:f>IF(T25="","",I25*T25)</x:f>
        <x:v>995.7026191364686</x:v>
      </x:c>
    </x:row>
    <x:row r="26" ht="18" customHeight="1">
      <x:c r="A26" s="24" t="str">
        <x:v>EEZ_621</x:v>
      </x:c>
      <x:c r="B26" s="24" t="str">
        <x:v>Madeira Isl. (Portugal)</x:v>
      </x:c>
      <x:c r="C26" s="24" t="str">
        <x:v>EEZ</x:v>
      </x:c>
      <x:c r="D26" s="30" t="n">
        <x:v>2019</x:v>
      </x:c>
      <x:c r="E26" s="24" t="str">
        <x:v>Sepia</x:v>
      </x:c>
      <x:c r="F26" s="24" t="str">
        <x:v>Sepia cuttlefishes</x:v>
      </x:c>
      <x:c r="G26" s="24" t="str">
        <x:v>Cephalopods</x:v>
      </x:c>
      <x:c r="H26" s="24" t="str">
        <x:v>Other fishes &amp; inverts</x:v>
      </x:c>
      <x:c r="I26" s="31" t="n">
        <x:v>4.4232050614</x:v>
      </x:c>
      <x:c r="J26" s="31" t="n">
        <x:v>0</x:v>
      </x:c>
      <x:c r="K26" s="31" t="n">
        <x:v>4.4232050614</x:v>
      </x:c>
      <x:c r="L26" s="31" t="n">
        <x:v>0</x:v>
      </x:c>
      <x:c r="M26" s="31" t="n">
        <x:v>4.4232050614</x:v>
      </x:c>
      <x:c r="N26" s="24" t="str">
        <x:v>sepia</x:v>
      </x:c>
      <x:c r="O26" s="32" t="n">
        <x:v>3.69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Sepia</x:v>
      </x:c>
      <x:c r="T26" s="32" t="n">
        <x:f>IF(O26="","",(1/'Metadata'!$B$5)^(O26-1))</x:f>
        <x:v>489.77881936844614</x:v>
      </x:c>
      <x:c r="U26" s="31" t="n">
        <x:f>IF(T26="","",I26*T26)</x:f>
        <x:v>2166.3921527970274</x:v>
      </x:c>
    </x:row>
    <x:row r="27" ht="18" customHeight="1">
      <x:c r="A27" s="24" t="str">
        <x:v>EEZ_621</x:v>
      </x:c>
      <x:c r="B27" s="24" t="str">
        <x:v>Madeira Isl. (Portugal)</x:v>
      </x:c>
      <x:c r="C27" s="24" t="str">
        <x:v>EEZ</x:v>
      </x:c>
      <x:c r="D27" s="30" t="n">
        <x:v>2019</x:v>
      </x:c>
      <x:c r="E27" s="24" t="str">
        <x:v>Scorpaenidae</x:v>
      </x:c>
      <x:c r="F27" s="24" t="str">
        <x:v>Scorpionfishes, rockfishes</x:v>
      </x:c>
      <x:c r="G27" s="24" t="str">
        <x:v>Large reef assoc. fish (&gt;=90 cm)</x:v>
      </x:c>
      <x:c r="H27" s="24" t="str">
        <x:v>Scorpionfishes</x:v>
      </x:c>
      <x:c r="I27" s="31" t="n">
        <x:v>4</x:v>
      </x:c>
      <x:c r="J27" s="31" t="n">
        <x:v>4</x:v>
      </x:c>
      <x:c r="K27" s="31" t="n">
        <x:v>0</x:v>
      </x:c>
      <x:c r="L27" s="31" t="n">
        <x:v>4</x:v>
      </x:c>
      <x:c r="M27" s="31" t="n">
        <x:v>0</x:v>
      </x:c>
      <x:c r="N27" s="24" t="str">
        <x:v>scorpaenidae</x:v>
      </x:c>
      <x:c r="O27" s="32" t="n">
        <x:v>3.92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Scorpaenidae</x:v>
      </x:c>
      <x:c r="T27" s="32" t="n">
        <x:f>IF(O27="","",(1/'Metadata'!$B$5)^(O27-1))</x:f>
        <x:v>831.7637711026708</x:v>
      </x:c>
      <x:c r="U27" s="31" t="n">
        <x:f>IF(T27="","",I27*T27)</x:f>
        <x:v>3327.0550844106833</x:v>
      </x:c>
    </x:row>
    <x:row r="28" ht="18" customHeight="1">
      <x:c r="A28" s="24" t="str">
        <x:v>EEZ_621</x:v>
      </x:c>
      <x:c r="B28" s="24" t="str">
        <x:v>Madeira Isl. (Portugal)</x:v>
      </x:c>
      <x:c r="C28" s="24" t="str">
        <x:v>EEZ</x:v>
      </x:c>
      <x:c r="D28" s="30" t="n">
        <x:v>2019</x:v>
      </x:c>
      <x:c r="E28" s="24" t="str">
        <x:v>Anguilliformes</x:v>
      </x:c>
      <x:c r="F28" s="24" t="str">
        <x:v>Eels, morays</x:v>
      </x:c>
      <x:c r="G28" s="24" t="str">
        <x:v>Large demersals (&gt;=90 cm)</x:v>
      </x:c>
      <x:c r="H28" s="24" t="str">
        <x:v>Other fishes &amp; inverts</x:v>
      </x:c>
      <x:c r="I28" s="31" t="n">
        <x:v>3.745570124</x:v>
      </x:c>
      <x:c r="J28" s="31" t="n">
        <x:v>0</x:v>
      </x:c>
      <x:c r="K28" s="31" t="n">
        <x:v>3.745570124</x:v>
      </x:c>
      <x:c r="L28" s="31" t="n">
        <x:v>0</x:v>
      </x:c>
      <x:c r="M28" s="31" t="n">
        <x:v>3.745570124</x:v>
      </x:c>
      <x:c r="N28" s="24" t="str">
        <x:v>anguilliformes</x:v>
      </x:c>
      <x:c r="O28" s="32" t="n">
        <x:v>3.89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Anguilliformes</x:v>
      </x:c>
      <x:c r="T28" s="32" t="n">
        <x:f>IF(O28="","",(1/'Metadata'!$B$5)^(O28-1))</x:f>
        <x:v>776.247116628692</x:v>
      </x:c>
      <x:c r="U28" s="31" t="n">
        <x:f>IF(T28="","",I28*T28)</x:f>
        <x:v>2907.488008885572</x:v>
      </x:c>
    </x:row>
    <x:row r="29" ht="18" customHeight="1">
      <x:c r="A29" s="24" t="str">
        <x:v>EEZ_621</x:v>
      </x:c>
      <x:c r="B29" s="24" t="str">
        <x:v>Madeira Isl. (Portugal)</x:v>
      </x:c>
      <x:c r="C29" s="24" t="str">
        <x:v>EEZ</x:v>
      </x:c>
      <x:c r="D29" s="30" t="n">
        <x:v>2019</x:v>
      </x:c>
      <x:c r="E29" s="24" t="str">
        <x:v>Carcharhinus</x:v>
      </x:c>
      <x:c r="F29" s="24" t="str">
        <x:v>Sharp-nosed sharks</x:v>
      </x:c>
      <x:c r="G29" s="24" t="str">
        <x:v>Large sharks (&gt;=90 cm)</x:v>
      </x:c>
      <x:c r="H29" s="24" t="str">
        <x:v>Sharks &amp; rays</x:v>
      </x:c>
      <x:c r="I29" s="31" t="n">
        <x:v>3.053061044</x:v>
      </x:c>
      <x:c r="J29" s="31" t="n">
        <x:v>3.053061044</x:v>
      </x:c>
      <x:c r="K29" s="31" t="n">
        <x:v>0</x:v>
      </x:c>
      <x:c r="L29" s="31" t="n">
        <x:v>3.013957774</x:v>
      </x:c>
      <x:c r="M29" s="31" t="n">
        <x:v>0.03910327</x:v>
      </x:c>
      <x:c r="N29" s="24" t="str">
        <x:v>carcharhinus</x:v>
      </x:c>
      <x:c r="O29" s="32" t="n">
        <x:v>4.26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Carcharhinus</x:v>
      </x:c>
      <x:c r="T29" s="32" t="n">
        <x:f>IF(O29="","",(1/'Metadata'!$B$5)^(O29-1))</x:f>
        <x:v>1819.7008586099826</x:v>
      </x:c>
      <x:c r="U29" s="31" t="n">
        <x:f>IF(T29="","",I29*T29)</x:f>
        <x:v>5555.65780315549</x:v>
      </x:c>
    </x:row>
    <x:row r="30" ht="18" customHeight="1">
      <x:c r="A30" s="24" t="str">
        <x:v>EEZ_621</x:v>
      </x:c>
      <x:c r="B30" s="24" t="str">
        <x:v>Madeira Isl. (Portugal)</x:v>
      </x:c>
      <x:c r="C30" s="24" t="str">
        <x:v>EEZ</x:v>
      </x:c>
      <x:c r="D30" s="30" t="n">
        <x:v>2019</x:v>
      </x:c>
      <x:c r="E30" s="24" t="str">
        <x:v>Conger conger</x:v>
      </x:c>
      <x:c r="F30" s="24" t="str">
        <x:v>European conger</x:v>
      </x:c>
      <x:c r="G30" s="24" t="str">
        <x:v>Large demersals (&gt;=90 cm)</x:v>
      </x:c>
      <x:c r="H30" s="24" t="str">
        <x:v>Other fishes &amp; inverts</x:v>
      </x:c>
      <x:c r="I30" s="31" t="n">
        <x:v>2.5083425097</x:v>
      </x:c>
      <x:c r="J30" s="31" t="n">
        <x:v>2.5083425097</x:v>
      </x:c>
      <x:c r="K30" s="31" t="n">
        <x:v>0</x:v>
      </x:c>
      <x:c r="L30" s="31" t="n">
        <x:v>2</x:v>
      </x:c>
      <x:c r="M30" s="31" t="n">
        <x:v>0.5083425097</x:v>
      </x:c>
      <x:c r="N30" s="24" t="str">
        <x:v>conger conger</x:v>
      </x:c>
      <x:c r="O30" s="32" t="n">
        <x:v>4.31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Conger conger</x:v>
      </x:c>
      <x:c r="T30" s="32" t="n">
        <x:f>IF(O30="","",(1/'Metadata'!$B$5)^(O30-1))</x:f>
        <x:v>2041.7379446695275</x:v>
      </x:c>
      <x:c r="U30" s="31" t="n">
        <x:f>IF(T30="","",I30*T30)</x:f>
        <x:v>5121.378080282082</x:v>
      </x:c>
    </x:row>
    <x:row r="31" ht="18" customHeight="1">
      <x:c r="A31" s="24" t="str">
        <x:v>EEZ_621</x:v>
      </x:c>
      <x:c r="B31" s="24" t="str">
        <x:v>Madeira Isl. (Portugal)</x:v>
      </x:c>
      <x:c r="C31" s="24" t="str">
        <x:v>EEZ</x:v>
      </x:c>
      <x:c r="D31" s="30" t="n">
        <x:v>2019</x:v>
      </x:c>
      <x:c r="E31" s="24" t="str">
        <x:v>Isurus paucus</x:v>
      </x:c>
      <x:c r="F31" s="24" t="str">
        <x:v>Longfin mako</x:v>
      </x:c>
      <x:c r="G31" s="24" t="str">
        <x:v>Large sharks (&gt;=90 cm)</x:v>
      </x:c>
      <x:c r="H31" s="24" t="str">
        <x:v>Sharks &amp; rays</x:v>
      </x:c>
      <x:c r="I31" s="31" t="n">
        <x:v>2.0937025603</x:v>
      </x:c>
      <x:c r="J31" s="31" t="n">
        <x:v>2.0937025603</x:v>
      </x:c>
      <x:c r="K31" s="31" t="n">
        <x:v>0</x:v>
      </x:c>
      <x:c r="L31" s="31" t="n">
        <x:v>2.0937025603</x:v>
      </x:c>
      <x:c r="M31" s="31" t="n">
        <x:v>0</x:v>
      </x:c>
      <x:c r="N31" s="24" t="str">
        <x:v>isurus paucus</x:v>
      </x:c>
      <x:c r="O31" s="32" t="n">
        <x:v>4.51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Isurus paucus</x:v>
      </x:c>
      <x:c r="T31" s="32" t="n">
        <x:f>IF(O31="","",(1/'Metadata'!$B$5)^(O31-1))</x:f>
        <x:v>3235.936569296281</x:v>
      </x:c>
      <x:c r="U31" s="31" t="n">
        <x:f>IF(T31="","",I31*T31)</x:f>
        <x:v>6775.088680104022</x:v>
      </x:c>
    </x:row>
    <x:row r="32" ht="18" customHeight="1">
      <x:c r="A32" s="24" t="str">
        <x:v>EEZ_621</x:v>
      </x:c>
      <x:c r="B32" s="24" t="str">
        <x:v>Madeira Isl. (Portugal)</x:v>
      </x:c>
      <x:c r="C32" s="24" t="str">
        <x:v>EEZ</x:v>
      </x:c>
      <x:c r="D32" s="30" t="n">
        <x:v>2019</x:v>
      </x:c>
      <x:c r="E32" s="24" t="str">
        <x:v>Pagellus acarne</x:v>
      </x:c>
      <x:c r="F32" s="24" t="str">
        <x:v>Axillary seabream</x:v>
      </x:c>
      <x:c r="G32" s="24" t="str">
        <x:v>Medium benthopelagics (30 - 89 cm)</x:v>
      </x:c>
      <x:c r="H32" s="24" t="str">
        <x:v>Perch-likes</x:v>
      </x:c>
      <x:c r="I32" s="31" t="n">
        <x:v>2.0581202992</x:v>
      </x:c>
      <x:c r="J32" s="31" t="n">
        <x:v>2.0581202992</x:v>
      </x:c>
      <x:c r="K32" s="31" t="n">
        <x:v>0</x:v>
      </x:c>
      <x:c r="L32" s="31" t="n">
        <x:v>1.6670875994</x:v>
      </x:c>
      <x:c r="M32" s="31" t="n">
        <x:v>0.3910326998</x:v>
      </x:c>
      <x:c r="N32" s="24" t="str">
        <x:v>pagellus acarne</x:v>
      </x:c>
      <x:c r="O32" s="32" t="n">
        <x:v>3.81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Pagellus acarne</x:v>
      </x:c>
      <x:c r="T32" s="32" t="n">
        <x:f>IF(O32="","",(1/'Metadata'!$B$5)^(O32-1))</x:f>
        <x:v>645.6542290346556</x:v>
      </x:c>
      <x:c r="U32" s="31" t="n">
        <x:f>IF(T32="","",I32*T32)</x:f>
        <x:v>1328.8340750405507</x:v>
      </x:c>
    </x:row>
    <x:row r="33" ht="18" customHeight="1">
      <x:c r="A33" s="24" t="str">
        <x:v>EEZ_621</x:v>
      </x:c>
      <x:c r="B33" s="24" t="str">
        <x:v>Madeira Isl. (Portugal)</x:v>
      </x:c>
      <x:c r="C33" s="24" t="str">
        <x:v>EEZ</x:v>
      </x:c>
      <x:c r="D33" s="30" t="n">
        <x:v>2019</x:v>
      </x:c>
      <x:c r="E33" s="24" t="str">
        <x:v>Ommastrephidae</x:v>
      </x:c>
      <x:c r="F33" s="24" t="str">
        <x:v>Arrow squids</x:v>
      </x:c>
      <x:c r="G33" s="24" t="str">
        <x:v>Cephalopods</x:v>
      </x:c>
      <x:c r="H33" s="24" t="str">
        <x:v>Other fishes &amp; inverts</x:v>
      </x:c>
      <x:c r="I33" s="31" t="n">
        <x:v>2.0030229454</x:v>
      </x:c>
      <x:c r="J33" s="31" t="n">
        <x:v>2.0030229454</x:v>
      </x:c>
      <x:c r="K33" s="31" t="n">
        <x:v>0</x:v>
      </x:c>
      <x:c r="L33" s="31" t="n">
        <x:v>2.0030229454</x:v>
      </x:c>
      <x:c r="M33" s="31" t="n">
        <x:v>0</x:v>
      </x:c>
      <x:c r="N33" s="24" t="str">
        <x:v>ommastrephidae</x:v>
      </x:c>
      <x:c r="O33" s="32" t="n">
        <x:v>4.09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Ommastrephidae</x:v>
      </x:c>
      <x:c r="T33" s="32" t="n">
        <x:f>IF(O33="","",(1/'Metadata'!$B$5)^(O33-1))</x:f>
        <x:v>1230.268770812381</x:v>
      </x:c>
      <x:c r="U33" s="31" t="n">
        <x:f>IF(T33="","",I33*T33)</x:f>
        <x:v>2464.256576946253</x:v>
      </x:c>
    </x:row>
    <x:row r="34" ht="18" customHeight="1">
      <x:c r="A34" s="24" t="str">
        <x:v>EEZ_621</x:v>
      </x:c>
      <x:c r="B34" s="24" t="str">
        <x:v>Madeira Isl. (Portugal)</x:v>
      </x:c>
      <x:c r="C34" s="24" t="str">
        <x:v>EEZ</x:v>
      </x:c>
      <x:c r="D34" s="30" t="n">
        <x:v>2019</x:v>
      </x:c>
      <x:c r="E34" s="24" t="str">
        <x:v>Clupeidae</x:v>
      </x:c>
      <x:c r="F34" s="24" t="str">
        <x:v>Herrings, sardines, menhadens</x:v>
      </x:c>
      <x:c r="G34" s="24" t="str">
        <x:v>Small pelagics (&lt;30 cm)</x:v>
      </x:c>
      <x:c r="H34" s="24" t="str">
        <x:v>Herring-likes</x:v>
      </x:c>
      <x:c r="I34" s="31" t="n">
        <x:v>1.5853979516999999</x:v>
      </x:c>
      <x:c r="J34" s="31" t="n">
        <x:v>1.5853979516999999</x:v>
      </x:c>
      <x:c r="K34" s="31" t="n">
        <x:v>0</x:v>
      </x:c>
      <x:c r="L34" s="31" t="n">
        <x:v>0.0017155177</x:v>
      </x:c>
      <x:c r="M34" s="31" t="n">
        <x:v>1.583682434</x:v>
      </x:c>
      <x:c r="N34" s="24" t="str">
        <x:v>clupeidae</x:v>
      </x:c>
      <x:c r="O34" s="32" t="n">
        <x:v>3.16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Clupeidae</x:v>
      </x:c>
      <x:c r="T34" s="32" t="n">
        <x:f>IF(O34="","",(1/'Metadata'!$B$5)^(O34-1))</x:f>
        <x:v>144.5439770745928</x:v>
      </x:c>
      <x:c r="U34" s="31" t="n">
        <x:f>IF(T34="","",I34*T34)</x:f>
        <x:v>229.15972518463116</x:v>
      </x:c>
    </x:row>
    <x:row r="35" ht="18" customHeight="1">
      <x:c r="A35" s="24" t="str">
        <x:v>EEZ_621</x:v>
      </x:c>
      <x:c r="B35" s="24" t="str">
        <x:v>Madeira Isl. (Portugal)</x:v>
      </x:c>
      <x:c r="C35" s="24" t="str">
        <x:v>EEZ</x:v>
      </x:c>
      <x:c r="D35" s="30" t="n">
        <x:v>2019</x:v>
      </x:c>
      <x:c r="E35" s="24" t="str">
        <x:v>Trichiurus lepturus</x:v>
      </x:c>
      <x:c r="F35" s="24" t="str">
        <x:v>Largehead hairtail</x:v>
      </x:c>
      <x:c r="G35" s="24" t="str">
        <x:v>Large benthopelagics (&gt;=90 cm)</x:v>
      </x:c>
      <x:c r="H35" s="24" t="str">
        <x:v>Perch-likes</x:v>
      </x:c>
      <x:c r="I35" s="31" t="n">
        <x:v>1.522228671</x:v>
      </x:c>
      <x:c r="J35" s="31" t="n">
        <x:v>0</x:v>
      </x:c>
      <x:c r="K35" s="31" t="n">
        <x:v>1.522228671</x:v>
      </x:c>
      <x:c r="L35" s="31" t="n">
        <x:v>0</x:v>
      </x:c>
      <x:c r="M35" s="31" t="n">
        <x:v>1.522228671</x:v>
      </x:c>
      <x:c r="N35" s="24" t="str">
        <x:v>trichiurus lepturus</x:v>
      </x:c>
      <x:c r="O35" s="32" t="n">
        <x:v>4.42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Trichiurus lepturus</x:v>
      </x:c>
      <x:c r="T35" s="32" t="n">
        <x:f>IF(O35="","",(1/'Metadata'!$B$5)^(O35-1))</x:f>
        <x:v>2630.2679918953813</x:v>
      </x:c>
      <x:c r="U35" s="31" t="n">
        <x:f>IF(T35="","",I35*T35)</x:f>
        <x:v>4003.869349676745</x:v>
      </x:c>
    </x:row>
    <x:row r="36" ht="18" customHeight="1">
      <x:c r="A36" s="24" t="str">
        <x:v>EEZ_621</x:v>
      </x:c>
      <x:c r="B36" s="24" t="str">
        <x:v>Madeira Isl. (Portugal)</x:v>
      </x:c>
      <x:c r="C36" s="24" t="str">
        <x:v>EEZ</x:v>
      </x:c>
      <x:c r="D36" s="30" t="n">
        <x:v>2019</x:v>
      </x:c>
      <x:c r="E36" s="24" t="str">
        <x:v>Boops boops</x:v>
      </x:c>
      <x:c r="F36" s="24" t="str">
        <x:v>Bogue</x:v>
      </x:c>
      <x:c r="G36" s="24" t="str">
        <x:v>Medium demersals (30 - 89 cm)</x:v>
      </x:c>
      <x:c r="H36" s="24" t="str">
        <x:v>Perch-likes</x:v>
      </x:c>
      <x:c r="I36" s="31" t="n">
        <x:v>1.1920126497</x:v>
      </x:c>
      <x:c r="J36" s="31" t="n">
        <x:v>1.1920126497</x:v>
      </x:c>
      <x:c r="K36" s="31" t="n">
        <x:v>0</x:v>
      </x:c>
      <x:c r="L36" s="31" t="n">
        <x:v>1</x:v>
      </x:c>
      <x:c r="M36" s="31" t="n">
        <x:v>0.1920126497</x:v>
      </x:c>
      <x:c r="N36" s="24" t="str">
        <x:v>boops boops</x:v>
      </x:c>
      <x:c r="O36" s="32" t="n">
        <x:v>2.79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Boops boops</x:v>
      </x:c>
      <x:c r="T36" s="32" t="n">
        <x:f>IF(O36="","",(1/'Metadata'!$B$5)^(O36-1))</x:f>
        <x:v>61.65950018614822</x:v>
      </x:c>
      <x:c r="U36" s="31" t="n">
        <x:f>IF(T36="","",I36*T36)</x:f>
        <x:v>73.4989041960682</x:v>
      </x:c>
    </x:row>
    <x:row r="37" ht="18" customHeight="1">
      <x:c r="A37" s="24" t="str">
        <x:v>EEZ_621</x:v>
      </x:c>
      <x:c r="B37" s="24" t="str">
        <x:v>Madeira Isl. (Portugal)</x:v>
      </x:c>
      <x:c r="C37" s="24" t="str">
        <x:v>EEZ</x:v>
      </x:c>
      <x:c r="D37" s="30" t="n">
        <x:v>2019</x:v>
      </x:c>
      <x:c r="E37" s="24" t="str">
        <x:v>Polyprion americanus</x:v>
      </x:c>
      <x:c r="F37" s="24" t="str">
        <x:v>Wreckfish</x:v>
      </x:c>
      <x:c r="G37" s="24" t="str">
        <x:v>Large bathydemersals (&gt;=90 cm)</x:v>
      </x:c>
      <x:c r="H37" s="24" t="str">
        <x:v>Perch-likes</x:v>
      </x:c>
      <x:c r="I37" s="31" t="n">
        <x:v>1.1372087236</x:v>
      </x:c>
      <x:c r="J37" s="31" t="n">
        <x:v>1.1372087236</x:v>
      </x:c>
      <x:c r="K37" s="31" t="n">
        <x:v>0</x:v>
      </x:c>
      <x:c r="L37" s="31" t="n">
        <x:v>1</x:v>
      </x:c>
      <x:c r="M37" s="31" t="n">
        <x:v>0.1372087236</x:v>
      </x:c>
      <x:c r="N37" s="24" t="str">
        <x:v>polyprion americanus</x:v>
      </x:c>
      <x:c r="O37" s="32" t="n">
        <x:v>4.14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Polyprion americanus</x:v>
      </x:c>
      <x:c r="T37" s="32" t="n">
        <x:f>IF(O37="","",(1/'Metadata'!$B$5)^(O37-1))</x:f>
        <x:v>1380.3842646028838</x:v>
      </x:c>
      <x:c r="U37" s="31" t="n">
        <x:f>IF(T37="","",I37*T37)</x:f>
        <x:v>1569.7850276265701</x:v>
      </x:c>
    </x:row>
    <x:row r="38" ht="18" customHeight="1">
      <x:c r="A38" s="24" t="str">
        <x:v>EEZ_621</x:v>
      </x:c>
      <x:c r="B38" s="24" t="str">
        <x:v>Madeira Isl. (Portugal)</x:v>
      </x:c>
      <x:c r="C38" s="24" t="str">
        <x:v>EEZ</x:v>
      </x:c>
      <x:c r="D38" s="30" t="n">
        <x:v>2019</x:v>
      </x:c>
      <x:c r="E38" s="24" t="str">
        <x:v>Sardina pilchardus</x:v>
      </x:c>
      <x:c r="F38" s="24" t="str">
        <x:v>European pilchard</x:v>
      </x:c>
      <x:c r="G38" s="24" t="str">
        <x:v>Small pelagics (&lt;30 cm)</x:v>
      </x:c>
      <x:c r="H38" s="24" t="str">
        <x:v>Herring-likes</x:v>
      </x:c>
      <x:c r="I38" s="31" t="n">
        <x:v>1</x:v>
      </x:c>
      <x:c r="J38" s="31" t="n">
        <x:v>1</x:v>
      </x:c>
      <x:c r="K38" s="31" t="n">
        <x:v>0</x:v>
      </x:c>
      <x:c r="L38" s="31" t="n">
        <x:v>1</x:v>
      </x:c>
      <x:c r="M38" s="31" t="n">
        <x:v>0</x:v>
      </x:c>
      <x:c r="N38" s="24" t="str">
        <x:v>sardina pilchardus</x:v>
      </x:c>
      <x:c r="O38" s="32" t="n">
        <x:v>3.06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Sardina pilchardus</x:v>
      </x:c>
      <x:c r="T38" s="32" t="n">
        <x:f>IF(O38="","",(1/'Metadata'!$B$5)^(O38-1))</x:f>
        <x:v>114.81536214968828</x:v>
      </x:c>
      <x:c r="U38" s="31" t="n">
        <x:f>IF(T38="","",I38*T38)</x:f>
        <x:v>114.81536214968828</x:v>
      </x:c>
    </x:row>
    <x:row r="39" ht="18" customHeight="1">
      <x:c r="A39" s="24" t="str">
        <x:v>EEZ_621</x:v>
      </x:c>
      <x:c r="B39" s="24" t="str">
        <x:v>Madeira Isl. (Portugal)</x:v>
      </x:c>
      <x:c r="C39" s="24" t="str">
        <x:v>EEZ</x:v>
      </x:c>
      <x:c r="D39" s="30" t="n">
        <x:v>2019</x:v>
      </x:c>
      <x:c r="E39" s="24" t="str">
        <x:v>Coryphaena hippurus</x:v>
      </x:c>
      <x:c r="F39" s="24" t="str">
        <x:v>Common dolphinfish</x:v>
      </x:c>
      <x:c r="G39" s="24" t="str">
        <x:v>Large pelagics (&gt;=90 cm)</x:v>
      </x:c>
      <x:c r="H39" s="24" t="str">
        <x:v>Perch-likes</x:v>
      </x:c>
      <x:c r="I39" s="31" t="n">
        <x:v>0.6963074235</x:v>
      </x:c>
      <x:c r="J39" s="31" t="n">
        <x:v>0.6963074235</x:v>
      </x:c>
      <x:c r="K39" s="31" t="n">
        <x:v>0</x:v>
      </x:c>
      <x:c r="L39" s="31" t="n">
        <x:v>0.2857230888</x:v>
      </x:c>
      <x:c r="M39" s="31" t="n">
        <x:v>0.4105843347</x:v>
      </x:c>
      <x:c r="N39" s="24" t="str">
        <x:v>coryphaena hippurus</x:v>
      </x:c>
      <x:c r="O39" s="32" t="n">
        <x:v>4.37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Coryphaena hippurus</x:v>
      </x:c>
      <x:c r="T39" s="32" t="n">
        <x:f>IF(O39="","",(1/'Metadata'!$B$5)^(O39-1))</x:f>
        <x:v>2344.228815319923</x:v>
      </x:c>
      <x:c r="U39" s="31" t="n">
        <x:f>IF(T39="","",I39*T39)</x:f>
        <x:v>1632.3039264898728</x:v>
      </x:c>
    </x:row>
    <x:row r="40" ht="18" customHeight="1">
      <x:c r="A40" s="24" t="str">
        <x:v>EEZ_621</x:v>
      </x:c>
      <x:c r="B40" s="24" t="str">
        <x:v>Madeira Isl. (Portugal)</x:v>
      </x:c>
      <x:c r="C40" s="24" t="str">
        <x:v>EEZ</x:v>
      </x:c>
      <x:c r="D40" s="30" t="n">
        <x:v>2019</x:v>
      </x:c>
      <x:c r="E40" s="24" t="str">
        <x:v>Mullus surmuletus</x:v>
      </x:c>
      <x:c r="F40" s="24" t="str">
        <x:v>Surmullet</x:v>
      </x:c>
      <x:c r="G40" s="24" t="str">
        <x:v>Medium demersals (30 - 89 cm)</x:v>
      </x:c>
      <x:c r="H40" s="24" t="str">
        <x:v>Perch-likes</x:v>
      </x:c>
      <x:c r="I40" s="31" t="n">
        <x:v>0.5041712548</x:v>
      </x:c>
      <x:c r="J40" s="31" t="n">
        <x:v>0.5041712548</x:v>
      </x:c>
      <x:c r="K40" s="31" t="n">
        <x:v>0</x:v>
      </x:c>
      <x:c r="L40" s="31" t="n">
        <x:v>0.25</x:v>
      </x:c>
      <x:c r="M40" s="31" t="n">
        <x:v>0.2541712548</x:v>
      </x:c>
      <x:c r="N40" s="24" t="str">
        <x:v>mullus surmuletus</x:v>
      </x:c>
      <x:c r="O40" s="32" t="n">
        <x:v>3.45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Mullus surmuletus</x:v>
      </x:c>
      <x:c r="T40" s="32" t="n">
        <x:f>IF(O40="","",(1/'Metadata'!$B$5)^(O40-1))</x:f>
        <x:v>281.8382931264455</x:v>
      </x:c>
      <x:c r="U40" s="31" t="n">
        <x:f>IF(T40="","",I40*T40)</x:f>
        <x:v>142.09476589625024</x:v>
      </x:c>
    </x:row>
    <x:row r="41" ht="18" customHeight="1">
      <x:c r="A41" s="24" t="str">
        <x:v>EEZ_621</x:v>
      </x:c>
      <x:c r="B41" s="24" t="str">
        <x:v>Madeira Isl. (Portugal)</x:v>
      </x:c>
      <x:c r="C41" s="24" t="str">
        <x:v>EEZ</x:v>
      </x:c>
      <x:c r="D41" s="30" t="n">
        <x:v>2019</x:v>
      </x:c>
      <x:c r="E41" s="24" t="str">
        <x:v>Sparidae</x:v>
      </x:c>
      <x:c r="F41" s="24" t="str">
        <x:v>Porgies, seabreams</x:v>
      </x:c>
      <x:c r="G41" s="24" t="str">
        <x:v>Medium benthopelagics (30 - 89 cm)</x:v>
      </x:c>
      <x:c r="H41" s="24" t="str">
        <x:v>Perch-likes</x:v>
      </x:c>
      <x:c r="I41" s="31" t="n">
        <x:v>0.5008475403</x:v>
      </x:c>
      <x:c r="J41" s="31" t="n">
        <x:v>0.5008475403</x:v>
      </x:c>
      <x:c r="K41" s="31" t="n">
        <x:v>0</x:v>
      </x:c>
      <x:c r="L41" s="31" t="n">
        <x:v>0.5008475403</x:v>
      </x:c>
      <x:c r="M41" s="31" t="n">
        <x:v>0</x:v>
      </x:c>
      <x:c r="N41" s="24" t="str">
        <x:v>sparidae</x:v>
      </x:c>
      <x:c r="O41" s="32" t="n">
        <x:v>3.31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Sparidae</x:v>
      </x:c>
      <x:c r="T41" s="32" t="n">
        <x:f>IF(O41="","",(1/'Metadata'!$B$5)^(O41-1))</x:f>
        <x:v>204.17379446695296</x:v>
      </x:c>
      <x:c r="U41" s="31" t="n">
        <x:f>IF(T41="","",I41*T41)</x:f>
        <x:v>102.25994275249114</x:v>
      </x:c>
    </x:row>
    <x:row r="42" ht="18" customHeight="1">
      <x:c r="A42" s="24" t="str">
        <x:v>EEZ_621</x:v>
      </x:c>
      <x:c r="B42" s="24" t="str">
        <x:v>Madeira Isl. (Portugal)</x:v>
      </x:c>
      <x:c r="C42" s="24" t="str">
        <x:v>EEZ</x:v>
      </x:c>
      <x:c r="D42" s="30" t="n">
        <x:v>2019</x:v>
      </x:c>
      <x:c r="E42" s="24" t="str">
        <x:v>Beryx decadactylus</x:v>
      </x:c>
      <x:c r="F42" s="24" t="str">
        <x:v>Alfonsino</x:v>
      </x:c>
      <x:c r="G42" s="24" t="str">
        <x:v>Medium bathydemersals (30 - 89 cm)</x:v>
      </x:c>
      <x:c r="H42" s="24" t="str">
        <x:v>Other fishes &amp; inverts</x:v>
      </x:c>
      <x:c r="I42" s="31" t="n">
        <x:v>0.5</x:v>
      </x:c>
      <x:c r="J42" s="31" t="n">
        <x:v>0.5</x:v>
      </x:c>
      <x:c r="K42" s="31" t="n">
        <x:v>0</x:v>
      </x:c>
      <x:c r="L42" s="31" t="n">
        <x:v>0.5</x:v>
      </x:c>
      <x:c r="M42" s="31" t="n">
        <x:v>0</x:v>
      </x:c>
      <x:c r="N42" s="24" t="str">
        <x:v>beryx decadactylus</x:v>
      </x:c>
      <x:c r="O42" s="32" t="n">
        <x:v>4.13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Beryx decadactylus</x:v>
      </x:c>
      <x:c r="T42" s="32" t="n">
        <x:f>IF(O42="","",(1/'Metadata'!$B$5)^(O42-1))</x:f>
        <x:v>1348.9628825916532</x:v>
      </x:c>
      <x:c r="U42" s="31" t="n">
        <x:f>IF(T42="","",I42*T42)</x:f>
        <x:v>674.4814412958266</x:v>
      </x:c>
    </x:row>
    <x:row r="43" ht="18" customHeight="1">
      <x:c r="A43" s="24" t="str">
        <x:v>EEZ_621</x:v>
      </x:c>
      <x:c r="B43" s="24" t="str">
        <x:v>Madeira Isl. (Portugal)</x:v>
      </x:c>
      <x:c r="C43" s="24" t="str">
        <x:v>EEZ</x:v>
      </x:c>
      <x:c r="D43" s="30" t="n">
        <x:v>2019</x:v>
      </x:c>
      <x:c r="E43" s="24" t="str">
        <x:v>Zeus faber</x:v>
      </x:c>
      <x:c r="F43" s="24" t="str">
        <x:v>John dory</x:v>
      </x:c>
      <x:c r="G43" s="24" t="str">
        <x:v>Medium benthopelagics (30 - 89 cm)</x:v>
      </x:c>
      <x:c r="H43" s="24" t="str">
        <x:v>Other fishes &amp; inverts</x:v>
      </x:c>
      <x:c r="I43" s="31" t="n">
        <x:v>0.5</x:v>
      </x:c>
      <x:c r="J43" s="31" t="n">
        <x:v>0.5</x:v>
      </x:c>
      <x:c r="K43" s="31" t="n">
        <x:v>0</x:v>
      </x:c>
      <x:c r="L43" s="31" t="n">
        <x:v>0.5</x:v>
      </x:c>
      <x:c r="M43" s="31" t="n">
        <x:v>0</x:v>
      </x:c>
      <x:c r="N43" s="24" t="str">
        <x:v>zeus faber</x:v>
      </x:c>
      <x:c r="O43" s="32" t="n">
        <x:v>4.5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Zeus faber</x:v>
      </x:c>
      <x:c r="T43" s="32" t="n">
        <x:f>IF(O43="","",(1/'Metadata'!$B$5)^(O43-1))</x:f>
        <x:v>3162.2776601683795</x:v>
      </x:c>
      <x:c r="U43" s="31" t="n">
        <x:f>IF(T43="","",I43*T43)</x:f>
        <x:v>1581.1388300841897</x:v>
      </x:c>
    </x:row>
    <x:row r="44" ht="18" customHeight="1">
      <x:c r="A44" s="24" t="str">
        <x:v>EEZ_621</x:v>
      </x:c>
      <x:c r="B44" s="24" t="str">
        <x:v>Madeira Isl. (Portugal)</x:v>
      </x:c>
      <x:c r="C44" s="24" t="str">
        <x:v>EEZ</x:v>
      </x:c>
      <x:c r="D44" s="30" t="n">
        <x:v>2019</x:v>
      </x:c>
      <x:c r="E44" s="24" t="str">
        <x:v>Sphyraena</x:v>
      </x:c>
      <x:c r="F44" s="24" t="str">
        <x:v>Barracudas, sennets</x:v>
      </x:c>
      <x:c r="G44" s="24" t="str">
        <x:v>Large pelagics (&gt;=90 cm)</x:v>
      </x:c>
      <x:c r="H44" s="24" t="str">
        <x:v>Perch-likes</x:v>
      </x:c>
      <x:c r="I44" s="31" t="n">
        <x:v>0.4972892727</x:v>
      </x:c>
      <x:c r="J44" s="31" t="n">
        <x:v>0.4972892727</x:v>
      </x:c>
      <x:c r="K44" s="31" t="n">
        <x:v>0</x:v>
      </x:c>
      <x:c r="L44" s="31" t="n">
        <x:v>0</x:v>
      </x:c>
      <x:c r="M44" s="31" t="n">
        <x:v>0.4972892727</x:v>
      </x:c>
      <x:c r="N44" s="24" t="str">
        <x:v>sphyraena</x:v>
      </x:c>
      <x:c r="O44" s="32" t="n">
        <x:v>4.4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Sphyraena</x:v>
      </x:c>
      <x:c r="T44" s="32" t="n">
        <x:f>IF(O44="","",(1/'Metadata'!$B$5)^(O44-1))</x:f>
        <x:v>2511.886431509582</x:v>
      </x:c>
      <x:c r="U44" s="31" t="n">
        <x:f>IF(T44="","",I44*T44)</x:f>
        <x:v>1249.1341766303985</x:v>
      </x:c>
    </x:row>
    <x:row r="45" ht="18" customHeight="1">
      <x:c r="A45" s="24" t="str">
        <x:v>EEZ_621</x:v>
      </x:c>
      <x:c r="B45" s="24" t="str">
        <x:v>Madeira Isl. (Portugal)</x:v>
      </x:c>
      <x:c r="C45" s="24" t="str">
        <x:v>EEZ</x:v>
      </x:c>
      <x:c r="D45" s="30" t="n">
        <x:v>2019</x:v>
      </x:c>
      <x:c r="E45" s="24" t="str">
        <x:v>Pagellus bogaraveo</x:v>
      </x:c>
      <x:c r="F45" s="24" t="str">
        <x:v>Blackspot seabream</x:v>
      </x:c>
      <x:c r="G45" s="24" t="str">
        <x:v>Medium benthopelagics (30 - 89 cm)</x:v>
      </x:c>
      <x:c r="H45" s="24" t="str">
        <x:v>Perch-likes</x:v>
      </x:c>
      <x:c r="I45" s="31" t="n">
        <x:v>0.4166878609</x:v>
      </x:c>
      <x:c r="J45" s="31" t="n">
        <x:v>0.4166878609</x:v>
      </x:c>
      <x:c r="K45" s="31" t="n">
        <x:v>0</x:v>
      </x:c>
      <x:c r="L45" s="31" t="n">
        <x:v>0.3386590424</x:v>
      </x:c>
      <x:c r="M45" s="31" t="n">
        <x:v>0.0780288185</x:v>
      </x:c>
      <x:c r="N45" s="24" t="str">
        <x:v>pagellus bogaraveo</x:v>
      </x:c>
      <x:c r="O45" s="32" t="n">
        <x:v>4.21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Pagellus bogaraveo</x:v>
      </x:c>
      <x:c r="T45" s="32" t="n">
        <x:f>IF(O45="","",(1/'Metadata'!$B$5)^(O45-1))</x:f>
        <x:v>1621.8100973589299</x:v>
      </x:c>
      <x:c r="U45" s="31" t="n">
        <x:f>IF(T45="","",I45*T45)</x:f>
        <x:v>675.7885802545132</x:v>
      </x:c>
    </x:row>
    <x:row r="46" ht="18" customHeight="1">
      <x:c r="A46" s="24" t="str">
        <x:v>EEZ_621</x:v>
      </x:c>
      <x:c r="B46" s="24" t="str">
        <x:v>Madeira Isl. (Portugal)</x:v>
      </x:c>
      <x:c r="C46" s="24" t="str">
        <x:v>EEZ</x:v>
      </x:c>
      <x:c r="D46" s="30" t="n">
        <x:v>2019</x:v>
      </x:c>
      <x:c r="E46" s="24" t="str">
        <x:v>Diplodus sargus</x:v>
      </x:c>
      <x:c r="F46" s="24" t="str">
        <x:v>White seabream</x:v>
      </x:c>
      <x:c r="G46" s="24" t="str">
        <x:v>Medium demersals (30 - 89 cm)</x:v>
      </x:c>
      <x:c r="H46" s="24" t="str">
        <x:v>Perch-likes</x:v>
      </x:c>
      <x:c r="I46" s="31" t="n">
        <x:v>0.3519294298</x:v>
      </x:c>
      <x:c r="J46" s="31" t="n">
        <x:v>0.3519294298</x:v>
      </x:c>
      <x:c r="K46" s="31" t="n">
        <x:v>0</x:v>
      </x:c>
      <x:c r="L46" s="31" t="n">
        <x:v>0</x:v>
      </x:c>
      <x:c r="M46" s="31" t="n">
        <x:v>0.3519294298</x:v>
      </x:c>
      <x:c r="N46" s="24" t="str">
        <x:v>diplodus sargus</x:v>
      </x:c>
      <x:c r="O46" s="32" t="n">
        <x:v>3.38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Diplodus sargus</x:v>
      </x:c>
      <x:c r="T46" s="32" t="n">
        <x:f>IF(O46="","",(1/'Metadata'!$B$5)^(O46-1))</x:f>
        <x:v>239.88329190194898</x:v>
      </x:c>
      <x:c r="U46" s="31" t="n">
        <x:f>IF(T46="","",I46*T46)</x:f>
        <x:v>84.42199013759986</x:v>
      </x:c>
    </x:row>
    <x:row r="47" ht="18" customHeight="1">
      <x:c r="A47" s="24" t="str">
        <x:v>EEZ_621</x:v>
      </x:c>
      <x:c r="B47" s="24" t="str">
        <x:v>Madeira Isl. (Portugal)</x:v>
      </x:c>
      <x:c r="C47" s="24" t="str">
        <x:v>EEZ</x:v>
      </x:c>
      <x:c r="D47" s="30" t="n">
        <x:v>2019</x:v>
      </x:c>
      <x:c r="E47" s="24" t="str">
        <x:v>Tetrapturus pfluegeri</x:v>
      </x:c>
      <x:c r="F47" s="24" t="str">
        <x:v>Longbill spearfish</x:v>
      </x:c>
      <x:c r="G47" s="24" t="str">
        <x:v>Large pelagics (&gt;=90 cm)</x:v>
      </x:c>
      <x:c r="H47" s="24" t="str">
        <x:v>Tuna &amp; billfishes</x:v>
      </x:c>
      <x:c r="I47" s="31" t="n">
        <x:v>0.3508558521</x:v>
      </x:c>
      <x:c r="J47" s="31" t="n">
        <x:v>0.3508558521</x:v>
      </x:c>
      <x:c r="K47" s="31" t="n">
        <x:v>0</x:v>
      </x:c>
      <x:c r="L47" s="31" t="n">
        <x:v>0.3508558521</x:v>
      </x:c>
      <x:c r="M47" s="31" t="n">
        <x:v>0</x:v>
      </x:c>
      <x:c r="N47" s="24" t="str">
        <x:v>tetrapturus pfluegeri</x:v>
      </x:c>
      <x:c r="O47" s="32" t="n">
        <x:v>4.4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Tetrapturus pfluegeri</x:v>
      </x:c>
      <x:c r="T47" s="32" t="n">
        <x:f>IF(O47="","",(1/'Metadata'!$B$5)^(O47-1))</x:f>
        <x:v>2511.886431509582</x:v>
      </x:c>
      <x:c r="U47" s="31" t="n">
        <x:f>IF(T47="","",I47*T47)</x:f>
        <x:v>881.3100543057226</x:v>
      </x:c>
    </x:row>
    <x:row r="48" ht="18" customHeight="1">
      <x:c r="A48" s="24" t="str">
        <x:v>EEZ_621</x:v>
      </x:c>
      <x:c r="B48" s="24" t="str">
        <x:v>Madeira Isl. (Portugal)</x:v>
      </x:c>
      <x:c r="C48" s="24" t="str">
        <x:v>EEZ</x:v>
      </x:c>
      <x:c r="D48" s="30" t="n">
        <x:v>2019</x:v>
      </x:c>
      <x:c r="E48" s="24" t="str">
        <x:v>Miscellaneous marine crustaceans</x:v>
      </x:c>
      <x:c r="F48" s="24" t="str">
        <x:v>Marine crabs, shrimps, lobsters nei</x:v>
      </x:c>
      <x:c r="G48" s="24" t="str">
        <x:v>Shrimps</x:v>
      </x:c>
      <x:c r="H48" s="24" t="str">
        <x:v>Crustaceans</x:v>
      </x:c>
      <x:c r="I48" s="31" t="n">
        <x:v>0.3089395836</x:v>
      </x:c>
      <x:c r="J48" s="31" t="n">
        <x:v>0.3089395836</x:v>
      </x:c>
      <x:c r="K48" s="31" t="n">
        <x:v>0</x:v>
      </x:c>
      <x:c r="L48" s="31" t="n">
        <x:v>0.2502846786</x:v>
      </x:c>
      <x:c r="M48" s="31" t="n">
        <x:v>0.058654905</x:v>
      </x:c>
      <x:c r="N48" s="24" t="str">
        <x:v>miscellaneous marine crustaceans</x:v>
      </x:c>
      <x:c r="O48" s="32" t="n">
        <x:v>2.7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Miscellaneous marine crustaceans</x:v>
      </x:c>
      <x:c r="T48" s="32" t="n">
        <x:f>IF(O48="","",(1/'Metadata'!$B$5)^(O48-1))</x:f>
        <x:v>50.11872336272725</x:v>
      </x:c>
      <x:c r="U48" s="31" t="n">
        <x:f>IF(T48="","",I48*T48)</x:f>
        <x:v>15.48365752624455</x:v>
      </x:c>
    </x:row>
    <x:row r="49" ht="18" customHeight="1">
      <x:c r="A49" s="24" t="str">
        <x:v>EEZ_621</x:v>
      </x:c>
      <x:c r="B49" s="24" t="str">
        <x:v>Madeira Isl. (Portugal)</x:v>
      </x:c>
      <x:c r="C49" s="24" t="str">
        <x:v>EEZ</x:v>
      </x:c>
      <x:c r="D49" s="30" t="n">
        <x:v>2019</x:v>
      </x:c>
      <x:c r="E49" s="24" t="str">
        <x:v>Dendrobranchiata</x:v>
      </x:c>
      <x:c r="F49" s="24" t="str">
        <x:v>Shrimps and prawns</x:v>
      </x:c>
      <x:c r="G49" s="24" t="str">
        <x:v>Shrimps</x:v>
      </x:c>
      <x:c r="H49" s="24" t="str">
        <x:v>Crustaceans</x:v>
      </x:c>
      <x:c r="I49" s="31" t="n">
        <x:v>0.2500140139</x:v>
      </x:c>
      <x:c r="J49" s="31" t="n">
        <x:v>0.2500140139</x:v>
      </x:c>
      <x:c r="K49" s="31" t="n">
        <x:v>0</x:v>
      </x:c>
      <x:c r="L49" s="31" t="n">
        <x:v>0.2500140139</x:v>
      </x:c>
      <x:c r="M49" s="31" t="n">
        <x:v>0</x:v>
      </x:c>
      <x:c r="N49" s="24" t="str">
        <x:v>dendrobranchiata</x:v>
      </x:c>
      <x:c r="O49" s="32" t="n">
        <x:v>3.24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Dendrobranchiata</x:v>
      </x:c>
      <x:c r="T49" s="32" t="n">
        <x:f>IF(O49="","",(1/'Metadata'!$B$5)^(O49-1))</x:f>
        <x:v>173.78008287493762</x:v>
      </x:c>
      <x:c r="U49" s="31" t="n">
        <x:f>IF(T49="","",I49*T49)</x:f>
        <x:v>43.447456055437804</x:v>
      </x:c>
    </x:row>
    <x:row r="50" ht="18" customHeight="1">
      <x:c r="A50" s="24" t="str">
        <x:v>EEZ_621</x:v>
      </x:c>
      <x:c r="B50" s="24" t="str">
        <x:v>Madeira Isl. (Portugal)</x:v>
      </x:c>
      <x:c r="C50" s="24" t="str">
        <x:v>EEZ</x:v>
      </x:c>
      <x:c r="D50" s="30" t="n">
        <x:v>2019</x:v>
      </x:c>
      <x:c r="E50" s="24" t="str">
        <x:v>Rajidae</x:v>
      </x:c>
      <x:c r="F50" s="24" t="str">
        <x:v>Stingrays</x:v>
      </x:c>
      <x:c r="G50" s="24" t="str">
        <x:v>Large rays (&gt;=90 cm)</x:v>
      </x:c>
      <x:c r="H50" s="24" t="str">
        <x:v>Sharks &amp; rays</x:v>
      </x:c>
      <x:c r="I50" s="31" t="n">
        <x:v>0.25</x:v>
      </x:c>
      <x:c r="J50" s="31" t="n">
        <x:v>0.25</x:v>
      </x:c>
      <x:c r="K50" s="31" t="n">
        <x:v>0</x:v>
      </x:c>
      <x:c r="L50" s="31" t="n">
        <x:v>0.25</x:v>
      </x:c>
      <x:c r="M50" s="31" t="n">
        <x:v>0</x:v>
      </x:c>
      <x:c r="N50" s="24" t="str">
        <x:v>rajidae</x:v>
      </x:c>
      <x:c r="O50" s="32" t="n">
        <x:v>3.82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Rajidae</x:v>
      </x:c>
      <x:c r="T50" s="32" t="n">
        <x:f>IF(O50="","",(1/'Metadata'!$B$5)^(O50-1))</x:f>
        <x:v>660.6934480075957</x:v>
      </x:c>
      <x:c r="U50" s="31" t="n">
        <x:f>IF(T50="","",I50*T50)</x:f>
        <x:v>165.17336200189894</x:v>
      </x:c>
    </x:row>
    <x:row r="51" ht="18" customHeight="1">
      <x:c r="A51" s="24" t="str">
        <x:v>EEZ_621</x:v>
      </x:c>
      <x:c r="B51" s="24" t="str">
        <x:v>Madeira Isl. (Portugal)</x:v>
      </x:c>
      <x:c r="C51" s="24" t="str">
        <x:v>EEZ</x:v>
      </x:c>
      <x:c r="D51" s="30" t="n">
        <x:v>2019</x:v>
      </x:c>
      <x:c r="E51" s="24" t="str">
        <x:v>Decapoda</x:v>
      </x:c>
      <x:c r="F51" s="24" t="str">
        <x:v>Crabs, lobsters, shrimps</x:v>
      </x:c>
      <x:c r="G51" s="24" t="str">
        <x:v>Lobsters, crabs</x:v>
      </x:c>
      <x:c r="H51" s="24" t="str">
        <x:v>Crustaceans</x:v>
      </x:c>
      <x:c r="I51" s="31" t="n">
        <x:v>0.25</x:v>
      </x:c>
      <x:c r="J51" s="31" t="n">
        <x:v>0.25</x:v>
      </x:c>
      <x:c r="K51" s="31" t="n">
        <x:v>0</x:v>
      </x:c>
      <x:c r="L51" s="31" t="n">
        <x:v>0.25</x:v>
      </x:c>
      <x:c r="M51" s="31" t="n">
        <x:v>0</x:v>
      </x:c>
      <x:c r="N51" s="24" t="str">
        <x:v>decapoda</x:v>
      </x:c>
      <x:c r="O51" s="32" t="n">
        <x:v>3.43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Decapoda</x:v>
      </x:c>
      <x:c r="T51" s="32" t="n">
        <x:f>IF(O51="","",(1/'Metadata'!$B$5)^(O51-1))</x:f>
        <x:v>269.1534803926917</x:v>
      </x:c>
      <x:c r="U51" s="31" t="n">
        <x:f>IF(T51="","",I51*T51)</x:f>
        <x:v>67.28837009817292</x:v>
      </x:c>
    </x:row>
    <x:row r="52" ht="18" customHeight="1">
      <x:c r="A52" s="24" t="str">
        <x:v>EEZ_621</x:v>
      </x:c>
      <x:c r="B52" s="24" t="str">
        <x:v>Madeira Isl. (Portugal)</x:v>
      </x:c>
      <x:c r="C52" s="24" t="str">
        <x:v>EEZ</x:v>
      </x:c>
      <x:c r="D52" s="30" t="n">
        <x:v>2019</x:v>
      </x:c>
      <x:c r="E52" s="24" t="str">
        <x:v>Octopus vulgaris</x:v>
      </x:c>
      <x:c r="F52" s="24" t="str">
        <x:v>Common octopus</x:v>
      </x:c>
      <x:c r="G52" s="24" t="str">
        <x:v>Cephalopods</x:v>
      </x:c>
      <x:c r="H52" s="24" t="str">
        <x:v>Other fishes &amp; inverts</x:v>
      </x:c>
      <x:c r="I52" s="31" t="n">
        <x:v>0.25</x:v>
      </x:c>
      <x:c r="J52" s="31" t="n">
        <x:v>0.25</x:v>
      </x:c>
      <x:c r="K52" s="31" t="n">
        <x:v>0</x:v>
      </x:c>
      <x:c r="L52" s="31" t="n">
        <x:v>0.25</x:v>
      </x:c>
      <x:c r="M52" s="31" t="n">
        <x:v>0</x:v>
      </x:c>
      <x:c r="N52" s="24" t="str">
        <x:v>octopus vulgaris</x:v>
      </x:c>
      <x:c r="O52" s="32" t="n">
        <x:v>3.6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Octopus vulgaris</x:v>
      </x:c>
      <x:c r="T52" s="32" t="n">
        <x:f>IF(O52="","",(1/'Metadata'!$B$5)^(O52-1))</x:f>
        <x:v>398.1071705534973</x:v>
      </x:c>
      <x:c r="U52" s="31" t="n">
        <x:f>IF(T52="","",I52*T52)</x:f>
        <x:v>99.52679263837433</x:v>
      </x:c>
    </x:row>
    <x:row r="53" ht="18" customHeight="1">
      <x:c r="A53" s="24" t="str">
        <x:v>EEZ_621</x:v>
      </x:c>
      <x:c r="B53" s="24" t="str">
        <x:v>Madeira Isl. (Portugal)</x:v>
      </x:c>
      <x:c r="C53" s="24" t="str">
        <x:v>EEZ</x:v>
      </x:c>
      <x:c r="D53" s="30" t="n">
        <x:v>2019</x:v>
      </x:c>
      <x:c r="E53" s="24" t="str">
        <x:v>Makaira nigricans</x:v>
      </x:c>
      <x:c r="F53" s="24" t="str">
        <x:v>Blue marlin</x:v>
      </x:c>
      <x:c r="G53" s="24" t="str">
        <x:v>Large pelagics (&gt;=90 cm)</x:v>
      </x:c>
      <x:c r="H53" s="24" t="str">
        <x:v>Tuna &amp; billfishes</x:v>
      </x:c>
      <x:c r="I53" s="31" t="n">
        <x:v>0.2175143183</x:v>
      </x:c>
      <x:c r="J53" s="31" t="n">
        <x:v>0.2175143183</x:v>
      </x:c>
      <x:c r="K53" s="31" t="n">
        <x:v>0</x:v>
      </x:c>
      <x:c r="L53" s="31" t="n">
        <x:v>0.2175143183</x:v>
      </x:c>
      <x:c r="M53" s="31" t="n">
        <x:v>0</x:v>
      </x:c>
      <x:c r="N53" s="24" t="str">
        <x:v>makaira nigricans</x:v>
      </x:c>
      <x:c r="O53" s="32" t="n">
        <x:v>4.49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Makaira nigricans</x:v>
      </x:c>
      <x:c r="T53" s="32" t="n">
        <x:f>IF(O53="","",(1/'Metadata'!$B$5)^(O53-1))</x:f>
        <x:v>3090.295432513592</x:v>
      </x:c>
      <x:c r="U53" s="31" t="n">
        <x:f>IF(T53="","",I53*T53)</x:f>
        <x:v>672.1835043487977</x:v>
      </x:c>
    </x:row>
    <x:row r="54" ht="18" customHeight="1">
      <x:c r="A54" s="24" t="str">
        <x:v>EEZ_621</x:v>
      </x:c>
      <x:c r="B54" s="24" t="str">
        <x:v>Madeira Isl. (Portugal)</x:v>
      </x:c>
      <x:c r="C54" s="24" t="str">
        <x:v>EEZ</x:v>
      </x:c>
      <x:c r="D54" s="30" t="n">
        <x:v>2019</x:v>
      </x:c>
      <x:c r="E54" s="24" t="str">
        <x:v>Loliginidae</x:v>
      </x:c>
      <x:c r="F54" s="24" t="str">
        <x:v>Common pencil squids</x:v>
      </x:c>
      <x:c r="G54" s="24" t="str">
        <x:v>Cephalopods</x:v>
      </x:c>
      <x:c r="H54" s="24" t="str">
        <x:v>Other fishes &amp; inverts</x:v>
      </x:c>
      <x:c r="I54" s="31" t="n">
        <x:v>0.1955163499</x:v>
      </x:c>
      <x:c r="J54" s="31" t="n">
        <x:v>0.1955163499</x:v>
      </x:c>
      <x:c r="K54" s="31" t="n">
        <x:v>0</x:v>
      </x:c>
      <x:c r="L54" s="31" t="n">
        <x:v>0</x:v>
      </x:c>
      <x:c r="M54" s="31" t="n">
        <x:v>0.1955163499</x:v>
      </x:c>
      <x:c r="N54" s="24" t="str">
        <x:v>loliginidae</x:v>
      </x:c>
      <x:c r="O54" s="32" t="n">
        <x:v>3.9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Loliginidae</x:v>
      </x:c>
      <x:c r="T54" s="32" t="n">
        <x:f>IF(O54="","",(1/'Metadata'!$B$5)^(O54-1))</x:f>
        <x:v>794.3282347242813</x:v>
      </x:c>
      <x:c r="U54" s="31" t="n">
        <x:f>IF(T54="","",I54*T54)</x:f>
        <x:v>155.3041570758019</x:v>
      </x:c>
    </x:row>
    <x:row r="55" ht="18" customHeight="1">
      <x:c r="A55" s="24" t="str">
        <x:v>EEZ_621</x:v>
      </x:c>
      <x:c r="B55" s="24" t="str">
        <x:v>Madeira Isl. (Portugal)</x:v>
      </x:c>
      <x:c r="C55" s="24" t="str">
        <x:v>EEZ</x:v>
      </x:c>
      <x:c r="D55" s="30" t="n">
        <x:v>2019</x:v>
      </x:c>
      <x:c r="E55" s="24" t="str">
        <x:v>Labridae</x:v>
      </x:c>
      <x:c r="F55" s="24" t="str">
        <x:v>Wrasses, gropers, tuskfishes</x:v>
      </x:c>
      <x:c r="G55" s="24" t="str">
        <x:v>Medium reef assoc. fish (30 - 89 cm)</x:v>
      </x:c>
      <x:c r="H55" s="24" t="str">
        <x:v>Perch-likes</x:v>
      </x:c>
      <x:c r="I55" s="31" t="n">
        <x:v>0.176933519</x:v>
      </x:c>
      <x:c r="J55" s="31" t="n">
        <x:v>0.176933519</x:v>
      </x:c>
      <x:c r="K55" s="31" t="n">
        <x:v>0</x:v>
      </x:c>
      <x:c r="L55" s="31" t="n">
        <x:v>0</x:v>
      </x:c>
      <x:c r="M55" s="31" t="n">
        <x:v>0.176933519</x:v>
      </x:c>
      <x:c r="N55" s="24" t="str">
        <x:v>labridae</x:v>
      </x:c>
      <x:c r="O55" s="32" t="n">
        <x:v>3.46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Labridae</x:v>
      </x:c>
      <x:c r="T55" s="32" t="n">
        <x:f>IF(O55="","",(1/'Metadata'!$B$5)^(O55-1))</x:f>
        <x:v>288.40315031266056</x:v>
      </x:c>
      <x:c r="U55" s="31" t="n">
        <x:f>IF(T55="","",I55*T55)</x:f>
        <x:v>51.028184275504984</x:v>
      </x:c>
    </x:row>
    <x:row r="56" ht="18" customHeight="1">
      <x:c r="A56" s="24" t="str">
        <x:v>EEZ_621</x:v>
      </x:c>
      <x:c r="B56" s="24" t="str">
        <x:v>Madeira Isl. (Portugal)</x:v>
      </x:c>
      <x:c r="C56" s="24" t="str">
        <x:v>EEZ</x:v>
      </x:c>
      <x:c r="D56" s="30" t="n">
        <x:v>2019</x:v>
      </x:c>
      <x:c r="E56" s="24" t="str">
        <x:v>Lepidocybium flavobrunneum</x:v>
      </x:c>
      <x:c r="F56" s="24" t="str">
        <x:v>Escolar</x:v>
      </x:c>
      <x:c r="G56" s="24" t="str">
        <x:v>Large bathypelagics (&gt;=90 cm)</x:v>
      </x:c>
      <x:c r="H56" s="24" t="str">
        <x:v>Perch-likes</x:v>
      </x:c>
      <x:c r="I56" s="31" t="n">
        <x:v>0.1657267117</x:v>
      </x:c>
      <x:c r="J56" s="31" t="n">
        <x:v>0.1657267117</x:v>
      </x:c>
      <x:c r="K56" s="31" t="n">
        <x:v>0</x:v>
      </x:c>
      <x:c r="L56" s="31" t="n">
        <x:v>0.1657267117</x:v>
      </x:c>
      <x:c r="M56" s="31" t="n">
        <x:v>0</x:v>
      </x:c>
      <x:c r="N56" s="24" t="str">
        <x:v>lepidocybium flavobrunneum</x:v>
      </x:c>
      <x:c r="O56" s="32" t="n">
        <x:v>4.34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Lepidocybium flavobrunneum</x:v>
      </x:c>
      <x:c r="T56" s="32" t="n">
        <x:f>IF(O56="","",(1/'Metadata'!$B$5)^(O56-1))</x:f>
        <x:v>2187.761623949552</x:v>
      </x:c>
      <x:c r="U56" s="31" t="n">
        <x:f>IF(T56="","",I56*T56)</x:f>
        <x:v>362.5705399206112</x:v>
      </x:c>
    </x:row>
    <x:row r="57" ht="18" customHeight="1">
      <x:c r="A57" s="24" t="str">
        <x:v>EEZ_621</x:v>
      </x:c>
      <x:c r="B57" s="24" t="str">
        <x:v>Madeira Isl. (Portugal)</x:v>
      </x:c>
      <x:c r="C57" s="24" t="str">
        <x:v>EEZ</x:v>
      </x:c>
      <x:c r="D57" s="30" t="n">
        <x:v>2019</x:v>
      </x:c>
      <x:c r="E57" s="24" t="str">
        <x:v>Diplodus</x:v>
      </x:c>
      <x:c r="F57" s="24" t="str">
        <x:v>Two-toothed seabreams</x:v>
      </x:c>
      <x:c r="G57" s="24" t="str">
        <x:v>Medium benthopelagics (30 - 89 cm)</x:v>
      </x:c>
      <x:c r="H57" s="24" t="str">
        <x:v>Perch-likes</x:v>
      </x:c>
      <x:c r="I57" s="31" t="n">
        <x:v>0.1246301522</x:v>
      </x:c>
      <x:c r="J57" s="31" t="n">
        <x:v>0.1246301522</x:v>
      </x:c>
      <x:c r="K57" s="31" t="n">
        <x:v>0</x:v>
      </x:c>
      <x:c r="L57" s="31" t="n">
        <x:v>0</x:v>
      </x:c>
      <x:c r="M57" s="31" t="n">
        <x:v>0.1246301522</x:v>
      </x:c>
      <x:c r="N57" s="24" t="str">
        <x:v>diplodus</x:v>
      </x:c>
      <x:c r="O57" s="32" t="n">
        <x:v>2.97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Diplodus</x:v>
      </x:c>
      <x:c r="T57" s="32" t="n">
        <x:f>IF(O57="","",(1/'Metadata'!$B$5)^(O57-1))</x:f>
        <x:v>93.32543007969915</x:v>
      </x:c>
      <x:c r="U57" s="31" t="n">
        <x:f>IF(T57="","",I57*T57)</x:f>
        <x:v>11.631162554963362</x:v>
      </x:c>
    </x:row>
    <x:row r="58" ht="18" customHeight="1">
      <x:c r="A58" s="24" t="str">
        <x:v>EEZ_621</x:v>
      </x:c>
      <x:c r="B58" s="24" t="str">
        <x:v>Madeira Isl. (Portugal)</x:v>
      </x:c>
      <x:c r="C58" s="24" t="str">
        <x:v>EEZ</x:v>
      </x:c>
      <x:c r="D58" s="30" t="n">
        <x:v>2019</x:v>
      </x:c>
      <x:c r="E58" s="24" t="str">
        <x:v>Istiophoridae</x:v>
      </x:c>
      <x:c r="F58" s="24" t="str">
        <x:v>Billfishes</x:v>
      </x:c>
      <x:c r="G58" s="24" t="str">
        <x:v>Large pelagics (&gt;=90 cm)</x:v>
      </x:c>
      <x:c r="H58" s="24" t="str">
        <x:v>Tuna &amp; billfishes</x:v>
      </x:c>
      <x:c r="I58" s="31" t="n">
        <x:v>0.1135453404</x:v>
      </x:c>
      <x:c r="J58" s="31" t="n">
        <x:v>0.1135453404</x:v>
      </x:c>
      <x:c r="K58" s="31" t="n">
        <x:v>0</x:v>
      </x:c>
      <x:c r="L58" s="31" t="n">
        <x:v>0.1135453404</x:v>
      </x:c>
      <x:c r="M58" s="31" t="n">
        <x:v>0</x:v>
      </x:c>
      <x:c r="N58" s="24" t="str">
        <x:v>istiophoridae</x:v>
      </x:c>
      <x:c r="O58" s="32" t="n">
        <x:v>4.48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Istiophoridae</x:v>
      </x:c>
      <x:c r="T58" s="32" t="n">
        <x:f>IF(O58="","",(1/'Metadata'!$B$5)^(O58-1))</x:f>
        <x:v>3019.951720402019</x:v>
      </x:c>
      <x:c r="U58" s="31" t="n">
        <x:f>IF(T58="","",I58*T58)</x:f>
        <x:v>342.90144608461287</x:v>
      </x:c>
    </x:row>
    <x:row r="59" ht="18" customHeight="1">
      <x:c r="A59" s="24" t="str">
        <x:v>EEZ_621</x:v>
      </x:c>
      <x:c r="B59" s="24" t="str">
        <x:v>Madeira Isl. (Portugal)</x:v>
      </x:c>
      <x:c r="C59" s="24" t="str">
        <x:v>EEZ</x:v>
      </x:c>
      <x:c r="D59" s="30" t="n">
        <x:v>2019</x:v>
      </x:c>
      <x:c r="E59" s="24" t="str">
        <x:v>Perciformes</x:v>
      </x:c>
      <x:c r="F59" s="24" t="str">
        <x:v>Perch-likes</x:v>
      </x:c>
      <x:c r="G59" s="24" t="str">
        <x:v>Medium demersals (30 - 89 cm)</x:v>
      </x:c>
      <x:c r="H59" s="24" t="str">
        <x:v>Perch-likes</x:v>
      </x:c>
      <x:c r="I59" s="31" t="n">
        <x:v>0.1124259069</x:v>
      </x:c>
      <x:c r="J59" s="31" t="n">
        <x:v>0.1124259069</x:v>
      </x:c>
      <x:c r="K59" s="31" t="n">
        <x:v>0</x:v>
      </x:c>
      <x:c r="L59" s="31" t="n">
        <x:v>0.1124259069</x:v>
      </x:c>
      <x:c r="M59" s="31" t="n">
        <x:v>0</x:v>
      </x:c>
      <x:c r="N59" s="24" t="str">
        <x:v>perciformes</x:v>
      </x:c>
      <x:c r="O59" s="32" t="n">
        <x:v>3.53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Perciformes</x:v>
      </x:c>
      <x:c r="T59" s="32" t="n">
        <x:f>IF(O59="","",(1/'Metadata'!$B$5)^(O59-1))</x:f>
        <x:v>338.84415613920237</x:v>
      </x:c>
      <x:c r="U59" s="31" t="n">
        <x:f>IF(T59="","",I59*T59)</x:f>
        <x:v>38.09486155171503</x:v>
      </x:c>
    </x:row>
    <x:row r="60" ht="18" customHeight="1">
      <x:c r="A60" s="24" t="str">
        <x:v>EEZ_621</x:v>
      </x:c>
      <x:c r="B60" s="24" t="str">
        <x:v>Madeira Isl. (Portugal)</x:v>
      </x:c>
      <x:c r="C60" s="24" t="str">
        <x:v>EEZ</x:v>
      </x:c>
      <x:c r="D60" s="30" t="n">
        <x:v>2019</x:v>
      </x:c>
      <x:c r="E60" s="24" t="str">
        <x:v>Orcynopsis unicolor</x:v>
      </x:c>
      <x:c r="F60" s="24" t="str">
        <x:v>Plain bonito</x:v>
      </x:c>
      <x:c r="G60" s="24" t="str">
        <x:v>Large pelagics (&gt;=90 cm)</x:v>
      </x:c>
      <x:c r="H60" s="24" t="str">
        <x:v>Tuna &amp; billfishes</x:v>
      </x:c>
      <x:c r="I60" s="31" t="n">
        <x:v>0.0889984402</x:v>
      </x:c>
      <x:c r="J60" s="31" t="n">
        <x:v>0.0889984402</x:v>
      </x:c>
      <x:c r="K60" s="31" t="n">
        <x:v>0</x:v>
      </x:c>
      <x:c r="L60" s="31" t="n">
        <x:v>0.0889984402</x:v>
      </x:c>
      <x:c r="M60" s="31" t="n">
        <x:v>0</x:v>
      </x:c>
      <x:c r="N60" s="24" t="str">
        <x:v>orcynopsis unicolor</x:v>
      </x:c>
      <x:c r="O60" s="32" t="n">
        <x:v>4.5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Orcynopsis unicolor</x:v>
      </x:c>
      <x:c r="T60" s="32" t="n">
        <x:f>IF(O60="","",(1/'Metadata'!$B$5)^(O60-1))</x:f>
        <x:v>3162.2776601683795</x:v>
      </x:c>
      <x:c r="U60" s="31" t="n">
        <x:f>IF(T60="","",I60*T60)</x:f>
        <x:v>281.43777923429144</x:v>
      </x:c>
    </x:row>
    <x:row r="61" ht="18" customHeight="1">
      <x:c r="A61" s="24" t="str">
        <x:v>EEZ_621</x:v>
      </x:c>
      <x:c r="B61" s="24" t="str">
        <x:v>Madeira Isl. (Portugal)</x:v>
      </x:c>
      <x:c r="C61" s="24" t="str">
        <x:v>EEZ</x:v>
      </x:c>
      <x:c r="D61" s="30" t="n">
        <x:v>2019</x:v>
      </x:c>
      <x:c r="E61" s="24" t="str">
        <x:v>Marine finfishes not identified</x:v>
      </x:c>
      <x:c r="F61" s="24" t="str">
        <x:v>Finfishes</x:v>
      </x:c>
      <x:c r="G61" s="24" t="str">
        <x:v>Medium demersals (30 - 89 cm)</x:v>
      </x:c>
      <x:c r="H61" s="24" t="str">
        <x:v>Other fishes &amp; inverts</x:v>
      </x:c>
      <x:c r="I61" s="31" t="n">
        <x:v>0.0876513235</x:v>
      </x:c>
      <x:c r="J61" s="31" t="n">
        <x:v>0.0876513235</x:v>
      </x:c>
      <x:c r="K61" s="31" t="n">
        <x:v>0</x:v>
      </x:c>
      <x:c r="L61" s="31" t="n">
        <x:v>0.0876513235</x:v>
      </x:c>
      <x:c r="M61" s="31" t="n">
        <x:v>0</x:v>
      </x:c>
      <x:c r="N61" s="24" t="str">
        <x:v>marine finfishes not identified</x:v>
      </x:c>
      <x:c r="O61" s="32" t="n">
        <x:v>3.23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Marine finfishes not identified</x:v>
      </x:c>
      <x:c r="T61" s="32" t="n">
        <x:f>IF(O61="","",(1/'Metadata'!$B$5)^(O61-1))</x:f>
        <x:v>169.82436524617444</x:v>
      </x:c>
      <x:c r="U61" s="31" t="n">
        <x:f>IF(T61="","",I61*T61)</x:f>
        <x:v>14.885330376374593</x:v>
      </x:c>
    </x:row>
    <x:row r="62" ht="18" customHeight="1">
      <x:c r="A62" s="24" t="str">
        <x:v>EEZ_621</x:v>
      </x:c>
      <x:c r="B62" s="24" t="str">
        <x:v>Madeira Isl. (Portugal)</x:v>
      </x:c>
      <x:c r="C62" s="24" t="str">
        <x:v>EEZ</x:v>
      </x:c>
      <x:c r="D62" s="30" t="n">
        <x:v>2019</x:v>
      </x:c>
      <x:c r="E62" s="24" t="str">
        <x:v>Lophiidae</x:v>
      </x:c>
      <x:c r="F62" s="24" t="str">
        <x:v>Goosefishes</x:v>
      </x:c>
      <x:c r="G62" s="24" t="str">
        <x:v>Medium bathydemersals (30 - 89 cm)</x:v>
      </x:c>
      <x:c r="H62" s="24" t="str">
        <x:v>Other fishes &amp; inverts</x:v>
      </x:c>
      <x:c r="I62" s="31" t="n">
        <x:v>0.0763303094</x:v>
      </x:c>
      <x:c r="J62" s="31" t="n">
        <x:v>0.0763303094</x:v>
      </x:c>
      <x:c r="K62" s="31" t="n">
        <x:v>0</x:v>
      </x:c>
      <x:c r="L62" s="31" t="n">
        <x:v>0.0763303094</x:v>
      </x:c>
      <x:c r="M62" s="31" t="n">
        <x:v>0</x:v>
      </x:c>
      <x:c r="N62" s="24" t="str">
        <x:v>lophiidae</x:v>
      </x:c>
      <x:c r="O62" s="32" t="n">
        <x:v>4.46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Lophiidae</x:v>
      </x:c>
      <x:c r="T62" s="32" t="n">
        <x:f>IF(O62="","",(1/'Metadata'!$B$5)^(O62-1))</x:f>
        <x:v>2884.031503126606</x:v>
      </x:c>
      <x:c r="U62" s="31" t="n">
        <x:f>IF(T62="","",I62*T62)</x:f>
        <x:v>220.13901695300092</x:v>
      </x:c>
    </x:row>
    <x:row r="63" ht="18" customHeight="1">
      <x:c r="A63" s="24" t="str">
        <x:v>EEZ_621</x:v>
      </x:c>
      <x:c r="B63" s="24" t="str">
        <x:v>Madeira Isl. (Portugal)</x:v>
      </x:c>
      <x:c r="C63" s="24" t="str">
        <x:v>EEZ</x:v>
      </x:c>
      <x:c r="D63" s="30" t="n">
        <x:v>2019</x:v>
      </x:c>
      <x:c r="E63" s="24" t="str">
        <x:v>Auxis rochei</x:v>
      </x:c>
      <x:c r="F63" s="24" t="str">
        <x:v>Bullet tuna</x:v>
      </x:c>
      <x:c r="G63" s="24" t="str">
        <x:v>Medium pelagics (30 - 89 cm)</x:v>
      </x:c>
      <x:c r="H63" s="24" t="str">
        <x:v>Tuna &amp; billfishes</x:v>
      </x:c>
      <x:c r="I63" s="31" t="n">
        <x:v>0.0745871827</x:v>
      </x:c>
      <x:c r="J63" s="31" t="n">
        <x:v>0.0745871827</x:v>
      </x:c>
      <x:c r="K63" s="31" t="n">
        <x:v>0</x:v>
      </x:c>
      <x:c r="L63" s="31" t="n">
        <x:v>0.0745871827</x:v>
      </x:c>
      <x:c r="M63" s="31" t="n">
        <x:v>0</x:v>
      </x:c>
      <x:c r="N63" s="24" t="str">
        <x:v>auxis rochei</x:v>
      </x:c>
      <x:c r="O63" s="32" t="n">
        <x:v>4.13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Auxis rochei</x:v>
      </x:c>
      <x:c r="T63" s="32" t="n">
        <x:f>IF(O63="","",(1/'Metadata'!$B$5)^(O63-1))</x:f>
        <x:v>1348.9628825916532</x:v>
      </x:c>
      <x:c r="U63" s="31" t="n">
        <x:f>IF(T63="","",I63*T63)</x:f>
        <x:v>100.6153409793823</x:v>
      </x:c>
    </x:row>
    <x:row r="64" ht="18" customHeight="1">
      <x:c r="A64" s="24" t="str">
        <x:v>EEZ_621</x:v>
      </x:c>
      <x:c r="B64" s="24" t="str">
        <x:v>Madeira Isl. (Portugal)</x:v>
      </x:c>
      <x:c r="C64" s="24" t="str">
        <x:v>EEZ</x:v>
      </x:c>
      <x:c r="D64" s="30" t="n">
        <x:v>2019</x:v>
      </x:c>
      <x:c r="E64" s="24" t="str">
        <x:v>Carcharhinidae</x:v>
      </x:c>
      <x:c r="F64" s="24" t="str">
        <x:v>Requiem sharks</x:v>
      </x:c>
      <x:c r="G64" s="24" t="str">
        <x:v>Large sharks (&gt;=90 cm)</x:v>
      </x:c>
      <x:c r="H64" s="24" t="str">
        <x:v>Sharks &amp; rays</x:v>
      </x:c>
      <x:c r="I64" s="31" t="n">
        <x:v>0.0511553786</x:v>
      </x:c>
      <x:c r="J64" s="31" t="n">
        <x:v>0.0511553786</x:v>
      </x:c>
      <x:c r="K64" s="31" t="n">
        <x:v>0</x:v>
      </x:c>
      <x:c r="L64" s="31" t="n">
        <x:v>0.0511553786</x:v>
      </x:c>
      <x:c r="M64" s="31" t="n">
        <x:v>0</x:v>
      </x:c>
      <x:c r="N64" s="24" t="str">
        <x:v>carcharhinidae</x:v>
      </x:c>
      <x:c r="O64" s="32" t="n">
        <x:v>4.24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Carcharhinidae</x:v>
      </x:c>
      <x:c r="T64" s="32" t="n">
        <x:f>IF(O64="","",(1/'Metadata'!$B$5)^(O64-1))</x:f>
        <x:v>1737.8008287493763</x:v>
      </x:c>
      <x:c r="U64" s="31" t="n">
        <x:f>IF(T64="","",I64*T64)</x:f>
        <x:v>88.89785932606812</x:v>
      </x:c>
    </x:row>
    <x:row r="65" ht="18" customHeight="1">
      <x:c r="A65" s="24" t="str">
        <x:v>EEZ_621</x:v>
      </x:c>
      <x:c r="B65" s="24" t="str">
        <x:v>Madeira Isl. (Portugal)</x:v>
      </x:c>
      <x:c r="C65" s="24" t="str">
        <x:v>EEZ</x:v>
      </x:c>
      <x:c r="D65" s="30" t="n">
        <x:v>2019</x:v>
      </x:c>
      <x:c r="E65" s="24" t="str">
        <x:v>Scomberesox saurus</x:v>
      </x:c>
      <x:c r="F65" s="24" t="str">
        <x:v>Atlantic saury</x:v>
      </x:c>
      <x:c r="G65" s="24" t="str">
        <x:v>Medium pelagics (30 - 89 cm)</x:v>
      </x:c>
      <x:c r="H65" s="24" t="str">
        <x:v>Other fishes &amp; inverts</x:v>
      </x:c>
      <x:c r="I65" s="31" t="n">
        <x:v>0.0328998125</x:v>
      </x:c>
      <x:c r="J65" s="31" t="n">
        <x:v>0.0328998125</x:v>
      </x:c>
      <x:c r="K65" s="31" t="n">
        <x:v>0</x:v>
      </x:c>
      <x:c r="L65" s="31" t="n">
        <x:v>0.0328998125</x:v>
      </x:c>
      <x:c r="M65" s="31" t="n">
        <x:v>0</x:v>
      </x:c>
      <x:c r="N65" s="24" t="str">
        <x:v>scomberesox saurus</x:v>
      </x:c>
      <x:c r="O65" s="32" t="n">
        <x:v>3.91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Scomberesox saurus</x:v>
      </x:c>
      <x:c r="T65" s="32" t="n">
        <x:f>IF(O65="","",(1/'Metadata'!$B$5)^(O65-1))</x:f>
        <x:v>812.8305161640995</x:v>
      </x:c>
      <x:c r="U65" s="31" t="n">
        <x:f>IF(T65="","",I65*T65)</x:f>
        <x:v>26.741971576077095</x:v>
      </x:c>
    </x:row>
    <x:row r="66" ht="18" customHeight="1">
      <x:c r="A66" s="24" t="str">
        <x:v>EEZ_621</x:v>
      </x:c>
      <x:c r="B66" s="24" t="str">
        <x:v>Madeira Isl. (Portugal)</x:v>
      </x:c>
      <x:c r="C66" s="24" t="str">
        <x:v>EEZ</x:v>
      </x:c>
      <x:c r="D66" s="30" t="n">
        <x:v>2019</x:v>
      </x:c>
      <x:c r="E66" s="24" t="str">
        <x:v>Scombridae</x:v>
      </x:c>
      <x:c r="F66" s="24" t="str">
        <x:v>Mackerels, tunas, bonitos</x:v>
      </x:c>
      <x:c r="G66" s="24" t="str">
        <x:v>Medium pelagics (30 - 89 cm)</x:v>
      </x:c>
      <x:c r="H66" s="24" t="str">
        <x:v>Perch-likes</x:v>
      </x:c>
      <x:c r="I66" s="31" t="n">
        <x:v>0.0308225211</x:v>
      </x:c>
      <x:c r="J66" s="31" t="n">
        <x:v>0.0308225211</x:v>
      </x:c>
      <x:c r="K66" s="31" t="n">
        <x:v>0</x:v>
      </x:c>
      <x:c r="L66" s="31" t="n">
        <x:v>0.0308225211</x:v>
      </x:c>
      <x:c r="M66" s="31" t="n">
        <x:v>0</x:v>
      </x:c>
      <x:c r="N66" s="24" t="str">
        <x:v>scombridae</x:v>
      </x:c>
      <x:c r="O66" s="32" t="n">
        <x:v>4.26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Scombridae</x:v>
      </x:c>
      <x:c r="T66" s="32" t="n">
        <x:f>IF(O66="","",(1/'Metadata'!$B$5)^(O66-1))</x:f>
        <x:v>1819.7008586099826</x:v>
      </x:c>
      <x:c r="U66" s="31" t="n">
        <x:f>IF(T66="","",I66*T66)</x:f>
        <x:v>56.087768110194304</x:v>
      </x:c>
    </x:row>
    <x:row r="67" ht="18" customHeight="1">
      <x:c r="A67" s="24" t="str">
        <x:v>EEZ_621</x:v>
      </x:c>
      <x:c r="B67" s="24" t="str">
        <x:v>Madeira Isl. (Portugal)</x:v>
      </x:c>
      <x:c r="C67" s="24" t="str">
        <x:v>EEZ</x:v>
      </x:c>
      <x:c r="D67" s="30" t="n">
        <x:v>2019</x:v>
      </x:c>
      <x:c r="E67" s="24" t="str">
        <x:v>Caranx hippos</x:v>
      </x:c>
      <x:c r="F67" s="24" t="str">
        <x:v>Crevalle jack</x:v>
      </x:c>
      <x:c r="G67" s="24" t="str">
        <x:v>Large reef assoc. fish (&gt;=90 cm)</x:v>
      </x:c>
      <x:c r="H67" s="24" t="str">
        <x:v>Perch-likes</x:v>
      </x:c>
      <x:c r="I67" s="31" t="n">
        <x:v>0.029059309000000002</x:v>
      </x:c>
      <x:c r="J67" s="31" t="n">
        <x:v>0.029059309000000002</x:v>
      </x:c>
      <x:c r="K67" s="31" t="n">
        <x:v>0</x:v>
      </x:c>
      <x:c r="L67" s="31" t="n">
        <x:v>0.029059309000000002</x:v>
      </x:c>
      <x:c r="M67" s="31" t="n">
        <x:v>0</x:v>
      </x:c>
      <x:c r="N67" s="24" t="str">
        <x:v>caranx hippos</x:v>
      </x:c>
      <x:c r="O67" s="32" t="n">
        <x:v>3.56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Caranx hippos</x:v>
      </x:c>
      <x:c r="T67" s="32" t="n">
        <x:f>IF(O67="","",(1/'Metadata'!$B$5)^(O67-1))</x:f>
        <x:v>363.0780547701014</x:v>
      </x:c>
      <x:c r="U67" s="31" t="n">
        <x:f>IF(T67="","",I67*T67)</x:f>
        <x:v>10.550797384683301</x:v>
      </x:c>
    </x:row>
    <x:row r="68" ht="18" customHeight="1">
      <x:c r="A68" s="24" t="str">
        <x:v>EEZ_621</x:v>
      </x:c>
      <x:c r="B68" s="24" t="str">
        <x:v>Madeira Isl. (Portugal)</x:v>
      </x:c>
      <x:c r="C68" s="24" t="str">
        <x:v>EEZ</x:v>
      </x:c>
      <x:c r="D68" s="30" t="n">
        <x:v>2019</x:v>
      </x:c>
      <x:c r="E68" s="24" t="str">
        <x:v>Mugilidae</x:v>
      </x:c>
      <x:c r="F68" s="24" t="str">
        <x:v>Mullets, grey mullets</x:v>
      </x:c>
      <x:c r="G68" s="24" t="str">
        <x:v>Medium reef assoc. fish (30 - 89 cm)</x:v>
      </x:c>
      <x:c r="H68" s="24" t="str">
        <x:v>Perch-likes</x:v>
      </x:c>
      <x:c r="I68" s="31" t="n">
        <x:v>0.0210864885</x:v>
      </x:c>
      <x:c r="J68" s="31" t="n">
        <x:v>0.0210864885</x:v>
      </x:c>
      <x:c r="K68" s="31" t="n">
        <x:v>0</x:v>
      </x:c>
      <x:c r="L68" s="31" t="n">
        <x:v>0.0015348534999999998</x:v>
      </x:c>
      <x:c r="M68" s="31" t="n">
        <x:v>0.019551635</x:v>
      </x:c>
      <x:c r="N68" s="24" t="str">
        <x:v>mugilidae</x:v>
      </x:c>
      <x:c r="O68" s="32" t="n">
        <x:v>2.53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Mugilidae</x:v>
      </x:c>
      <x:c r="T68" s="32" t="n">
        <x:f>IF(O68="","",(1/'Metadata'!$B$5)^(O68-1))</x:f>
        <x:v>33.88441561392024</x:v>
      </x:c>
      <x:c r="U68" s="31" t="n">
        <x:f>IF(T68="","",I68*T68)</x:f>
        <x:v>0.7145033401721496</x:v>
      </x:c>
    </x:row>
    <x:row r="69" ht="18" customHeight="1">
      <x:c r="A69" s="24" t="str">
        <x:v>EEZ_621</x:v>
      </x:c>
      <x:c r="B69" s="24" t="str">
        <x:v>Madeira Isl. (Portugal)</x:v>
      </x:c>
      <x:c r="C69" s="24" t="str">
        <x:v>EEZ</x:v>
      </x:c>
      <x:c r="D69" s="30" t="n">
        <x:v>2019</x:v>
      </x:c>
      <x:c r="E69" s="24" t="str">
        <x:v>Mycteroperca</x:v>
      </x:c>
      <x:c r="F69" s="24" t="str">
        <x:v>Scamps, gags</x:v>
      </x:c>
      <x:c r="G69" s="24" t="str">
        <x:v>Medium reef assoc. fish (30 - 89 cm)</x:v>
      </x:c>
      <x:c r="H69" s="24" t="str">
        <x:v>Perch-likes</x:v>
      </x:c>
      <x:c r="I69" s="31" t="n">
        <x:v>0.019551635</x:v>
      </x:c>
      <x:c r="J69" s="31" t="n">
        <x:v>0.019551635</x:v>
      </x:c>
      <x:c r="K69" s="31" t="n">
        <x:v>0</x:v>
      </x:c>
      <x:c r="L69" s="31" t="n">
        <x:v>0</x:v>
      </x:c>
      <x:c r="M69" s="31" t="n">
        <x:v>0.019551635</x:v>
      </x:c>
      <x:c r="N69" s="24" t="str">
        <x:v>mycteroperca</x:v>
      </x:c>
      <x:c r="O69" s="32" t="n">
        <x:v>4.35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Mycteroperca</x:v>
      </x:c>
      <x:c r="T69" s="32" t="n">
        <x:f>IF(O69="","",(1/'Metadata'!$B$5)^(O69-1))</x:f>
        <x:v>2238.7211385683377</x:v>
      </x:c>
      <x:c r="U69" s="31" t="n">
        <x:f>IF(T69="","",I69*T69)</x:f>
        <x:v>43.77065856807256</x:v>
      </x:c>
    </x:row>
    <x:row r="70" ht="18" customHeight="1">
      <x:c r="A70" s="24" t="str">
        <x:v>EEZ_621</x:v>
      </x:c>
      <x:c r="B70" s="24" t="str">
        <x:v>Madeira Isl. (Portugal)</x:v>
      </x:c>
      <x:c r="C70" s="24" t="str">
        <x:v>EEZ</x:v>
      </x:c>
      <x:c r="D70" s="30" t="n">
        <x:v>2019</x:v>
      </x:c>
      <x:c r="E70" s="24" t="str">
        <x:v>Triglidae</x:v>
      </x:c>
      <x:c r="F70" s="24" t="str">
        <x:v>Searobins, gurnards</x:v>
      </x:c>
      <x:c r="G70" s="24" t="str">
        <x:v>Medium demersals (30 - 89 cm)</x:v>
      </x:c>
      <x:c r="H70" s="24" t="str">
        <x:v>Scorpionfishes</x:v>
      </x:c>
      <x:c r="I70" s="31" t="n">
        <x:v>0.0157410446</x:v>
      </x:c>
      <x:c r="J70" s="31" t="n">
        <x:v>0.0157410446</x:v>
      </x:c>
      <x:c r="K70" s="31" t="n">
        <x:v>0</x:v>
      </x:c>
      <x:c r="L70" s="31" t="n">
        <x:v>0.0157410446</x:v>
      </x:c>
      <x:c r="M70" s="31" t="n">
        <x:v>0</x:v>
      </x:c>
      <x:c r="N70" s="24" t="str">
        <x:v>triglidae</x:v>
      </x:c>
      <x:c r="O70" s="32" t="n">
        <x:v>3.74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Triglidae</x:v>
      </x:c>
      <x:c r="T70" s="32" t="n">
        <x:f>IF(O70="","",(1/'Metadata'!$B$5)^(O70-1))</x:f>
        <x:v>549.5408738576248</x:v>
      </x:c>
      <x:c r="U70" s="31" t="n">
        <x:f>IF(T70="","",I70*T70)</x:f>
        <x:v>8.650347404915847</x:v>
      </x:c>
    </x:row>
    <x:row r="71" ht="18" customHeight="1">
      <x:c r="A71" s="24" t="str">
        <x:v>EEZ_621</x:v>
      </x:c>
      <x:c r="B71" s="24" t="str">
        <x:v>Madeira Isl. (Portugal)</x:v>
      </x:c>
      <x:c r="C71" s="24" t="str">
        <x:v>EEZ</x:v>
      </x:c>
      <x:c r="D71" s="30" t="n">
        <x:v>2019</x:v>
      </x:c>
      <x:c r="E71" s="24" t="str">
        <x:v>Clupeiformes</x:v>
      </x:c>
      <x:c r="F71" s="24" t="str">
        <x:v>Herrings, shads, anchovies</x:v>
      </x:c>
      <x:c r="G71" s="24" t="str">
        <x:v>Small pelagics (&lt;30 cm)</x:v>
      </x:c>
      <x:c r="H71" s="24" t="str">
        <x:v>Other fishes &amp; inverts</x:v>
      </x:c>
      <x:c r="I71" s="31" t="n">
        <x:v>0.0122542558</x:v>
      </x:c>
      <x:c r="J71" s="31" t="n">
        <x:v>0.0122542558</x:v>
      </x:c>
      <x:c r="K71" s="31" t="n">
        <x:v>0</x:v>
      </x:c>
      <x:c r="L71" s="31" t="n">
        <x:v>0.0122542558</x:v>
      </x:c>
      <x:c r="M71" s="31" t="n">
        <x:v>0</x:v>
      </x:c>
      <x:c r="N71" s="24" t="str">
        <x:v>clupeiformes</x:v>
      </x:c>
      <x:c r="O71" s="32" t="n">
        <x:v>3.24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Clupeiformes</x:v>
      </x:c>
      <x:c r="T71" s="32" t="n">
        <x:f>IF(O71="","",(1/'Metadata'!$B$5)^(O71-1))</x:f>
        <x:v>173.78008287493762</x:v>
      </x:c>
      <x:c r="U71" s="31" t="n">
        <x:f>IF(T71="","",I71*T71)</x:f>
        <x:v>2.1295455884946852</x:v>
      </x:c>
    </x:row>
    <x:row r="72" ht="18" customHeight="1">
      <x:c r="A72" s="24" t="str">
        <x:v>EEZ_621</x:v>
      </x:c>
      <x:c r="B72" s="24" t="str">
        <x:v>Madeira Isl. (Portugal)</x:v>
      </x:c>
      <x:c r="C72" s="24" t="str">
        <x:v>EEZ</x:v>
      </x:c>
      <x:c r="D72" s="30" t="n">
        <x:v>2019</x:v>
      </x:c>
      <x:c r="E72" s="24" t="str">
        <x:v>Chondrichthyes</x:v>
      </x:c>
      <x:c r="F72" s="24" t="str">
        <x:v>Sharks, rays, chimaeras</x:v>
      </x:c>
      <x:c r="G72" s="24" t="str">
        <x:v>Large sharks (&gt;=90 cm)</x:v>
      </x:c>
      <x:c r="H72" s="24" t="str">
        <x:v>Sharks &amp; rays</x:v>
      </x:c>
      <x:c r="I72" s="31" t="n">
        <x:v>0.0118268849</x:v>
      </x:c>
      <x:c r="J72" s="31" t="n">
        <x:v>0.0118268849</x:v>
      </x:c>
      <x:c r="K72" s="31" t="n">
        <x:v>0</x:v>
      </x:c>
      <x:c r="L72" s="31" t="n">
        <x:v>0.0118268849</x:v>
      </x:c>
      <x:c r="M72" s="31" t="n">
        <x:v>0</x:v>
      </x:c>
      <x:c r="N72" s="24" t="str">
        <x:v>chondrichthyes</x:v>
      </x:c>
      <x:c r="O72" s="32" t="n">
        <x:v>4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Chondrichthyes</x:v>
      </x:c>
      <x:c r="T72" s="32" t="n">
        <x:f>IF(O72="","",(1/'Metadata'!$B$5)^(O72-1))</x:f>
        <x:v>1000</x:v>
      </x:c>
      <x:c r="U72" s="31" t="n">
        <x:f>IF(T72="","",I72*T72)</x:f>
        <x:v>11.8268849</x:v>
      </x:c>
    </x:row>
    <x:row r="73" ht="18" customHeight="1">
      <x:c r="A73" s="24" t="str">
        <x:v>EEZ_621</x:v>
      </x:c>
      <x:c r="B73" s="24" t="str">
        <x:v>Madeira Isl. (Portugal)</x:v>
      </x:c>
      <x:c r="C73" s="24" t="str">
        <x:v>EEZ</x:v>
      </x:c>
      <x:c r="D73" s="30" t="n">
        <x:v>2019</x:v>
      </x:c>
      <x:c r="E73" s="24" t="str">
        <x:v>Gadiformes</x:v>
      </x:c>
      <x:c r="F73" s="24" t="str">
        <x:v>Cods</x:v>
      </x:c>
      <x:c r="G73" s="24" t="str">
        <x:v>Medium benthopelagics (30 - 89 cm)</x:v>
      </x:c>
      <x:c r="H73" s="24" t="str">
        <x:v>Cod-likes</x:v>
      </x:c>
      <x:c r="I73" s="31" t="n">
        <x:v>0.010602703500000001</x:v>
      </x:c>
      <x:c r="J73" s="31" t="n">
        <x:v>0.010602703500000001</x:v>
      </x:c>
      <x:c r="K73" s="31" t="n">
        <x:v>0</x:v>
      </x:c>
      <x:c r="L73" s="31" t="n">
        <x:v>0.010602703500000001</x:v>
      </x:c>
      <x:c r="M73" s="31" t="n">
        <x:v>0</x:v>
      </x:c>
      <x:c r="N73" s="24" t="str">
        <x:v>gadiformes</x:v>
      </x:c>
      <x:c r="O73" s="32" t="n">
        <x:v>3.91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Gadiformes</x:v>
      </x:c>
      <x:c r="T73" s="32" t="n">
        <x:f>IF(O73="","",(1/'Metadata'!$B$5)^(O73-1))</x:f>
        <x:v>812.8305161640995</x:v>
      </x:c>
      <x:c r="U73" s="31" t="n">
        <x:f>IF(T73="","",I73*T73)</x:f>
        <x:v>8.618200958639905</x:v>
      </x:c>
    </x:row>
    <x:row r="74" ht="18" customHeight="1">
      <x:c r="A74" s="24" t="str">
        <x:v>EEZ_621</x:v>
      </x:c>
      <x:c r="B74" s="24" t="str">
        <x:v>Madeira Isl. (Portugal)</x:v>
      </x:c>
      <x:c r="C74" s="24" t="str">
        <x:v>EEZ</x:v>
      </x:c>
      <x:c r="D74" s="30" t="n">
        <x:v>2019</x:v>
      </x:c>
      <x:c r="E74" s="24" t="str">
        <x:v>Ruvettus pretiosus</x:v>
      </x:c>
      <x:c r="F74" s="24" t="str">
        <x:v>Oilfish</x:v>
      </x:c>
      <x:c r="G74" s="24" t="str">
        <x:v>Large benthopelagics (&gt;=90 cm)</x:v>
      </x:c>
      <x:c r="H74" s="24" t="str">
        <x:v>Perch-likes</x:v>
      </x:c>
      <x:c r="I74" s="31" t="n">
        <x:v>0.0068936356</x:v>
      </x:c>
      <x:c r="J74" s="31" t="n">
        <x:v>0.0068936356</x:v>
      </x:c>
      <x:c r="K74" s="31" t="n">
        <x:v>0</x:v>
      </x:c>
      <x:c r="L74" s="31" t="n">
        <x:v>0.0068936356</x:v>
      </x:c>
      <x:c r="M74" s="31" t="n">
        <x:v>0</x:v>
      </x:c>
      <x:c r="N74" s="24" t="str">
        <x:v>ruvettus pretiosus</x:v>
      </x:c>
      <x:c r="O74" s="32" t="n">
        <x:v>4.18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Ruvettus pretiosus</x:v>
      </x:c>
      <x:c r="T74" s="32" t="n">
        <x:f>IF(O74="","",(1/'Metadata'!$B$5)^(O74-1))</x:f>
        <x:v>1513.5612484362073</x:v>
      </x:c>
      <x:c r="U74" s="31" t="n">
        <x:f>IF(T74="","",I74*T74)</x:f>
        <x:v>10.433939705000283</x:v>
      </x:c>
    </x:row>
    <x:row r="75" ht="18" customHeight="1">
      <x:c r="A75" s="24" t="str">
        <x:v>EEZ_621</x:v>
      </x:c>
      <x:c r="B75" s="24" t="str">
        <x:v>Madeira Isl. (Portugal)</x:v>
      </x:c>
      <x:c r="C75" s="24" t="str">
        <x:v>EEZ</x:v>
      </x:c>
      <x:c r="D75" s="30" t="n">
        <x:v>2019</x:v>
      </x:c>
      <x:c r="E75" s="24" t="str">
        <x:v>Sphyraena barracuda</x:v>
      </x:c>
      <x:c r="F75" s="24" t="str">
        <x:v>Great barracuda</x:v>
      </x:c>
      <x:c r="G75" s="24" t="str">
        <x:v>Large pelagics (&gt;=90 cm)</x:v>
      </x:c>
      <x:c r="H75" s="24" t="str">
        <x:v>Perch-likes</x:v>
      </x:c>
      <x:c r="I75" s="31" t="n">
        <x:v>0.006210587</x:v>
      </x:c>
      <x:c r="J75" s="31" t="n">
        <x:v>0.006210587</x:v>
      </x:c>
      <x:c r="K75" s="31" t="n">
        <x:v>0</x:v>
      </x:c>
      <x:c r="L75" s="31" t="n">
        <x:v>0.006210587</x:v>
      </x:c>
      <x:c r="M75" s="31" t="n">
        <x:v>0</x:v>
      </x:c>
      <x:c r="N75" s="24" t="str">
        <x:v>sphyraena barracuda</x:v>
      </x:c>
      <x:c r="O75" s="32" t="n">
        <x:v>4.49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Sphyraena barracuda</x:v>
      </x:c>
      <x:c r="T75" s="32" t="n">
        <x:f>IF(O75="","",(1/'Metadata'!$B$5)^(O75-1))</x:f>
        <x:v>3090.295432513592</x:v>
      </x:c>
      <x:c r="U75" s="31" t="n">
        <x:f>IF(T75="","",I75*T75)</x:f>
        <x:v>19.19254863932829</x:v>
      </x:c>
    </x:row>
    <x:row r="76" ht="18" customHeight="1">
      <x:c r="A76" s="24" t="str">
        <x:v>EEZ_621</x:v>
      </x:c>
      <x:c r="B76" s="24" t="str">
        <x:v>Madeira Isl. (Portugal)</x:v>
      </x:c>
      <x:c r="C76" s="24" t="str">
        <x:v>EEZ</x:v>
      </x:c>
      <x:c r="D76" s="30" t="n">
        <x:v>2019</x:v>
      </x:c>
      <x:c r="E76" s="24" t="str">
        <x:v>Alosa fallax</x:v>
      </x:c>
      <x:c r="F76" s="24" t="str">
        <x:v>Twaite shad</x:v>
      </x:c>
      <x:c r="G76" s="24" t="str">
        <x:v>Medium pelagics (30 - 89 cm)</x:v>
      </x:c>
      <x:c r="H76" s="24" t="str">
        <x:v>Herring-likes</x:v>
      </x:c>
      <x:c r="I76" s="31" t="n">
        <x:v>0.0042598832</x:v>
      </x:c>
      <x:c r="J76" s="31" t="n">
        <x:v>0.0042598832</x:v>
      </x:c>
      <x:c r="K76" s="31" t="n">
        <x:v>0</x:v>
      </x:c>
      <x:c r="L76" s="31" t="n">
        <x:v>0.0042598832</x:v>
      </x:c>
      <x:c r="M76" s="31" t="n">
        <x:v>0</x:v>
      </x:c>
      <x:c r="N76" s="24" t="str">
        <x:v>alosa fallax</x:v>
      </x:c>
      <x:c r="O76" s="32" t="n">
        <x:v>4.03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Alosa fallax</x:v>
      </x:c>
      <x:c r="T76" s="32" t="n">
        <x:f>IF(O76="","",(1/'Metadata'!$B$5)^(O76-1))</x:f>
        <x:v>1071.519305237607</x:v>
      </x:c>
      <x:c r="U76" s="31" t="n">
        <x:f>IF(T76="","",I76*T76)</x:f>
        <x:v>4.564547086857354</x:v>
      </x:c>
    </x:row>
    <x:row r="77" ht="18" customHeight="1">
      <x:c r="A77" s="24" t="str">
        <x:v>EEZ_621</x:v>
      </x:c>
      <x:c r="B77" s="24" t="str">
        <x:v>Madeira Isl. (Portugal)</x:v>
      </x:c>
      <x:c r="C77" s="24" t="str">
        <x:v>EEZ</x:v>
      </x:c>
      <x:c r="D77" s="30" t="n">
        <x:v>2019</x:v>
      </x:c>
      <x:c r="E77" s="24" t="str">
        <x:v>Osteichthyes</x:v>
      </x:c>
      <x:c r="F77" s="24" t="str">
        <x:v>Bony fishes</x:v>
      </x:c>
      <x:c r="G77" s="24" t="str">
        <x:v>Medium demersals (30 - 89 cm)</x:v>
      </x:c>
      <x:c r="H77" s="24" t="str">
        <x:v>Other fishes &amp; inverts</x:v>
      </x:c>
      <x:c r="I77" s="31" t="n">
        <x:v>0.0039473285000000006</x:v>
      </x:c>
      <x:c r="J77" s="31" t="n">
        <x:v>0.0039473285000000006</x:v>
      </x:c>
      <x:c r="K77" s="31" t="n">
        <x:v>0</x:v>
      </x:c>
      <x:c r="L77" s="31" t="n">
        <x:v>0.0039473285000000006</x:v>
      </x:c>
      <x:c r="M77" s="31" t="n">
        <x:v>0</x:v>
      </x:c>
      <x:c r="N77" s="24" t="str">
        <x:v>osteichthyes</x:v>
      </x:c>
      <x:c r="O77" s="32" t="n">
        <x:v>3.79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Osteichthyes</x:v>
      </x:c>
      <x:c r="T77" s="32" t="n">
        <x:f>IF(O77="","",(1/'Metadata'!$B$5)^(O77-1))</x:f>
        <x:v>616.5950018614822</x:v>
      </x:c>
      <x:c r="U77" s="31" t="n">
        <x:f>IF(T77="","",I77*T77)</x:f>
        <x:v>2.433903023805382</x:v>
      </x:c>
    </x:row>
    <x:row r="78" ht="18" customHeight="1">
      <x:c r="A78" s="24" t="str">
        <x:v>EEZ_621</x:v>
      </x:c>
      <x:c r="B78" s="24" t="str">
        <x:v>Madeira Isl. (Portugal)</x:v>
      </x:c>
      <x:c r="C78" s="24" t="str">
        <x:v>EEZ</x:v>
      </x:c>
      <x:c r="D78" s="30" t="n">
        <x:v>2019</x:v>
      </x:c>
      <x:c r="E78" s="24" t="str">
        <x:v>Veneridae</x:v>
      </x:c>
      <x:c r="F78" s="24" t="str">
        <x:v>Venus clams</x:v>
      </x:c>
      <x:c r="G78" s="24" t="str">
        <x:v>Other demersal invertebrates</x:v>
      </x:c>
      <x:c r="H78" s="24" t="str">
        <x:v>Molluscs</x:v>
      </x:c>
      <x:c r="I78" s="31" t="n">
        <x:v>0.003333558</x:v>
      </x:c>
      <x:c r="J78" s="31" t="n">
        <x:v>0.003333558</x:v>
      </x:c>
      <x:c r="K78" s="31" t="n">
        <x:v>0</x:v>
      </x:c>
      <x:c r="L78" s="31" t="n">
        <x:v>0.003333558</x:v>
      </x:c>
      <x:c r="M78" s="31" t="n">
        <x:v>0</x:v>
      </x:c>
      <x:c r="N78" s="24" t="str">
        <x:v>veneridae</x:v>
      </x:c>
      <x:c r="O78" s="32" t="n">
        <x:v>2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Veneridae</x:v>
      </x:c>
      <x:c r="T78" s="32" t="n">
        <x:f>IF(O78="","",(1/'Metadata'!$B$5)^(O78-1))</x:f>
        <x:v>10</x:v>
      </x:c>
      <x:c r="U78" s="31" t="n">
        <x:f>IF(T78="","",I78*T78)</x:f>
        <x:v>0.03333558</x:v>
      </x:c>
    </x:row>
    <x:row r="79" ht="18" customHeight="1">
      <x:c r="A79" s="24" t="str">
        <x:v>EEZ_621</x:v>
      </x:c>
      <x:c r="B79" s="24" t="str">
        <x:v>Madeira Isl. (Portugal)</x:v>
      </x:c>
      <x:c r="C79" s="24" t="str">
        <x:v>EEZ</x:v>
      </x:c>
      <x:c r="D79" s="30" t="n">
        <x:v>2019</x:v>
      </x:c>
      <x:c r="E79" s="24" t="str">
        <x:v>Carangidae</x:v>
      </x:c>
      <x:c r="F79" s="24" t="str">
        <x:v>Jacks, pompanos</x:v>
      </x:c>
      <x:c r="G79" s="24" t="str">
        <x:v>Medium pelagics (30 - 89 cm)</x:v>
      </x:c>
      <x:c r="H79" s="24" t="str">
        <x:v>Perch-likes</x:v>
      </x:c>
      <x:c r="I79" s="31" t="n">
        <x:v>0.0032636268</x:v>
      </x:c>
      <x:c r="J79" s="31" t="n">
        <x:v>0.0032636268</x:v>
      </x:c>
      <x:c r="K79" s="31" t="n">
        <x:v>0</x:v>
      </x:c>
      <x:c r="L79" s="31" t="n">
        <x:v>0.0032636268</x:v>
      </x:c>
      <x:c r="M79" s="31" t="n">
        <x:v>0</x:v>
      </x:c>
      <x:c r="N79" s="24" t="str">
        <x:v>carangidae</x:v>
      </x:c>
      <x:c r="O79" s="32" t="n">
        <x:v>4.05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Carangidae</x:v>
      </x:c>
      <x:c r="T79" s="32" t="n">
        <x:f>IF(O79="","",(1/'Metadata'!$B$5)^(O79-1))</x:f>
        <x:v>1122.018454301963</x:v>
      </x:c>
      <x:c r="U79" s="31" t="n">
        <x:f>IF(T79="","",I79*T79)</x:f>
        <x:v>3.6618494975544618</x:v>
      </x:c>
    </x:row>
    <x:row r="80" ht="18" customHeight="1">
      <x:c r="A80" s="24" t="str">
        <x:v>EEZ_621</x:v>
      </x:c>
      <x:c r="B80" s="24" t="str">
        <x:v>Madeira Isl. (Portugal)</x:v>
      </x:c>
      <x:c r="C80" s="24" t="str">
        <x:v>EEZ</x:v>
      </x:c>
      <x:c r="D80" s="30" t="n">
        <x:v>2019</x:v>
      </x:c>
      <x:c r="E80" s="24" t="str">
        <x:v>Todarodes sagittatus</x:v>
      </x:c>
      <x:c r="F80" s="24" t="str">
        <x:v>European flying squid</x:v>
      </x:c>
      <x:c r="G80" s="24" t="str">
        <x:v>Cephalopods</x:v>
      </x:c>
      <x:c r="H80" s="24" t="str">
        <x:v>Other fishes &amp; inverts</x:v>
      </x:c>
      <x:c r="I80" s="31" t="n">
        <x:v>0.0029525051</x:v>
      </x:c>
      <x:c r="J80" s="31" t="n">
        <x:v>0.0029525051</x:v>
      </x:c>
      <x:c r="K80" s="31" t="n">
        <x:v>0</x:v>
      </x:c>
      <x:c r="L80" s="31" t="n">
        <x:v>0.0029525051</x:v>
      </x:c>
      <x:c r="M80" s="31" t="n">
        <x:v>0</x:v>
      </x:c>
      <x:c r="N80" s="24" t="str">
        <x:v>todarodes sagittatus</x:v>
      </x:c>
      <x:c r="O80" s="32" t="n">
        <x:v>4.01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Todarodes sagittatus</x:v>
      </x:c>
      <x:c r="T80" s="32" t="n">
        <x:f>IF(O80="","",(1/'Metadata'!$B$5)^(O80-1))</x:f>
        <x:v>1023.2929922807537</x:v>
      </x:c>
      <x:c r="U80" s="31" t="n">
        <x:f>IF(T80="","",I80*T80)</x:f>
        <x:v>3.0212777785031855</x:v>
      </x:c>
    </x:row>
    <x:row r="81" ht="18" customHeight="1">
      <x:c r="A81" s="24" t="str">
        <x:v>EEZ_621</x:v>
      </x:c>
      <x:c r="B81" s="24" t="str">
        <x:v>Madeira Isl. (Portugal)</x:v>
      </x:c>
      <x:c r="C81" s="24" t="str">
        <x:v>EEZ</x:v>
      </x:c>
      <x:c r="D81" s="30" t="n">
        <x:v>2019</x:v>
      </x:c>
      <x:c r="E81" s="24" t="str">
        <x:v>Paracentrotus lividus</x:v>
      </x:c>
      <x:c r="F81" s="24" t="str">
        <x:v>Stony sea urchin</x:v>
      </x:c>
      <x:c r="G81" s="24" t="str">
        <x:v>Other demersal invertebrates</x:v>
      </x:c>
      <x:c r="H81" s="24" t="str">
        <x:v>Other fishes &amp; inverts</x:v>
      </x:c>
      <x:c r="I81" s="31" t="n">
        <x:v>0.0025702268</x:v>
      </x:c>
      <x:c r="J81" s="31" t="n">
        <x:v>0.0025702268</x:v>
      </x:c>
      <x:c r="K81" s="31" t="n">
        <x:v>0</x:v>
      </x:c>
      <x:c r="L81" s="31" t="n">
        <x:v>0.0025702268</x:v>
      </x:c>
      <x:c r="M81" s="31" t="n">
        <x:v>0</x:v>
      </x:c>
      <x:c r="N81" s="24" t="str">
        <x:v>paracentrotus lividus</x:v>
      </x:c>
      <x:c r="O81" s="32" t="n">
        <x:v>2.3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Paracentrotus lividus</x:v>
      </x:c>
      <x:c r="T81" s="32" t="n">
        <x:f>IF(O81="","",(1/'Metadata'!$B$5)^(O81-1))</x:f>
        <x:v>19.952623149688787</x:v>
      </x:c>
      <x:c r="U81" s="31" t="n">
        <x:f>IF(T81="","",I81*T81)</x:f>
        <x:v>0.05128276674963053</x:v>
      </x:c>
    </x:row>
    <x:row r="82" ht="18" customHeight="1">
      <x:c r="A82" s="24" t="str">
        <x:v>EEZ_621</x:v>
      </x:c>
      <x:c r="B82" s="24" t="str">
        <x:v>Madeira Isl. (Portugal)</x:v>
      </x:c>
      <x:c r="C82" s="24" t="str">
        <x:v>EEZ</x:v>
      </x:c>
      <x:c r="D82" s="30" t="n">
        <x:v>2019</x:v>
      </x:c>
      <x:c r="E82" s="24" t="str">
        <x:v>Thunnus</x:v>
      </x:c>
      <x:c r="F82" s="24" t="str">
        <x:v>Tunas</x:v>
      </x:c>
      <x:c r="G82" s="24" t="str">
        <x:v>Large pelagics (&gt;=90 cm)</x:v>
      </x:c>
      <x:c r="H82" s="24" t="str">
        <x:v>Tuna &amp; billfishes</x:v>
      </x:c>
      <x:c r="I82" s="31" t="n">
        <x:v>0.0019213867</x:v>
      </x:c>
      <x:c r="J82" s="31" t="n">
        <x:v>0.0019213867</x:v>
      </x:c>
      <x:c r="K82" s="31" t="n">
        <x:v>0</x:v>
      </x:c>
      <x:c r="L82" s="31" t="n">
        <x:v>0.0019213867</x:v>
      </x:c>
      <x:c r="M82" s="31" t="n">
        <x:v>0</x:v>
      </x:c>
      <x:c r="N82" s="24" t="str">
        <x:v>thunnus</x:v>
      </x:c>
      <x:c r="O82" s="32" t="n">
        <x:v>4.34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Thunnus</x:v>
      </x:c>
      <x:c r="T82" s="32" t="n">
        <x:f>IF(O82="","",(1/'Metadata'!$B$5)^(O82-1))</x:f>
        <x:v>2187.761623949552</x:v>
      </x:c>
      <x:c r="U82" s="31" t="n">
        <x:f>IF(T82="","",I82*T82)</x:f>
        <x:v>4.203536087027071</x:v>
      </x:c>
    </x:row>
    <x:row r="83" ht="18" customHeight="1">
      <x:c r="A83" s="24" t="str">
        <x:v>EEZ_621</x:v>
      </x:c>
      <x:c r="B83" s="24" t="str">
        <x:v>Madeira Isl. (Portugal)</x:v>
      </x:c>
      <x:c r="C83" s="24" t="str">
        <x:v>EEZ</x:v>
      </x:c>
      <x:c r="D83" s="30" t="n">
        <x:v>2019</x:v>
      </x:c>
      <x:c r="E83" s="24" t="str">
        <x:v>Necora puber</x:v>
      </x:c>
      <x:c r="F83" s="24" t="str">
        <x:v>Velvet swimcrab</x:v>
      </x:c>
      <x:c r="G83" s="24" t="str">
        <x:v>Lobsters, crabs</x:v>
      </x:c>
      <x:c r="H83" s="24" t="str">
        <x:v>Crustaceans</x:v>
      </x:c>
      <x:c r="I83" s="31" t="n">
        <x:v>0.0012329697</x:v>
      </x:c>
      <x:c r="J83" s="31" t="n">
        <x:v>0.0012329697</x:v>
      </x:c>
      <x:c r="K83" s="31" t="n">
        <x:v>0</x:v>
      </x:c>
      <x:c r="L83" s="31" t="n">
        <x:v>0.0012329697</x:v>
      </x:c>
      <x:c r="M83" s="31" t="n">
        <x:v>0</x:v>
      </x:c>
      <x:c r="N83" s="24" t="str">
        <x:v>necora puber</x:v>
      </x:c>
      <x:c r="O83" s="32" t="n">
        <x:v>2.6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Necora puber</x:v>
      </x:c>
      <x:c r="T83" s="32" t="n">
        <x:f>IF(O83="","",(1/'Metadata'!$B$5)^(O83-1))</x:f>
        <x:v>39.810717055349734</x:v>
      </x:c>
      <x:c r="U83" s="31" t="n">
        <x:f>IF(T83="","",I83*T83)</x:f>
        <x:v>0.04908540786451945</x:v>
      </x:c>
    </x:row>
    <x:row r="84" ht="18" customHeight="1">
      <x:c r="A84" s="24" t="str">
        <x:v>EEZ_621</x:v>
      </x:c>
      <x:c r="B84" s="24" t="str">
        <x:v>Madeira Isl. (Portugal)</x:v>
      </x:c>
      <x:c r="C84" s="24" t="str">
        <x:v>EEZ</x:v>
      </x:c>
      <x:c r="D84" s="30" t="n">
        <x:v>2019</x:v>
      </x:c>
      <x:c r="E84" s="24" t="str">
        <x:v>Teuthida</x:v>
      </x:c>
      <x:c r="F84" s="24" t="str">
        <x:v>Squids</x:v>
      </x:c>
      <x:c r="G84" s="24" t="str">
        <x:v>Cephalopods</x:v>
      </x:c>
      <x:c r="H84" s="24" t="str">
        <x:v>Other fishes &amp; inverts</x:v>
      </x:c>
      <x:c r="I84" s="31" t="n">
        <x:v>0.001222129</x:v>
      </x:c>
      <x:c r="J84" s="31" t="n">
        <x:v>0.001222129</x:v>
      </x:c>
      <x:c r="K84" s="31" t="n">
        <x:v>0</x:v>
      </x:c>
      <x:c r="L84" s="31" t="n">
        <x:v>0.001222129</x:v>
      </x:c>
      <x:c r="M84" s="31" t="n">
        <x:v>0</x:v>
      </x:c>
      <x:c r="N84" s="24" t="str">
        <x:v>teuthida</x:v>
      </x:c>
      <x:c r="O84" s="32" t="n">
        <x:v>4.13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Teuthida</x:v>
      </x:c>
      <x:c r="T84" s="32" t="n">
        <x:f>IF(O84="","",(1/'Metadata'!$B$5)^(O84-1))</x:f>
        <x:v>1348.9628825916532</x:v>
      </x:c>
      <x:c r="U84" s="31" t="n">
        <x:f>IF(T84="","",I84*T84)</x:f>
        <x:v>1.6486066587388544</x:v>
      </x:c>
    </x:row>
    <x:row r="85" ht="18" customHeight="1">
      <x:c r="A85" s="24" t="str">
        <x:v>EEZ_621</x:v>
      </x:c>
      <x:c r="B85" s="24" t="str">
        <x:v>Madeira Isl. (Portugal)</x:v>
      </x:c>
      <x:c r="C85" s="24" t="str">
        <x:v>EEZ</x:v>
      </x:c>
      <x:c r="D85" s="30" t="n">
        <x:v>2019</x:v>
      </x:c>
      <x:c r="E85" s="24" t="str">
        <x:v>Rajiformes</x:v>
      </x:c>
      <x:c r="F85" s="24" t="str">
        <x:v>Skates and rays</x:v>
      </x:c>
      <x:c r="G85" s="24" t="str">
        <x:v>Large rays (&gt;=90 cm)</x:v>
      </x:c>
      <x:c r="H85" s="24" t="str">
        <x:v>Sharks &amp; rays</x:v>
      </x:c>
      <x:c r="I85" s="31" t="n">
        <x:v>0.0011048725000000002</x:v>
      </x:c>
      <x:c r="J85" s="31" t="n">
        <x:v>0.0011048725000000002</x:v>
      </x:c>
      <x:c r="K85" s="31" t="n">
        <x:v>0</x:v>
      </x:c>
      <x:c r="L85" s="31" t="n">
        <x:v>0.0011048725000000002</x:v>
      </x:c>
      <x:c r="M85" s="31" t="n">
        <x:v>0</x:v>
      </x:c>
      <x:c r="N85" s="24" t="str">
        <x:v>rajiformes</x:v>
      </x:c>
      <x:c r="O85" s="32" t="n">
        <x:v>3.61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Rajiformes</x:v>
      </x:c>
      <x:c r="T85" s="32" t="n">
        <x:f>IF(O85="","",(1/'Metadata'!$B$5)^(O85-1))</x:f>
        <x:v>407.3802778041126</x:v>
      </x:c>
      <x:c r="U85" s="31" t="n">
        <x:f>IF(T85="","",I85*T85)</x:f>
        <x:v>0.4501032659881245</x:v>
      </x:c>
    </x:row>
    <x:row r="86" ht="18" customHeight="1">
      <x:c r="A86" s="24" t="str">
        <x:v>EEZ_621</x:v>
      </x:c>
      <x:c r="B86" s="24" t="str">
        <x:v>Madeira Isl. (Portugal)</x:v>
      </x:c>
      <x:c r="C86" s="24" t="str">
        <x:v>EEZ</x:v>
      </x:c>
      <x:c r="D86" s="30" t="n">
        <x:v>2019</x:v>
      </x:c>
      <x:c r="E86" s="24" t="str">
        <x:v>Scomber</x:v>
      </x:c>
      <x:c r="F86" s="24" t="str">
        <x:v>Chub mackerels</x:v>
      </x:c>
      <x:c r="G86" s="24" t="str">
        <x:v>Medium pelagics (30 - 89 cm)</x:v>
      </x:c>
      <x:c r="H86" s="24" t="str">
        <x:v>Perch-likes</x:v>
      </x:c>
      <x:c r="I86" s="31" t="n">
        <x:v>0.0010954858999999999</x:v>
      </x:c>
      <x:c r="J86" s="31" t="n">
        <x:v>0.0010954858999999999</x:v>
      </x:c>
      <x:c r="K86" s="31" t="n">
        <x:v>0</x:v>
      </x:c>
      <x:c r="L86" s="31" t="n">
        <x:v>0.0010954858999999999</x:v>
      </x:c>
      <x:c r="M86" s="31" t="n">
        <x:v>0</x:v>
      </x:c>
      <x:c r="N86" s="24" t="str">
        <x:v>scomber</x:v>
      </x:c>
      <x:c r="O86" s="32" t="n">
        <x:v>3.65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Scomber</x:v>
      </x:c>
      <x:c r="T86" s="32" t="n">
        <x:f>IF(O86="","",(1/'Metadata'!$B$5)^(O86-1))</x:f>
        <x:v>446.683592150963</x:v>
      </x:c>
      <x:c r="U86" s="31" t="n">
        <x:f>IF(T86="","",I86*T86)</x:f>
        <x:v>0.4893355769627306</x:v>
      </x:c>
    </x:row>
    <x:row r="87" ht="18" customHeight="1">
      <x:c r="A87" s="24" t="str">
        <x:v>EEZ_621</x:v>
      </x:c>
      <x:c r="B87" s="24" t="str">
        <x:v>Madeira Isl. (Portugal)</x:v>
      </x:c>
      <x:c r="C87" s="24" t="str">
        <x:v>EEZ</x:v>
      </x:c>
      <x:c r="D87" s="30" t="n">
        <x:v>2019</x:v>
      </x:c>
      <x:c r="E87" s="24" t="str">
        <x:v>Pecten maximus</x:v>
      </x:c>
      <x:c r="F87" s="24" t="str">
        <x:v>Great Atlantic scallop</x:v>
      </x:c>
      <x:c r="G87" s="24" t="str">
        <x:v>Other demersal invertebrates</x:v>
      </x:c>
      <x:c r="H87" s="24" t="str">
        <x:v>Molluscs</x:v>
      </x:c>
      <x:c r="I87" s="31" t="n">
        <x:v>0.0009588826</x:v>
      </x:c>
      <x:c r="J87" s="31" t="n">
        <x:v>0.0009588826</x:v>
      </x:c>
      <x:c r="K87" s="31" t="n">
        <x:v>0</x:v>
      </x:c>
      <x:c r="L87" s="31" t="n">
        <x:v>0.0009588826</x:v>
      </x:c>
      <x:c r="M87" s="31" t="n">
        <x:v>0</x:v>
      </x:c>
      <x:c r="N87" s="24" t="str">
        <x:v>pecten maximus</x:v>
      </x:c>
      <x:c r="O87" s="32" t="n">
        <x:v>2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Pecten maximus</x:v>
      </x:c>
      <x:c r="T87" s="32" t="n">
        <x:f>IF(O87="","",(1/'Metadata'!$B$5)^(O87-1))</x:f>
        <x:v>10</x:v>
      </x:c>
      <x:c r="U87" s="31" t="n">
        <x:f>IF(T87="","",I87*T87)</x:f>
        <x:v>0.009588826</x:v>
      </x:c>
    </x:row>
    <x:row r="88" ht="18" customHeight="1">
      <x:c r="A88" s="24" t="str">
        <x:v>EEZ_621</x:v>
      </x:c>
      <x:c r="B88" s="24" t="str">
        <x:v>Madeira Isl. (Portugal)</x:v>
      </x:c>
      <x:c r="C88" s="24" t="str">
        <x:v>EEZ</x:v>
      </x:c>
      <x:c r="D88" s="30" t="n">
        <x:v>2019</x:v>
      </x:c>
      <x:c r="E88" s="24" t="str">
        <x:v>Ostrea edulis</x:v>
      </x:c>
      <x:c r="F88" s="24" t="str">
        <x:v>European flat oyster</x:v>
      </x:c>
      <x:c r="G88" s="24" t="str">
        <x:v>Other demersal invertebrates</x:v>
      </x:c>
      <x:c r="H88" s="24" t="str">
        <x:v>Molluscs</x:v>
      </x:c>
      <x:c r="I88" s="31" t="n">
        <x:v>0.0005786866</x:v>
      </x:c>
      <x:c r="J88" s="31" t="n">
        <x:v>0.0005786866</x:v>
      </x:c>
      <x:c r="K88" s="31" t="n">
        <x:v>0</x:v>
      </x:c>
      <x:c r="L88" s="31" t="n">
        <x:v>0.0005786866</x:v>
      </x:c>
      <x:c r="M88" s="31" t="n">
        <x:v>0</x:v>
      </x:c>
      <x:c r="N88" s="24" t="str">
        <x:v>ostrea edulis</x:v>
      </x:c>
      <x:c r="O88" s="32" t="n">
        <x:v>2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Ostrea edulis</x:v>
      </x:c>
      <x:c r="T88" s="32" t="n">
        <x:f>IF(O88="","",(1/'Metadata'!$B$5)^(O88-1))</x:f>
        <x:v>10</x:v>
      </x:c>
      <x:c r="U88" s="31" t="n">
        <x:f>IF(T88="","",I88*T88)</x:f>
        <x:v>0.005786866</x:v>
      </x:c>
    </x:row>
    <x:row r="89" ht="18" customHeight="1">
      <x:c r="A89" s="24" t="str">
        <x:v>EEZ_621</x:v>
      </x:c>
      <x:c r="B89" s="24" t="str">
        <x:v>Madeira Isl. (Portugal)</x:v>
      </x:c>
      <x:c r="C89" s="24" t="str">
        <x:v>EEZ</x:v>
      </x:c>
      <x:c r="D89" s="30" t="n">
        <x:v>2019</x:v>
      </x:c>
      <x:c r="E89" s="24" t="str">
        <x:v>Palaemon serratus</x:v>
      </x:c>
      <x:c r="F89" s="24" t="str">
        <x:v>Common prawn</x:v>
      </x:c>
      <x:c r="G89" s="24" t="str">
        <x:v>Shrimps</x:v>
      </x:c>
      <x:c r="H89" s="24" t="str">
        <x:v>Crustaceans</x:v>
      </x:c>
      <x:c r="I89" s="31" t="n">
        <x:v>0.00033129830000000005</x:v>
      </x:c>
      <x:c r="J89" s="31" t="n">
        <x:v>0.00033129830000000005</x:v>
      </x:c>
      <x:c r="K89" s="31" t="n">
        <x:v>0</x:v>
      </x:c>
      <x:c r="L89" s="31" t="n">
        <x:v>0.00033129830000000005</x:v>
      </x:c>
      <x:c r="M89" s="31" t="n">
        <x:v>0</x:v>
      </x:c>
      <x:c r="N89" s="24" t="str">
        <x:v>palaemon serratus</x:v>
      </x:c>
      <x:c r="O89" s="32" t="n">
        <x:v>2.69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Palaemon serratus</x:v>
      </x:c>
      <x:c r="T89" s="32" t="n">
        <x:f>IF(O89="","",(1/'Metadata'!$B$5)^(O89-1))</x:f>
        <x:v>48.97788193684461</x:v>
      </x:c>
      <x:c r="U89" s="31" t="n">
        <x:f>IF(T89="","",I89*T89)</x:f>
        <x:v>0.01622628902327733</x:v>
      </x:c>
    </x:row>
    <x:row r="90" ht="18" customHeight="1">
      <x:c r="A90" s="24" t="str">
        <x:v>EEZ_621</x:v>
      </x:c>
      <x:c r="B90" s="24" t="str">
        <x:v>Madeira Isl. (Portugal)</x:v>
      </x:c>
      <x:c r="C90" s="24" t="str">
        <x:v>EEZ</x:v>
      </x:c>
      <x:c r="D90" s="30" t="n">
        <x:v>2019</x:v>
      </x:c>
      <x:c r="E90" s="24" t="str">
        <x:v>Mugil cephalus</x:v>
      </x:c>
      <x:c r="F90" s="24" t="str">
        <x:v>Flathead grey mullet</x:v>
      </x:c>
      <x:c r="G90" s="24" t="str">
        <x:v>Large benthopelagics (&gt;=90 cm)</x:v>
      </x:c>
      <x:c r="H90" s="24" t="str">
        <x:v>Perch-likes</x:v>
      </x:c>
      <x:c r="I90" s="31" t="n">
        <x:v>0.0001580032</x:v>
      </x:c>
      <x:c r="J90" s="31" t="n">
        <x:v>0.0001580032</x:v>
      </x:c>
      <x:c r="K90" s="31" t="n">
        <x:v>0</x:v>
      </x:c>
      <x:c r="L90" s="31" t="n">
        <x:v>0.0001580032</x:v>
      </x:c>
      <x:c r="M90" s="31" t="n">
        <x:v>0</x:v>
      </x:c>
      <x:c r="N90" s="24" t="str">
        <x:v>mugil cephalus</x:v>
      </x:c>
      <x:c r="O90" s="32" t="n">
        <x:v>2.14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Mugil cephalus</x:v>
      </x:c>
      <x:c r="T90" s="32" t="n">
        <x:f>IF(O90="","",(1/'Metadata'!$B$5)^(O90-1))</x:f>
        <x:v>13.803842646028853</x:v>
      </x:c>
      <x:c r="U90" s="31" t="n">
        <x:f>IF(T90="","",I90*T90)</x:f>
        <x:v>0.002181051310369026</x:v>
      </x:c>
    </x:row>
    <x:row r="91" ht="18" customHeight="1">
      <x:c r="A91" s="24" t="str">
        <x:v>EEZ_621</x:v>
      </x:c>
      <x:c r="B91" s="24" t="str">
        <x:v>Madeira Isl. (Portugal)</x:v>
      </x:c>
      <x:c r="C91" s="24" t="str">
        <x:v>EEZ</x:v>
      </x:c>
      <x:c r="D91" s="30" t="n">
        <x:v>2019</x:v>
      </x:c>
      <x:c r="E91" s="24" t="str">
        <x:v>Portunidae</x:v>
      </x:c>
      <x:c r="F91" s="24" t="str">
        <x:v>Swimming crabs</x:v>
      </x:c>
      <x:c r="G91" s="24" t="str">
        <x:v>Lobsters, crabs</x:v>
      </x:c>
      <x:c r="H91" s="24" t="str">
        <x:v>Crustaceans</x:v>
      </x:c>
      <x:c r="I91" s="31" t="n">
        <x:v>0.0000675445</x:v>
      </x:c>
      <x:c r="J91" s="31" t="n">
        <x:v>0.0000675445</x:v>
      </x:c>
      <x:c r="K91" s="31" t="n">
        <x:v>0</x:v>
      </x:c>
      <x:c r="L91" s="31" t="n">
        <x:v>0.0000675445</x:v>
      </x:c>
      <x:c r="M91" s="31" t="n">
        <x:v>0</x:v>
      </x:c>
      <x:c r="N91" s="24" t="str">
        <x:v>portunidae</x:v>
      </x:c>
      <x:c r="O91" s="32" t="n">
        <x:v>3.56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Portunidae</x:v>
      </x:c>
      <x:c r="T91" s="32" t="n">
        <x:f>IF(O91="","",(1/'Metadata'!$B$5)^(O91-1))</x:f>
        <x:v>363.0780547701014</x:v>
      </x:c>
      <x:c r="U91" s="31" t="n">
        <x:f>IF(T91="","",I91*T91)</x:f>
        <x:v>0.024523925670419115</x:v>
      </x:c>
    </x:row>
    <x:row r="92" ht="18" customHeight="1">
      <x:c r="A92" s="24" t="str">
        <x:v>EEZ_621</x:v>
      </x:c>
      <x:c r="B92" s="24" t="str">
        <x:v>Madeira Isl. (Portugal)</x:v>
      </x:c>
      <x:c r="C92" s="24" t="str">
        <x:v>EEZ</x:v>
      </x:c>
      <x:c r="D92" s="30" t="n">
        <x:v>2019</x:v>
      </x:c>
      <x:c r="E92" s="24" t="str">
        <x:v>Alosa</x:v>
      </x:c>
      <x:c r="F92" s="24" t="str">
        <x:v>Shads</x:v>
      </x:c>
      <x:c r="G92" s="24" t="str">
        <x:v>Medium pelagics (30 - 89 cm)</x:v>
      </x:c>
      <x:c r="H92" s="24" t="str">
        <x:v>Herring-likes</x:v>
      </x:c>
      <x:c r="I92" s="31" t="n">
        <x:v>0.000055064999999999995</x:v>
      </x:c>
      <x:c r="J92" s="31" t="n">
        <x:v>0.000055064999999999995</x:v>
      </x:c>
      <x:c r="K92" s="31" t="n">
        <x:v>0</x:v>
      </x:c>
      <x:c r="L92" s="31" t="n">
        <x:v>0.000055064999999999995</x:v>
      </x:c>
      <x:c r="M92" s="31" t="n">
        <x:v>0</x:v>
      </x:c>
      <x:c r="N92" s="24" t="str">
        <x:v>alosa</x:v>
      </x:c>
      <x:c r="O92" s="32" t="n">
        <x:v>3.89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Alosa</x:v>
      </x:c>
      <x:c r="T92" s="32" t="n">
        <x:f>IF(O92="","",(1/'Metadata'!$B$5)^(O92-1))</x:f>
        <x:v>776.247116628692</x:v>
      </x:c>
      <x:c r="U92" s="31" t="n">
        <x:f>IF(T92="","",I92*T92)</x:f>
        <x:v>0.04274404747715892</x:v>
      </x:c>
    </x:row>
    <x:row r="93" ht="18" customHeight="1">
      <x:c r="A93" s="24" t="str">
        <x:v>EEZ_621</x:v>
      </x:c>
      <x:c r="B93" s="24" t="str">
        <x:v>Madeira Isl. (Portugal)</x:v>
      </x:c>
      <x:c r="C93" s="24" t="str">
        <x:v>EEZ</x:v>
      </x:c>
      <x:c r="D93" s="30" t="n">
        <x:v>2019</x:v>
      </x:c>
      <x:c r="E93" s="24" t="str">
        <x:v>Platichthys flesus</x:v>
      </x:c>
      <x:c r="F93" s="24" t="str">
        <x:v>European flounder</x:v>
      </x:c>
      <x:c r="G93" s="24" t="str">
        <x:v>Small to medium flatfishes (&lt;90 cm)</x:v>
      </x:c>
      <x:c r="H93" s="24" t="str">
        <x:v>Flatfishes</x:v>
      </x:c>
      <x:c r="I93" s="31" t="n">
        <x:v>0.000048139999999999996</x:v>
      </x:c>
      <x:c r="J93" s="31" t="n">
        <x:v>0.000048139999999999996</x:v>
      </x:c>
      <x:c r="K93" s="31" t="n">
        <x:v>0</x:v>
      </x:c>
      <x:c r="L93" s="31" t="n">
        <x:v>0.000048139999999999996</x:v>
      </x:c>
      <x:c r="M93" s="31" t="n">
        <x:v>0</x:v>
      </x:c>
      <x:c r="N93" s="24" t="str">
        <x:v>platichthys flesus</x:v>
      </x:c>
      <x:c r="O93" s="32" t="n">
        <x:v>3.32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Platichthys flesus</x:v>
      </x:c>
      <x:c r="T93" s="32" t="n">
        <x:f>IF(O93="","",(1/'Metadata'!$B$5)^(O93-1))</x:f>
        <x:v>208.92961308540387</x:v>
      </x:c>
      <x:c r="U93" s="31" t="n">
        <x:f>IF(T93="","",I93*T93)</x:f>
        <x:v>0.010057871573931341</x:v>
      </x:c>
    </x:row>
    <x:row r="94" ht="18" customHeight="1">
      <x:c r="A94" s="24" t="str">
        <x:v>EEZ_621</x:v>
      </x:c>
      <x:c r="B94" s="24" t="str">
        <x:v>Madeira Isl. (Portugal)</x:v>
      </x:c>
      <x:c r="C94" s="24" t="str">
        <x:v>EEZ</x:v>
      </x:c>
      <x:c r="D94" s="30" t="n">
        <x:v>2019</x:v>
      </x:c>
      <x:c r="E94" s="24" t="str">
        <x:v>Bivalvia</x:v>
      </x:c>
      <x:c r="F94" s="24" t="str">
        <x:v>Clams</x:v>
      </x:c>
      <x:c r="G94" s="24" t="str">
        <x:v>Other demersal invertebrates</x:v>
      </x:c>
      <x:c r="H94" s="24" t="str">
        <x:v>Molluscs</x:v>
      </x:c>
      <x:c r="I94" s="31" t="n">
        <x:v>0.000046478</x:v>
      </x:c>
      <x:c r="J94" s="31" t="n">
        <x:v>0.000046478</x:v>
      </x:c>
      <x:c r="K94" s="31" t="n">
        <x:v>0</x:v>
      </x:c>
      <x:c r="L94" s="31" t="n">
        <x:v>0.000046478</x:v>
      </x:c>
      <x:c r="M94" s="31" t="n">
        <x:v>0</x:v>
      </x:c>
      <x:c r="N94" s="24" t="str">
        <x:v>bivalvia</x:v>
      </x:c>
      <x:c r="O94" s="32" t="n">
        <x:v>2.23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Bivalvia</x:v>
      </x:c>
      <x:c r="T94" s="32" t="n">
        <x:f>IF(O94="","",(1/'Metadata'!$B$5)^(O94-1))</x:f>
        <x:v>16.982436524617444</x:v>
      </x:c>
      <x:c r="U94" s="31" t="n">
        <x:f>IF(T94="","",I94*T94)</x:f>
        <x:v>0.0007893096847911696</x:v>
      </x:c>
    </x:row>
    <x:row r="95" ht="18" customHeight="1">
      <x:c r="A95" s="24" t="str">
        <x:v>EEZ_621</x:v>
      </x:c>
      <x:c r="B95" s="24" t="str">
        <x:v>Madeira Isl. (Portugal)</x:v>
      </x:c>
      <x:c r="C95" s="24" t="str">
        <x:v>EEZ</x:v>
      </x:c>
      <x:c r="D95" s="30" t="n">
        <x:v>2019</x:v>
      </x:c>
      <x:c r="E95" s="24" t="str">
        <x:v>Mimachlamys varia</x:v>
      </x:c>
      <x:c r="F95" s="24" t="str">
        <x:v>Variegated scallop</x:v>
      </x:c>
      <x:c r="G95" s="24" t="str">
        <x:v>Other demersal invertebrates</x:v>
      </x:c>
      <x:c r="H95" s="24" t="str">
        <x:v>Molluscs</x:v>
      </x:c>
      <x:c r="I95" s="31" t="n">
        <x:v>0.000035935199999999994</x:v>
      </x:c>
      <x:c r="J95" s="31" t="n">
        <x:v>0.000035935199999999994</x:v>
      </x:c>
      <x:c r="K95" s="31" t="n">
        <x:v>0</x:v>
      </x:c>
      <x:c r="L95" s="31" t="n">
        <x:v>0.000035935199999999994</x:v>
      </x:c>
      <x:c r="M95" s="31" t="n">
        <x:v>0</x:v>
      </x:c>
      <x:c r="N95" s="24" t="str">
        <x:v>mimachlamys varia</x:v>
      </x:c>
      <x:c r="O95" s="32" t="n">
        <x:v>2.1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Mimachlamys varia</x:v>
      </x:c>
      <x:c r="T95" s="32" t="n">
        <x:f>IF(O95="","",(1/'Metadata'!$B$5)^(O95-1))</x:f>
        <x:v>12.589254117941675</x:v>
      </x:c>
      <x:c r="U95" s="31" t="n">
        <x:f>IF(T95="","",I95*T95)</x:f>
        <x:v>0.0004523973645790576</x:v>
      </x:c>
    </x:row>
    <x:row r="96" ht="18" customHeight="1">
      <x:c r="A96" s="24" t="str">
        <x:v>EEZ_621</x:v>
      </x:c>
      <x:c r="B96" s="24" t="str">
        <x:v>Madeira Isl. (Portugal)</x:v>
      </x:c>
      <x:c r="C96" s="24" t="str">
        <x:v>EEZ</x:v>
      </x:c>
      <x:c r="D96" s="30" t="n">
        <x:v>2019</x:v>
      </x:c>
      <x:c r="E96" s="24" t="str">
        <x:v>Elasmobranchii</x:v>
      </x:c>
      <x:c r="F96" s="24" t="str">
        <x:v>Sharks, rays, skates</x:v>
      </x:c>
      <x:c r="G96" s="24" t="str">
        <x:v>Large sharks (&gt;=90 cm)</x:v>
      </x:c>
      <x:c r="H96" s="24" t="str">
        <x:v>Sharks &amp; rays</x:v>
      </x:c>
      <x:c r="I96" s="31" t="n">
        <x:v>0.0000213316</x:v>
      </x:c>
      <x:c r="J96" s="31" t="n">
        <x:v>0.0000213316</x:v>
      </x:c>
      <x:c r="K96" s="31" t="n">
        <x:v>0</x:v>
      </x:c>
      <x:c r="L96" s="31" t="n">
        <x:v>0.0000213316</x:v>
      </x:c>
      <x:c r="M96" s="31" t="n">
        <x:v>0</x:v>
      </x:c>
      <x:c r="N96" s="24" t="str">
        <x:v>elasmobranchii</x:v>
      </x:c>
      <x:c r="O96" s="32" t="n">
        <x:v>4.05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Elasmobranchii</x:v>
      </x:c>
      <x:c r="T96" s="32" t="n">
        <x:f>IF(O96="","",(1/'Metadata'!$B$5)^(O96-1))</x:f>
        <x:v>1122.018454301963</x:v>
      </x:c>
      <x:c r="U96" s="31" t="n">
        <x:f>IF(T96="","",I96*T96)</x:f>
        <x:v>0.023934448859787755</x:v>
      </x:c>
    </x:row>
    <x:row r="97" ht="18" customHeight="1">
      <x:c r="A97" s="24" t="str">
        <x:v>EEZ_621</x:v>
      </x:c>
      <x:c r="B97" s="24" t="str">
        <x:v>Madeira Isl. (Portugal)</x:v>
      </x:c>
      <x:c r="C97" s="24" t="str">
        <x:v>EEZ</x:v>
      </x:c>
      <x:c r="D97" s="30" t="n">
        <x:v>2019</x:v>
      </x:c>
      <x:c r="E97" s="24" t="str">
        <x:v>Lamnidae</x:v>
      </x:c>
      <x:c r="F97" s="24" t="str">
        <x:v>Mackerel/white sharks</x:v>
      </x:c>
      <x:c r="G97" s="24" t="str">
        <x:v>Large sharks (&gt;=90 cm)</x:v>
      </x:c>
      <x:c r="H97" s="24" t="str">
        <x:v>Sharks &amp; rays</x:v>
      </x:c>
      <x:c r="I97" s="31" t="n">
        <x:v>0.0000188621</x:v>
      </x:c>
      <x:c r="J97" s="31" t="n">
        <x:v>0.0000188621</x:v>
      </x:c>
      <x:c r="K97" s="31" t="n">
        <x:v>0</x:v>
      </x:c>
      <x:c r="L97" s="31" t="n">
        <x:v>0.0000188621</x:v>
      </x:c>
      <x:c r="M97" s="31" t="n">
        <x:v>0</x:v>
      </x:c>
      <x:c r="N97" s="24" t="str">
        <x:v>lamnidae</x:v>
      </x:c>
      <x:c r="O97" s="32" t="n">
        <x:v>4.5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Lamnidae</x:v>
      </x:c>
      <x:c r="T97" s="32" t="n">
        <x:f>IF(O97="","",(1/'Metadata'!$B$5)^(O97-1))</x:f>
        <x:v>3162.2776601683795</x:v>
      </x:c>
      <x:c r="U97" s="31" t="n">
        <x:f>IF(T97="","",I97*T97)</x:f>
        <x:v>0.05964719745386199</x:v>
      </x:c>
    </x:row>
    <x:row r="98" ht="18" customHeight="1">
      <x:c r="A98" s="24" t="str">
        <x:v>EEZ_621</x:v>
      </x:c>
      <x:c r="B98" s="24" t="str">
        <x:v>Madeira Isl. (Portugal)</x:v>
      </x:c>
      <x:c r="C98" s="24" t="str">
        <x:v>EEZ</x:v>
      </x:c>
      <x:c r="D98" s="30" t="n">
        <x:v>2019</x:v>
      </x:c>
      <x:c r="E98" s="24" t="str">
        <x:v>Pleuronectiformes</x:v>
      </x:c>
      <x:c r="F98" s="24" t="str">
        <x:v>Flatfishes</x:v>
      </x:c>
      <x:c r="G98" s="24" t="str">
        <x:v>Small to medium flatfishes (&lt;90 cm)</x:v>
      </x:c>
      <x:c r="H98" s="24" t="str">
        <x:v>Flatfishes</x:v>
      </x:c>
      <x:c r="I98" s="31" t="n">
        <x:v>0.0000150323</x:v>
      </x:c>
      <x:c r="J98" s="31" t="n">
        <x:v>0.0000150323</x:v>
      </x:c>
      <x:c r="K98" s="31" t="n">
        <x:v>0</x:v>
      </x:c>
      <x:c r="L98" s="31" t="n">
        <x:v>0.0000150323</x:v>
      </x:c>
      <x:c r="M98" s="31" t="n">
        <x:v>0</x:v>
      </x:c>
      <x:c r="N98" s="24" t="str">
        <x:v>pleuronectiformes</x:v>
      </x:c>
      <x:c r="O98" s="32" t="n">
        <x:v>3.57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Pleuronectiformes</x:v>
      </x:c>
      <x:c r="T98" s="32" t="n">
        <x:f>IF(O98="","",(1/'Metadata'!$B$5)^(O98-1))</x:f>
        <x:v>371.5352290971724</x:v>
      </x:c>
      <x:c r="U98" s="31" t="n">
        <x:f>IF(T98="","",I98*T98)</x:f>
        <x:v>0.005585029024357425</x:v>
      </x:c>
    </x:row>
    <x:row r="99" ht="18" customHeight="1">
      <x:c r="A99" s="24" t="str">
        <x:v>EEZ_621</x:v>
      </x:c>
      <x:c r="B99" s="24" t="str">
        <x:v>Madeira Isl. (Portugal)</x:v>
      </x:c>
      <x:c r="C99" s="24" t="str">
        <x:v>EEZ</x:v>
      </x:c>
      <x:c r="D99" s="30" t="n">
        <x:v>2019</x:v>
      </x:c>
      <x:c r="E99" s="24" t="str">
        <x:v>Echinoidea</x:v>
      </x:c>
      <x:c r="F99" s="24" t="str">
        <x:v>Sea urchins, sea hedgehogs</x:v>
      </x:c>
      <x:c r="G99" s="24" t="str">
        <x:v>Other demersal invertebrates</x:v>
      </x:c>
      <x:c r="H99" s="24" t="str">
        <x:v>Other fishes &amp; inverts</x:v>
      </x:c>
      <x:c r="I99" s="31" t="n">
        <x:v>0.0000075442</x:v>
      </x:c>
      <x:c r="J99" s="31" t="n">
        <x:v>0.0000075442</x:v>
      </x:c>
      <x:c r="K99" s="31" t="n">
        <x:v>0</x:v>
      </x:c>
      <x:c r="L99" s="31" t="n">
        <x:v>0.0000075442</x:v>
      </x:c>
      <x:c r="M99" s="31" t="n">
        <x:v>0</x:v>
      </x:c>
      <x:c r="N99" s="24" t="str">
        <x:v>echinoidea</x:v>
      </x:c>
      <x:c r="O99" s="32" t="n">
        <x:v>2.51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Echinoidea</x:v>
      </x:c>
      <x:c r="T99" s="32" t="n">
        <x:f>IF(O99="","",(1/'Metadata'!$B$5)^(O99-1))</x:f>
        <x:v>32.35936569296281</x:v>
      </x:c>
      <x:c r="U99" s="31" t="n">
        <x:f>IF(T99="","",I99*T99)</x:f>
        <x:v>0.00024412552666085003</x:v>
      </x:c>
    </x:row>
  </x:sheetData>
  <x:conditionalFormatting sqref="R2:R9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fbcdc2ed724486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16.472213966099996</x:v>
      </x:c>
      <x:c r="C2" s="32" t="n">
        <x:v>4.249781151507781</x:v>
      </x:c>
      <x:c r="D2" s="32" t="n">
        <x:f>IF(C2="","",(1/'Metadata'!$B$5)^(C2-1))</x:f>
        <x:v>1777.3835300666465</x:v>
      </x:c>
      <x:c r="E2" s="31" t="n">
        <x:f>IF(B2=0,"",B2*D2)</x:f>
        <x:v>29277.441807079926</x:v>
      </x:c>
    </x:row>
    <x:row r="3" ht="18" customHeight="1">
      <x:c r="A3" s="24" t="str">
        <x:v>Crustaceans</x:v>
      </x:c>
      <x:c r="B3" s="31" t="n">
        <x:v>0.81058541</x:v>
      </x:c>
      <x:c r="C3" s="32" t="n">
        <x:v>3.0916170238284946</x:v>
      </x:c>
      <x:c r="D3" s="32" t="n">
        <x:f>IF(C3="","",(1/'Metadata'!$B$5)^(C3-1))</x:f>
        <x:v>123.48580118790814</x:v>
      </x:c>
      <x:c r="E3" s="31" t="n">
        <x:f>IF(B3=0,"",B3*D3)</x:f>
        <x:v>100.095788785079</x:v>
      </x:c>
    </x:row>
    <x:row r="4" ht="18" customHeight="1">
      <x:c r="A4" s="24" t="str">
        <x:v>Flatfishes</x:v>
      </x:c>
      <x:c r="B4" s="31" t="n">
        <x:v>0.00006317229999999999</x:v>
      </x:c>
      <x:c r="C4" s="32" t="n">
        <x:v>3.3794892856520975</x:v>
      </x:c>
      <x:c r="D4" s="32" t="n">
        <x:f>IF(C4="","",(1/'Metadata'!$B$5)^(C4-1))</x:f>
        <x:v>239.6013637688113</x:v>
      </x:c>
      <x:c r="E4" s="31" t="n">
        <x:f>IF(B4=0,"",B4*D4)</x:f>
        <x:v>0.015136169232412476</x:v>
      </x:c>
    </x:row>
    <x:row r="5" ht="18" customHeight="1">
      <x:c r="A5" s="24" t="str">
        <x:v>Herring-likes</x:v>
      </x:c>
      <x:c r="B5" s="31" t="n">
        <x:v>2.5897128999000003</x:v>
      </x:c>
      <x:c r="C5" s="32" t="n">
        <x:v>3.12283228763709</x:v>
      </x:c>
      <x:c r="D5" s="32" t="n">
        <x:f>IF(C5="","",(1/'Metadata'!$B$5)^(C5-1))</x:f>
        <x:v>132.68819541384346</x:v>
      </x:c>
      <x:c r="E5" s="31" t="n">
        <x:f>IF(B5=0,"",B5*D5)</x:f>
        <x:v>343.62433132768246</x:v>
      </x:c>
    </x:row>
    <x:row r="6" ht="18" customHeight="1">
      <x:c r="A6" s="24" t="str">
        <x:v>Molluscs</x:v>
      </x:c>
      <x:c r="B6" s="31" t="n">
        <x:v>81.2204371858</x:v>
      </x:c>
      <x:c r="C6" s="32" t="n">
        <x:v>2.099994076976231</x:v>
      </x:c>
      <x:c r="D6" s="32" t="n">
        <x:f>IF(C6="","",(1/'Metadata'!$B$5)^(C6-1))</x:f>
        <x:v>12.589082423513105</x:v>
      </x:c>
      <x:c r="E6" s="31" t="n">
        <x:f>IF(B6=0,"",B6*D6)</x:f>
        <x:v>1022.4907782058049</x:v>
      </x:c>
    </x:row>
    <x:row r="7" ht="18" customHeight="1">
      <x:c r="A7" s="24" t="str">
        <x:v>Other fishes &amp; inverts</x:v>
      </x:c>
      <x:c r="B7" s="31" t="n">
        <x:v>956.5330960289001</x:v>
      </x:c>
      <x:c r="C7" s="32" t="n">
        <x:v>3.290413141762558</x:v>
      </x:c>
      <x:c r="D7" s="32" t="n">
        <x:f>IF(C7="","",(1/'Metadata'!$B$5)^(C7-1))</x:f>
        <x:v>195.17003578969508</x:v>
      </x:c>
      <x:c r="E7" s="31" t="n">
        <x:f>IF(B7=0,"",B7*D7)</x:f>
        <x:v>186686.59858598828</x:v>
      </x:c>
    </x:row>
    <x:row r="8" ht="18" customHeight="1">
      <x:c r="A8" s="24" t="str">
        <x:v>Perch-likes</x:v>
      </x:c>
      <x:c r="B8" s="31" t="n">
        <x:v>3087.2969189534</x:v>
      </x:c>
      <x:c r="C8" s="32" t="n">
        <x:v>4.226841418855806</x:v>
      </x:c>
      <x:c r="D8" s="32" t="n">
        <x:f>IF(C8="","",(1/'Metadata'!$B$5)^(C8-1))</x:f>
        <x:v>1685.9372987438883</x:v>
      </x:c>
      <x:c r="E8" s="31" t="n">
        <x:f>IF(B8=0,"",B8*D8)</x:f>
        <x:v>5204989.027960625</x:v>
      </x:c>
    </x:row>
    <x:row r="9" ht="18" customHeight="1">
      <x:c r="A9" s="24" t="str">
        <x:v>Salmon, smelts, etc</x:v>
      </x:c>
      <x:c r="B9" s="31" t="n">
        <x:v>5.4622897641</x:v>
      </x:c>
      <x:c r="C9" s="32" t="n">
        <x:v>3.69</x:v>
      </x:c>
      <x:c r="D9" s="32" t="n">
        <x:f>IF(C9="","",(1/'Metadata'!$B$5)^(C9-1))</x:f>
        <x:v>489.77881936844614</x:v>
      </x:c>
      <x:c r="E9" s="31" t="n">
        <x:f>IF(B9=0,"",B9*D9)</x:f>
        <x:v>2675.313831709246</x:v>
      </x:c>
    </x:row>
    <x:row r="10" ht="18" customHeight="1">
      <x:c r="A10" s="24" t="str">
        <x:v>Scorpionfishes</x:v>
      </x:c>
      <x:c r="B10" s="31" t="n">
        <x:v>4.0157410446</x:v>
      </x:c>
      <x:c r="C10" s="32" t="n">
        <x:v>3.9192944295967957</x:v>
      </x:c>
      <x:c r="D10" s="32" t="n">
        <x:f>IF(C10="","",(1/'Metadata'!$B$5)^(C10-1))</x:f>
        <x:v>830.4135549278913</x:v>
      </x:c>
      <x:c r="E10" s="31" t="n">
        <x:f>IF(B10=0,"",B10*D10)</x:f>
        <x:v>3334.72579651613</x:v>
      </x:c>
    </x:row>
    <x:row r="11" ht="18" customHeight="1">
      <x:c r="A11" s="24" t="str">
        <x:v>Sharks &amp; rays</x:v>
      </x:c>
      <x:c r="B11" s="31" t="n">
        <x:v>327.1062034653</x:v>
      </x:c>
      <x:c r="C11" s="32" t="n">
        <x:v>4.330855020557797</x:v>
      </x:c>
      <x:c r="D11" s="32" t="n">
        <x:f>IF(C11="","",(1/'Metadata'!$B$5)^(C11-1))</x:f>
        <x:v>2142.1753646921916</x:v>
      </x:c>
      <x:c r="E11" s="31" t="n">
        <x:f>IF(B11=0,"",B11*D11)</x:f>
        <x:v>700718.8507013572</x:v>
      </x:c>
    </x:row>
    <x:row r="12" ht="18" customHeight="1">
      <x:c r="A12" s="24" t="str">
        <x:v>Tuna &amp; billfishes</x:v>
      </x:c>
      <x:c r="B12" s="31" t="n">
        <x:v>10446.6379190154</x:v>
      </x:c>
      <x:c r="C12" s="32" t="n">
        <x:v>4.39820895925658</x:v>
      </x:c>
      <x:c r="D12" s="32" t="n">
        <x:f>IF(C12="","",(1/'Metadata'!$B$5)^(C12-1))</x:f>
        <x:v>2501.5486835029096</x:v>
      </x:c>
      <x:c r="E12" s="31" t="n">
        <x:f>IF(B12=0,"",B12*D12)</x:f>
        <x:v>26132773.33334455</x:v>
      </x:c>
    </x:row>
  </x:sheetData>
  <x:pageMargins left="0.7" right="0.7" top="0.75" bottom="0.75" header="0.3" footer="0.3"/>
  <x:tableParts count="1">
    <x:tablePart xmlns:r="http://schemas.openxmlformats.org/officeDocument/2006/relationships" r:id="Rb107a270e1cf499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6.875918990800001</x:v>
      </x:c>
      <x:c r="C2" s="32" t="n">
        <x:v>3.809438601753428</x:v>
      </x:c>
      <x:c r="D2" s="32" t="n">
        <x:f>IF(C2="","",(1/'Metadata'!$B$5)^(C2-1))</x:f>
        <x:v>644.8201521764817</x:v>
      </x:c>
      <x:c r="E2" s="31" t="n">
        <x:f>IF(B2=0,"",B2*D2)</x:f>
        <x:v>4433.731130000817</x:v>
      </x:c>
    </x:row>
    <x:row r="3" ht="18" customHeight="1">
      <x:c r="A3" s="24" t="str">
        <x:v>Large bathydemersals (&gt;=90 cm)</x:v>
      </x:c>
      <x:c r="B3" s="31" t="n">
        <x:v>6.5994984877</x:v>
      </x:c>
      <x:c r="C3" s="32" t="n">
        <x:v>3.767542850653542</x:v>
      </x:c>
      <x:c r="D3" s="32" t="n">
        <x:f>IF(C3="","",(1/'Metadata'!$B$5)^(C3-1))</x:f>
        <x:v>585.5215052825844</x:v>
      </x:c>
      <x:c r="E3" s="31" t="n">
        <x:f>IF(B3=0,"",B3*D3)</x:f>
        <x:v>3864.1482886282433</x:v>
      </x:c>
    </x:row>
    <x:row r="4" ht="18" customHeight="1">
      <x:c r="A4" s="24" t="str">
        <x:v>Large bathypelagics (&gt;=90 cm)</x:v>
      </x:c>
      <x:c r="B4" s="31" t="n">
        <x:v>0.1657267117</x:v>
      </x:c>
      <x:c r="C4" s="32" t="n">
        <x:v>4.34</x:v>
      </x:c>
      <x:c r="D4" s="32" t="n">
        <x:f>IF(C4="","",(1/'Metadata'!$B$5)^(C4-1))</x:f>
        <x:v>2187.761623949552</x:v>
      </x:c>
      <x:c r="E4" s="31" t="n">
        <x:f>IF(B4=0,"",B4*D4)</x:f>
        <x:v>362.5705399206112</x:v>
      </x:c>
    </x:row>
    <x:row r="5" ht="18" customHeight="1">
      <x:c r="A5" s="24" t="str">
        <x:v>Large benthopelagics (&gt;=90 cm)</x:v>
      </x:c>
      <x:c r="B5" s="31" t="n">
        <x:v>2248.5292803098</x:v>
      </x:c>
      <x:c r="C5" s="32" t="n">
        <x:v>4.479958296501075</x:v>
      </x:c>
      <x:c r="D5" s="32" t="n">
        <x:f>IF(C5="","",(1/'Metadata'!$B$5)^(C5-1))</x:f>
        <x:v>3019.6617408791453</x:v>
      </x:c>
      <x:c r="E5" s="31" t="n">
        <x:f>IF(B5=0,"",B5*D5)</x:f>
        <x:v>6789797.840998023</x:v>
      </x:c>
    </x:row>
    <x:row r="6" ht="18" customHeight="1">
      <x:c r="A6" s="24" t="str">
        <x:v>Large demersals (&gt;=90 cm)</x:v>
      </x:c>
      <x:c r="B6" s="31" t="n">
        <x:v>6.2539126337</x:v>
      </x:c>
      <x:c r="C6" s="32" t="n">
        <x:v>4.058455160118013</x:v>
      </x:c>
      <x:c r="D6" s="32" t="n">
        <x:f>IF(C6="","",(1/'Metadata'!$B$5)^(C6-1))</x:f>
        <x:v>1144.0767504899504</x:v>
      </x:c>
      <x:c r="E6" s="31" t="n">
        <x:f>IF(B6=0,"",B6*D6)</x:f>
        <x:v>7154.956043811543</x:v>
      </x:c>
    </x:row>
    <x:row r="7" ht="18" customHeight="1">
      <x:c r="A7" s="24" t="str">
        <x:v>Large pelagics (&gt;=90 cm)</x:v>
      </x:c>
      <x:c r="B7" s="31" t="n">
        <x:v>10432.5667885844</x:v>
      </x:c>
      <x:c r="C7" s="32" t="n">
        <x:v>4.398142755042674</x:v>
      </x:c>
      <x:c r="D7" s="32" t="n">
        <x:f>IF(C7="","",(1/'Metadata'!$B$5)^(C7-1))</x:f>
        <x:v>2501.167374394493</x:v>
      </x:c>
      <x:c r="E7" s="31" t="n">
        <x:f>IF(B7=0,"",B7*D7)</x:f>
        <x:v>26093595.68279883</x:v>
      </x:c>
    </x:row>
    <x:row r="8" ht="18" customHeight="1">
      <x:c r="A8" s="24" t="str">
        <x:v>Large rays (&gt;=90 cm)</x:v>
      </x:c>
      <x:c r="B8" s="31" t="n">
        <x:v>0.2511048725</x:v>
      </x:c>
      <x:c r="C8" s="32" t="n">
        <x:v>3.8190759907496417</x:v>
      </x:c>
      <x:c r="D8" s="32" t="n">
        <x:f>IF(C8="","",(1/'Metadata'!$B$5)^(C8-1))</x:f>
        <x:v>659.289244398266</x:v>
      </x:c>
      <x:c r="E8" s="31" t="n">
        <x:f>IF(B8=0,"",B8*D8)</x:f>
        <x:v>165.55074165524792</x:v>
      </x:c>
    </x:row>
    <x:row r="9" ht="18" customHeight="1">
      <x:c r="A9" s="24" t="str">
        <x:v>Large reef assoc. fish (&gt;=90 cm)</x:v>
      </x:c>
      <x:c r="B9" s="31" t="n">
        <x:v>4.029059309</x:v>
      </x:c>
      <x:c r="C9" s="32" t="n">
        <x:v>3.9174035251313795</x:v>
      </x:c>
      <x:c r="D9" s="32" t="n">
        <x:f>IF(C9="","",(1/'Metadata'!$B$5)^(C9-1))</x:f>
        <x:v>826.8058202031693</x:v>
      </x:c>
      <x:c r="E9" s="31" t="n">
        <x:f>IF(B9=0,"",B9*D9)</x:f>
        <x:v>3331.24968662496</x:v>
      </x:c>
    </x:row>
    <x:row r="10" ht="18" customHeight="1">
      <x:c r="A10" s="24" t="str">
        <x:v>Large sharks (&gt;=90 cm)</x:v>
      </x:c>
      <x:c r="B10" s="31" t="n">
        <x:v>297.51479928840007</x:v>
      </x:c>
      <x:c r="C10" s="32" t="n">
        <x:v>4.361942850721512</x:v>
      </x:c>
      <x:c r="D10" s="32" t="n">
        <x:f>IF(C10="","",(1/'Metadata'!$B$5)^(C10-1))</x:f>
        <x:v>2301.138988126995</x:v>
      </x:c>
      <x:c r="E10" s="31" t="n">
        <x:f>IF(B10=0,"",B10*D10)</x:f>
        <x:v>684622.904187315</x:v>
      </x:c>
    </x:row>
    <x:row r="11" ht="18" customHeight="1">
      <x:c r="A11" s="24" t="str">
        <x:v>Lobsters, crabs</x:v>
      </x:c>
      <x:c r="B11" s="31" t="n">
        <x:v>0.2513005142</x:v>
      </x:c>
      <x:c r="C11" s="32" t="n">
        <x:v>3.4259626661758737</x:v>
      </x:c>
      <x:c r="D11" s="32" t="n">
        <x:f>IF(C11="","",(1/'Metadata'!$B$5)^(C11-1))</x:f>
        <x:v>266.6629419718367</x:v>
      </x:c>
      <x:c r="E11" s="31" t="n">
        <x:f>IF(B11=0,"",B11*D11)</x:f>
        <x:v>67.01253443560732</x:v>
      </x:c>
    </x:row>
    <x:row r="12" ht="18" customHeight="1">
      <x:c r="A12" s="24" t="str">
        <x:v>Medium bathydemersals (30 - 89 cm)</x:v>
      </x:c>
      <x:c r="B12" s="31" t="n">
        <x:v>0.5763303094</x:v>
      </x:c>
      <x:c r="C12" s="32" t="n">
        <x:v>4.1737058431444005</x:v>
      </x:c>
      <x:c r="D12" s="32" t="n">
        <x:f>IF(C12="","",(1/'Metadata'!$B$5)^(C12-1))</x:f>
        <x:v>1491.7836506348892</x:v>
      </x:c>
      <x:c r="E12" s="31" t="n">
        <x:f>IF(B12=0,"",B12*D12)</x:f>
        <x:v>859.7601329282671</x:v>
      </x:c>
    </x:row>
    <x:row r="13" ht="18" customHeight="1">
      <x:c r="A13" s="24" t="str">
        <x:v>Medium bathypelagics (30 - 89 cm)</x:v>
      </x:c>
      <x:c r="B13" s="31" t="n">
        <x:v>7.0661833162</x:v>
      </x:c>
      <x:c r="C13" s="32" t="n">
        <x:v>4.08</x:v>
      </x:c>
      <x:c r="D13" s="32" t="n">
        <x:f>IF(C13="","",(1/'Metadata'!$B$5)^(C13-1))</x:f>
        <x:v>1202.2644346174131</x:v>
      </x:c>
      <x:c r="E13" s="31" t="n">
        <x:f>IF(B13=0,"",B13*D13)</x:f>
        <x:v>8495.42088955419</x:v>
      </x:c>
    </x:row>
    <x:row r="14" ht="18" customHeight="1">
      <x:c r="A14" s="24" t="str">
        <x:v>Medium benthopelagics (30 - 89 cm)</x:v>
      </x:c>
      <x:c r="B14" s="31" t="n">
        <x:v>459.83377112060003</x:v>
      </x:c>
      <x:c r="C14" s="32" t="n">
        <x:v>3.4248032858917092</x:v>
      </x:c>
      <x:c r="D14" s="32" t="n">
        <x:f>IF(C14="","",(1/'Metadata'!$B$5)^(C14-1))</x:f>
        <x:v>265.9520154695275</x:v>
      </x:c>
      <x:c r="E14" s="31" t="n">
        <x:f>IF(B14=0,"",B14*D14)</x:f>
        <x:v>122293.71821047699</x:v>
      </x:c>
    </x:row>
    <x:row r="15" ht="18" customHeight="1">
      <x:c r="A15" s="24" t="str">
        <x:v>Medium demersals (30 - 89 cm)</x:v>
      </x:c>
      <x:c r="B15" s="31" t="n">
        <x:v>940.0078423152002</x:v>
      </x:c>
      <x:c r="C15" s="32" t="n">
        <x:v>3.2795423376336976</x:v>
      </x:c>
      <x:c r="D15" s="32" t="n">
        <x:f>IF(C15="","",(1/'Metadata'!$B$5)^(C15-1))</x:f>
        <x:v>190.34537886359684</x:v>
      </x:c>
      <x:c r="E15" s="31" t="n">
        <x:f>IF(B15=0,"",B15*D15)</x:f>
        <x:v>178926.14888023896</x:v>
      </x:c>
    </x:row>
    <x:row r="16" ht="18" customHeight="1">
      <x:c r="A16" s="24" t="str">
        <x:v>Medium pelagics (30 - 89 cm)</x:v>
      </x:c>
      <x:c r="B16" s="31" t="n">
        <x:v>393.0401789986</x:v>
      </x:c>
      <x:c r="C16" s="32" t="n">
        <x:v>3.739473426457413</x:v>
      </x:c>
      <x:c r="D16" s="32" t="n">
        <x:f>IF(C16="","",(1/'Metadata'!$B$5)^(C16-1))</x:f>
        <x:v>548.87497010403</x:v>
      </x:c>
      <x:c r="E16" s="31" t="n">
        <x:f>IF(B16=0,"",B16*D16)</x:f>
        <x:v>215729.9164975392</x:v>
      </x:c>
    </x:row>
    <x:row r="17" ht="18" customHeight="1">
      <x:c r="A17" s="24" t="str">
        <x:v>Medium reef assoc. fish (30 - 89 cm)</x:v>
      </x:c>
      <x:c r="B17" s="31" t="n">
        <x:v>0.21757164250000002</x:v>
      </x:c>
      <x:c r="C17" s="32" t="n">
        <x:v>3.4498448201722787</x:v>
      </x:c>
      <x:c r="D17" s="32" t="n">
        <x:f>IF(C17="","",(1/'Metadata'!$B$5)^(C17-1))</x:f>
        <x:v>281.73760613447456</x:v>
      </x:c>
      <x:c r="E17" s="31" t="n">
        <x:f>IF(B17=0,"",B17*D17)</x:f>
        <x:v>61.29811372069571</x:v>
      </x:c>
    </x:row>
    <x:row r="18" ht="18" customHeight="1">
      <x:c r="A18" s="24" t="str">
        <x:v>Other demersal invertebrates</x:v>
      </x:c>
      <x:c r="B18" s="31" t="n">
        <x:v>81.2230149568</x:v>
      </x:c>
      <x:c r="C18" s="32" t="n">
        <x:v>2.100000444060123</x:v>
      </x:c>
      <x:c r="D18" s="32" t="n">
        <x:f>IF(C18="","",(1/'Metadata'!$B$5)^(C18-1))</x:f>
        <x:v>12.589266990287104</x:v>
      </x:c>
      <x:c r="E18" s="31" t="n">
        <x:f>IF(B18=0,"",B18*D18)</x:f>
        <x:v>1022.538221047238</x:v>
      </x:c>
    </x:row>
    <x:row r="19" ht="18" customHeight="1">
      <x:c r="A19" s="24" t="str">
        <x:v>Shrimps</x:v>
      </x:c>
      <x:c r="B19" s="31" t="n">
        <x:v>0.5592848958</x:v>
      </x:c>
      <x:c r="C19" s="32" t="n">
        <x:v>2.9413872706680024</x:v>
      </x:c>
      <x:c r="D19" s="32" t="n">
        <x:f>IF(C19="","",(1/'Metadata'!$B$5)^(C19-1))</x:f>
        <x:v>87.37501648019914</x:v>
      </x:c>
      <x:c r="E19" s="31" t="n">
        <x:f>IF(B19=0,"",B19*D19)</x:f>
        <x:v>48.86752698765145</x:v>
      </x:c>
    </x:row>
    <x:row r="20" ht="18" customHeight="1">
      <x:c r="A20" s="24" t="str">
        <x:v>Small pelagics (&lt;30 cm)</x:v>
      </x:c>
      <x:c r="B20" s="31" t="n">
        <x:v>2.5976522075</x:v>
      </x:c>
      <x:c r="C20" s="32" t="n">
        <x:v>3.121881094301189</x:v>
      </x:c>
      <x:c r="D20" s="32" t="n">
        <x:f>IF(C20="","",(1/'Metadata'!$B$5)^(C20-1))</x:f>
        <x:v>132.39789927100142</x:v>
      </x:c>
      <x:c r="E20" s="31" t="n">
        <x:f>IF(B20=0,"",B20*D20)</x:f>
        <x:v>343.9236953096795</x:v>
      </x:c>
    </x:row>
    <x:row r="21" ht="18" customHeight="1">
      <x:c r="A21" s="24" t="str">
        <x:v>Small reef assoc. fish (&lt;30 cm)</x:v>
      </x:c>
      <x:c r="B21" s="31" t="n">
        <x:v>10.6455989643</x:v>
      </x:c>
      <x:c r="C21" s="32" t="n">
        <x:v>3.73</x:v>
      </x:c>
      <x:c r="D21" s="32" t="n">
        <x:f>IF(C21="","",(1/'Metadata'!$B$5)^(C21-1))</x:f>
        <x:v>537.0317963702527</x:v>
      </x:c>
      <x:c r="E21" s="31" t="n">
        <x:f>IF(B21=0,"",B21*D21)</x:f>
        <x:v>5717.02513523533</x:v>
      </x:c>
    </x:row>
    <x:row r="22" ht="18" customHeight="1">
      <x:c r="A22" s="24" t="str">
        <x:v>Small to medium flatfishes (&lt;90 cm)</x:v>
      </x:c>
      <x:c r="B22" s="31" t="n">
        <x:v>0.00006317229999999999</x:v>
      </x:c>
      <x:c r="C22" s="32" t="n">
        <x:v>3.3794892856520975</x:v>
      </x:c>
      <x:c r="D22" s="32" t="n">
        <x:f>IF(C22="","",(1/'Metadata'!$B$5)^(C22-1))</x:f>
        <x:v>239.6013637688113</x:v>
      </x:c>
      <x:c r="E22" s="31" t="n">
        <x:f>IF(B22=0,"",B22*D22)</x:f>
        <x:v>0.015136169232412476</x:v>
      </x:c>
    </x:row>
    <x:row r="23" ht="18" customHeight="1">
      <x:c r="A23" s="24" t="str">
        <x:v>Small to medium sharks (&lt;90 cm)</x:v>
      </x:c>
      <x:c r="B23" s="31" t="n">
        <x:v>29.3402993044</x:v>
      </x:c>
      <x:c r="C23" s="32" t="n">
        <x:v>4.02</x:v>
      </x:c>
      <x:c r="D23" s="32" t="n">
        <x:f>IF(C23="","",(1/'Metadata'!$B$5)^(C23-1))</x:f>
        <x:v>1047.1285480508984</x:v>
      </x:c>
      <x:c r="E23" s="31" t="n">
        <x:f>IF(B23=0,"",B23*D23)</x:f>
        <x:v>30723.065009995156</x:v>
      </x:c>
    </x:row>
  </x:sheetData>
  <x:pageMargins left="0.7" right="0.7" top="0.75" bottom="0.75" header="0.3" footer="0.3"/>
  <x:tableParts count="1">
    <x:tablePart xmlns:r="http://schemas.openxmlformats.org/officeDocument/2006/relationships" r:id="R33ac635b1315446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EEZ_621</x:v>
      </x:c>
      <x:c r="B2" s="24" t="str">
        <x:v>raw_filtered_tonnes</x:v>
      </x:c>
      <x:c r="C2" s="24" t="n">
        <x:v>14928.145180905802</x:v>
      </x:c>
      <x:c r="D2" s="24" t="str">
        <x:v>tonnes</x:v>
      </x:c>
    </x:row>
    <x:row r="3" ht="18" customHeight="1">
      <x:c r="A3" s="24" t="str">
        <x:v>EEZ_621</x:v>
      </x:c>
      <x:c r="B3" s="24" t="str">
        <x:v>species_catch_tonnes</x:v>
      </x:c>
      <x:c r="C3" s="24" t="n">
        <x:v>14928.145180905802</x:v>
      </x:c>
      <x:c r="D3" s="24" t="str">
        <x:v>tonnes</x:v>
      </x:c>
    </x:row>
    <x:row r="4" ht="18" customHeight="1">
      <x:c r="A4" s="24" t="str">
        <x:v>EEZ_621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EEZ_621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EEZ_621</x:v>
      </x:c>
      <x:c r="B6" s="24" t="str">
        <x:v>matched_catch_tonnes</x:v>
      </x:c>
      <x:c r="C6" s="24" t="n">
        <x:v>14928.145180905802</x:v>
      </x:c>
      <x:c r="D6" s="24" t="str">
        <x:v>tonnes</x:v>
      </x:c>
    </x:row>
    <x:row r="7" ht="18" customHeight="1">
      <x:c r="A7" s="24" t="str">
        <x:v>EEZ_621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EEZ_621</x:v>
      </x:c>
      <x:c r="B8" s="24" t="str">
        <x:v>taxa_count</x:v>
      </x:c>
      <x:c r="C8" s="24" t="n">
        <x:v>98</x:v>
      </x:c>
      <x:c r="D8" s="24" t="str">
        <x:v>count</x:v>
      </x:c>
    </x:row>
    <x:row r="9" ht="18" customHeight="1">
      <x:c r="A9" s="24" t="str">
        <x:v>EEZ_621</x:v>
      </x:c>
      <x:c r="B9" s="24" t="str">
        <x:v>matched_taxa_count</x:v>
      </x:c>
      <x:c r="C9" s="24" t="n">
        <x:v>98</x:v>
      </x:c>
      <x:c r="D9" s="24" t="str">
        <x:v>count</x:v>
      </x:c>
    </x:row>
    <x:row r="10" ht="18" customHeight="1">
      <x:c r="A10" s="24" t="str">
        <x:v>EEZ_621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EEZ_621</x:v>
      </x:c>
      <x:c r="B11" s="24" t="str">
        <x:v>species_ppr</x:v>
      </x:c>
      <x:c r="C11" s="24" t="n">
        <x:v>34811066.00645102</x:v>
      </x:c>
      <x:c r="D11" s="24" t="str">
        <x:v>tonnes_primary_production_equivalent</x:v>
      </x:c>
    </x:row>
    <x:row r="12" ht="18" customHeight="1">
      <x:c r="A12" s="24" t="str">
        <x:v>EEZ_621</x:v>
      </x:c>
      <x:c r="B12" s="24" t="str">
        <x:v>commercial_ppr</x:v>
      </x:c>
      <x:c r="C12" s="24" t="n">
        <x:v>32261921.518062312</x:v>
      </x:c>
      <x:c r="D12" s="24" t="str">
        <x:v>tonnes_primary_production_equivalent</x:v>
      </x:c>
    </x:row>
    <x:row r="13" ht="18" customHeight="1">
      <x:c r="A13" s="24" t="str">
        <x:v>EEZ_621</x:v>
      </x:c>
      <x:c r="B13" s="24" t="str">
        <x:v>functional_ppr</x:v>
      </x:c>
      <x:c r="C13" s="24" t="n">
        <x:v>34151617.34439845</x:v>
      </x:c>
      <x:c r="D13" s="24" t="str">
        <x:v>tonnes_primary_production_equivalent</x:v>
      </x:c>
    </x:row>
    <x:row r="14" ht="18" customHeight="1">
      <x:c r="A14" s="24" t="str">
        <x:v>EEZ_621</x:v>
      </x:c>
      <x:c r="B14" s="24" t="str">
        <x:v>commercial_ppr_difference</x:v>
      </x:c>
      <x:c r="C14" s="24" t="n">
        <x:v>-2549144.488388706</x:v>
      </x:c>
      <x:c r="D14" s="24" t="str">
        <x:v>tonnes_primary_production_equivalent</x:v>
      </x:c>
    </x:row>
    <x:row r="15" ht="18" customHeight="1">
      <x:c r="A15" s="24" t="str">
        <x:v>EEZ_621</x:v>
      </x:c>
      <x:c r="B15" s="24" t="str">
        <x:v>functional_ppr_difference</x:v>
      </x:c>
      <x:c r="C15" s="24" t="n">
        <x:v>-659448.6620525718</x:v>
      </x:c>
      <x:c r="D15" s="24" t="str">
        <x:v>tonnes_primary_production_equivalent</x:v>
      </x:c>
    </x:row>
    <x:row r="16" ht="18" customHeight="1">
      <x:c r="A16" s="24" t="str">
        <x:v>EEZ_621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EEZ_621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d30ee07dd3cc483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EEZ_621 - Madeira Isl. (Portugal)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EEZ_621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raw_data/SAU_downloads/EEZ_621-catch.zip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