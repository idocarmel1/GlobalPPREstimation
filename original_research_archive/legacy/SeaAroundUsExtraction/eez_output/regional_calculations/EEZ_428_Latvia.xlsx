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6e3a80ab8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40a41a777af4e98"/>
    <x:sheet xmlns:r="http://schemas.openxmlformats.org/officeDocument/2006/relationships" name="Commercial" sheetId="2" r:id="R26a318d3000a4f33"/>
    <x:sheet xmlns:r="http://schemas.openxmlformats.org/officeDocument/2006/relationships" name="Functional" sheetId="3" r:id="R657bb10e6b874764"/>
    <x:sheet xmlns:r="http://schemas.openxmlformats.org/officeDocument/2006/relationships" name="Missing TL" sheetId="4" r:id="R487cab9129214582"/>
    <x:sheet xmlns:r="http://schemas.openxmlformats.org/officeDocument/2006/relationships" name="Validation" sheetId="5" r:id="Rb053dc4201544ef0"/>
    <x:sheet xmlns:r="http://schemas.openxmlformats.org/officeDocument/2006/relationships" name="Metadata" sheetId="6" r:id="Ra8858895373a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6640f7edb54758" /><Relationship Type="http://schemas.openxmlformats.org/officeDocument/2006/relationships/theme" Target="/xl/theme/theme1.xml" Id="Rec58fe7a8f464f14" /><Relationship Type="http://schemas.microsoft.com/office/2022/11/relationships/FeaturePropertyBag" Target="/xl/featurePropertyBag/featurePropertyBag.xml" Id="Rf9f7207d43f44791" /><Relationship Type="http://schemas.openxmlformats.org/officeDocument/2006/relationships/sharedStrings" Target="/xl/sharedStrings.xml" Id="Ra8aa2b0a2e6d4ad1" /><Relationship Type="http://schemas.openxmlformats.org/officeDocument/2006/relationships/worksheet" Target="/xl/worksheets/sheet1.xml" Id="Rb40a41a777af4e98" /><Relationship Type="http://schemas.openxmlformats.org/officeDocument/2006/relationships/worksheet" Target="/xl/worksheets/sheet2.xml" Id="R26a318d3000a4f33" /><Relationship Type="http://schemas.openxmlformats.org/officeDocument/2006/relationships/worksheet" Target="/xl/worksheets/sheet3.xml" Id="R657bb10e6b874764" /><Relationship Type="http://schemas.openxmlformats.org/officeDocument/2006/relationships/worksheet" Target="/xl/worksheets/sheet4.xml" Id="R487cab9129214582" /><Relationship Type="http://schemas.openxmlformats.org/officeDocument/2006/relationships/worksheet" Target="/xl/worksheets/sheet5.xml" Id="Rb053dc4201544ef0" /><Relationship Type="http://schemas.openxmlformats.org/officeDocument/2006/relationships/worksheet" Target="/xl/worksheets/sheet6.xml" Id="Ra8858895373a45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28SpeciesTable" displayName="EEZ428SpeciesTable" ref="A1:U46" headerRowCount="1" totalsRowCount="0" totalsRowShown="0">
  <x:autoFilter ref="A1:U4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28CommercialTable" displayName="EEZ428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28FunctionalTable" displayName="EEZ428FunctionalTable" ref="A1:E13" headerRowCount="1" totalsRowCount="0" totalsRowShown="0">
  <x:autoFilter ref="A1:E1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28ValidationTable" displayName="EEZ42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61bc8f098a4e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04bac8b45648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b20e47c87c043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fb612ca8a94ee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EEZ_428</x:v>
      </x:c>
      <x:c r="B2" s="24" t="str">
        <x:v>Latvia</x:v>
      </x:c>
      <x:c r="C2" s="24" t="str">
        <x:v>EEZ</x:v>
      </x:c>
      <x:c r="D2" s="30" t="n">
        <x:v>2019</x:v>
      </x:c>
      <x:c r="E2" s="24" t="str">
        <x:v>Sprattus sprattus</x:v>
      </x:c>
      <x:c r="F2" s="24" t="str">
        <x:v>European sprat</x:v>
      </x:c>
      <x:c r="G2" s="24" t="str">
        <x:v>Small pelagics (&lt;30 cm)</x:v>
      </x:c>
      <x:c r="H2" s="24" t="str">
        <x:v>Herring-likes</x:v>
      </x:c>
      <x:c r="I2" s="31" t="n">
        <x:v>50720.137661740104</x:v>
      </x:c>
      <x:c r="J2" s="31" t="n">
        <x:v>48893.2227668379</x:v>
      </x:c>
      <x:c r="K2" s="31" t="n">
        <x:v>1826.9148949022</x:v>
      </x:c>
      <x:c r="L2" s="31" t="n">
        <x:v>45383.4906322042</x:v>
      </x:c>
      <x:c r="M2" s="31" t="n">
        <x:v>5336.6470295358995</x:v>
      </x:c>
      <x:c r="N2" s="24" t="str">
        <x:v>sprattus sprattus</x:v>
      </x:c>
      <x:c r="O2" s="32" t="n">
        <x:v>3.01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Sprattus sprattus</x:v>
      </x:c>
      <x:c r="T2" s="32" t="n">
        <x:f>IF(O2="","",(1/'Metadata'!$B$5)^(O2-1))</x:f>
        <x:v>102.32929922807536</x:v>
      </x:c>
      <x:c r="U2" s="31" t="n">
        <x:f>IF(T2="","",I2*T2)</x:f>
        <x:v>5190156.143677377</x:v>
      </x:c>
    </x:row>
    <x:row r="3" ht="18" customHeight="1">
      <x:c r="A3" s="24" t="str">
        <x:v>EEZ_428</x:v>
      </x:c>
      <x:c r="B3" s="24" t="str">
        <x:v>Latvia</x:v>
      </x:c>
      <x:c r="C3" s="24" t="str">
        <x:v>EEZ</x:v>
      </x:c>
      <x:c r="D3" s="30" t="n">
        <x:v>2019</x:v>
      </x:c>
      <x:c r="E3" s="24" t="str">
        <x:v>Clupea harengus</x:v>
      </x:c>
      <x:c r="F3" s="24" t="str">
        <x:v>Atlantic herring</x:v>
      </x:c>
      <x:c r="G3" s="24" t="str">
        <x:v>Medium pelagics (30 - 89 cm)</x:v>
      </x:c>
      <x:c r="H3" s="24" t="str">
        <x:v>Herring-likes</x:v>
      </x:c>
      <x:c r="I3" s="31" t="n">
        <x:v>41281.0308931176</x:v>
      </x:c>
      <x:c r="J3" s="31" t="n">
        <x:v>39819.2330984229</x:v>
      </x:c>
      <x:c r="K3" s="31" t="n">
        <x:v>1461.7977946947</x:v>
      </x:c>
      <x:c r="L3" s="31" t="n">
        <x:v>33720.23573047</x:v>
      </x:c>
      <x:c r="M3" s="31" t="n">
        <x:v>7560.7951626476</x:v>
      </x:c>
      <x:c r="N3" s="24" t="str">
        <x:v>clupea harengus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Clupea harengus</x:v>
      </x:c>
      <x:c r="T3" s="32" t="n">
        <x:f>IF(O3="","",(1/'Metadata'!$B$5)^(O3-1))</x:f>
        <x:v>239.88329190194898</x:v>
      </x:c>
      <x:c r="U3" s="31" t="n">
        <x:f>IF(T3="","",I3*T3)</x:f>
        <x:v>9902629.583747102</x:v>
      </x:c>
    </x:row>
    <x:row r="4" ht="18" customHeight="1">
      <x:c r="A4" s="24" t="str">
        <x:v>EEZ_428</x:v>
      </x:c>
      <x:c r="B4" s="24" t="str">
        <x:v>Latvia</x:v>
      </x:c>
      <x:c r="C4" s="24" t="str">
        <x:v>EEZ</x:v>
      </x:c>
      <x:c r="D4" s="30" t="n">
        <x:v>2019</x:v>
      </x:c>
      <x:c r="E4" s="24" t="str">
        <x:v>Gadus morhua</x:v>
      </x:c>
      <x:c r="F4" s="24" t="str">
        <x:v>Atlantic cod</x:v>
      </x:c>
      <x:c r="G4" s="24" t="str">
        <x:v>Large benthopelagics (&gt;=90 cm)</x:v>
      </x:c>
      <x:c r="H4" s="24" t="str">
        <x:v>Cod-likes</x:v>
      </x:c>
      <x:c r="I4" s="31" t="n">
        <x:v>2526.4964443527997</x:v>
      </x:c>
      <x:c r="J4" s="31" t="n">
        <x:v>2291.9265868718</x:v>
      </x:c>
      <x:c r="K4" s="31" t="n">
        <x:v>234.569857481</x:v>
      </x:c>
      <x:c r="L4" s="31" t="n">
        <x:v>760.8272241854</x:v>
      </x:c>
      <x:c r="M4" s="31" t="n">
        <x:v>1765.6692201674</x:v>
      </x:c>
      <x:c r="N4" s="24" t="str">
        <x:v>gadus morhua</x:v>
      </x:c>
      <x:c r="O4" s="32" t="n">
        <x:v>4.09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Gadus morhua</x:v>
      </x:c>
      <x:c r="T4" s="32" t="n">
        <x:f>IF(O4="","",(1/'Metadata'!$B$5)^(O4-1))</x:f>
        <x:v>1230.268770812381</x:v>
      </x:c>
      <x:c r="U4" s="31" t="n">
        <x:f>IF(T4="","",I4*T4)</x:f>
        <x:v>3108269.67505577</x:v>
      </x:c>
    </x:row>
    <x:row r="5" ht="18" customHeight="1">
      <x:c r="A5" s="24" t="str">
        <x:v>EEZ_428</x:v>
      </x:c>
      <x:c r="B5" s="24" t="str">
        <x:v>Latvia</x:v>
      </x:c>
      <x:c r="C5" s="24" t="str">
        <x:v>EEZ</x:v>
      </x:c>
      <x:c r="D5" s="30" t="n">
        <x:v>2019</x:v>
      </x:c>
      <x:c r="E5" s="24" t="str">
        <x:v>Osmerus eperlanus</x:v>
      </x:c>
      <x:c r="F5" s="24" t="str">
        <x:v>European smelt</x:v>
      </x:c>
      <x:c r="G5" s="24" t="str">
        <x:v>Medium pelagics (30 - 89 cm)</x:v>
      </x:c>
      <x:c r="H5" s="24" t="str">
        <x:v>Salmon, smelts, etc</x:v>
      </x:c>
      <x:c r="I5" s="31" t="n">
        <x:v>2131.3791256781997</x:v>
      </x:c>
      <x:c r="J5" s="31" t="n">
        <x:v>2072.7058691146</x:v>
      </x:c>
      <x:c r="K5" s="31" t="n">
        <x:v>58.6732565636</x:v>
      </x:c>
      <x:c r="L5" s="31" t="n">
        <x:v>1846.9043814093</x:v>
      </x:c>
      <x:c r="M5" s="31" t="n">
        <x:v>284.4747442689</x:v>
      </x:c>
      <x:c r="N5" s="24" t="str">
        <x:v>osmerus eperlanus</x:v>
      </x:c>
      <x:c r="O5" s="32" t="n">
        <x:v>3.46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Osmerus eperlanus</x:v>
      </x:c>
      <x:c r="T5" s="32" t="n">
        <x:f>IF(O5="","",(1/'Metadata'!$B$5)^(O5-1))</x:f>
        <x:v>288.40315031266056</x:v>
      </x:c>
      <x:c r="U5" s="31" t="n">
        <x:f>IF(T5="","",I5*T5)</x:f>
        <x:v>614696.4543562368</x:v>
      </x:c>
    </x:row>
    <x:row r="6" ht="18" customHeight="1">
      <x:c r="A6" s="24" t="str">
        <x:v>EEZ_428</x:v>
      </x:c>
      <x:c r="B6" s="24" t="str">
        <x:v>Latvia</x:v>
      </x:c>
      <x:c r="C6" s="24" t="str">
        <x:v>EEZ</x:v>
      </x:c>
      <x:c r="D6" s="30" t="n">
        <x:v>2019</x:v>
      </x:c>
      <x:c r="E6" s="24" t="str">
        <x:v>Platichthys flesus</x:v>
      </x:c>
      <x:c r="F6" s="24" t="str">
        <x:v>European flounder</x:v>
      </x:c>
      <x:c r="G6" s="24" t="str">
        <x:v>Small to medium flatfishes (&lt;90 cm)</x:v>
      </x:c>
      <x:c r="H6" s="24" t="str">
        <x:v>Flatfishes</x:v>
      </x:c>
      <x:c r="I6" s="31" t="n">
        <x:v>1236.1007317277</x:v>
      </x:c>
      <x:c r="J6" s="31" t="n">
        <x:v>794.9857756977</x:v>
      </x:c>
      <x:c r="K6" s="31" t="n">
        <x:v>441.11495603</x:v>
      </x:c>
      <x:c r="L6" s="31" t="n">
        <x:v>608.8099940134</x:v>
      </x:c>
      <x:c r="M6" s="31" t="n">
        <x:v>627.2907377143</x:v>
      </x:c>
      <x:c r="N6" s="24" t="str">
        <x:v>platichthys flesus</x:v>
      </x:c>
      <x:c r="O6" s="32" t="n">
        <x:v>3.32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Platichthys flesus</x:v>
      </x:c>
      <x:c r="T6" s="32" t="n">
        <x:f>IF(O6="","",(1/'Metadata'!$B$5)^(O6-1))</x:f>
        <x:v>208.92961308540387</x:v>
      </x:c>
      <x:c r="U6" s="31" t="n">
        <x:f>IF(T6="","",I6*T6)</x:f>
        <x:v>258258.04761445295</x:v>
      </x:c>
    </x:row>
    <x:row r="7" ht="18" customHeight="1">
      <x:c r="A7" s="24" t="str">
        <x:v>EEZ_428</x:v>
      </x:c>
      <x:c r="B7" s="24" t="str">
        <x:v>Latvia</x:v>
      </x:c>
      <x:c r="C7" s="24" t="str">
        <x:v>EEZ</x:v>
      </x:c>
      <x:c r="D7" s="30" t="n">
        <x:v>2019</x:v>
      </x:c>
      <x:c r="E7" s="24" t="str">
        <x:v>Perca fluviatilis</x:v>
      </x:c>
      <x:c r="F7" s="24" t="str">
        <x:v>European perch</x:v>
      </x:c>
      <x:c r="G7" s="24" t="str">
        <x:v>Medium demersals (30 - 89 cm)</x:v>
      </x:c>
      <x:c r="H7" s="24" t="str">
        <x:v>Perch-likes</x:v>
      </x:c>
      <x:c r="I7" s="31" t="n">
        <x:v>565.2644419414</x:v>
      </x:c>
      <x:c r="J7" s="31" t="n">
        <x:v>495.0965065019</x:v>
      </x:c>
      <x:c r="K7" s="31" t="n">
        <x:v>70.16793543949998</x:v>
      </x:c>
      <x:c r="L7" s="31" t="n">
        <x:v>416.85492947</x:v>
      </x:c>
      <x:c r="M7" s="31" t="n">
        <x:v>148.40951247139998</x:v>
      </x:c>
      <x:c r="N7" s="24" t="str">
        <x:v>perca fluviatilis</x:v>
      </x:c>
      <x:c r="O7" s="32" t="n">
        <x:v>4.35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Perca fluviatilis</x:v>
      </x:c>
      <x:c r="T7" s="32" t="n">
        <x:f>IF(O7="","",(1/'Metadata'!$B$5)^(O7-1))</x:f>
        <x:v>2238.7211385683377</x:v>
      </x:c>
      <x:c r="U7" s="31" t="n">
        <x:f>IF(T7="","",I7*T7)</x:f>
        <x:v>1265469.455055247</x:v>
      </x:c>
    </x:row>
    <x:row r="8" ht="18" customHeight="1">
      <x:c r="A8" s="24" t="str">
        <x:v>EEZ_428</x:v>
      </x:c>
      <x:c r="B8" s="24" t="str">
        <x:v>Latvia</x:v>
      </x:c>
      <x:c r="C8" s="24" t="str">
        <x:v>EEZ</x:v>
      </x:c>
      <x:c r="D8" s="30" t="n">
        <x:v>2019</x:v>
      </x:c>
      <x:c r="E8" s="24" t="str">
        <x:v>Scophthalmidae</x:v>
      </x:c>
      <x:c r="F8" s="24" t="str">
        <x:v>Turbots</x:v>
      </x:c>
      <x:c r="G8" s="24" t="str">
        <x:v>Small to medium flatfishes (&lt;90 cm)</x:v>
      </x:c>
      <x:c r="H8" s="24" t="str">
        <x:v>Flatfishes</x:v>
      </x:c>
      <x:c r="I8" s="31" t="n">
        <x:v>399.0925696361</x:v>
      </x:c>
      <x:c r="J8" s="31" t="n">
        <x:v>398.6495440035</x:v>
      </x:c>
      <x:c r="K8" s="31" t="n">
        <x:v>0.4430256326</x:v>
      </x:c>
      <x:c r="L8" s="31" t="n">
        <x:v>0</x:v>
      </x:c>
      <x:c r="M8" s="31" t="n">
        <x:v>399.0925696361</x:v>
      </x:c>
      <x:c r="N8" s="24" t="str">
        <x:v>scophthalmidae</x:v>
      </x:c>
      <x:c r="O8" s="32" t="n">
        <x:v>3.71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Scophthalmidae</x:v>
      </x:c>
      <x:c r="T8" s="32" t="n">
        <x:f>IF(O8="","",(1/'Metadata'!$B$5)^(O8-1))</x:f>
        <x:v>512.8613839913648</x:v>
      </x:c>
      <x:c r="U8" s="31" t="n">
        <x:f>IF(T8="","",I8*T8)</x:f>
        <x:v>204679.16760424039</x:v>
      </x:c>
    </x:row>
    <x:row r="9" ht="18" customHeight="1">
      <x:c r="A9" s="24" t="str">
        <x:v>EEZ_428</x:v>
      </x:c>
      <x:c r="B9" s="24" t="str">
        <x:v>Latvia</x:v>
      </x:c>
      <x:c r="C9" s="24" t="str">
        <x:v>EEZ</x:v>
      </x:c>
      <x:c r="D9" s="30" t="n">
        <x:v>2019</x:v>
      </x:c>
      <x:c r="E9" s="24" t="str">
        <x:v>Gobiidae</x:v>
      </x:c>
      <x:c r="F9" s="24" t="str">
        <x:v>Gobies</x:v>
      </x:c>
      <x:c r="G9" s="24" t="str">
        <x:v>Small reef assoc. fish (&lt;30 cm)</x:v>
      </x:c>
      <x:c r="H9" s="24" t="str">
        <x:v>Perch-likes</x:v>
      </x:c>
      <x:c r="I9" s="31" t="n">
        <x:v>393.68177479770003</x:v>
      </x:c>
      <x:c r="J9" s="31" t="n">
        <x:v>361.68077244</x:v>
      </x:c>
      <x:c r="K9" s="31" t="n">
        <x:v>32.0010023577</x:v>
      </x:c>
      <x:c r="L9" s="31" t="n">
        <x:v>307.3555955666</x:v>
      </x:c>
      <x:c r="M9" s="31" t="n">
        <x:v>86.3261792311</x:v>
      </x:c>
      <x:c r="N9" s="24" t="str">
        <x:v>gobiidae</x:v>
      </x:c>
      <x:c r="O9" s="32" t="n">
        <x:v>3.11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Gobiidae</x:v>
      </x:c>
      <x:c r="T9" s="32" t="n">
        <x:f>IF(O9="","",(1/'Metadata'!$B$5)^(O9-1))</x:f>
        <x:v>128.82495516931337</x:v>
      </x:c>
      <x:c r="U9" s="31" t="n">
        <x:f>IF(T9="","",I9*T9)</x:f>
        <x:v>50716.03698928943</x:v>
      </x:c>
    </x:row>
    <x:row r="10" ht="18" customHeight="1">
      <x:c r="A10" s="24" t="str">
        <x:v>EEZ_428</x:v>
      </x:c>
      <x:c r="B10" s="24" t="str">
        <x:v>Latvia</x:v>
      </x:c>
      <x:c r="C10" s="24" t="str">
        <x:v>EEZ</x:v>
      </x:c>
      <x:c r="D10" s="30" t="n">
        <x:v>2019</x:v>
      </x:c>
      <x:c r="E10" s="24" t="str">
        <x:v>Belone belone</x:v>
      </x:c>
      <x:c r="F10" s="24" t="str">
        <x:v>Garfish</x:v>
      </x:c>
      <x:c r="G10" s="24" t="str">
        <x:v>Medium pelagics (30 - 89 cm)</x:v>
      </x:c>
      <x:c r="H10" s="24" t="str">
        <x:v>Other fishes &amp; inverts</x:v>
      </x:c>
      <x:c r="I10" s="31" t="n">
        <x:v>212.6586490636</x:v>
      </x:c>
      <x:c r="J10" s="31" t="n">
        <x:v>205.1623306979</x:v>
      </x:c>
      <x:c r="K10" s="31" t="n">
        <x:v>7.4963183657</x:v>
      </x:c>
      <x:c r="L10" s="31" t="n">
        <x:v>76.9774776124</x:v>
      </x:c>
      <x:c r="M10" s="31" t="n">
        <x:v>135.6811714512</x:v>
      </x:c>
      <x:c r="N10" s="24" t="str">
        <x:v>belone belone</x:v>
      </x:c>
      <x:c r="O10" s="32" t="n">
        <x:v>4.16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Belone belone</x:v>
      </x:c>
      <x:c r="T10" s="32" t="n">
        <x:f>IF(O10="","",(1/'Metadata'!$B$5)^(O10-1))</x:f>
        <x:v>1445.439770745928</x:v>
      </x:c>
      <x:c r="U10" s="31" t="n">
        <x:f>IF(T10="","",I10*T10)</x:f>
        <x:v>307385.26894962875</x:v>
      </x:c>
    </x:row>
    <x:row r="11" ht="18" customHeight="1">
      <x:c r="A11" s="24" t="str">
        <x:v>EEZ_428</x:v>
      </x:c>
      <x:c r="B11" s="24" t="str">
        <x:v>Latvia</x:v>
      </x:c>
      <x:c r="C11" s="24" t="str">
        <x:v>EEZ</x:v>
      </x:c>
      <x:c r="D11" s="30" t="n">
        <x:v>2019</x:v>
      </x:c>
      <x:c r="E11" s="24" t="str">
        <x:v>Myoxocephalus quadricornis</x:v>
      </x:c>
      <x:c r="F11" s="24" t="str">
        <x:v>Fourhorn sculpin</x:v>
      </x:c>
      <x:c r="G11" s="24" t="str">
        <x:v>Medium demersals (30 - 89 cm)</x:v>
      </x:c>
      <x:c r="H11" s="24" t="str">
        <x:v>Scorpionfishes</x:v>
      </x:c>
      <x:c r="I11" s="31" t="n">
        <x:v>210.6885655633</x:v>
      </x:c>
      <x:c r="J11" s="31" t="n">
        <x:v>210.6885655633</x:v>
      </x:c>
      <x:c r="K11" s="31" t="n">
        <x:v>0</x:v>
      </x:c>
      <x:c r="L11" s="31" t="n">
        <x:v>210.6885655633</x:v>
      </x:c>
      <x:c r="M11" s="31" t="n">
        <x:v>0</x:v>
      </x:c>
      <x:c r="N11" s="24" t="str">
        <x:v>myoxocephalus quadricornis</x:v>
      </x:c>
      <x:c r="O11" s="32" t="n">
        <x:v>3.69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Myoxocephalus quadricornis</x:v>
      </x:c>
      <x:c r="T11" s="32" t="n">
        <x:f>IF(O11="","",(1/'Metadata'!$B$5)^(O11-1))</x:f>
        <x:v>489.77881936844614</x:v>
      </x:c>
      <x:c r="U11" s="31" t="n">
        <x:f>IF(T11="","",I11*T11)</x:f>
        <x:v>103190.79689602452</x:v>
      </x:c>
    </x:row>
    <x:row r="12" ht="18" customHeight="1">
      <x:c r="A12" s="24" t="str">
        <x:v>EEZ_428</x:v>
      </x:c>
      <x:c r="B12" s="24" t="str">
        <x:v>Latvia</x:v>
      </x:c>
      <x:c r="C12" s="24" t="str">
        <x:v>EEZ</x:v>
      </x:c>
      <x:c r="D12" s="30" t="n">
        <x:v>2019</x:v>
      </x:c>
      <x:c r="E12" s="24" t="str">
        <x:v>Rutilus rutilus</x:v>
      </x:c>
      <x:c r="F12" s="24" t="str">
        <x:v>Roach</x:v>
      </x:c>
      <x:c r="G12" s="24" t="str">
        <x:v>Medium benthopelagics (30 - 89 cm)</x:v>
      </x:c>
      <x:c r="H12" s="24" t="str">
        <x:v>Other fishes &amp; inverts</x:v>
      </x:c>
      <x:c r="I12" s="31" t="n">
        <x:v>143.71917708179998</x:v>
      </x:c>
      <x:c r="J12" s="31" t="n">
        <x:v>134.75438616629998</x:v>
      </x:c>
      <x:c r="K12" s="31" t="n">
        <x:v>8.9647909155</x:v>
      </x:c>
      <x:c r="L12" s="31" t="n">
        <x:v>120.90983643999999</x:v>
      </x:c>
      <x:c r="M12" s="31" t="n">
        <x:v>22.8093406418</x:v>
      </x:c>
      <x:c r="N12" s="24" t="str">
        <x:v>rutilus rutilus</x:v>
      </x:c>
      <x:c r="O12" s="32" t="n">
        <x:v>2.96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Rutilus rutilus</x:v>
      </x:c>
      <x:c r="T12" s="32" t="n">
        <x:f>IF(O12="","",(1/'Metadata'!$B$5)^(O12-1))</x:f>
        <x:v>91.20108393559097</x:v>
      </x:c>
      <x:c r="U12" s="31" t="n">
        <x:f>IF(T12="","",I12*T12)</x:f>
        <x:v>13107.344732191303</x:v>
      </x:c>
    </x:row>
    <x:row r="13" ht="18" customHeight="1">
      <x:c r="A13" s="24" t="str">
        <x:v>EEZ_428</x:v>
      </x:c>
      <x:c r="B13" s="24" t="str">
        <x:v>Latvia</x:v>
      </x:c>
      <x:c r="C13" s="24" t="str">
        <x:v>EEZ</x:v>
      </x:c>
      <x:c r="D13" s="30" t="n">
        <x:v>2019</x:v>
      </x:c>
      <x:c r="E13" s="24" t="str">
        <x:v>Sander lucioperca</x:v>
      </x:c>
      <x:c r="F13" s="24" t="str">
        <x:v>Pike-perch</x:v>
      </x:c>
      <x:c r="G13" s="24" t="str">
        <x:v>Large pelagics (&gt;=90 cm)</x:v>
      </x:c>
      <x:c r="H13" s="24" t="str">
        <x:v>Perch-likes</x:v>
      </x:c>
      <x:c r="I13" s="31" t="n">
        <x:v>143.52339264489999</x:v>
      </x:c>
      <x:c r="J13" s="31" t="n">
        <x:v>141.48280377819998</x:v>
      </x:c>
      <x:c r="K13" s="31" t="n">
        <x:v>2.0405888667000003</x:v>
      </x:c>
      <x:c r="L13" s="31" t="n">
        <x:v>138.7794379085</x:v>
      </x:c>
      <x:c r="M13" s="31" t="n">
        <x:v>4.7439547364</x:v>
      </x:c>
      <x:c r="N13" s="24" t="str">
        <x:v>sander lucioperca</x:v>
      </x:c>
      <x:c r="O13" s="32" t="n">
        <x:v>4.04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Sander lucioperca</x:v>
      </x:c>
      <x:c r="T13" s="32" t="n">
        <x:f>IF(O13="","",(1/'Metadata'!$B$5)^(O13-1))</x:f>
        <x:v>1096.4781961431852</x:v>
      </x:c>
      <x:c r="U13" s="31" t="n">
        <x:f>IF(T13="","",I13*T13)</x:f>
        <x:v>157370.27067163002</x:v>
      </x:c>
    </x:row>
    <x:row r="14" ht="18" customHeight="1">
      <x:c r="A14" s="24" t="str">
        <x:v>EEZ_428</x:v>
      </x:c>
      <x:c r="B14" s="24" t="str">
        <x:v>Latvia</x:v>
      </x:c>
      <x:c r="C14" s="24" t="str">
        <x:v>EEZ</x:v>
      </x:c>
      <x:c r="D14" s="30" t="n">
        <x:v>2019</x:v>
      </x:c>
      <x:c r="E14" s="24" t="str">
        <x:v>Marine fishes not identified</x:v>
      </x:c>
      <x:c r="F14" s="24" t="str">
        <x:v>Marine fishes nei</x:v>
      </x:c>
      <x:c r="G14" s="24" t="str">
        <x:v>Medium demersals (30 - 89 cm)</x:v>
      </x:c>
      <x:c r="H14" s="24" t="str">
        <x:v>Other fishes &amp; inverts</x:v>
      </x:c>
      <x:c r="I14" s="31" t="n">
        <x:v>99.157535622</x:v>
      </x:c>
      <x:c r="J14" s="31" t="n">
        <x:v>85.82270726489999</x:v>
      </x:c>
      <x:c r="K14" s="31" t="n">
        <x:v>13.3348283571</x:v>
      </x:c>
      <x:c r="L14" s="31" t="n">
        <x:v>61.872021877899996</x:v>
      </x:c>
      <x:c r="M14" s="31" t="n">
        <x:v>37.2855137441</x:v>
      </x:c>
      <x:c r="N14" s="24" t="str">
        <x:v>marine fishes not identified</x:v>
      </x:c>
      <x:c r="O14" s="32" t="n">
        <x:v>3.28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fishes not identified</x:v>
      </x:c>
      <x:c r="T14" s="32" t="n">
        <x:f>IF(O14="","",(1/'Metadata'!$B$5)^(O14-1))</x:f>
        <x:v>190.54607179632464</x:v>
      </x:c>
      <x:c r="U14" s="31" t="n">
        <x:f>IF(T14="","",I14*T14)</x:f>
        <x:v>18894.07890177623</x:v>
      </x:c>
    </x:row>
    <x:row r="15" ht="18" customHeight="1">
      <x:c r="A15" s="24" t="str">
        <x:v>EEZ_428</x:v>
      </x:c>
      <x:c r="B15" s="24" t="str">
        <x:v>Latvia</x:v>
      </x:c>
      <x:c r="C15" s="24" t="str">
        <x:v>EEZ</x:v>
      </x:c>
      <x:c r="D15" s="30" t="n">
        <x:v>2019</x:v>
      </x:c>
      <x:c r="E15" s="24" t="str">
        <x:v>Vimba</x:v>
      </x:c>
      <x:c r="F15" s="24" t="str">
        <x:v>Vimba breams</x:v>
      </x:c>
      <x:c r="G15" s="24" t="str">
        <x:v>Medium demersals (30 - 89 cm)</x:v>
      </x:c>
      <x:c r="H15" s="24" t="str">
        <x:v>Other fishes &amp; inverts</x:v>
      </x:c>
      <x:c r="I15" s="31" t="n">
        <x:v>58.295767631</x:v>
      </x:c>
      <x:c r="J15" s="31" t="n">
        <x:v>55.360301414</x:v>
      </x:c>
      <x:c r="K15" s="31" t="n">
        <x:v>2.935466217</x:v>
      </x:c>
      <x:c r="L15" s="31" t="n">
        <x:v>52.184672539999994</x:v>
      </x:c>
      <x:c r="M15" s="31" t="n">
        <x:v>6.111095091</x:v>
      </x:c>
      <x:c r="N15" s="24" t="str">
        <x:v>vimba</x:v>
      </x:c>
      <x:c r="O15" s="32" t="n">
        <x:v>3.05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Vimba</x:v>
      </x:c>
      <x:c r="T15" s="32" t="n">
        <x:f>IF(O15="","",(1/'Metadata'!$B$5)^(O15-1))</x:f>
        <x:v>112.2018454301963</x:v>
      </x:c>
      <x:c r="U15" s="31" t="n">
        <x:f>IF(T15="","",I15*T15)</x:f>
        <x:v>6540.892708968103</x:v>
      </x:c>
    </x:row>
    <x:row r="16" ht="18" customHeight="1">
      <x:c r="A16" s="24" t="str">
        <x:v>EEZ_428</x:v>
      </x:c>
      <x:c r="B16" s="24" t="str">
        <x:v>Latvia</x:v>
      </x:c>
      <x:c r="C16" s="24" t="str">
        <x:v>EEZ</x:v>
      </x:c>
      <x:c r="D16" s="30" t="n">
        <x:v>2019</x:v>
      </x:c>
      <x:c r="E16" s="24" t="str">
        <x:v>Zoarces viviparus</x:v>
      </x:c>
      <x:c r="F16" s="24" t="str">
        <x:v>Eelpout</x:v>
      </x:c>
      <x:c r="G16" s="24" t="str">
        <x:v>Medium demersals (30 - 89 cm)</x:v>
      </x:c>
      <x:c r="H16" s="24" t="str">
        <x:v>Perch-likes</x:v>
      </x:c>
      <x:c r="I16" s="31" t="n">
        <x:v>45.0019829635</x:v>
      </x:c>
      <x:c r="J16" s="31" t="n">
        <x:v>39.758165539000004</x:v>
      </x:c>
      <x:c r="K16" s="31" t="n">
        <x:v>5.2438174244999995</x:v>
      </x:c>
      <x:c r="L16" s="31" t="n">
        <x:v>31.9186608156</x:v>
      </x:c>
      <x:c r="M16" s="31" t="n">
        <x:v>13.083322147899999</x:v>
      </x:c>
      <x:c r="N16" s="24" t="str">
        <x:v>zoarces viviparus</x:v>
      </x:c>
      <x:c r="O16" s="32" t="n">
        <x:v>3.47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Zoarces viviparus</x:v>
      </x:c>
      <x:c r="T16" s="32" t="n">
        <x:f>IF(O16="","",(1/'Metadata'!$B$5)^(O16-1))</x:f>
        <x:v>295.1209226666387</x:v>
      </x:c>
      <x:c r="U16" s="31" t="n">
        <x:f>IF(T16="","",I16*T16)</x:f>
        <x:v>13281.026734016476</x:v>
      </x:c>
    </x:row>
    <x:row r="17" ht="18" customHeight="1">
      <x:c r="A17" s="24" t="str">
        <x:v>EEZ_428</x:v>
      </x:c>
      <x:c r="B17" s="24" t="str">
        <x:v>Latvia</x:v>
      </x:c>
      <x:c r="C17" s="24" t="str">
        <x:v>EEZ</x:v>
      </x:c>
      <x:c r="D17" s="30" t="n">
        <x:v>2019</x:v>
      </x:c>
      <x:c r="E17" s="24" t="str">
        <x:v>Pelecus cultratus</x:v>
      </x:c>
      <x:c r="F17" s="24" t="str">
        <x:v>Sichel</x:v>
      </x:c>
      <x:c r="G17" s="24" t="str">
        <x:v>Medium pelagics (30 - 89 cm)</x:v>
      </x:c>
      <x:c r="H17" s="24" t="str">
        <x:v>Other fishes &amp; inverts</x:v>
      </x:c>
      <x:c r="I17" s="31" t="n">
        <x:v>34.194295366599995</x:v>
      </x:c>
      <x:c r="J17" s="31" t="n">
        <x:v>32.3496952917</x:v>
      </x:c>
      <x:c r="K17" s="31" t="n">
        <x:v>1.8446000749</x:v>
      </x:c>
      <x:c r="L17" s="31" t="n">
        <x:v>28.784832523600002</x:v>
      </x:c>
      <x:c r="M17" s="31" t="n">
        <x:v>5.409462843</x:v>
      </x:c>
      <x:c r="N17" s="24" t="str">
        <x:v>pelecus cultratus</x:v>
      </x:c>
      <x:c r="O17" s="32" t="n">
        <x:v>3.33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Pelecus cultratus</x:v>
      </x:c>
      <x:c r="T17" s="32" t="n">
        <x:f>IF(O17="","",(1/'Metadata'!$B$5)^(O17-1))</x:f>
        <x:v>213.79620895022325</x:v>
      </x:c>
      <x:c r="U17" s="31" t="n">
        <x:f>IF(T17="","",I17*T17)</x:f>
        <x:v>7310.610717103264</x:v>
      </x:c>
    </x:row>
    <x:row r="18" ht="18" customHeight="1">
      <x:c r="A18" s="24" t="str">
        <x:v>EEZ_428</x:v>
      </x:c>
      <x:c r="B18" s="24" t="str">
        <x:v>Latvia</x:v>
      </x:c>
      <x:c r="C18" s="24" t="str">
        <x:v>EEZ</x:v>
      </x:c>
      <x:c r="D18" s="30" t="n">
        <x:v>2019</x:v>
      </x:c>
      <x:c r="E18" s="24" t="str">
        <x:v>Gymnocephalus cernua</x:v>
      </x:c>
      <x:c r="F18" s="24" t="str">
        <x:v>Ruffe</x:v>
      </x:c>
      <x:c r="G18" s="24" t="str">
        <x:v>Small demersals (&lt;30 cm)</x:v>
      </x:c>
      <x:c r="H18" s="24" t="str">
        <x:v>Perch-likes</x:v>
      </x:c>
      <x:c r="I18" s="31" t="n">
        <x:v>22.7151615264</x:v>
      </x:c>
      <x:c r="J18" s="31" t="n">
        <x:v>20.951395323999996</x:v>
      </x:c>
      <x:c r="K18" s="31" t="n">
        <x:v>1.7637662024</x:v>
      </x:c>
      <x:c r="L18" s="31" t="n">
        <x:v>18.729581020599998</x:v>
      </x:c>
      <x:c r="M18" s="31" t="n">
        <x:v>3.9855805058</x:v>
      </x:c>
      <x:c r="N18" s="24" t="str">
        <x:v>gymnocephalus cernua</x:v>
      </x:c>
      <x:c r="O18" s="32" t="n">
        <x:v>3.32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Gymnocephalus cernua</x:v>
      </x:c>
      <x:c r="T18" s="32" t="n">
        <x:f>IF(O18="","",(1/'Metadata'!$B$5)^(O18-1))</x:f>
        <x:v>208.92961308540387</x:v>
      </x:c>
      <x:c r="U18" s="31" t="n">
        <x:f>IF(T18="","",I18*T18)</x:f>
        <x:v>4745.869908883204</x:v>
      </x:c>
    </x:row>
    <x:row r="19" ht="18" customHeight="1">
      <x:c r="A19" s="24" t="str">
        <x:v>EEZ_428</x:v>
      </x:c>
      <x:c r="B19" s="24" t="str">
        <x:v>Latvia</x:v>
      </x:c>
      <x:c r="C19" s="24" t="str">
        <x:v>EEZ</x:v>
      </x:c>
      <x:c r="D19" s="30" t="n">
        <x:v>2019</x:v>
      </x:c>
      <x:c r="E19" s="24" t="str">
        <x:v>Carassius carassius</x:v>
      </x:c>
      <x:c r="F19" s="24" t="str">
        <x:v>Crucian carp</x:v>
      </x:c>
      <x:c r="G19" s="24" t="str">
        <x:v>Medium demersals (30 - 89 cm)</x:v>
      </x:c>
      <x:c r="H19" s="24" t="str">
        <x:v>Other fishes &amp; inverts</x:v>
      </x:c>
      <x:c r="I19" s="31" t="n">
        <x:v>17.2642211703</x:v>
      </x:c>
      <x:c r="J19" s="31" t="n">
        <x:v>17.1980418696</x:v>
      </x:c>
      <x:c r="K19" s="31" t="n">
        <x:v>0.0661793007</x:v>
      </x:c>
      <x:c r="L19" s="31" t="n">
        <x:v>16.6207100743</x:v>
      </x:c>
      <x:c r="M19" s="31" t="n">
        <x:v>0.643511096</x:v>
      </x:c>
      <x:c r="N19" s="24" t="str">
        <x:v>carassius carassius</x:v>
      </x:c>
      <x:c r="O19" s="32" t="n">
        <x:v>3.11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Carassius carassius</x:v>
      </x:c>
      <x:c r="T19" s="32" t="n">
        <x:f>IF(O19="","",(1/'Metadata'!$B$5)^(O19-1))</x:f>
        <x:v>128.82495516931337</x:v>
      </x:c>
      <x:c r="U19" s="31" t="n">
        <x:f>IF(T19="","",I19*T19)</x:f>
        <x:v>2224.0625182970084</x:v>
      </x:c>
    </x:row>
    <x:row r="20" ht="18" customHeight="1">
      <x:c r="A20" s="24" t="str">
        <x:v>EEZ_428</x:v>
      </x:c>
      <x:c r="B20" s="24" t="str">
        <x:v>Latvia</x:v>
      </x:c>
      <x:c r="C20" s="24" t="str">
        <x:v>EEZ</x:v>
      </x:c>
      <x:c r="D20" s="30" t="n">
        <x:v>2019</x:v>
      </x:c>
      <x:c r="E20" s="24" t="str">
        <x:v>Esox lucius</x:v>
      </x:c>
      <x:c r="F20" s="24" t="str">
        <x:v>Northern pike</x:v>
      </x:c>
      <x:c r="G20" s="24" t="str">
        <x:v>Large demersals (&gt;=90 cm)</x:v>
      </x:c>
      <x:c r="H20" s="24" t="str">
        <x:v>Salmon, smelts, etc</x:v>
      </x:c>
      <x:c r="I20" s="31" t="n">
        <x:v>16.9742648972</x:v>
      </x:c>
      <x:c r="J20" s="31" t="n">
        <x:v>16.4514566088</x:v>
      </x:c>
      <x:c r="K20" s="31" t="n">
        <x:v>0.5228082883999999</x:v>
      </x:c>
      <x:c r="L20" s="31" t="n">
        <x:v>15.8845295745</x:v>
      </x:c>
      <x:c r="M20" s="31" t="n">
        <x:v>1.0897353227</x:v>
      </x:c>
      <x:c r="N20" s="24" t="str">
        <x:v>esox lucius</x:v>
      </x:c>
      <x:c r="O20" s="32" t="n">
        <x:v>4.07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Esox lucius</x:v>
      </x:c>
      <x:c r="T20" s="32" t="n">
        <x:f>IF(O20="","",(1/'Metadata'!$B$5)^(O20-1))</x:f>
        <x:v>1174.8975549395302</x:v>
      </x:c>
      <x:c r="U20" s="31" t="n">
        <x:f>IF(T20="","",I20*T20)</x:f>
        <x:v>19943.022324616177</x:v>
      </x:c>
    </x:row>
    <x:row r="21" ht="18" customHeight="1">
      <x:c r="A21" s="24" t="str">
        <x:v>EEZ_428</x:v>
      </x:c>
      <x:c r="B21" s="24" t="str">
        <x:v>Latvia</x:v>
      </x:c>
      <x:c r="C21" s="24" t="str">
        <x:v>EEZ</x:v>
      </x:c>
      <x:c r="D21" s="30" t="n">
        <x:v>2019</x:v>
      </x:c>
      <x:c r="E21" s="24" t="str">
        <x:v>Gasterosteus aculeatus</x:v>
      </x:c>
      <x:c r="F21" s="24" t="str">
        <x:v>Three-spined stickleback</x:v>
      </x:c>
      <x:c r="G21" s="24" t="str">
        <x:v>Small benthopelagics (&lt;30 cm)</x:v>
      </x:c>
      <x:c r="H21" s="24" t="str">
        <x:v>Other fishes &amp; inverts</x:v>
      </x:c>
      <x:c r="I21" s="31" t="n">
        <x:v>13.733903538</x:v>
      </x:c>
      <x:c r="J21" s="31" t="n">
        <x:v>13.6215727571</x:v>
      </x:c>
      <x:c r="K21" s="31" t="n">
        <x:v>0.11233078090000001</x:v>
      </x:c>
      <x:c r="L21" s="31" t="n">
        <x:v>13.3911954247</x:v>
      </x:c>
      <x:c r="M21" s="31" t="n">
        <x:v>0.3427081133</x:v>
      </x:c>
      <x:c r="N21" s="24" t="str">
        <x:v>gasterosteus aculeatus</x:v>
      </x:c>
      <x:c r="O21" s="32" t="n">
        <x:v>3.31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Gasterosteus aculeatus</x:v>
      </x:c>
      <x:c r="T21" s="32" t="n">
        <x:f>IF(O21="","",(1/'Metadata'!$B$5)^(O21-1))</x:f>
        <x:v>204.17379446695296</x:v>
      </x:c>
      <x:c r="U21" s="31" t="n">
        <x:f>IF(T21="","",I21*T21)</x:f>
        <x:v>2804.10319819657</x:v>
      </x:c>
    </x:row>
    <x:row r="22" ht="18" customHeight="1">
      <x:c r="A22" s="24" t="str">
        <x:v>EEZ_428</x:v>
      </x:c>
      <x:c r="B22" s="24" t="str">
        <x:v>Latvia</x:v>
      </x:c>
      <x:c r="C22" s="24" t="str">
        <x:v>EEZ</x:v>
      </x:c>
      <x:c r="D22" s="30" t="n">
        <x:v>2019</x:v>
      </x:c>
      <x:c r="E22" s="24" t="str">
        <x:v>Salmo salar</x:v>
      </x:c>
      <x:c r="F22" s="24" t="str">
        <x:v>Atlantic salmon</x:v>
      </x:c>
      <x:c r="G22" s="24" t="str">
        <x:v>Large benthopelagics (&gt;=90 cm)</x:v>
      </x:c>
      <x:c r="H22" s="24" t="str">
        <x:v>Salmon, smelts, etc</x:v>
      </x:c>
      <x:c r="I22" s="31" t="n">
        <x:v>12.3479759907</x:v>
      </x:c>
      <x:c r="J22" s="31" t="n">
        <x:v>12.0025819785</x:v>
      </x:c>
      <x:c r="K22" s="31" t="n">
        <x:v>0.3453940122</x:v>
      </x:c>
      <x:c r="L22" s="31" t="n">
        <x:v>5.0440608286</x:v>
      </x:c>
      <x:c r="M22" s="31" t="n">
        <x:v>7.3039151621</x:v>
      </x:c>
      <x:c r="N22" s="24" t="str">
        <x:v>salmo salar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Salmo salar</x:v>
      </x:c>
      <x:c r="T22" s="32" t="n">
        <x:f>IF(O22="","",(1/'Metadata'!$B$5)^(O22-1))</x:f>
        <x:v>3162.2776601683795</x:v>
      </x:c>
      <x:c r="U22" s="31" t="n">
        <x:f>IF(T22="","",I22*T22)</x:f>
        <x:v>39047.728623686126</x:v>
      </x:c>
    </x:row>
    <x:row r="23" ht="18" customHeight="1">
      <x:c r="A23" s="24" t="str">
        <x:v>EEZ_428</x:v>
      </x:c>
      <x:c r="B23" s="24" t="str">
        <x:v>Latvia</x:v>
      </x:c>
      <x:c r="C23" s="24" t="str">
        <x:v>EEZ</x:v>
      </x:c>
      <x:c r="D23" s="30" t="n">
        <x:v>2019</x:v>
      </x:c>
      <x:c r="E23" s="24" t="str">
        <x:v>Salmo trutta</x:v>
      </x:c>
      <x:c r="F23" s="24" t="str">
        <x:v>Sea trout</x:v>
      </x:c>
      <x:c r="G23" s="24" t="str">
        <x:v>Large pelagics (&gt;=90 cm)</x:v>
      </x:c>
      <x:c r="H23" s="24" t="str">
        <x:v>Salmon, smelts, etc</x:v>
      </x:c>
      <x:c r="I23" s="31" t="n">
        <x:v>11.351931045599999</x:v>
      </x:c>
      <x:c r="J23" s="31" t="n">
        <x:v>11.0233727673</x:v>
      </x:c>
      <x:c r="K23" s="31" t="n">
        <x:v>0.3285582783</x:v>
      </x:c>
      <x:c r="L23" s="31" t="n">
        <x:v>4.4143806870999995</x:v>
      </x:c>
      <x:c r="M23" s="31" t="n">
        <x:v>6.9375503585</x:v>
      </x:c>
      <x:c r="N23" s="24" t="str">
        <x:v>salmo trutta</x:v>
      </x:c>
      <x:c r="O23" s="32" t="n">
        <x:v>3.36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Salmo trutta</x:v>
      </x:c>
      <x:c r="T23" s="32" t="n">
        <x:f>IF(O23="","",(1/'Metadata'!$B$5)^(O23-1))</x:f>
        <x:v>229.08676527677724</x:v>
      </x:c>
      <x:c r="U23" s="31" t="n">
        <x:f>IF(T23="","",I23*T23)</x:f>
        <x:v>2600.5771628815273</x:v>
      </x:c>
    </x:row>
    <x:row r="24" ht="18" customHeight="1">
      <x:c r="A24" s="24" t="str">
        <x:v>EEZ_428</x:v>
      </x:c>
      <x:c r="B24" s="24" t="str">
        <x:v>Latvia</x:v>
      </x:c>
      <x:c r="C24" s="24" t="str">
        <x:v>EEZ</x:v>
      </x:c>
      <x:c r="D24" s="30" t="n">
        <x:v>2019</x:v>
      </x:c>
      <x:c r="E24" s="24" t="str">
        <x:v>Anguilla anguilla</x:v>
      </x:c>
      <x:c r="F24" s="24" t="str">
        <x:v>European eel</x:v>
      </x:c>
      <x:c r="G24" s="24" t="str">
        <x:v>Large demersals (&gt;=90 cm)</x:v>
      </x:c>
      <x:c r="H24" s="24" t="str">
        <x:v>Other fishes &amp; inverts</x:v>
      </x:c>
      <x:c r="I24" s="31" t="n">
        <x:v>8.476404089199999</x:v>
      </x:c>
      <x:c r="J24" s="31" t="n">
        <x:v>8.3591400648</x:v>
      </x:c>
      <x:c r="K24" s="31" t="n">
        <x:v>0.1172640244</x:v>
      </x:c>
      <x:c r="L24" s="31" t="n">
        <x:v>7.4934432277</x:v>
      </x:c>
      <x:c r="M24" s="31" t="n">
        <x:v>0.9829608615</x:v>
      </x:c>
      <x:c r="N24" s="24" t="str">
        <x:v>anguilla anguilla</x:v>
      </x:c>
      <x:c r="O24" s="32" t="n">
        <x:v>3.55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Anguilla anguilla</x:v>
      </x:c>
      <x:c r="T24" s="32" t="n">
        <x:f>IF(O24="","",(1/'Metadata'!$B$5)^(O24-1))</x:f>
        <x:v>354.8133892335753</x:v>
      </x:c>
      <x:c r="U24" s="31" t="n">
        <x:f>IF(T24="","",I24*T24)</x:f>
        <x:v>3007.5416634023886</x:v>
      </x:c>
    </x:row>
    <x:row r="25" ht="18" customHeight="1">
      <x:c r="A25" s="24" t="str">
        <x:v>EEZ_428</x:v>
      </x:c>
      <x:c r="B25" s="24" t="str">
        <x:v>Latvia</x:v>
      </x:c>
      <x:c r="C25" s="24" t="str">
        <x:v>EEZ</x:v>
      </x:c>
      <x:c r="D25" s="30" t="n">
        <x:v>2019</x:v>
      </x:c>
      <x:c r="E25" s="24" t="str">
        <x:v>Alosa fallax</x:v>
      </x:c>
      <x:c r="F25" s="24" t="str">
        <x:v>Twaite shad</x:v>
      </x:c>
      <x:c r="G25" s="24" t="str">
        <x:v>Medium pelagics (30 - 89 cm)</x:v>
      </x:c>
      <x:c r="H25" s="24" t="str">
        <x:v>Herring-likes</x:v>
      </x:c>
      <x:c r="I25" s="31" t="n">
        <x:v>7.3717567059</x:v>
      </x:c>
      <x:c r="J25" s="31" t="n">
        <x:v>7.0720343421</x:v>
      </x:c>
      <x:c r="K25" s="31" t="n">
        <x:v>0.2997223638</x:v>
      </x:c>
      <x:c r="L25" s="31" t="n">
        <x:v>6.588274350400001</x:v>
      </x:c>
      <x:c r="M25" s="31" t="n">
        <x:v>0.7834823555</x:v>
      </x:c>
      <x:c r="N25" s="24" t="str">
        <x:v>alosa fallax</x:v>
      </x:c>
      <x:c r="O25" s="32" t="n">
        <x:v>4.03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Alosa fallax</x:v>
      </x:c>
      <x:c r="T25" s="32" t="n">
        <x:f>IF(O25="","",(1/'Metadata'!$B$5)^(O25-1))</x:f>
        <x:v>1071.519305237607</x:v>
      </x:c>
      <x:c r="U25" s="31" t="n">
        <x:f>IF(T25="","",I25*T25)</x:f>
        <x:v>7898.979623886639</x:v>
      </x:c>
    </x:row>
    <x:row r="26" ht="18" customHeight="1">
      <x:c r="A26" s="24" t="str">
        <x:v>EEZ_428</x:v>
      </x:c>
      <x:c r="B26" s="24" t="str">
        <x:v>Latvia</x:v>
      </x:c>
      <x:c r="C26" s="24" t="str">
        <x:v>EEZ</x:v>
      </x:c>
      <x:c r="D26" s="30" t="n">
        <x:v>2019</x:v>
      </x:c>
      <x:c r="E26" s="24" t="str">
        <x:v>Cyprinidae</x:v>
      </x:c>
      <x:c r="F26" s="24" t="str">
        <x:v>Carps, barbels, other cyprinids</x:v>
      </x:c>
      <x:c r="G26" s="24" t="str">
        <x:v>Medium demersals (30 - 89 cm)</x:v>
      </x:c>
      <x:c r="H26" s="24" t="str">
        <x:v>Other fishes &amp; inverts</x:v>
      </x:c>
      <x:c r="I26" s="31" t="n">
        <x:v>7.10305141</x:v>
      </x:c>
      <x:c r="J26" s="31" t="n">
        <x:v>7.10305141</x:v>
      </x:c>
      <x:c r="K26" s="31" t="n">
        <x:v>0</x:v>
      </x:c>
      <x:c r="L26" s="31" t="n">
        <x:v>7.10305141</x:v>
      </x:c>
      <x:c r="M26" s="31" t="n">
        <x:v>0</x:v>
      </x:c>
      <x:c r="N26" s="24" t="str">
        <x:v>cyprinidae</x:v>
      </x:c>
      <x:c r="O26" s="32" t="n">
        <x:v>2.8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Cyprinidae</x:v>
      </x:c>
      <x:c r="T26" s="32" t="n">
        <x:f>IF(O26="","",(1/'Metadata'!$B$5)^(O26-1))</x:f>
        <x:v>63.0957344480193</x:v>
      </x:c>
      <x:c r="U26" s="31" t="n">
        <x:f>IF(T26="","",I26*T26)</x:f>
        <x:v>448.1722455359891</x:v>
      </x:c>
    </x:row>
    <x:row r="27" ht="18" customHeight="1">
      <x:c r="A27" s="24" t="str">
        <x:v>EEZ_428</x:v>
      </x:c>
      <x:c r="B27" s="24" t="str">
        <x:v>Latvia</x:v>
      </x:c>
      <x:c r="C27" s="24" t="str">
        <x:v>EEZ</x:v>
      </x:c>
      <x:c r="D27" s="30" t="n">
        <x:v>2019</x:v>
      </x:c>
      <x:c r="E27" s="24" t="str">
        <x:v>Perciformes</x:v>
      </x:c>
      <x:c r="F27" s="24" t="str">
        <x:v>Perch-likes</x:v>
      </x:c>
      <x:c r="G27" s="24" t="str">
        <x:v>Medium demersals (30 - 89 cm)</x:v>
      </x:c>
      <x:c r="H27" s="24" t="str">
        <x:v>Perch-likes</x:v>
      </x:c>
      <x:c r="I27" s="31" t="n">
        <x:v>7.0506899246</x:v>
      </x:c>
      <x:c r="J27" s="31" t="n">
        <x:v>4.3533436799</x:v>
      </x:c>
      <x:c r="K27" s="31" t="n">
        <x:v>2.6973462447</x:v>
      </x:c>
      <x:c r="L27" s="31" t="n">
        <x:v>0</x:v>
      </x:c>
      <x:c r="M27" s="31" t="n">
        <x:v>7.0506899246</x:v>
      </x:c>
      <x:c r="N27" s="24" t="str">
        <x:v>perciformes</x:v>
      </x:c>
      <x:c r="O27" s="32" t="n">
        <x:v>3.53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Perciformes</x:v>
      </x:c>
      <x:c r="T27" s="32" t="n">
        <x:f>IF(O27="","",(1/'Metadata'!$B$5)^(O27-1))</x:f>
        <x:v>338.84415613920237</x:v>
      </x:c>
      <x:c r="U27" s="31" t="n">
        <x:f>IF(T27="","",I27*T27)</x:f>
        <x:v>2389.0850777002634</x:v>
      </x:c>
    </x:row>
    <x:row r="28" ht="18" customHeight="1">
      <x:c r="A28" s="24" t="str">
        <x:v>EEZ_428</x:v>
      </x:c>
      <x:c r="B28" s="24" t="str">
        <x:v>Latvia</x:v>
      </x:c>
      <x:c r="C28" s="24" t="str">
        <x:v>EEZ</x:v>
      </x:c>
      <x:c r="D28" s="30" t="n">
        <x:v>2019</x:v>
      </x:c>
      <x:c r="E28" s="24" t="str">
        <x:v>Leuciscus idus</x:v>
      </x:c>
      <x:c r="F28" s="24" t="str">
        <x:v>Ide</x:v>
      </x:c>
      <x:c r="G28" s="24" t="str">
        <x:v>Medium benthopelagics (30 - 89 cm)</x:v>
      </x:c>
      <x:c r="H28" s="24" t="str">
        <x:v>Other fishes &amp; inverts</x:v>
      </x:c>
      <x:c r="I28" s="31" t="n">
        <x:v>6.7655961252</x:v>
      </x:c>
      <x:c r="J28" s="31" t="n">
        <x:v>6.4957960086</x:v>
      </x:c>
      <x:c r="K28" s="31" t="n">
        <x:v>0.2698001166</x:v>
      </x:c>
      <x:c r="L28" s="31" t="n">
        <x:v>6.101599777600001</x:v>
      </x:c>
      <x:c r="M28" s="31" t="n">
        <x:v>0.6639963475999999</x:v>
      </x:c>
      <x:c r="N28" s="24" t="str">
        <x:v>leuciscus idus</x:v>
      </x:c>
      <x:c r="O28" s="32" t="n">
        <x:v>3.79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Leuciscus idus</x:v>
      </x:c>
      <x:c r="T28" s="32" t="n">
        <x:f>IF(O28="","",(1/'Metadata'!$B$5)^(O28-1))</x:f>
        <x:v>616.5950018614822</x:v>
      </x:c>
      <x:c r="U28" s="31" t="n">
        <x:f>IF(T28="","",I28*T28)</x:f>
        <x:v>4171.632755411731</x:v>
      </x:c>
    </x:row>
    <x:row r="29" ht="18" customHeight="1">
      <x:c r="A29" s="24" t="str">
        <x:v>EEZ_428</x:v>
      </x:c>
      <x:c r="B29" s="24" t="str">
        <x:v>Latvia</x:v>
      </x:c>
      <x:c r="C29" s="24" t="str">
        <x:v>EEZ</x:v>
      </x:c>
      <x:c r="D29" s="30" t="n">
        <x:v>2019</x:v>
      </x:c>
      <x:c r="E29" s="24" t="str">
        <x:v>Ammodytes tobianus</x:v>
      </x:c>
      <x:c r="F29" s="24" t="str">
        <x:v>Small sandeel</x:v>
      </x:c>
      <x:c r="G29" s="24" t="str">
        <x:v>Small demersals (&lt;30 cm)</x:v>
      </x:c>
      <x:c r="H29" s="24" t="str">
        <x:v>Perch-likes</x:v>
      </x:c>
      <x:c r="I29" s="31" t="n">
        <x:v>6.0053710834</x:v>
      </x:c>
      <x:c r="J29" s="31" t="n">
        <x:v>6.0053710834</x:v>
      </x:c>
      <x:c r="K29" s="31" t="n">
        <x:v>0</x:v>
      </x:c>
      <x:c r="L29" s="31" t="n">
        <x:v>6.0053710834</x:v>
      </x:c>
      <x:c r="M29" s="31" t="n">
        <x:v>0</x:v>
      </x:c>
      <x:c r="N29" s="24" t="str">
        <x:v>ammodytes tobianus</x:v>
      </x:c>
      <x:c r="O29" s="32" t="n">
        <x:v>3.08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Ammodytes tobianus</x:v>
      </x:c>
      <x:c r="T29" s="32" t="n">
        <x:f>IF(O29="","",(1/'Metadata'!$B$5)^(O29-1))</x:f>
        <x:v>120.22644346174131</x:v>
      </x:c>
      <x:c r="U29" s="31" t="n">
        <x:f>IF(T29="","",I29*T29)</x:f>
        <x:v>722.0044070251663</x:v>
      </x:c>
    </x:row>
    <x:row r="30" ht="18" customHeight="1">
      <x:c r="A30" s="24" t="str">
        <x:v>EEZ_428</x:v>
      </x:c>
      <x:c r="B30" s="24" t="str">
        <x:v>Latvia</x:v>
      </x:c>
      <x:c r="C30" s="24" t="str">
        <x:v>EEZ</x:v>
      </x:c>
      <x:c r="D30" s="30" t="n">
        <x:v>2019</x:v>
      </x:c>
      <x:c r="E30" s="24" t="str">
        <x:v>Scophthalmus maximus</x:v>
      </x:c>
      <x:c r="F30" s="24" t="str">
        <x:v>Turbot</x:v>
      </x:c>
      <x:c r="G30" s="24" t="str">
        <x:v>Large flatfishes (&gt;=90 cm)</x:v>
      </x:c>
      <x:c r="H30" s="24" t="str">
        <x:v>Flatfishes</x:v>
      </x:c>
      <x:c r="I30" s="31" t="n">
        <x:v>4.9223063611</x:v>
      </x:c>
      <x:c r="J30" s="31" t="n">
        <x:v>3.6783667401</x:v>
      </x:c>
      <x:c r="K30" s="31" t="n">
        <x:v>1.243939621</x:v>
      </x:c>
      <x:c r="L30" s="31" t="n">
        <x:v>3.4389184168</x:v>
      </x:c>
      <x:c r="M30" s="31" t="n">
        <x:v>1.4833879443</x:v>
      </x:c>
      <x:c r="N30" s="24" t="str">
        <x:v>scophthalmus maximus</x:v>
      </x:c>
      <x:c r="O30" s="32" t="n">
        <x:v>4.36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Scophthalmus maximus</x:v>
      </x:c>
      <x:c r="T30" s="32" t="n">
        <x:f>IF(O30="","",(1/'Metadata'!$B$5)^(O30-1))</x:f>
        <x:v>2290.867652767775</x:v>
      </x:c>
      <x:c r="U30" s="31" t="n">
        <x:f>IF(T30="","",I30*T30)</x:f>
        <x:v>11276.352419657045</x:v>
      </x:c>
    </x:row>
    <x:row r="31" ht="18" customHeight="1">
      <x:c r="A31" s="24" t="str">
        <x:v>EEZ_428</x:v>
      </x:c>
      <x:c r="B31" s="24" t="str">
        <x:v>Latvia</x:v>
      </x:c>
      <x:c r="C31" s="24" t="str">
        <x:v>EEZ</x:v>
      </x:c>
      <x:c r="D31" s="30" t="n">
        <x:v>2019</x:v>
      </x:c>
      <x:c r="E31" s="24" t="str">
        <x:v>Marine finfishes not identified</x:v>
      </x:c>
      <x:c r="F31" s="24" t="str">
        <x:v>Finfishes</x:v>
      </x:c>
      <x:c r="G31" s="24" t="str">
        <x:v>Medium demersals (30 - 89 cm)</x:v>
      </x:c>
      <x:c r="H31" s="24" t="str">
        <x:v>Other fishes &amp; inverts</x:v>
      </x:c>
      <x:c r="I31" s="31" t="n">
        <x:v>4.201966322700001</x:v>
      </x:c>
      <x:c r="J31" s="31" t="n">
        <x:v>2.7018346376</x:v>
      </x:c>
      <x:c r="K31" s="31" t="n">
        <x:v>1.5001316851</x:v>
      </x:c>
      <x:c r="L31" s="31" t="n">
        <x:v>0</x:v>
      </x:c>
      <x:c r="M31" s="31" t="n">
        <x:v>4.201966322700001</x:v>
      </x:c>
      <x:c r="N31" s="24" t="str">
        <x:v>marine finfishes not identified</x:v>
      </x:c>
      <x:c r="O31" s="32" t="n">
        <x:v>3.23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Marine finfishes not identified</x:v>
      </x:c>
      <x:c r="T31" s="32" t="n">
        <x:f>IF(O31="","",(1/'Metadata'!$B$5)^(O31-1))</x:f>
        <x:v>169.82436524617444</x:v>
      </x:c>
      <x:c r="U31" s="31" t="n">
        <x:f>IF(T31="","",I31*T31)</x:f>
        <x:v>713.5962635383294</x:v>
      </x:c>
    </x:row>
    <x:row r="32" ht="18" customHeight="1">
      <x:c r="A32" s="24" t="str">
        <x:v>EEZ_428</x:v>
      </x:c>
      <x:c r="B32" s="24" t="str">
        <x:v>Latvia</x:v>
      </x:c>
      <x:c r="C32" s="24" t="str">
        <x:v>EEZ</x:v>
      </x:c>
      <x:c r="D32" s="30" t="n">
        <x:v>2019</x:v>
      </x:c>
      <x:c r="E32" s="24" t="str">
        <x:v>Coregonus</x:v>
      </x:c>
      <x:c r="F32" s="24" t="str">
        <x:v>Whitefishes</x:v>
      </x:c>
      <x:c r="G32" s="24" t="str">
        <x:v>Medium pelagics (30 - 89 cm)</x:v>
      </x:c>
      <x:c r="H32" s="24" t="str">
        <x:v>Salmon, smelts, etc</x:v>
      </x:c>
      <x:c r="I32" s="31" t="n">
        <x:v>4.0507817506</x:v>
      </x:c>
      <x:c r="J32" s="31" t="n">
        <x:v>3.9400971361</x:v>
      </x:c>
      <x:c r="K32" s="31" t="n">
        <x:v>0.1106846145</x:v>
      </x:c>
      <x:c r="L32" s="31" t="n">
        <x:v>3.7075112756000004</x:v>
      </x:c>
      <x:c r="M32" s="31" t="n">
        <x:v>0.343270475</x:v>
      </x:c>
      <x:c r="N32" s="24" t="str">
        <x:v>coregonus</x:v>
      </x:c>
      <x:c r="O32" s="32" t="n">
        <x:v>3.3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Coregonus</x:v>
      </x:c>
      <x:c r="T32" s="32" t="n">
        <x:f>IF(O32="","",(1/'Metadata'!$B$5)^(O32-1))</x:f>
        <x:v>199.52623149688787</x:v>
      </x:c>
      <x:c r="U32" s="31" t="n">
        <x:f>IF(T32="","",I32*T32)</x:f>
        <x:v>808.2372173135842</x:v>
      </x:c>
    </x:row>
    <x:row r="33" ht="18" customHeight="1">
      <x:c r="A33" s="24" t="str">
        <x:v>EEZ_428</x:v>
      </x:c>
      <x:c r="B33" s="24" t="str">
        <x:v>Latvia</x:v>
      </x:c>
      <x:c r="C33" s="24" t="str">
        <x:v>EEZ</x:v>
      </x:c>
      <x:c r="D33" s="30" t="n">
        <x:v>2019</x:v>
      </x:c>
      <x:c r="E33" s="24" t="str">
        <x:v>Lota lota</x:v>
      </x:c>
      <x:c r="F33" s="24" t="str">
        <x:v>Burbot</x:v>
      </x:c>
      <x:c r="G33" s="24" t="str">
        <x:v>Large demersals (&gt;=90 cm)</x:v>
      </x:c>
      <x:c r="H33" s="24" t="str">
        <x:v>Cod-likes</x:v>
      </x:c>
      <x:c r="I33" s="31" t="n">
        <x:v>2.9750431615</x:v>
      </x:c>
      <x:c r="J33" s="31" t="n">
        <x:v>2.8197589070999998</x:v>
      </x:c>
      <x:c r="K33" s="31" t="n">
        <x:v>0.1552842544</x:v>
      </x:c>
      <x:c r="L33" s="31" t="n">
        <x:v>2.5822269817</x:v>
      </x:c>
      <x:c r="M33" s="31" t="n">
        <x:v>0.3928161798</x:v>
      </x:c>
      <x:c r="N33" s="24" t="str">
        <x:v>lota lota</x:v>
      </x:c>
      <x:c r="O33" s="32" t="n">
        <x:v>3.84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Lota lota</x:v>
      </x:c>
      <x:c r="T33" s="32" t="n">
        <x:f>IF(O33="","",(1/'Metadata'!$B$5)^(O33-1))</x:f>
        <x:v>691.8309709189363</x:v>
      </x:c>
      <x:c r="U33" s="31" t="n">
        <x:f>IF(T33="","",I33*T33)</x:f>
        <x:v>2058.2269989462866</x:v>
      </x:c>
    </x:row>
    <x:row r="34" ht="18" customHeight="1">
      <x:c r="A34" s="24" t="str">
        <x:v>EEZ_428</x:v>
      </x:c>
      <x:c r="B34" s="24" t="str">
        <x:v>Latvia</x:v>
      </x:c>
      <x:c r="C34" s="24" t="str">
        <x:v>EEZ</x:v>
      </x:c>
      <x:c r="D34" s="30" t="n">
        <x:v>2019</x:v>
      </x:c>
      <x:c r="E34" s="24" t="str">
        <x:v>Osteichthyes</x:v>
      </x:c>
      <x:c r="F34" s="24" t="str">
        <x:v>Bony fishes</x:v>
      </x:c>
      <x:c r="G34" s="24" t="str">
        <x:v>Medium demersals (30 - 89 cm)</x:v>
      </x:c>
      <x:c r="H34" s="24" t="str">
        <x:v>Other fishes &amp; inverts</x:v>
      </x:c>
      <x:c r="I34" s="31" t="n">
        <x:v>2.4275564595</x:v>
      </x:c>
      <x:c r="J34" s="31" t="n">
        <x:v>2.4275564595</x:v>
      </x:c>
      <x:c r="K34" s="31" t="n">
        <x:v>0</x:v>
      </x:c>
      <x:c r="L34" s="31" t="n">
        <x:v>2.4275564595</x:v>
      </x:c>
      <x:c r="M34" s="31" t="n">
        <x:v>0</x:v>
      </x:c>
      <x:c r="N34" s="24" t="str">
        <x:v>osteichthyes</x:v>
      </x:c>
      <x:c r="O34" s="32" t="n">
        <x:v>3.79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Osteichthyes</x:v>
      </x:c>
      <x:c r="T34" s="32" t="n">
        <x:f>IF(O34="","",(1/'Metadata'!$B$5)^(O34-1))</x:f>
        <x:v>616.5950018614822</x:v>
      </x:c>
      <x:c r="U34" s="31" t="n">
        <x:f>IF(T34="","",I34*T34)</x:f>
        <x:v>1496.8191796642554</x:v>
      </x:c>
    </x:row>
    <x:row r="35" ht="18" customHeight="1">
      <x:c r="A35" s="24" t="str">
        <x:v>EEZ_428</x:v>
      </x:c>
      <x:c r="B35" s="24" t="str">
        <x:v>Latvia</x:v>
      </x:c>
      <x:c r="C35" s="24" t="str">
        <x:v>EEZ</x:v>
      </x:c>
      <x:c r="D35" s="30" t="n">
        <x:v>2019</x:v>
      </x:c>
      <x:c r="E35" s="24" t="str">
        <x:v>Tinca tinca</x:v>
      </x:c>
      <x:c r="F35" s="24" t="str">
        <x:v>Tench</x:v>
      </x:c>
      <x:c r="G35" s="24" t="str">
        <x:v>Medium demersals (30 - 89 cm)</x:v>
      </x:c>
      <x:c r="H35" s="24" t="str">
        <x:v>Other fishes &amp; inverts</x:v>
      </x:c>
      <x:c r="I35" s="31" t="n">
        <x:v>1.742484882</x:v>
      </x:c>
      <x:c r="J35" s="31" t="n">
        <x:v>1.6535769011</x:v>
      </x:c>
      <x:c r="K35" s="31" t="n">
        <x:v>0.08890798089999999</x:v>
      </x:c>
      <x:c r="L35" s="31" t="n">
        <x:v>1.5323554305000002</x:v>
      </x:c>
      <x:c r="M35" s="31" t="n">
        <x:v>0.2101294515</x:v>
      </x:c>
      <x:c r="N35" s="24" t="str">
        <x:v>tinca tinca</x:v>
      </x:c>
      <x:c r="O35" s="32" t="n">
        <x:v>3.69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Tinca tinca</x:v>
      </x:c>
      <x:c r="T35" s="32" t="n">
        <x:f>IF(O35="","",(1/'Metadata'!$B$5)^(O35-1))</x:f>
        <x:v>489.77881936844614</x:v>
      </x:c>
      <x:c r="U35" s="31" t="n">
        <x:f>IF(T35="","",I35*T35)</x:f>
        <x:v>853.4321882733262</x:v>
      </x:c>
    </x:row>
    <x:row r="36" ht="18" customHeight="1">
      <x:c r="A36" s="24" t="str">
        <x:v>EEZ_428</x:v>
      </x:c>
      <x:c r="B36" s="24" t="str">
        <x:v>Latvia</x:v>
      </x:c>
      <x:c r="C36" s="24" t="str">
        <x:v>EEZ</x:v>
      </x:c>
      <x:c r="D36" s="30" t="n">
        <x:v>2019</x:v>
      </x:c>
      <x:c r="E36" s="24" t="str">
        <x:v>Scardinius erythrophthalmus</x:v>
      </x:c>
      <x:c r="F36" s="24" t="str">
        <x:v>Rudd</x:v>
      </x:c>
      <x:c r="G36" s="24" t="str">
        <x:v>Medium benthopelagics (30 - 89 cm)</x:v>
      </x:c>
      <x:c r="H36" s="24" t="str">
        <x:v>Other fishes &amp; inverts</x:v>
      </x:c>
      <x:c r="I36" s="31" t="n">
        <x:v>1.418933702</x:v>
      </x:c>
      <x:c r="J36" s="31" t="n">
        <x:v>1.368903776</x:v>
      </x:c>
      <x:c r="K36" s="31" t="n">
        <x:v>0.050029926</x:v>
      </x:c>
      <x:c r="L36" s="31" t="n">
        <x:v>1.298875635</x:v>
      </x:c>
      <x:c r="M36" s="31" t="n">
        <x:v>0.12005806699999999</x:v>
      </x:c>
      <x:c r="N36" s="24" t="str">
        <x:v>scardinius erythrophthalmus</x:v>
      </x:c>
      <x:c r="O36" s="32" t="n">
        <x:v>2.89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Scardinius erythrophthalmus</x:v>
      </x:c>
      <x:c r="T36" s="32" t="n">
        <x:f>IF(O36="","",(1/'Metadata'!$B$5)^(O36-1))</x:f>
        <x:v>77.6247116628692</x:v>
      </x:c>
      <x:c r="U36" s="31" t="n">
        <x:f>IF(T36="","",I36*T36)</x:f>
        <x:v>110.14431948647757</x:v>
      </x:c>
    </x:row>
    <x:row r="37" ht="18" customHeight="1">
      <x:c r="A37" s="24" t="str">
        <x:v>EEZ_428</x:v>
      </x:c>
      <x:c r="B37" s="24" t="str">
        <x:v>Latvia</x:v>
      </x:c>
      <x:c r="C37" s="24" t="str">
        <x:v>EEZ</x:v>
      </x:c>
      <x:c r="D37" s="30" t="n">
        <x:v>2019</x:v>
      </x:c>
      <x:c r="E37" s="24" t="str">
        <x:v>Cyprinus carpio</x:v>
      </x:c>
      <x:c r="F37" s="24" t="str">
        <x:v>Common carp</x:v>
      </x:c>
      <x:c r="G37" s="24" t="str">
        <x:v>Large benthopelagics (&gt;=90 cm)</x:v>
      </x:c>
      <x:c r="H37" s="24" t="str">
        <x:v>Other fishes &amp; inverts</x:v>
      </x:c>
      <x:c r="I37" s="31" t="n">
        <x:v>0.3717844399</x:v>
      </x:c>
      <x:c r="J37" s="31" t="n">
        <x:v>0.3717844399</x:v>
      </x:c>
      <x:c r="K37" s="31" t="n">
        <x:v>0</x:v>
      </x:c>
      <x:c r="L37" s="31" t="n">
        <x:v>0.3697676023</x:v>
      </x:c>
      <x:c r="M37" s="31" t="n">
        <x:v>0.0020168376</x:v>
      </x:c>
      <x:c r="N37" s="24" t="str">
        <x:v>cyprinus carpio</x:v>
      </x:c>
      <x:c r="O37" s="32" t="n">
        <x:v>3.06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Cyprinus carpio</x:v>
      </x:c>
      <x:c r="T37" s="32" t="n">
        <x:f>IF(O37="","",(1/'Metadata'!$B$5)^(O37-1))</x:f>
        <x:v>114.81536214968828</x:v>
      </x:c>
      <x:c r="U37" s="31" t="n">
        <x:f>IF(T37="","",I37*T37)</x:f>
        <x:v>42.68656510873752</x:v>
      </x:c>
    </x:row>
    <x:row r="38" ht="18" customHeight="1">
      <x:c r="A38" s="24" t="str">
        <x:v>EEZ_428</x:v>
      </x:c>
      <x:c r="B38" s="24" t="str">
        <x:v>Latvia</x:v>
      </x:c>
      <x:c r="C38" s="24" t="str">
        <x:v>EEZ</x:v>
      </x:c>
      <x:c r="D38" s="30" t="n">
        <x:v>2019</x:v>
      </x:c>
      <x:c r="E38" s="24" t="str">
        <x:v>Limanda limanda</x:v>
      </x:c>
      <x:c r="F38" s="24" t="str">
        <x:v>Common dab</x:v>
      </x:c>
      <x:c r="G38" s="24" t="str">
        <x:v>Small to medium flatfishes (&lt;90 cm)</x:v>
      </x:c>
      <x:c r="H38" s="24" t="str">
        <x:v>Flatfishes</x:v>
      </x:c>
      <x:c r="I38" s="31" t="n">
        <x:v>0.1692705324</x:v>
      </x:c>
      <x:c r="J38" s="31" t="n">
        <x:v>0.061195376499999996</x:v>
      </x:c>
      <x:c r="K38" s="31" t="n">
        <x:v>0.1080751559</x:v>
      </x:c>
      <x:c r="L38" s="31" t="n">
        <x:v>0.056629178599999996</x:v>
      </x:c>
      <x:c r="M38" s="31" t="n">
        <x:v>0.1126413538</x:v>
      </x:c>
      <x:c r="N38" s="24" t="str">
        <x:v>limanda limanda</x:v>
      </x:c>
      <x:c r="O38" s="32" t="n">
        <x:v>3.29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Limanda limanda</x:v>
      </x:c>
      <x:c r="T38" s="32" t="n">
        <x:f>IF(O38="","",(1/'Metadata'!$B$5)^(O38-1))</x:f>
        <x:v>194.98445997580455</x:v>
      </x:c>
      <x:c r="U38" s="31" t="n">
        <x:f>IF(T38="","",I38*T38)</x:f>
        <x:v>33.00512334983093</x:v>
      </x:c>
    </x:row>
    <x:row r="39" ht="18" customHeight="1">
      <x:c r="A39" s="24" t="str">
        <x:v>EEZ_428</x:v>
      </x:c>
      <x:c r="B39" s="24" t="str">
        <x:v>Latvia</x:v>
      </x:c>
      <x:c r="C39" s="24" t="str">
        <x:v>EEZ</x:v>
      </x:c>
      <x:c r="D39" s="30" t="n">
        <x:v>2019</x:v>
      </x:c>
      <x:c r="E39" s="24" t="str">
        <x:v>Petromyzontidae</x:v>
      </x:c>
      <x:c r="F39" s="24" t="str">
        <x:v>Lampreys</x:v>
      </x:c>
      <x:c r="G39" s="24" t="str">
        <x:v>Large demersals (&gt;=90 cm)</x:v>
      </x:c>
      <x:c r="H39" s="24" t="str">
        <x:v>Other fishes &amp; inverts</x:v>
      </x:c>
      <x:c r="I39" s="31" t="n">
        <x:v>0.1219621312</x:v>
      </x:c>
      <x:c r="J39" s="31" t="n">
        <x:v>0.1218111721</x:v>
      </x:c>
      <x:c r="K39" s="31" t="n">
        <x:v>0.0001509591</x:v>
      </x:c>
      <x:c r="L39" s="31" t="n">
        <x:v>0.1215402198</x:v>
      </x:c>
      <x:c r="M39" s="31" t="n">
        <x:v>0.0004219114</x:v>
      </x:c>
      <x:c r="N39" s="24" t="str">
        <x:v>petromyzontidae</x:v>
      </x:c>
      <x:c r="O39" s="32" t="n">
        <x:v>4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Petromyzontidae</x:v>
      </x:c>
      <x:c r="T39" s="32" t="n">
        <x:f>IF(O39="","",(1/'Metadata'!$B$5)^(O39-1))</x:f>
        <x:v>1000</x:v>
      </x:c>
      <x:c r="U39" s="31" t="n">
        <x:f>IF(T39="","",I39*T39)</x:f>
        <x:v>121.9621312</x:v>
      </x:c>
    </x:row>
    <x:row r="40" ht="18" customHeight="1">
      <x:c r="A40" s="24" t="str">
        <x:v>EEZ_428</x:v>
      </x:c>
      <x:c r="B40" s="24" t="str">
        <x:v>Latvia</x:v>
      </x:c>
      <x:c r="C40" s="24" t="str">
        <x:v>EEZ</x:v>
      </x:c>
      <x:c r="D40" s="30" t="n">
        <x:v>2019</x:v>
      </x:c>
      <x:c r="E40" s="24" t="str">
        <x:v>Leuciscus aspius</x:v>
      </x:c>
      <x:c r="F40" s="24" t="str">
        <x:v>Asp</x:v>
      </x:c>
      <x:c r="G40" s="24" t="str">
        <x:v>Large benthopelagics (&gt;=90 cm)</x:v>
      </x:c>
      <x:c r="H40" s="24" t="str">
        <x:v>Other fishes &amp; inverts</x:v>
      </x:c>
      <x:c r="I40" s="31" t="n">
        <x:v>0.07748323850000001</x:v>
      </x:c>
      <x:c r="J40" s="31" t="n">
        <x:v>0.076249999</x:v>
      </x:c>
      <x:c r="K40" s="31" t="n">
        <x:v>0.0012332395</x:v>
      </x:c>
      <x:c r="L40" s="31" t="n">
        <x:v>0.0627773864</x:v>
      </x:c>
      <x:c r="M40" s="31" t="n">
        <x:v>0.0147058521</x:v>
      </x:c>
      <x:c r="N40" s="24" t="str">
        <x:v>leuciscus aspius</x:v>
      </x:c>
      <x:c r="O40" s="32" t="n">
        <x:v>4.47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Leuciscus aspius</x:v>
      </x:c>
      <x:c r="T40" s="32" t="n">
        <x:f>IF(O40="","",(1/'Metadata'!$B$5)^(O40-1))</x:f>
        <x:v>2951.209226666384</x:v>
      </x:c>
      <x:c r="U40" s="31" t="n">
        <x:f>IF(T40="","",I40*T40)</x:f>
        <x:v>228.669248373192</x:v>
      </x:c>
    </x:row>
    <x:row r="41" ht="18" customHeight="1">
      <x:c r="A41" s="24" t="str">
        <x:v>EEZ_428</x:v>
      </x:c>
      <x:c r="B41" s="24" t="str">
        <x:v>Latvia</x:v>
      </x:c>
      <x:c r="C41" s="24" t="str">
        <x:v>EEZ</x:v>
      </x:c>
      <x:c r="D41" s="30" t="n">
        <x:v>2019</x:v>
      </x:c>
      <x:c r="E41" s="24" t="str">
        <x:v>Pleuronectes platessa</x:v>
      </x:c>
      <x:c r="F41" s="24" t="str">
        <x:v>European plaice</x:v>
      </x:c>
      <x:c r="G41" s="24" t="str">
        <x:v>Large flatfishes (&gt;=90 cm)</x:v>
      </x:c>
      <x:c r="H41" s="24" t="str">
        <x:v>Flatfishes</x:v>
      </x:c>
      <x:c r="I41" s="31" t="n">
        <x:v>0.0527370806</x:v>
      </x:c>
      <x:c r="J41" s="31" t="n">
        <x:v>0.0368229222</x:v>
      </x:c>
      <x:c r="K41" s="31" t="n">
        <x:v>0.0159141584</x:v>
      </x:c>
      <x:c r="L41" s="31" t="n">
        <x:v>0.0014366472</x:v>
      </x:c>
      <x:c r="M41" s="31" t="n">
        <x:v>0.0513004334</x:v>
      </x:c>
      <x:c r="N41" s="24" t="str">
        <x:v>pleuronectes platessa</x:v>
      </x:c>
      <x:c r="O41" s="32" t="n">
        <x:v>3.26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Pleuronectes platessa</x:v>
      </x:c>
      <x:c r="T41" s="32" t="n">
        <x:f>IF(O41="","",(1/'Metadata'!$B$5)^(O41-1))</x:f>
        <x:v>181.97008586099827</x:v>
      </x:c>
      <x:c r="U41" s="31" t="n">
        <x:f>IF(T41="","",I41*T41)</x:f>
        <x:v>9.596571084840386</x:v>
      </x:c>
    </x:row>
    <x:row r="42" ht="18" customHeight="1">
      <x:c r="A42" s="24" t="str">
        <x:v>EEZ_428</x:v>
      </x:c>
      <x:c r="B42" s="24" t="str">
        <x:v>Latvia</x:v>
      </x:c>
      <x:c r="C42" s="24" t="str">
        <x:v>EEZ</x:v>
      </x:c>
      <x:c r="D42" s="30" t="n">
        <x:v>2019</x:v>
      </x:c>
      <x:c r="E42" s="24" t="str">
        <x:v>Cyclopterus lumpus</x:v>
      </x:c>
      <x:c r="F42" s="24" t="str">
        <x:v>Lumpfish</x:v>
      </x:c>
      <x:c r="G42" s="24" t="str">
        <x:v>Medium benthopelagics (30 - 89 cm)</x:v>
      </x:c>
      <x:c r="H42" s="24" t="str">
        <x:v>Scorpionfishes</x:v>
      </x:c>
      <x:c r="I42" s="31" t="n">
        <x:v>0.0133897745</x:v>
      </x:c>
      <x:c r="J42" s="31" t="n">
        <x:v>0.0133897745</x:v>
      </x:c>
      <x:c r="K42" s="31" t="n">
        <x:v>0</x:v>
      </x:c>
      <x:c r="L42" s="31" t="n">
        <x:v>0.0133897745</x:v>
      </x:c>
      <x:c r="M42" s="31" t="n">
        <x:v>0</x:v>
      </x:c>
      <x:c r="N42" s="24" t="str">
        <x:v>cyclopterus lumpus</x:v>
      </x:c>
      <x:c r="O42" s="32" t="n">
        <x:v>3.89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Cyclopterus lumpus</x:v>
      </x:c>
      <x:c r="T42" s="32" t="n">
        <x:f>IF(O42="","",(1/'Metadata'!$B$5)^(O42-1))</x:f>
        <x:v>776.247116628692</x:v>
      </x:c>
      <x:c r="U42" s="31" t="n">
        <x:f>IF(T42="","",I42*T42)</x:f>
        <x:v>10.393773847933385</x:v>
      </x:c>
    </x:row>
    <x:row r="43" ht="18" customHeight="1">
      <x:c r="A43" s="24" t="str">
        <x:v>EEZ_428</x:v>
      </x:c>
      <x:c r="B43" s="24" t="str">
        <x:v>Latvia</x:v>
      </x:c>
      <x:c r="C43" s="24" t="str">
        <x:v>EEZ</x:v>
      </x:c>
      <x:c r="D43" s="30" t="n">
        <x:v>2019</x:v>
      </x:c>
      <x:c r="E43" s="24" t="str">
        <x:v>Scomber scombrus</x:v>
      </x:c>
      <x:c r="F43" s="24" t="str">
        <x:v>Atlantic mackerel</x:v>
      </x:c>
      <x:c r="G43" s="24" t="str">
        <x:v>Medium pelagics (30 - 89 cm)</x:v>
      </x:c>
      <x:c r="H43" s="24" t="str">
        <x:v>Perch-likes</x:v>
      </x:c>
      <x:c r="I43" s="31" t="n">
        <x:v>0.0045811837</x:v>
      </x:c>
      <x:c r="J43" s="31" t="n">
        <x:v>0.0045811837</x:v>
      </x:c>
      <x:c r="K43" s="31" t="n">
        <x:v>0</x:v>
      </x:c>
      <x:c r="L43" s="31" t="n">
        <x:v>0.0045811837</x:v>
      </x:c>
      <x:c r="M43" s="31" t="n">
        <x:v>0</x:v>
      </x:c>
      <x:c r="N43" s="24" t="str">
        <x:v>scomber scombrus</x:v>
      </x:c>
      <x:c r="O43" s="32" t="n">
        <x:v>3.63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Scomber scombrus</x:v>
      </x:c>
      <x:c r="T43" s="32" t="n">
        <x:f>IF(O43="","",(1/'Metadata'!$B$5)^(O43-1))</x:f>
        <x:v>426.57951880159254</x:v>
      </x:c>
      <x:c r="U43" s="31" t="n">
        <x:f>IF(T43="","",I43*T43)</x:f>
        <x:v>1.9542391382876991</x:v>
      </x:c>
    </x:row>
    <x:row r="44" ht="18" customHeight="1">
      <x:c r="A44" s="24" t="str">
        <x:v>EEZ_428</x:v>
      </x:c>
      <x:c r="B44" s="24" t="str">
        <x:v>Latvia</x:v>
      </x:c>
      <x:c r="C44" s="24" t="str">
        <x:v>EEZ</x:v>
      </x:c>
      <x:c r="D44" s="30" t="n">
        <x:v>2019</x:v>
      </x:c>
      <x:c r="E44" s="24" t="str">
        <x:v>Acipenser sturio</x:v>
      </x:c>
      <x:c r="F44" s="24" t="str">
        <x:v>Sturgeon</x:v>
      </x:c>
      <x:c r="G44" s="24" t="str">
        <x:v>Large demersals (&gt;=90 cm)</x:v>
      </x:c>
      <x:c r="H44" s="24" t="str">
        <x:v>Other fishes &amp; inverts</x:v>
      </x:c>
      <x:c r="I44" s="31" t="n">
        <x:v>0.0008529276000000001</x:v>
      </x:c>
      <x:c r="J44" s="31" t="n">
        <x:v>0.0005477517</x:v>
      </x:c>
      <x:c r="K44" s="31" t="n">
        <x:v>0.0003051759</x:v>
      </x:c>
      <x:c r="L44" s="31" t="n">
        <x:v>0</x:v>
      </x:c>
      <x:c r="M44" s="31" t="n">
        <x:v>0.0008529276000000001</x:v>
      </x:c>
      <x:c r="N44" s="24" t="str">
        <x:v>acipenser sturio</x:v>
      </x:c>
      <x:c r="O44" s="32" t="n">
        <x:v>3.51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Acipenser sturio</x:v>
      </x:c>
      <x:c r="T44" s="32" t="n">
        <x:f>IF(O44="","",(1/'Metadata'!$B$5)^(O44-1))</x:f>
        <x:v>323.5936569296281</x:v>
      </x:c>
      <x:c r="U44" s="31" t="n">
        <x:f>IF(T44="","",I44*T44)</x:f>
        <x:v>0.2760019611802111</x:v>
      </x:c>
    </x:row>
    <x:row r="45" ht="18" customHeight="1">
      <x:c r="A45" s="24" t="str">
        <x:v>EEZ_428</x:v>
      </x:c>
      <x:c r="B45" s="24" t="str">
        <x:v>Latvia</x:v>
      </x:c>
      <x:c r="C45" s="24" t="str">
        <x:v>EEZ</x:v>
      </x:c>
      <x:c r="D45" s="30" t="n">
        <x:v>2019</x:v>
      </x:c>
      <x:c r="E45" s="24" t="str">
        <x:v>Acipenseridae</x:v>
      </x:c>
      <x:c r="F45" s="24" t="str">
        <x:v>Sturgeons</x:v>
      </x:c>
      <x:c r="G45" s="24" t="str">
        <x:v>Large demersals (&gt;=90 cm)</x:v>
      </x:c>
      <x:c r="H45" s="24" t="str">
        <x:v>Other fishes &amp; inverts</x:v>
      </x:c>
      <x:c r="I45" s="31" t="n">
        <x:v>0.0006943454</x:v>
      </x:c>
      <x:c r="J45" s="31" t="n">
        <x:v>0.0006943454</x:v>
      </x:c>
      <x:c r="K45" s="31" t="n">
        <x:v>0</x:v>
      </x:c>
      <x:c r="L45" s="31" t="n">
        <x:v>0.0006943454</x:v>
      </x:c>
      <x:c r="M45" s="31" t="n">
        <x:v>0</x:v>
      </x:c>
      <x:c r="N45" s="24" t="str">
        <x:v>acipenseridae</x:v>
      </x:c>
      <x:c r="O45" s="32" t="n">
        <x:v>3.6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Acipenseridae</x:v>
      </x:c>
      <x:c r="T45" s="32" t="n">
        <x:f>IF(O45="","",(1/'Metadata'!$B$5)^(O45-1))</x:f>
        <x:v>398.1071705534973</x:v>
      </x:c>
      <x:c r="U45" s="31" t="n">
        <x:f>IF(T45="","",I45*T45)</x:f>
        <x:v>0.27642388258083633</x:v>
      </x:c>
    </x:row>
    <x:row r="46" ht="18" customHeight="1">
      <x:c r="A46" s="24" t="str">
        <x:v>EEZ_428</x:v>
      </x:c>
      <x:c r="B46" s="24" t="str">
        <x:v>Latvia</x:v>
      </x:c>
      <x:c r="C46" s="24" t="str">
        <x:v>EEZ</x:v>
      </x:c>
      <x:c r="D46" s="30" t="n">
        <x:v>2019</x:v>
      </x:c>
      <x:c r="E46" s="24" t="str">
        <x:v>Silurus glanis</x:v>
      </x:c>
      <x:c r="F46" s="24" t="str">
        <x:v>Wels catfish</x:v>
      </x:c>
      <x:c r="G46" s="24" t="str">
        <x:v>Large demersals (&gt;=90 cm)</x:v>
      </x:c>
      <x:c r="H46" s="24" t="str">
        <x:v>Other fishes &amp; inverts</x:v>
      </x:c>
      <x:c r="I46" s="31" t="n">
        <x:v>1.293e-7</x:v>
      </x:c>
      <x:c r="J46" s="31" t="n">
        <x:v>0</x:v>
      </x:c>
      <x:c r="K46" s="31" t="n">
        <x:v>1.293e-7</x:v>
      </x:c>
      <x:c r="L46" s="31" t="n">
        <x:v>0</x:v>
      </x:c>
      <x:c r="M46" s="31" t="n">
        <x:v>1.293e-7</x:v>
      </x:c>
      <x:c r="N46" s="24" t="str">
        <x:v>silurus glanis</x:v>
      </x:c>
      <x:c r="O46" s="32" t="n">
        <x:v>4.36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Silurus glanis</x:v>
      </x:c>
      <x:c r="T46" s="32" t="n">
        <x:f>IF(O46="","",(1/'Metadata'!$B$5)^(O46-1))</x:f>
        <x:v>2290.867652767775</x:v>
      </x:c>
      <x:c r="U46" s="31" t="n">
        <x:f>IF(T46="","",I46*T46)</x:f>
        <x:v>0.0002962091875028733</x:v>
      </x:c>
    </x:row>
  </x:sheetData>
  <x:conditionalFormatting sqref="R2:R4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d61bc8f098a4eb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2529.4714875142995</x:v>
      </x:c>
      <x:c r="C2" s="32" t="n">
        <x:v>4.089705961978996</x:v>
      </x:c>
      <x:c r="D2" s="32" t="n">
        <x:f>IF(C2="","",(1/'Metadata'!$B$5)^(C2-1))</x:f>
        <x:v>1229.436102248035</x:v>
      </x:c>
      <x:c r="E2" s="31" t="n">
        <x:f>IF(B2=0,"",B2*D2)</x:f>
        <x:v>3109823.5663571195</x:v>
      </x:c>
    </x:row>
    <x:row r="3" ht="18" customHeight="1">
      <x:c r="A3" s="24" t="str">
        <x:v>Flatfishes</x:v>
      </x:c>
      <x:c r="B3" s="31" t="n">
        <x:v>1640.3376153379002</x:v>
      </x:c>
      <x:c r="C3" s="32" t="n">
        <x:v>3.418002421531801</x:v>
      </x:c>
      <x:c r="D3" s="32" t="n">
        <x:f>IF(C3="","",(1/'Metadata'!$B$5)^(C3-1))</x:f>
        <x:v>261.8197606680064</x:v>
      </x:c>
      <x:c r="E3" s="31" t="n">
        <x:f>IF(B3=0,"",B3*D3)</x:f>
        <x:v>429472.80186249735</x:v>
      </x:c>
    </x:row>
    <x:row r="4" ht="18" customHeight="1">
      <x:c r="A4" s="24" t="str">
        <x:v>Herring-likes</x:v>
      </x:c>
      <x:c r="B4" s="31" t="n">
        <x:v>92008.5403115636</x:v>
      </x:c>
      <x:c r="C4" s="32" t="n">
        <x:v>3.1760878497859717</x:v>
      </x:c>
      <x:c r="D4" s="32" t="n">
        <x:f>IF(C4="","",(1/'Metadata'!$B$5)^(C4-1))</x:f>
        <x:v>149.99882248458016</x:v>
      </x:c>
      <x:c r="E4" s="31" t="n">
        <x:f>IF(B4=0,"",B4*D4)</x:f>
        <x:v>13801172.705259565</x:v>
      </x:c>
    </x:row>
    <x:row r="5" ht="18" customHeight="1">
      <x:c r="A5" s="24" t="str">
        <x:v>Other fishes &amp; inverts</x:v>
      </x:c>
      <x:c r="B5" s="31" t="n">
        <x:v>611.7323196758001</x:v>
      </x:c>
      <x:c r="C5" s="32" t="n">
        <x:v>3.493403003786971</x:v>
      </x:c>
      <x:c r="D5" s="32" t="n">
        <x:f>IF(C5="","",(1/'Metadata'!$B$5)^(C5-1))</x:f>
        <x:v>311.4605196026926</x:v>
      </x:c>
      <x:c r="E5" s="31" t="n">
        <x:f>IF(B5=0,"",B5*D5)</x:f>
        <x:v>190530.46614398516</x:v>
      </x:c>
    </x:row>
    <x:row r="6" ht="18" customHeight="1">
      <x:c r="A6" s="24" t="str">
        <x:v>Perch-likes</x:v>
      </x:c>
      <x:c r="B6" s="31" t="n">
        <x:v>1183.2473960656</x:v>
      </x:c>
      <x:c r="C6" s="32" t="n">
        <x:v>3.8352575198215555</x:v>
      </x:c>
      <x:c r="D6" s="32" t="n">
        <x:f>IF(C6="","",(1/'Metadata'!$B$5)^(C6-1))</x:f>
        <x:v>684.3173006789326</x:v>
      </x:c>
      <x:c r="E6" s="31" t="n">
        <x:f>IF(B6=0,"",B6*D6)</x:f>
        <x:v>809716.6641109872</x:v>
      </x:c>
    </x:row>
    <x:row r="7" ht="18" customHeight="1">
      <x:c r="A7" s="24" t="str">
        <x:v>Salmon, smelts, etc</x:v>
      </x:c>
      <x:c r="B7" s="31" t="n">
        <x:v>2176.1040793622997</x:v>
      </x:c>
      <x:c r="C7" s="32" t="n">
        <x:v>3.4698400065677184</x:v>
      </x:c>
      <x:c r="D7" s="32" t="n">
        <x:f>IF(C7="","",(1/'Metadata'!$B$5)^(C7-1))</x:f>
        <x:v>295.01222058779706</x:v>
      </x:c>
      <x:c r="E7" s="31" t="n">
        <x:f>IF(B7=0,"",B7*D7)</x:f>
        <x:v>641977.2966828358</x:v>
      </x:c>
    </x:row>
    <x:row r="8" ht="18" customHeight="1">
      <x:c r="A8" s="24" t="str">
        <x:v>Scorpionfishes</x:v>
      </x:c>
      <x:c r="B8" s="31" t="n">
        <x:v>210.7019553378</x:v>
      </x:c>
      <x:c r="C8" s="32" t="n">
        <x:v>3.6900127096822413</x:v>
      </x:c>
      <x:c r="D8" s="32" t="n">
        <x:f>IF(C8="","",(1/'Metadata'!$B$5)^(C8-1))</x:f>
        <x:v>489.7931530164884</x:v>
      </x:c>
      <x:c r="E8" s="31" t="n">
        <x:f>IF(B8=0,"",B8*D8)</x:f>
        <x:v>103200.37505164038</x:v>
      </x:c>
    </x:row>
  </x:sheetData>
  <x:pageMargins left="0.7" right="0.7" top="0.75" bottom="0.75" header="0.3" footer="0.3"/>
  <x:tableParts count="1">
    <x:tablePart xmlns:r="http://schemas.openxmlformats.org/officeDocument/2006/relationships" r:id="Rc704bac8b456486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2539.2936880218995</x:v>
      </x:c>
      <x:c r="C2" s="32" t="n">
        <x:v>4.091854521923137</x:v>
      </x:c>
      <x:c r="D2" s="32" t="n">
        <x:f>IF(C2="","",(1/'Metadata'!$B$5)^(C2-1))</x:f>
        <x:v>1235.5334904824929</x:v>
      </x:c>
      <x:c r="E2" s="31" t="n">
        <x:f>IF(B2=0,"",B2*D2)</x:f>
        <x:v>3137382.39372186</x:v>
      </x:c>
    </x:row>
    <x:row r="3" ht="18" customHeight="1">
      <x:c r="A3" s="24" t="str">
        <x:v>Large demersals (&gt;=90 cm)</x:v>
      </x:c>
      <x:c r="B3" s="31" t="n">
        <x:v>28.5492216814</x:v>
      </x:c>
      <x:c r="C3" s="32" t="n">
        <x:v>3.8913145211474003</x:v>
      </x:c>
      <x:c r="D3" s="32" t="n">
        <x:f>IF(C3="","",(1/'Metadata'!$B$5)^(C3-1))</x:f>
        <x:v>778.6002182999013</x:v>
      </x:c>
      <x:c r="E3" s="31" t="n">
        <x:f>IF(B3=0,"",B3*D3)</x:f>
        <x:v>22228.430233430314</x:v>
      </x:c>
    </x:row>
    <x:row r="4" ht="18" customHeight="1">
      <x:c r="A4" s="24" t="str">
        <x:v>Large flatfishes (&gt;=90 cm)</x:v>
      </x:c>
      <x:c r="B4" s="31" t="n">
        <x:v>4.9750434417000005</x:v>
      </x:c>
      <x:c r="C4" s="32" t="n">
        <x:v>4.348339641786088</x:v>
      </x:c>
      <x:c r="D4" s="32" t="n">
        <x:f>IF(C4="","",(1/'Metadata'!$B$5)^(C4-1))</x:f>
        <x:v>2230.178587788462</x:v>
      </x:c>
      <x:c r="E4" s="31" t="n">
        <x:f>IF(B4=0,"",B4*D4)</x:f>
        <x:v>11095.235356996758</x:v>
      </x:c>
    </x:row>
    <x:row r="5" ht="18" customHeight="1">
      <x:c r="A5" s="24" t="str">
        <x:v>Large pelagics (&gt;=90 cm)</x:v>
      </x:c>
      <x:c r="B5" s="31" t="n">
        <x:v>154.87532369049998</x:v>
      </x:c>
      <x:c r="C5" s="32" t="n">
        <x:v>3.9901578887645512</x:v>
      </x:c>
      <x:c r="D5" s="32" t="n">
        <x:f>IF(C5="","",(1/'Metadata'!$B$5)^(C5-1))</x:f>
        <x:v>977.592562399075</x:v>
      </x:c>
      <x:c r="E5" s="31" t="n">
        <x:f>IF(B5=0,"",B5*D5)</x:f>
        <x:v>151404.96453898202</x:v>
      </x:c>
    </x:row>
    <x:row r="6" ht="18" customHeight="1">
      <x:c r="A6" s="24" t="str">
        <x:v>Medium benthopelagics (30 - 89 cm)</x:v>
      </x:c>
      <x:c r="B6" s="31" t="n">
        <x:v>151.9170966835</x:v>
      </x:c>
      <x:c r="C6" s="32" t="n">
        <x:v>2.9963920324687283</x:v>
      </x:c>
      <x:c r="D6" s="32" t="n">
        <x:f>IF(C6="","",(1/'Metadata'!$B$5)^(C6-1))</x:f>
        <x:v>99.17267609259557</x:v>
      </x:c>
      <x:c r="E6" s="31" t="n">
        <x:f>IF(B6=0,"",B6*D6)</x:f>
        <x:v>15066.02502232027</x:v>
      </x:c>
    </x:row>
    <x:row r="7" ht="18" customHeight="1">
      <x:c r="A7" s="24" t="str">
        <x:v>Medium demersals (30 - 89 cm)</x:v>
      </x:c>
      <x:c r="B7" s="31" t="n">
        <x:v>1018.1982638903</x:v>
      </x:c>
      <x:c r="C7" s="32" t="n">
        <x:v>3.951301753000294</x:v>
      </x:c>
      <x:c r="D7" s="32" t="n">
        <x:f>IF(C7="","",(1/'Metadata'!$B$5)^(C7-1))</x:f>
        <x:v>893.9263787452055</x:v>
      </x:c>
      <x:c r="E7" s="31" t="n">
        <x:f>IF(B7=0,"",B7*D7)</x:f>
        <x:v>910194.2868841111</x:v>
      </x:c>
    </x:row>
    <x:row r="8" ht="18" customHeight="1">
      <x:c r="A8" s="24" t="str">
        <x:v>Medium pelagics (30 - 89 cm)</x:v>
      </x:c>
      <x:c r="B8" s="31" t="n">
        <x:v>43670.69008286619</x:v>
      </x:c>
      <x:c r="C8" s="32" t="n">
        <x:v>3.387765920014699</x:v>
      </x:c>
      <x:c r="D8" s="32" t="n">
        <x:f>IF(C8="","",(1/'Metadata'!$B$5)^(C8-1))</x:f>
        <x:v>244.21139251526037</x:v>
      </x:c>
      <x:c r="E8" s="31" t="n">
        <x:f>IF(B8=0,"",B8*D8)</x:f>
        <x:v>10664880.037239123</x:v>
      </x:c>
    </x:row>
    <x:row r="9" ht="18" customHeight="1">
      <x:c r="A9" s="24" t="str">
        <x:v>Small benthopelagics (&lt;30 cm)</x:v>
      </x:c>
      <x:c r="B9" s="31" t="n">
        <x:v>13.733903538</x:v>
      </x:c>
      <x:c r="C9" s="32" t="n">
        <x:v>3.31</x:v>
      </x:c>
      <x:c r="D9" s="32" t="n">
        <x:f>IF(C9="","",(1/'Metadata'!$B$5)^(C9-1))</x:f>
        <x:v>204.17379446695296</x:v>
      </x:c>
      <x:c r="E9" s="31" t="n">
        <x:f>IF(B9=0,"",B9*D9)</x:f>
        <x:v>2804.10319819657</x:v>
      </x:c>
    </x:row>
    <x:row r="10" ht="18" customHeight="1">
      <x:c r="A10" s="24" t="str">
        <x:v>Small demersals (&lt;30 cm)</x:v>
      </x:c>
      <x:c r="B10" s="31" t="n">
        <x:v>28.7205326098</x:v>
      </x:c>
      <x:c r="C10" s="32" t="n">
        <x:v>3.2698167711721267</x:v>
      </x:c>
      <x:c r="D10" s="32" t="n">
        <x:f>IF(C10="","",(1/'Metadata'!$B$5)^(C10-1))</x:f>
        <x:v>186.13016878621772</x:v>
      </x:c>
      <x:c r="E10" s="31" t="n">
        <x:f>IF(B10=0,"",B10*D10)</x:f>
        <x:v>5345.757582292144</x:v>
      </x:c>
    </x:row>
    <x:row r="11" ht="18" customHeight="1">
      <x:c r="A11" s="24" t="str">
        <x:v>Small pelagics (&lt;30 cm)</x:v>
      </x:c>
      <x:c r="B11" s="31" t="n">
        <x:v>50720.137661740104</x:v>
      </x:c>
      <x:c r="C11" s="32" t="n">
        <x:v>3.01</x:v>
      </x:c>
      <x:c r="D11" s="32" t="n">
        <x:f>IF(C11="","",(1/'Metadata'!$B$5)^(C11-1))</x:f>
        <x:v>102.32929922807536</x:v>
      </x:c>
      <x:c r="E11" s="31" t="n">
        <x:f>IF(B11=0,"",B11*D11)</x:f>
        <x:v>5190156.143677377</x:v>
      </x:c>
    </x:row>
    <x:row r="12" ht="18" customHeight="1">
      <x:c r="A12" s="24" t="str">
        <x:v>Small reef assoc. fish (&lt;30 cm)</x:v>
      </x:c>
      <x:c r="B12" s="31" t="n">
        <x:v>393.68177479770003</x:v>
      </x:c>
      <x:c r="C12" s="32" t="n">
        <x:v>3.1100000000000003</x:v>
      </x:c>
      <x:c r="D12" s="32" t="n">
        <x:f>IF(C12="","",(1/'Metadata'!$B$5)^(C12-1))</x:f>
        <x:v>128.82495516931348</x:v>
      </x:c>
      <x:c r="E12" s="31" t="n">
        <x:f>IF(B12=0,"",B12*D12)</x:f>
        <x:v>50716.036989289474</x:v>
      </x:c>
    </x:row>
    <x:row r="13" ht="18" customHeight="1">
      <x:c r="A13" s="24" t="str">
        <x:v>Small to medium flatfishes (&lt;90 cm)</x:v>
      </x:c>
      <x:c r="B13" s="31" t="n">
        <x:v>1635.3625718962</x:v>
      </x:c>
      <x:c r="C13" s="32" t="n">
        <x:v>3.415172181824879</x:v>
      </x:c>
      <x:c r="D13" s="32" t="n">
        <x:f>IF(C13="","",(1/'Metadata'!$B$5)^(C13-1))</x:f>
        <x:v>260.11906353923075</x:v>
      </x:c>
      <x:c r="E13" s="31" t="n">
        <x:f>IF(B13=0,"",B13*D13)</x:f>
        <x:v>425388.9807487475</x:v>
      </x:c>
    </x:row>
  </x:sheetData>
  <x:pageMargins left="0.7" right="0.7" top="0.75" bottom="0.75" header="0.3" footer="0.3"/>
  <x:tableParts count="1">
    <x:tablePart xmlns:r="http://schemas.openxmlformats.org/officeDocument/2006/relationships" r:id="R4b20e47c87c043f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EEZ_428</x:v>
      </x:c>
      <x:c r="B2" s="24" t="str">
        <x:v>raw_filtered_tonnes</x:v>
      </x:c>
      <x:c r="C2" s="24" t="n">
        <x:v>100360.13516485729</x:v>
      </x:c>
      <x:c r="D2" s="24" t="str">
        <x:v>tonnes</x:v>
      </x:c>
    </x:row>
    <x:row r="3" ht="18" customHeight="1">
      <x:c r="A3" s="24" t="str">
        <x:v>EEZ_428</x:v>
      </x:c>
      <x:c r="B3" s="24" t="str">
        <x:v>species_catch_tonnes</x:v>
      </x:c>
      <x:c r="C3" s="24" t="n">
        <x:v>100360.1351648573</x:v>
      </x:c>
      <x:c r="D3" s="24" t="str">
        <x:v>tonnes</x:v>
      </x:c>
    </x:row>
    <x:row r="4" ht="18" customHeight="1">
      <x:c r="A4" s="24" t="str">
        <x:v>EEZ_428</x:v>
      </x:c>
      <x:c r="B4" s="24" t="str">
        <x:v>catch_difference_tonnes</x:v>
      </x:c>
      <x:c r="C4" s="24" t="n">
        <x:v>1.4551915228366852e-11</x:v>
      </x:c>
      <x:c r="D4" s="24" t="str">
        <x:v>tonnes</x:v>
      </x:c>
    </x:row>
    <x:row r="5" ht="18" customHeight="1">
      <x:c r="A5" s="24" t="str">
        <x:v>EEZ_428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EEZ_428</x:v>
      </x:c>
      <x:c r="B6" s="24" t="str">
        <x:v>matched_catch_tonnes</x:v>
      </x:c>
      <x:c r="C6" s="24" t="n">
        <x:v>100360.1351648573</x:v>
      </x:c>
      <x:c r="D6" s="24" t="str">
        <x:v>tonnes</x:v>
      </x:c>
    </x:row>
    <x:row r="7" ht="18" customHeight="1">
      <x:c r="A7" s="24" t="str">
        <x:v>EEZ_428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EEZ_428</x:v>
      </x:c>
      <x:c r="B8" s="24" t="str">
        <x:v>taxa_count</x:v>
      </x:c>
      <x:c r="C8" s="24" t="n">
        <x:v>45</x:v>
      </x:c>
      <x:c r="D8" s="24" t="str">
        <x:v>count</x:v>
      </x:c>
    </x:row>
    <x:row r="9" ht="18" customHeight="1">
      <x:c r="A9" s="24" t="str">
        <x:v>EEZ_428</x:v>
      </x:c>
      <x:c r="B9" s="24" t="str">
        <x:v>matched_taxa_count</x:v>
      </x:c>
      <x:c r="C9" s="24" t="n">
        <x:v>45</x:v>
      </x:c>
      <x:c r="D9" s="24" t="str">
        <x:v>count</x:v>
      </x:c>
    </x:row>
    <x:row r="10" ht="18" customHeight="1">
      <x:c r="A10" s="24" t="str">
        <x:v>EEZ_428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EEZ_428</x:v>
      </x:c>
      <x:c r="B11" s="24" t="str">
        <x:v>species_ppr</x:v>
      </x:c>
      <x:c r="C11" s="24" t="n">
        <x:v>21329723.262881607</x:v>
      </x:c>
      <x:c r="D11" s="24" t="str">
        <x:v>tonnes_primary_production_equivalent</x:v>
      </x:c>
    </x:row>
    <x:row r="12" ht="18" customHeight="1">
      <x:c r="A12" s="24" t="str">
        <x:v>EEZ_428</x:v>
      </x:c>
      <x:c r="B12" s="24" t="str">
        <x:v>commercial_ppr</x:v>
      </x:c>
      <x:c r="C12" s="24" t="n">
        <x:v>19085893.87546863</x:v>
      </x:c>
      <x:c r="D12" s="24" t="str">
        <x:v>tonnes_primary_production_equivalent</x:v>
      </x:c>
    </x:row>
    <x:row r="13" ht="18" customHeight="1">
      <x:c r="A13" s="24" t="str">
        <x:v>EEZ_428</x:v>
      </x:c>
      <x:c r="B13" s="24" t="str">
        <x:v>functional_ppr</x:v>
      </x:c>
      <x:c r="C13" s="24" t="n">
        <x:v>20586662.395192724</x:v>
      </x:c>
      <x:c r="D13" s="24" t="str">
        <x:v>tonnes_primary_production_equivalent</x:v>
      </x:c>
    </x:row>
    <x:row r="14" ht="18" customHeight="1">
      <x:c r="A14" s="24" t="str">
        <x:v>EEZ_428</x:v>
      </x:c>
      <x:c r="B14" s="24" t="str">
        <x:v>commercial_ppr_difference</x:v>
      </x:c>
      <x:c r="C14" s="24" t="n">
        <x:v>-2243829.3874129765</x:v>
      </x:c>
      <x:c r="D14" s="24" t="str">
        <x:v>tonnes_primary_production_equivalent</x:v>
      </x:c>
    </x:row>
    <x:row r="15" ht="18" customHeight="1">
      <x:c r="A15" s="24" t="str">
        <x:v>EEZ_428</x:v>
      </x:c>
      <x:c r="B15" s="24" t="str">
        <x:v>functional_ppr_difference</x:v>
      </x:c>
      <x:c r="C15" s="24" t="n">
        <x:v>-743060.8676888831</x:v>
      </x:c>
      <x:c r="D15" s="24" t="str">
        <x:v>tonnes_primary_production_equivalent</x:v>
      </x:c>
    </x:row>
    <x:row r="16" ht="18" customHeight="1">
      <x:c r="A16" s="24" t="str">
        <x:v>EEZ_428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EEZ_428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2fb612ca8a94e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EEZ_428 - Latvia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EEZ_428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raw_data/SAU_downloads/EEZ_428-catch.zip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