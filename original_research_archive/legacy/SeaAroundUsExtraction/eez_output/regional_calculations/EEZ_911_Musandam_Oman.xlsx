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918754aa964e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ee0816c61e134dc6"/>
    <x:sheet xmlns:r="http://schemas.openxmlformats.org/officeDocument/2006/relationships" name="Commercial" sheetId="2" r:id="R06def3f5442c4149"/>
    <x:sheet xmlns:r="http://schemas.openxmlformats.org/officeDocument/2006/relationships" name="Functional" sheetId="3" r:id="R9bc173e9f06140f6"/>
    <x:sheet xmlns:r="http://schemas.openxmlformats.org/officeDocument/2006/relationships" name="Missing TL" sheetId="4" r:id="Re7376bfa4a6c4df2"/>
    <x:sheet xmlns:r="http://schemas.openxmlformats.org/officeDocument/2006/relationships" name="Validation" sheetId="5" r:id="Ref7f161f4edf41a6"/>
    <x:sheet xmlns:r="http://schemas.openxmlformats.org/officeDocument/2006/relationships" name="Metadata" sheetId="6" r:id="R505a73ef767d4b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a485e6bc844d5e" /><Relationship Type="http://schemas.openxmlformats.org/officeDocument/2006/relationships/theme" Target="/xl/theme/theme1.xml" Id="R91dc2d165e584958" /><Relationship Type="http://schemas.microsoft.com/office/2022/11/relationships/FeaturePropertyBag" Target="/xl/featurePropertyBag/featurePropertyBag.xml" Id="R1629bd4f4caf4234" /><Relationship Type="http://schemas.openxmlformats.org/officeDocument/2006/relationships/sharedStrings" Target="/xl/sharedStrings.xml" Id="R187c473f580448c3" /><Relationship Type="http://schemas.openxmlformats.org/officeDocument/2006/relationships/worksheet" Target="/xl/worksheets/sheet1.xml" Id="Ree0816c61e134dc6" /><Relationship Type="http://schemas.openxmlformats.org/officeDocument/2006/relationships/worksheet" Target="/xl/worksheets/sheet2.xml" Id="R06def3f5442c4149" /><Relationship Type="http://schemas.openxmlformats.org/officeDocument/2006/relationships/worksheet" Target="/xl/worksheets/sheet3.xml" Id="R9bc173e9f06140f6" /><Relationship Type="http://schemas.openxmlformats.org/officeDocument/2006/relationships/worksheet" Target="/xl/worksheets/sheet4.xml" Id="Re7376bfa4a6c4df2" /><Relationship Type="http://schemas.openxmlformats.org/officeDocument/2006/relationships/worksheet" Target="/xl/worksheets/sheet5.xml" Id="Ref7f161f4edf41a6" /><Relationship Type="http://schemas.openxmlformats.org/officeDocument/2006/relationships/worksheet" Target="/xl/worksheets/sheet6.xml" Id="R505a73ef767d4be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11SpeciesTable" displayName="EEZ911SpeciesTable" ref="A1:U41" headerRowCount="1" totalsRowCount="0" totalsRowShown="0">
  <x:autoFilter ref="A1:U41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11CommercialTable" displayName="EEZ911CommercialTable" ref="A1:E8" headerRowCount="1" totalsRowCount="0" totalsRowShown="0">
  <x:autoFilter ref="A1:E8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11FunctionalTable" displayName="EEZ911FunctionalTable" ref="A1:E14" headerRowCount="1" totalsRowCount="0" totalsRowShown="0">
  <x:autoFilter ref="A1:E14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11ValidationTable" displayName="EEZ911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8496a61065d49b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50a16b0b13448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cfbc40d8dd5436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531f9d024e24d6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EEZ_911</x:v>
      </x:c>
      <x:c r="B2" s="24" t="str">
        <x:v>Musandam (Oman)</x:v>
      </x:c>
      <x:c r="C2" s="24" t="str">
        <x:v>EEZ</x:v>
      </x:c>
      <x:c r="D2" s="30" t="n">
        <x:v>2019</x:v>
      </x:c>
      <x:c r="E2" s="24" t="str">
        <x:v>Carangidae</x:v>
      </x:c>
      <x:c r="F2" s="24" t="str">
        <x:v>Jacks, pompanos</x:v>
      </x:c>
      <x:c r="G2" s="24" t="str">
        <x:v>Medium pelagics (30 - 89 cm)</x:v>
      </x:c>
      <x:c r="H2" s="24" t="str">
        <x:v>Perch-likes</x:v>
      </x:c>
      <x:c r="I2" s="31" t="n">
        <x:v>4721.2627783681</x:v>
      </x:c>
      <x:c r="J2" s="31" t="n">
        <x:v>4660.7448465741</x:v>
      </x:c>
      <x:c r="K2" s="31" t="n">
        <x:v>60.517931794</x:v>
      </x:c>
      <x:c r="L2" s="31" t="n">
        <x:v>4173.3252207446</x:v>
      </x:c>
      <x:c r="M2" s="31" t="n">
        <x:v>547.9375576235</x:v>
      </x:c>
      <x:c r="N2" s="24" t="str">
        <x:v>carangidae</x:v>
      </x:c>
      <x:c r="O2" s="32" t="n">
        <x:v>4.05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Carangidae</x:v>
      </x:c>
      <x:c r="T2" s="32" t="n">
        <x:f>IF(O2="","",(1/'Metadata'!$B$5)^(O2-1))</x:f>
        <x:v>1122.018454301963</x:v>
      </x:c>
      <x:c r="U2" s="31" t="n">
        <x:f>IF(T2="","",I2*T2)</x:f>
        <x:v>5297343.964937966</x:v>
      </x:c>
    </x:row>
    <x:row r="3" ht="18" customHeight="1">
      <x:c r="A3" s="24" t="str">
        <x:v>EEZ_911</x:v>
      </x:c>
      <x:c r="B3" s="24" t="str">
        <x:v>Musandam (Oman)</x:v>
      </x:c>
      <x:c r="C3" s="24" t="str">
        <x:v>EEZ</x:v>
      </x:c>
      <x:c r="D3" s="30" t="n">
        <x:v>2019</x:v>
      </x:c>
      <x:c r="E3" s="24" t="str">
        <x:v>Rastrelliger kanagurta</x:v>
      </x:c>
      <x:c r="F3" s="24" t="str">
        <x:v>Indian mackerel</x:v>
      </x:c>
      <x:c r="G3" s="24" t="str">
        <x:v>Medium pelagics (30 - 89 cm)</x:v>
      </x:c>
      <x:c r="H3" s="24" t="str">
        <x:v>Perch-likes</x:v>
      </x:c>
      <x:c r="I3" s="31" t="n">
        <x:v>4640.5233645687</x:v>
      </x:c>
      <x:c r="J3" s="31" t="n">
        <x:v>4640.5233645687</x:v>
      </x:c>
      <x:c r="K3" s="31" t="n">
        <x:v>0</x:v>
      </x:c>
      <x:c r="L3" s="31" t="n">
        <x:v>4639.7860502012</x:v>
      </x:c>
      <x:c r="M3" s="31" t="n">
        <x:v>0.7373143675</x:v>
      </x:c>
      <x:c r="N3" s="24" t="str">
        <x:v>rastrelliger kanagurta</x:v>
      </x:c>
      <x:c r="O3" s="32" t="n">
        <x:v>3.19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Rastrelliger kanagurta</x:v>
      </x:c>
      <x:c r="T3" s="32" t="n">
        <x:f>IF(O3="","",(1/'Metadata'!$B$5)^(O3-1))</x:f>
        <x:v>154.88166189124811</x:v>
      </x:c>
      <x:c r="U3" s="31" t="n">
        <x:f>IF(T3="","",I3*T3)</x:f>
        <x:v>718731.9707495666</x:v>
      </x:c>
    </x:row>
    <x:row r="4" ht="18" customHeight="1">
      <x:c r="A4" s="24" t="str">
        <x:v>EEZ_911</x:v>
      </x:c>
      <x:c r="B4" s="24" t="str">
        <x:v>Musandam (Oman)</x:v>
      </x:c>
      <x:c r="C4" s="24" t="str">
        <x:v>EEZ</x:v>
      </x:c>
      <x:c r="D4" s="30" t="n">
        <x:v>2019</x:v>
      </x:c>
      <x:c r="E4" s="24" t="str">
        <x:v>Sardinella longiceps</x:v>
      </x:c>
      <x:c r="F4" s="24" t="str">
        <x:v>Indian oil sardine</x:v>
      </x:c>
      <x:c r="G4" s="24" t="str">
        <x:v>Small pelagics (&lt;30 cm)</x:v>
      </x:c>
      <x:c r="H4" s="24" t="str">
        <x:v>Herring-likes</x:v>
      </x:c>
      <x:c r="I4" s="31" t="n">
        <x:v>3367.9738265571</x:v>
      </x:c>
      <x:c r="J4" s="31" t="n">
        <x:v>3367.9738265571</x:v>
      </x:c>
      <x:c r="K4" s="31" t="n">
        <x:v>0</x:v>
      </x:c>
      <x:c r="L4" s="31" t="n">
        <x:v>3367.9738265571</x:v>
      </x:c>
      <x:c r="M4" s="31" t="n">
        <x:v>0</x:v>
      </x:c>
      <x:c r="N4" s="24" t="str">
        <x:v>sardinella longiceps</x:v>
      </x:c>
      <x:c r="O4" s="32" t="n">
        <x:v>2.41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Sardinella longiceps</x:v>
      </x:c>
      <x:c r="T4" s="32" t="n">
        <x:f>IF(O4="","",(1/'Metadata'!$B$5)^(O4-1))</x:f>
        <x:v>25.703957827688647</x:v>
      </x:c>
      <x:c r="U4" s="31" t="n">
        <x:f>IF(T4="","",I4*T4)</x:f>
        <x:v>86570.25720258286</x:v>
      </x:c>
    </x:row>
    <x:row r="5" ht="18" customHeight="1">
      <x:c r="A5" s="24" t="str">
        <x:v>EEZ_911</x:v>
      </x:c>
      <x:c r="B5" s="24" t="str">
        <x:v>Musandam (Oman)</x:v>
      </x:c>
      <x:c r="C5" s="24" t="str">
        <x:v>EEZ</x:v>
      </x:c>
      <x:c r="D5" s="30" t="n">
        <x:v>2019</x:v>
      </x:c>
      <x:c r="E5" s="24" t="str">
        <x:v>Sphyraena</x:v>
      </x:c>
      <x:c r="F5" s="24" t="str">
        <x:v>Barracudas, sennets</x:v>
      </x:c>
      <x:c r="G5" s="24" t="str">
        <x:v>Large pelagics (&gt;=90 cm)</x:v>
      </x:c>
      <x:c r="H5" s="24" t="str">
        <x:v>Perch-likes</x:v>
      </x:c>
      <x:c r="I5" s="31" t="n">
        <x:v>1528.0039247808</x:v>
      </x:c>
      <x:c r="J5" s="31" t="n">
        <x:v>1528.0039247808</x:v>
      </x:c>
      <x:c r="K5" s="31" t="n">
        <x:v>0</x:v>
      </x:c>
      <x:c r="L5" s="31" t="n">
        <x:v>1528.0039247808</x:v>
      </x:c>
      <x:c r="M5" s="31" t="n">
        <x:v>0</x:v>
      </x:c>
      <x:c r="N5" s="24" t="str">
        <x:v>sphyraena</x:v>
      </x:c>
      <x:c r="O5" s="32" t="n">
        <x:v>4.4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Sphyraena</x:v>
      </x:c>
      <x:c r="T5" s="32" t="n">
        <x:f>IF(O5="","",(1/'Metadata'!$B$5)^(O5-1))</x:f>
        <x:v>2511.886431509582</x:v>
      </x:c>
      <x:c r="U5" s="31" t="n">
        <x:f>IF(T5="","",I5*T5)</x:f>
        <x:v>3838172.3259502794</x:v>
      </x:c>
    </x:row>
    <x:row r="6" ht="18" customHeight="1">
      <x:c r="A6" s="24" t="str">
        <x:v>EEZ_911</x:v>
      </x:c>
      <x:c r="B6" s="24" t="str">
        <x:v>Musandam (Oman)</x:v>
      </x:c>
      <x:c r="C6" s="24" t="str">
        <x:v>EEZ</x:v>
      </x:c>
      <x:c r="D6" s="30" t="n">
        <x:v>2019</x:v>
      </x:c>
      <x:c r="E6" s="24" t="str">
        <x:v>Scombridae</x:v>
      </x:c>
      <x:c r="F6" s="24" t="str">
        <x:v>Mackerels, tunas, bonitos</x:v>
      </x:c>
      <x:c r="G6" s="24" t="str">
        <x:v>Medium pelagics (30 - 89 cm)</x:v>
      </x:c>
      <x:c r="H6" s="24" t="str">
        <x:v>Perch-likes</x:v>
      </x:c>
      <x:c r="I6" s="31" t="n">
        <x:v>1487.1857109527</x:v>
      </x:c>
      <x:c r="J6" s="31" t="n">
        <x:v>1410.5086517084</x:v>
      </x:c>
      <x:c r="K6" s="31" t="n">
        <x:v>76.67705924430001</x:v>
      </x:c>
      <x:c r="L6" s="31" t="n">
        <x:v>795.2264366332</x:v>
      </x:c>
      <x:c r="M6" s="31" t="n">
        <x:v>691.9592743195</x:v>
      </x:c>
      <x:c r="N6" s="24" t="str">
        <x:v>scombridae</x:v>
      </x:c>
      <x:c r="O6" s="32" t="n">
        <x:v>4.26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Scombridae</x:v>
      </x:c>
      <x:c r="T6" s="32" t="n">
        <x:f>IF(O6="","",(1/'Metadata'!$B$5)^(O6-1))</x:f>
        <x:v>1819.7008586099826</x:v>
      </x:c>
      <x:c r="U6" s="31" t="n">
        <x:f>IF(T6="","",I6*T6)</x:f>
        <x:v>2706233.1151331253</x:v>
      </x:c>
    </x:row>
    <x:row r="7" ht="18" customHeight="1">
      <x:c r="A7" s="24" t="str">
        <x:v>EEZ_911</x:v>
      </x:c>
      <x:c r="B7" s="24" t="str">
        <x:v>Musandam (Oman)</x:v>
      </x:c>
      <x:c r="C7" s="24" t="str">
        <x:v>EEZ</x:v>
      </x:c>
      <x:c r="D7" s="30" t="n">
        <x:v>2019</x:v>
      </x:c>
      <x:c r="E7" s="24" t="str">
        <x:v>Sepia pharaonis</x:v>
      </x:c>
      <x:c r="F7" s="24" t="str">
        <x:v>Pharaoh cuttlefish</x:v>
      </x:c>
      <x:c r="G7" s="24" t="str">
        <x:v>Cephalopods</x:v>
      </x:c>
      <x:c r="H7" s="24" t="str">
        <x:v>Other fishes &amp; inverts</x:v>
      </x:c>
      <x:c r="I7" s="31" t="n">
        <x:v>747.5947847389</x:v>
      </x:c>
      <x:c r="J7" s="31" t="n">
        <x:v>747.5947847389</x:v>
      </x:c>
      <x:c r="K7" s="31" t="n">
        <x:v>0</x:v>
      </x:c>
      <x:c r="L7" s="31" t="n">
        <x:v>747.5947847389</x:v>
      </x:c>
      <x:c r="M7" s="31" t="n">
        <x:v>0</x:v>
      </x:c>
      <x:c r="N7" s="24" t="str">
        <x:v>sepia pharaonis</x:v>
      </x:c>
      <x:c r="O7" s="32" t="n">
        <x:v>3.8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Sepia pharaonis</x:v>
      </x:c>
      <x:c r="T7" s="32" t="n">
        <x:f>IF(O7="","",(1/'Metadata'!$B$5)^(O7-1))</x:f>
        <x:v>630.957344480193</x:v>
      </x:c>
      <x:c r="U7" s="31" t="n">
        <x:f>IF(T7="","",I7*T7)</x:f>
        <x:v>471700.42012609786</x:v>
      </x:c>
    </x:row>
    <x:row r="8" ht="18" customHeight="1">
      <x:c r="A8" s="24" t="str">
        <x:v>EEZ_911</x:v>
      </x:c>
      <x:c r="B8" s="24" t="str">
        <x:v>Musandam (Oman)</x:v>
      </x:c>
      <x:c r="C8" s="24" t="str">
        <x:v>EEZ</x:v>
      </x:c>
      <x:c r="D8" s="30" t="n">
        <x:v>2019</x:v>
      </x:c>
      <x:c r="E8" s="24" t="str">
        <x:v>Thunnus albacares</x:v>
      </x:c>
      <x:c r="F8" s="24" t="str">
        <x:v>Yellowfin tuna</x:v>
      </x:c>
      <x:c r="G8" s="24" t="str">
        <x:v>Large pelagics (&gt;=90 cm)</x:v>
      </x:c>
      <x:c r="H8" s="24" t="str">
        <x:v>Tuna &amp; billfishes</x:v>
      </x:c>
      <x:c r="I8" s="31" t="n">
        <x:v>682.5229157915</x:v>
      </x:c>
      <x:c r="J8" s="31" t="n">
        <x:v>682.5229157915</x:v>
      </x:c>
      <x:c r="K8" s="31" t="n">
        <x:v>0</x:v>
      </x:c>
      <x:c r="L8" s="31" t="n">
        <x:v>682.3015255607</x:v>
      </x:c>
      <x:c r="M8" s="31" t="n">
        <x:v>0.2213902308</x:v>
      </x:c>
      <x:c r="N8" s="24" t="str">
        <x:v>thunnus albacares</x:v>
      </x:c>
      <x:c r="O8" s="32" t="n">
        <x:v>4.41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Thunnus albacares</x:v>
      </x:c>
      <x:c r="T8" s="32" t="n">
        <x:f>IF(O8="","",(1/'Metadata'!$B$5)^(O8-1))</x:f>
        <x:v>2570.3957827688646</x:v>
      </x:c>
      <x:c r="U8" s="31" t="n">
        <x:f>IF(T8="","",I8*T8)</x:f>
        <x:v>1754354.0243935806</x:v>
      </x:c>
    </x:row>
    <x:row r="9" ht="18" customHeight="1">
      <x:c r="A9" s="24" t="str">
        <x:v>EEZ_911</x:v>
      </x:c>
      <x:c r="B9" s="24" t="str">
        <x:v>Musandam (Oman)</x:v>
      </x:c>
      <x:c r="C9" s="24" t="str">
        <x:v>EEZ</x:v>
      </x:c>
      <x:c r="D9" s="30" t="n">
        <x:v>2019</x:v>
      </x:c>
      <x:c r="E9" s="24" t="str">
        <x:v>Lethrinus nebulosus</x:v>
      </x:c>
      <x:c r="F9" s="24" t="str">
        <x:v>Spangled emperor</x:v>
      </x:c>
      <x:c r="G9" s="24" t="str">
        <x:v>Medium demersals (30 - 89 cm)</x:v>
      </x:c>
      <x:c r="H9" s="24" t="str">
        <x:v>Perch-likes</x:v>
      </x:c>
      <x:c r="I9" s="31" t="n">
        <x:v>629.2774481974</x:v>
      </x:c>
      <x:c r="J9" s="31" t="n">
        <x:v>629.2774481974</x:v>
      </x:c>
      <x:c r="K9" s="31" t="n">
        <x:v>0</x:v>
      </x:c>
      <x:c r="L9" s="31" t="n">
        <x:v>629.2774481974</x:v>
      </x:c>
      <x:c r="M9" s="31" t="n">
        <x:v>0</x:v>
      </x:c>
      <x:c r="N9" s="24" t="str">
        <x:v>lethrinus nebulosus</x:v>
      </x:c>
      <x:c r="O9" s="32" t="n">
        <x:v>3.76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Lethrinus nebulosus</x:v>
      </x:c>
      <x:c r="T9" s="32" t="n">
        <x:f>IF(O9="","",(1/'Metadata'!$B$5)^(O9-1))</x:f>
        <x:v>575.4399373371566</x:v>
      </x:c>
      <x:c r="U9" s="31" t="n">
        <x:f>IF(T9="","",I9*T9)</x:f>
        <x:v>362111.37535839766</x:v>
      </x:c>
    </x:row>
    <x:row r="10" ht="18" customHeight="1">
      <x:c r="A10" s="24" t="str">
        <x:v>EEZ_911</x:v>
      </x:c>
      <x:c r="B10" s="24" t="str">
        <x:v>Musandam (Oman)</x:v>
      </x:c>
      <x:c r="C10" s="24" t="str">
        <x:v>EEZ</x:v>
      </x:c>
      <x:c r="D10" s="30" t="n">
        <x:v>2019</x:v>
      </x:c>
      <x:c r="E10" s="24" t="str">
        <x:v>Marine fishes not identified</x:v>
      </x:c>
      <x:c r="F10" s="24" t="str">
        <x:v>Marine fishes nei</x:v>
      </x:c>
      <x:c r="G10" s="24" t="str">
        <x:v>Medium demersals (30 - 89 cm)</x:v>
      </x:c>
      <x:c r="H10" s="24" t="str">
        <x:v>Other fishes &amp; inverts</x:v>
      </x:c>
      <x:c r="I10" s="31" t="n">
        <x:v>609.7667361648</x:v>
      </x:c>
      <x:c r="J10" s="31" t="n">
        <x:v>585.1522559939</x:v>
      </x:c>
      <x:c r="K10" s="31" t="n">
        <x:v>24.614480170900002</x:v>
      </x:c>
      <x:c r="L10" s="31" t="n">
        <x:v>387.9021748958</x:v>
      </x:c>
      <x:c r="M10" s="31" t="n">
        <x:v>221.864561269</x:v>
      </x:c>
      <x:c r="N10" s="24" t="str">
        <x:v>marine fishes not identified</x:v>
      </x:c>
      <x:c r="O10" s="32" t="n">
        <x:v>3.28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Marine fishes not identified</x:v>
      </x:c>
      <x:c r="T10" s="32" t="n">
        <x:f>IF(O10="","",(1/'Metadata'!$B$5)^(O10-1))</x:f>
        <x:v>190.54607179632464</x:v>
      </x:c>
      <x:c r="U10" s="31" t="n">
        <x:f>IF(T10="","",I10*T10)</x:f>
        <x:v>116188.65628826852</x:v>
      </x:c>
    </x:row>
    <x:row r="11" ht="18" customHeight="1">
      <x:c r="A11" s="24" t="str">
        <x:v>EEZ_911</x:v>
      </x:c>
      <x:c r="B11" s="24" t="str">
        <x:v>Musandam (Oman)</x:v>
      </x:c>
      <x:c r="C11" s="24" t="str">
        <x:v>EEZ</x:v>
      </x:c>
      <x:c r="D11" s="30" t="n">
        <x:v>2019</x:v>
      </x:c>
      <x:c r="E11" s="24" t="str">
        <x:v>Nemipteridae</x:v>
      </x:c>
      <x:c r="F11" s="24" t="str">
        <x:v>Threadfins, whiptail breams</x:v>
      </x:c>
      <x:c r="G11" s="24" t="str">
        <x:v>Small demersals (&lt;30 cm)</x:v>
      </x:c>
      <x:c r="H11" s="24" t="str">
        <x:v>Perch-likes</x:v>
      </x:c>
      <x:c r="I11" s="31" t="n">
        <x:v>507.0122202348</x:v>
      </x:c>
      <x:c r="J11" s="31" t="n">
        <x:v>507.0122202348</x:v>
      </x:c>
      <x:c r="K11" s="31" t="n">
        <x:v>0</x:v>
      </x:c>
      <x:c r="L11" s="31" t="n">
        <x:v>507.0122202348</x:v>
      </x:c>
      <x:c r="M11" s="31" t="n">
        <x:v>0</x:v>
      </x:c>
      <x:c r="N11" s="24" t="str">
        <x:v>nemipteridae</x:v>
      </x:c>
      <x:c r="O11" s="32" t="n">
        <x:v>3.51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Nemipteridae</x:v>
      </x:c>
      <x:c r="T11" s="32" t="n">
        <x:f>IF(O11="","",(1/'Metadata'!$B$5)^(O11-1))</x:f>
        <x:v>323.5936569296281</x:v>
      </x:c>
      <x:c r="U11" s="31" t="n">
        <x:f>IF(T11="","",I11*T11)</x:f>
        <x:v>164065.9384537889</x:v>
      </x:c>
    </x:row>
    <x:row r="12" ht="18" customHeight="1">
      <x:c r="A12" s="24" t="str">
        <x:v>EEZ_911</x:v>
      </x:c>
      <x:c r="B12" s="24" t="str">
        <x:v>Musandam (Oman)</x:v>
      </x:c>
      <x:c r="C12" s="24" t="str">
        <x:v>EEZ</x:v>
      </x:c>
      <x:c r="D12" s="30" t="n">
        <x:v>2019</x:v>
      </x:c>
      <x:c r="E12" s="24" t="str">
        <x:v>Mugilidae</x:v>
      </x:c>
      <x:c r="F12" s="24" t="str">
        <x:v>Mullets, grey mullets</x:v>
      </x:c>
      <x:c r="G12" s="24" t="str">
        <x:v>Medium reef assoc. fish (30 - 89 cm)</x:v>
      </x:c>
      <x:c r="H12" s="24" t="str">
        <x:v>Perch-likes</x:v>
      </x:c>
      <x:c r="I12" s="31" t="n">
        <x:v>465.1741202611</x:v>
      </x:c>
      <x:c r="J12" s="31" t="n">
        <x:v>461.8853219438</x:v>
      </x:c>
      <x:c r="K12" s="31" t="n">
        <x:v>3.2887983173</x:v>
      </x:c>
      <x:c r="L12" s="31" t="n">
        <x:v>435.49064112269997</x:v>
      </x:c>
      <x:c r="M12" s="31" t="n">
        <x:v>29.683479138399996</x:v>
      </x:c>
      <x:c r="N12" s="24" t="str">
        <x:v>mugilidae</x:v>
      </x:c>
      <x:c r="O12" s="32" t="n">
        <x:v>2.53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Mugilidae</x:v>
      </x:c>
      <x:c r="T12" s="32" t="n">
        <x:f>IF(O12="","",(1/'Metadata'!$B$5)^(O12-1))</x:f>
        <x:v>33.88441561392024</x:v>
      </x:c>
      <x:c r="U12" s="31" t="n">
        <x:f>IF(T12="","",I12*T12)</x:f>
        <x:v>15762.153223766827</x:v>
      </x:c>
    </x:row>
    <x:row r="13" ht="18" customHeight="1">
      <x:c r="A13" s="24" t="str">
        <x:v>EEZ_911</x:v>
      </x:c>
      <x:c r="B13" s="24" t="str">
        <x:v>Musandam (Oman)</x:v>
      </x:c>
      <x:c r="C13" s="24" t="str">
        <x:v>EEZ</x:v>
      </x:c>
      <x:c r="D13" s="30" t="n">
        <x:v>2019</x:v>
      </x:c>
      <x:c r="E13" s="24" t="str">
        <x:v>Thunnus tonggol</x:v>
      </x:c>
      <x:c r="F13" s="24" t="str">
        <x:v>Longtail tuna</x:v>
      </x:c>
      <x:c r="G13" s="24" t="str">
        <x:v>Large pelagics (&gt;=90 cm)</x:v>
      </x:c>
      <x:c r="H13" s="24" t="str">
        <x:v>Tuna &amp; billfishes</x:v>
      </x:c>
      <x:c r="I13" s="31" t="n">
        <x:v>401.4277024283</x:v>
      </x:c>
      <x:c r="J13" s="31" t="n">
        <x:v>401.4277024283</x:v>
      </x:c>
      <x:c r="K13" s="31" t="n">
        <x:v>0</x:v>
      </x:c>
      <x:c r="L13" s="31" t="n">
        <x:v>401.4277024283</x:v>
      </x:c>
      <x:c r="M13" s="31" t="n">
        <x:v>0</x:v>
      </x:c>
      <x:c r="N13" s="24" t="str">
        <x:v>thunnus tonggol</x:v>
      </x:c>
      <x:c r="O13" s="32" t="n">
        <x:v>4.5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Thunnus tonggol</x:v>
      </x:c>
      <x:c r="T13" s="32" t="n">
        <x:f>IF(O13="","",(1/'Metadata'!$B$5)^(O13-1))</x:f>
        <x:v>3162.2776601683795</x:v>
      </x:c>
      <x:c r="U13" s="31" t="n">
        <x:f>IF(T13="","",I13*T13)</x:f>
        <x:v>1269425.855561733</x:v>
      </x:c>
    </x:row>
    <x:row r="14" ht="18" customHeight="1">
      <x:c r="A14" s="24" t="str">
        <x:v>EEZ_911</x:v>
      </x:c>
      <x:c r="B14" s="24" t="str">
        <x:v>Musandam (Oman)</x:v>
      </x:c>
      <x:c r="C14" s="24" t="str">
        <x:v>EEZ</x:v>
      </x:c>
      <x:c r="D14" s="30" t="n">
        <x:v>2019</x:v>
      </x:c>
      <x:c r="E14" s="24" t="str">
        <x:v>Euthynnus affinis</x:v>
      </x:c>
      <x:c r="F14" s="24" t="str">
        <x:v>Kawakawa</x:v>
      </x:c>
      <x:c r="G14" s="24" t="str">
        <x:v>Large pelagics (&gt;=90 cm)</x:v>
      </x:c>
      <x:c r="H14" s="24" t="str">
        <x:v>Tuna &amp; billfishes</x:v>
      </x:c>
      <x:c r="I14" s="31" t="n">
        <x:v>341.726576063</x:v>
      </x:c>
      <x:c r="J14" s="31" t="n">
        <x:v>341.726576063</x:v>
      </x:c>
      <x:c r="K14" s="31" t="n">
        <x:v>0</x:v>
      </x:c>
      <x:c r="L14" s="31" t="n">
        <x:v>341.726576063</x:v>
      </x:c>
      <x:c r="M14" s="31" t="n">
        <x:v>0</x:v>
      </x:c>
      <x:c r="N14" s="24" t="str">
        <x:v>euthynnus affinis</x:v>
      </x:c>
      <x:c r="O14" s="32" t="n">
        <x:v>4.5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Euthynnus affinis</x:v>
      </x:c>
      <x:c r="T14" s="32" t="n">
        <x:f>IF(O14="","",(1/'Metadata'!$B$5)^(O14-1))</x:f>
        <x:v>3162.2776601683795</x:v>
      </x:c>
      <x:c r="U14" s="31" t="n">
        <x:f>IF(T14="","",I14*T14)</x:f>
        <x:v>1080634.3173698552</x:v>
      </x:c>
    </x:row>
    <x:row r="15" ht="18" customHeight="1">
      <x:c r="A15" s="24" t="str">
        <x:v>EEZ_911</x:v>
      </x:c>
      <x:c r="B15" s="24" t="str">
        <x:v>Musandam (Oman)</x:v>
      </x:c>
      <x:c r="C15" s="24" t="str">
        <x:v>EEZ</x:v>
      </x:c>
      <x:c r="D15" s="30" t="n">
        <x:v>2019</x:v>
      </x:c>
      <x:c r="E15" s="24" t="str">
        <x:v>Epinephelus</x:v>
      </x:c>
      <x:c r="F15" s="24" t="str">
        <x:v>Seabasses, hinds</x:v>
      </x:c>
      <x:c r="G15" s="24" t="str">
        <x:v>Medium reef assoc. fish (30 - 89 cm)</x:v>
      </x:c>
      <x:c r="H15" s="24" t="str">
        <x:v>Perch-likes</x:v>
      </x:c>
      <x:c r="I15" s="31" t="n">
        <x:v>323.79831935389996</x:v>
      </x:c>
      <x:c r="J15" s="31" t="n">
        <x:v>323.79831935389996</x:v>
      </x:c>
      <x:c r="K15" s="31" t="n">
        <x:v>0</x:v>
      </x:c>
      <x:c r="L15" s="31" t="n">
        <x:v>323.79831935389996</x:v>
      </x:c>
      <x:c r="M15" s="31" t="n">
        <x:v>0</x:v>
      </x:c>
      <x:c r="N15" s="24" t="str">
        <x:v>epinephelus</x:v>
      </x:c>
      <x:c r="O15" s="32" t="n">
        <x:v>3.84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Epinephelus</x:v>
      </x:c>
      <x:c r="T15" s="32" t="n">
        <x:f>IF(O15="","",(1/'Metadata'!$B$5)^(O15-1))</x:f>
        <x:v>691.8309709189363</x:v>
      </x:c>
      <x:c r="U15" s="31" t="n">
        <x:f>IF(T15="","",I15*T15)</x:f>
        <x:v>224013.7056605284</x:v>
      </x:c>
    </x:row>
    <x:row r="16" ht="18" customHeight="1">
      <x:c r="A16" s="24" t="str">
        <x:v>EEZ_911</x:v>
      </x:c>
      <x:c r="B16" s="24" t="str">
        <x:v>Musandam (Oman)</x:v>
      </x:c>
      <x:c r="C16" s="24" t="str">
        <x:v>EEZ</x:v>
      </x:c>
      <x:c r="D16" s="30" t="n">
        <x:v>2019</x:v>
      </x:c>
      <x:c r="E16" s="24" t="str">
        <x:v>Rachycentron canadum</x:v>
      </x:c>
      <x:c r="F16" s="24" t="str">
        <x:v>Cobia</x:v>
      </x:c>
      <x:c r="G16" s="24" t="str">
        <x:v>Large pelagics (&gt;=90 cm)</x:v>
      </x:c>
      <x:c r="H16" s="24" t="str">
        <x:v>Perch-likes</x:v>
      </x:c>
      <x:c r="I16" s="31" t="n">
        <x:v>225.2412612615</x:v>
      </x:c>
      <x:c r="J16" s="31" t="n">
        <x:v>225.2412612615</x:v>
      </x:c>
      <x:c r="K16" s="31" t="n">
        <x:v>0</x:v>
      </x:c>
      <x:c r="L16" s="31" t="n">
        <x:v>225.2412612615</x:v>
      </x:c>
      <x:c r="M16" s="31" t="n">
        <x:v>0</x:v>
      </x:c>
      <x:c r="N16" s="24" t="str">
        <x:v>rachycentron canadum</x:v>
      </x:c>
      <x:c r="O16" s="32" t="n">
        <x:v>3.96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Rachycentron canadum</x:v>
      </x:c>
      <x:c r="T16" s="32" t="n">
        <x:f>IF(O16="","",(1/'Metadata'!$B$5)^(O16-1))</x:f>
        <x:v>912.0108393559096</x:v>
      </x:c>
      <x:c r="U16" s="31" t="n">
        <x:f>IF(T16="","",I16*T16)</x:f>
        <x:v>205422.47174068436</x:v>
      </x:c>
    </x:row>
    <x:row r="17" ht="18" customHeight="1">
      <x:c r="A17" s="24" t="str">
        <x:v>EEZ_911</x:v>
      </x:c>
      <x:c r="B17" s="24" t="str">
        <x:v>Musandam (Oman)</x:v>
      </x:c>
      <x:c r="C17" s="24" t="str">
        <x:v>EEZ</x:v>
      </x:c>
      <x:c r="D17" s="30" t="n">
        <x:v>2019</x:v>
      </x:c>
      <x:c r="E17" s="24" t="str">
        <x:v>Scomberomorus commerson</x:v>
      </x:c>
      <x:c r="F17" s="24" t="str">
        <x:v>Narrow-barred Spanish mackerel</x:v>
      </x:c>
      <x:c r="G17" s="24" t="str">
        <x:v>Large pelagics (&gt;=90 cm)</x:v>
      </x:c>
      <x:c r="H17" s="24" t="str">
        <x:v>Perch-likes</x:v>
      </x:c>
      <x:c r="I17" s="31" t="n">
        <x:v>224.5343671964</x:v>
      </x:c>
      <x:c r="J17" s="31" t="n">
        <x:v>224.5343671964</x:v>
      </x:c>
      <x:c r="K17" s="31" t="n">
        <x:v>0</x:v>
      </x:c>
      <x:c r="L17" s="31" t="n">
        <x:v>224.5343671964</x:v>
      </x:c>
      <x:c r="M17" s="31" t="n">
        <x:v>0</x:v>
      </x:c>
      <x:c r="N17" s="24" t="str">
        <x:v>scomberomorus commerson</x:v>
      </x:c>
      <x:c r="O17" s="32" t="n">
        <x:v>4.5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Scomberomorus commerson</x:v>
      </x:c>
      <x:c r="T17" s="32" t="n">
        <x:f>IF(O17="","",(1/'Metadata'!$B$5)^(O17-1))</x:f>
        <x:v>3162.2776601683795</x:v>
      </x:c>
      <x:c r="U17" s="31" t="n">
        <x:f>IF(T17="","",I17*T17)</x:f>
        <x:v>710040.0133252196</x:v>
      </x:c>
    </x:row>
    <x:row r="18" ht="18" customHeight="1">
      <x:c r="A18" s="24" t="str">
        <x:v>EEZ_911</x:v>
      </x:c>
      <x:c r="B18" s="24" t="str">
        <x:v>Musandam (Oman)</x:v>
      </x:c>
      <x:c r="C18" s="24" t="str">
        <x:v>EEZ</x:v>
      </x:c>
      <x:c r="D18" s="30" t="n">
        <x:v>2019</x:v>
      </x:c>
      <x:c r="E18" s="24" t="str">
        <x:v>Istiophorus platypterus</x:v>
      </x:c>
      <x:c r="F18" s="24" t="str">
        <x:v>Indo-Pacific sailfish</x:v>
      </x:c>
      <x:c r="G18" s="24" t="str">
        <x:v>Large pelagics (&gt;=90 cm)</x:v>
      </x:c>
      <x:c r="H18" s="24" t="str">
        <x:v>Tuna &amp; billfishes</x:v>
      </x:c>
      <x:c r="I18" s="31" t="n">
        <x:v>195.2392847059</x:v>
      </x:c>
      <x:c r="J18" s="31" t="n">
        <x:v>195.2392847059</x:v>
      </x:c>
      <x:c r="K18" s="31" t="n">
        <x:v>0</x:v>
      </x:c>
      <x:c r="L18" s="31" t="n">
        <x:v>193.9860462017</x:v>
      </x:c>
      <x:c r="M18" s="31" t="n">
        <x:v>1.2532385042</x:v>
      </x:c>
      <x:c r="N18" s="24" t="str">
        <x:v>istiophorus platypterus</x:v>
      </x:c>
      <x:c r="O18" s="32" t="n">
        <x:v>4.5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Istiophorus platypterus</x:v>
      </x:c>
      <x:c r="T18" s="32" t="n">
        <x:f>IF(O18="","",(1/'Metadata'!$B$5)^(O18-1))</x:f>
        <x:v>3162.2776601683795</x:v>
      </x:c>
      <x:c r="U18" s="31" t="n">
        <x:f>IF(T18="","",I18*T18)</x:f>
        <x:v>617400.8284127215</x:v>
      </x:c>
    </x:row>
    <x:row r="19" ht="18" customHeight="1">
      <x:c r="A19" s="24" t="str">
        <x:v>EEZ_911</x:v>
      </x:c>
      <x:c r="B19" s="24" t="str">
        <x:v>Musandam (Oman)</x:v>
      </x:c>
      <x:c r="C19" s="24" t="str">
        <x:v>EEZ</x:v>
      </x:c>
      <x:c r="D19" s="30" t="n">
        <x:v>2019</x:v>
      </x:c>
      <x:c r="E19" s="24" t="str">
        <x:v>Sparidae</x:v>
      </x:c>
      <x:c r="F19" s="24" t="str">
        <x:v>Porgies, seabreams</x:v>
      </x:c>
      <x:c r="G19" s="24" t="str">
        <x:v>Medium benthopelagics (30 - 89 cm)</x:v>
      </x:c>
      <x:c r="H19" s="24" t="str">
        <x:v>Perch-likes</x:v>
      </x:c>
      <x:c r="I19" s="31" t="n">
        <x:v>194.3840967639</x:v>
      </x:c>
      <x:c r="J19" s="31" t="n">
        <x:v>189.4974714025</x:v>
      </x:c>
      <x:c r="K19" s="31" t="n">
        <x:v>4.8866253614</x:v>
      </x:c>
      <x:c r="L19" s="31" t="n">
        <x:v>149.1780718459</x:v>
      </x:c>
      <x:c r="M19" s="31" t="n">
        <x:v>45.206024918000004</x:v>
      </x:c>
      <x:c r="N19" s="24" t="str">
        <x:v>sparidae</x:v>
      </x:c>
      <x:c r="O19" s="32" t="n">
        <x:v>3.31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Sparidae</x:v>
      </x:c>
      <x:c r="T19" s="32" t="n">
        <x:f>IF(O19="","",(1/'Metadata'!$B$5)^(O19-1))</x:f>
        <x:v>204.17379446695296</x:v>
      </x:c>
      <x:c r="U19" s="31" t="n">
        <x:f>IF(T19="","",I19*T19)</x:f>
        <x:v>39688.138620316815</x:v>
      </x:c>
    </x:row>
    <x:row r="20" ht="18" customHeight="1">
      <x:c r="A20" s="24" t="str">
        <x:v>EEZ_911</x:v>
      </x:c>
      <x:c r="B20" s="24" t="str">
        <x:v>Musandam (Oman)</x:v>
      </x:c>
      <x:c r="C20" s="24" t="str">
        <x:v>EEZ</x:v>
      </x:c>
      <x:c r="D20" s="30" t="n">
        <x:v>2019</x:v>
      </x:c>
      <x:c r="E20" s="24" t="str">
        <x:v>Clupeidae</x:v>
      </x:c>
      <x:c r="F20" s="24" t="str">
        <x:v>Herrings, sardines, menhadens</x:v>
      </x:c>
      <x:c r="G20" s="24" t="str">
        <x:v>Small pelagics (&lt;30 cm)</x:v>
      </x:c>
      <x:c r="H20" s="24" t="str">
        <x:v>Herring-likes</x:v>
      </x:c>
      <x:c r="I20" s="31" t="n">
        <x:v>189.9786323548</x:v>
      </x:c>
      <x:c r="J20" s="31" t="n">
        <x:v>169.0279825889</x:v>
      </x:c>
      <x:c r="K20" s="31" t="n">
        <x:v>20.9506497659</x:v>
      </x:c>
      <x:c r="L20" s="31" t="n">
        <x:v>0</x:v>
      </x:c>
      <x:c r="M20" s="31" t="n">
        <x:v>189.9786323548</x:v>
      </x:c>
      <x:c r="N20" s="24" t="str">
        <x:v>clupeidae</x:v>
      </x:c>
      <x:c r="O20" s="32" t="n">
        <x:v>3.16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Clupeidae</x:v>
      </x:c>
      <x:c r="T20" s="32" t="n">
        <x:f>IF(O20="","",(1/'Metadata'!$B$5)^(O20-1))</x:f>
        <x:v>144.5439770745928</x:v>
      </x:c>
      <x:c r="U20" s="31" t="n">
        <x:f>IF(T20="","",I20*T20)</x:f>
        <x:v>27460.267079754703</x:v>
      </x:c>
    </x:row>
    <x:row r="21" ht="18" customHeight="1">
      <x:c r="A21" s="24" t="str">
        <x:v>EEZ_911</x:v>
      </x:c>
      <x:c r="B21" s="24" t="str">
        <x:v>Musandam (Oman)</x:v>
      </x:c>
      <x:c r="C21" s="24" t="str">
        <x:v>EEZ</x:v>
      </x:c>
      <x:c r="D21" s="30" t="n">
        <x:v>2019</x:v>
      </x:c>
      <x:c r="E21" s="24" t="str">
        <x:v>Sphyraenidae</x:v>
      </x:c>
      <x:c r="F21" s="24" t="str">
        <x:v>Barracudas</x:v>
      </x:c>
      <x:c r="G21" s="24" t="str">
        <x:v>Medium reef assoc. fish (30 - 89 cm)</x:v>
      </x:c>
      <x:c r="H21" s="24" t="str">
        <x:v>Perch-likes</x:v>
      </x:c>
      <x:c r="I21" s="31" t="n">
        <x:v>183.3562459548</x:v>
      </x:c>
      <x:c r="J21" s="31" t="n">
        <x:v>163.5471627258</x:v>
      </x:c>
      <x:c r="K21" s="31" t="n">
        <x:v>19.809083229000002</x:v>
      </x:c>
      <x:c r="L21" s="31" t="n">
        <x:v>0</x:v>
      </x:c>
      <x:c r="M21" s="31" t="n">
        <x:v>183.3562459548</x:v>
      </x:c>
      <x:c r="N21" s="24" t="str">
        <x:v>sphyraenidae</x:v>
      </x:c>
      <x:c r="O21" s="32" t="n">
        <x:v>4.4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Sphyraenidae</x:v>
      </x:c>
      <x:c r="T21" s="32" t="n">
        <x:f>IF(O21="","",(1/'Metadata'!$B$5)^(O21-1))</x:f>
        <x:v>2511.886431509582</x:v>
      </x:c>
      <x:c r="U21" s="31" t="n">
        <x:f>IF(T21="","",I21*T21)</x:f>
        <x:v>460570.06634639576</x:v>
      </x:c>
    </x:row>
    <x:row r="22" ht="18" customHeight="1">
      <x:c r="A22" s="24" t="str">
        <x:v>EEZ_911</x:v>
      </x:c>
      <x:c r="B22" s="24" t="str">
        <x:v>Musandam (Oman)</x:v>
      </x:c>
      <x:c r="C22" s="24" t="str">
        <x:v>EEZ</x:v>
      </x:c>
      <x:c r="D22" s="30" t="n">
        <x:v>2019</x:v>
      </x:c>
      <x:c r="E22" s="24" t="str">
        <x:v>Auxis thazard</x:v>
      </x:c>
      <x:c r="F22" s="24" t="str">
        <x:v>Frigate tuna</x:v>
      </x:c>
      <x:c r="G22" s="24" t="str">
        <x:v>Medium pelagics (30 - 89 cm)</x:v>
      </x:c>
      <x:c r="H22" s="24" t="str">
        <x:v>Tuna &amp; billfishes</x:v>
      </x:c>
      <x:c r="I22" s="31" t="n">
        <x:v>139.9614035118</x:v>
      </x:c>
      <x:c r="J22" s="31" t="n">
        <x:v>139.9614035118</x:v>
      </x:c>
      <x:c r="K22" s="31" t="n">
        <x:v>0</x:v>
      </x:c>
      <x:c r="L22" s="31" t="n">
        <x:v>139.9614035118</x:v>
      </x:c>
      <x:c r="M22" s="31" t="n">
        <x:v>0</x:v>
      </x:c>
      <x:c r="N22" s="24" t="str">
        <x:v>auxis thazard</x:v>
      </x:c>
      <x:c r="O22" s="32" t="n">
        <x:v>4.37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Auxis thazard</x:v>
      </x:c>
      <x:c r="T22" s="32" t="n">
        <x:f>IF(O22="","",(1/'Metadata'!$B$5)^(O22-1))</x:f>
        <x:v>2344.228815319923</x:v>
      </x:c>
      <x:c r="U22" s="31" t="n">
        <x:f>IF(T22="","",I22*T22)</x:f>
        <x:v>328101.5551449806</x:v>
      </x:c>
    </x:row>
    <x:row r="23" ht="18" customHeight="1">
      <x:c r="A23" s="24" t="str">
        <x:v>EEZ_911</x:v>
      </x:c>
      <x:c r="B23" s="24" t="str">
        <x:v>Musandam (Oman)</x:v>
      </x:c>
      <x:c r="C23" s="24" t="str">
        <x:v>EEZ</x:v>
      </x:c>
      <x:c r="D23" s="30" t="n">
        <x:v>2019</x:v>
      </x:c>
      <x:c r="E23" s="24" t="str">
        <x:v>Siganus canaliculatus</x:v>
      </x:c>
      <x:c r="F23" s="24" t="str">
        <x:v>White-spotted spinefoot</x:v>
      </x:c>
      <x:c r="G23" s="24" t="str">
        <x:v>Small reef assoc. fish (&lt;30 cm)</x:v>
      </x:c>
      <x:c r="H23" s="24" t="str">
        <x:v>Perch-likes</x:v>
      </x:c>
      <x:c r="I23" s="31" t="n">
        <x:v>96.8367443852</x:v>
      </x:c>
      <x:c r="J23" s="31" t="n">
        <x:v>96.8367443852</x:v>
      </x:c>
      <x:c r="K23" s="31" t="n">
        <x:v>0</x:v>
      </x:c>
      <x:c r="L23" s="31" t="n">
        <x:v>96.8367443852</x:v>
      </x:c>
      <x:c r="M23" s="31" t="n">
        <x:v>0</x:v>
      </x:c>
      <x:c r="N23" s="24" t="str">
        <x:v>siganus canaliculatus</x:v>
      </x:c>
      <x:c r="O23" s="32" t="n">
        <x:v>2.76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Siganus canaliculatus</x:v>
      </x:c>
      <x:c r="T23" s="32" t="n">
        <x:f>IF(O23="","",(1/'Metadata'!$B$5)^(O23-1))</x:f>
        <x:v>57.543993733715666</x:v>
      </x:c>
      <x:c r="U23" s="31" t="n">
        <x:f>IF(T23="","",I23*T23)</x:f>
        <x:v>5572.373012095375</x:v>
      </x:c>
    </x:row>
    <x:row r="24" ht="18" customHeight="1">
      <x:c r="A24" s="24" t="str">
        <x:v>EEZ_911</x:v>
      </x:c>
      <x:c r="B24" s="24" t="str">
        <x:v>Musandam (Oman)</x:v>
      </x:c>
      <x:c r="C24" s="24" t="str">
        <x:v>EEZ</x:v>
      </x:c>
      <x:c r="D24" s="30" t="n">
        <x:v>2019</x:v>
      </x:c>
      <x:c r="E24" s="24" t="str">
        <x:v>Lethrinidae</x:v>
      </x:c>
      <x:c r="F24" s="24" t="str">
        <x:v>Emperors, scavengers</x:v>
      </x:c>
      <x:c r="G24" s="24" t="str">
        <x:v>Medium reef assoc. fish (30 - 89 cm)</x:v>
      </x:c>
      <x:c r="H24" s="24" t="str">
        <x:v>Perch-likes</x:v>
      </x:c>
      <x:c r="I24" s="31" t="n">
        <x:v>80.01961955339999</x:v>
      </x:c>
      <x:c r="J24" s="31" t="n">
        <x:v>71.67651264109999</x:v>
      </x:c>
      <x:c r="K24" s="31" t="n">
        <x:v>8.3431069123</x:v>
      </x:c>
      <x:c r="L24" s="31" t="n">
        <x:v>0</x:v>
      </x:c>
      <x:c r="M24" s="31" t="n">
        <x:v>80.01961955339999</x:v>
      </x:c>
      <x:c r="N24" s="24" t="str">
        <x:v>lethrinidae</x:v>
      </x:c>
      <x:c r="O24" s="32" t="n">
        <x:v>3.59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Lethrinidae</x:v>
      </x:c>
      <x:c r="T24" s="32" t="n">
        <x:f>IF(O24="","",(1/'Metadata'!$B$5)^(O24-1))</x:f>
        <x:v>389.04514499428046</x:v>
      </x:c>
      <x:c r="U24" s="31" t="n">
        <x:f>IF(T24="","",I24*T24)</x:f>
        <x:v>31131.24449153966</x:v>
      </x:c>
    </x:row>
    <x:row r="25" ht="18" customHeight="1">
      <x:c r="A25" s="24" t="str">
        <x:v>EEZ_911</x:v>
      </x:c>
      <x:c r="B25" s="24" t="str">
        <x:v>Musandam (Oman)</x:v>
      </x:c>
      <x:c r="C25" s="24" t="str">
        <x:v>EEZ</x:v>
      </x:c>
      <x:c r="D25" s="30" t="n">
        <x:v>2019</x:v>
      </x:c>
      <x:c r="E25" s="24" t="str">
        <x:v>Netuma thalassina</x:v>
      </x:c>
      <x:c r="F25" s="24" t="str">
        <x:v>Giant catfish</x:v>
      </x:c>
      <x:c r="G25" s="24" t="str">
        <x:v>Large demersals (&gt;=90 cm)</x:v>
      </x:c>
      <x:c r="H25" s="24" t="str">
        <x:v>Other fishes &amp; inverts</x:v>
      </x:c>
      <x:c r="I25" s="31" t="n">
        <x:v>54.9428972751</x:v>
      </x:c>
      <x:c r="J25" s="31" t="n">
        <x:v>54.9428972751</x:v>
      </x:c>
      <x:c r="K25" s="31" t="n">
        <x:v>0</x:v>
      </x:c>
      <x:c r="L25" s="31" t="n">
        <x:v>54.9428972751</x:v>
      </x:c>
      <x:c r="M25" s="31" t="n">
        <x:v>0</x:v>
      </x:c>
      <x:c r="N25" s="24" t="str">
        <x:v>netuma thalassina</x:v>
      </x:c>
      <x:c r="O25" s="32" t="n">
        <x:v>3.54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Netuma thalassina</x:v>
      </x:c>
      <x:c r="T25" s="32" t="n">
        <x:f>IF(O25="","",(1/'Metadata'!$B$5)^(O25-1))</x:f>
        <x:v>346.73685045253166</x:v>
      </x:c>
      <x:c r="U25" s="31" t="n">
        <x:f>IF(T25="","",I25*T25)</x:f>
        <x:v>19050.72715590516</x:v>
      </x:c>
    </x:row>
    <x:row r="26" ht="18" customHeight="1">
      <x:c r="A26" s="24" t="str">
        <x:v>EEZ_911</x:v>
      </x:c>
      <x:c r="B26" s="24" t="str">
        <x:v>Musandam (Oman)</x:v>
      </x:c>
      <x:c r="C26" s="24" t="str">
        <x:v>EEZ</x:v>
      </x:c>
      <x:c r="D26" s="30" t="n">
        <x:v>2019</x:v>
      </x:c>
      <x:c r="E26" s="24" t="str">
        <x:v>Istiophoridae</x:v>
      </x:c>
      <x:c r="F26" s="24" t="str">
        <x:v>Billfishes</x:v>
      </x:c>
      <x:c r="G26" s="24" t="str">
        <x:v>Large pelagics (&gt;=90 cm)</x:v>
      </x:c>
      <x:c r="H26" s="24" t="str">
        <x:v>Tuna &amp; billfishes</x:v>
      </x:c>
      <x:c r="I26" s="31" t="n">
        <x:v>52.9232864072</x:v>
      </x:c>
      <x:c r="J26" s="31" t="n">
        <x:v>48.621777446900005</x:v>
      </x:c>
      <x:c r="K26" s="31" t="n">
        <x:v>4.3015089603</x:v>
      </x:c>
      <x:c r="L26" s="31" t="n">
        <x:v>0</x:v>
      </x:c>
      <x:c r="M26" s="31" t="n">
        <x:v>52.9232864072</x:v>
      </x:c>
      <x:c r="N26" s="24" t="str">
        <x:v>istiophoridae</x:v>
      </x:c>
      <x:c r="O26" s="32" t="n">
        <x:v>4.48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Istiophoridae</x:v>
      </x:c>
      <x:c r="T26" s="32" t="n">
        <x:f>IF(O26="","",(1/'Metadata'!$B$5)^(O26-1))</x:f>
        <x:v>3019.951720402019</x:v>
      </x:c>
      <x:c r="U26" s="31" t="n">
        <x:f>IF(T26="","",I26*T26)</x:f>
        <x:v>159825.76983475243</x:v>
      </x:c>
    </x:row>
    <x:row r="27" ht="18" customHeight="1">
      <x:c r="A27" s="24" t="str">
        <x:v>EEZ_911</x:v>
      </x:c>
      <x:c r="B27" s="24" t="str">
        <x:v>Musandam (Oman)</x:v>
      </x:c>
      <x:c r="C27" s="24" t="str">
        <x:v>EEZ</x:v>
      </x:c>
      <x:c r="D27" s="30" t="n">
        <x:v>2019</x:v>
      </x:c>
      <x:c r="E27" s="24" t="str">
        <x:v>Engraulidae</x:v>
      </x:c>
      <x:c r="F27" s="24" t="str">
        <x:v>Anchovies, round herrings</x:v>
      </x:c>
      <x:c r="G27" s="24" t="str">
        <x:v>Small pelagics (&lt;30 cm)</x:v>
      </x:c>
      <x:c r="H27" s="24" t="str">
        <x:v>Anchovies</x:v>
      </x:c>
      <x:c r="I27" s="31" t="n">
        <x:v>43.2354193092</x:v>
      </x:c>
      <x:c r="J27" s="31" t="n">
        <x:v>38.5309341647</x:v>
      </x:c>
      <x:c r="K27" s="31" t="n">
        <x:v>4.7044851444999995</x:v>
      </x:c>
      <x:c r="L27" s="31" t="n">
        <x:v>0</x:v>
      </x:c>
      <x:c r="M27" s="31" t="n">
        <x:v>43.2354193092</x:v>
      </x:c>
      <x:c r="N27" s="24" t="str">
        <x:v>engraulidae</x:v>
      </x:c>
      <x:c r="O27" s="32" t="n">
        <x:v>3.2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Engraulidae</x:v>
      </x:c>
      <x:c r="T27" s="32" t="n">
        <x:f>IF(O27="","",(1/'Metadata'!$B$5)^(O27-1))</x:f>
        <x:v>158.48931924611142</x:v>
      </x:c>
      <x:c r="U27" s="31" t="n">
        <x:f>IF(T27="","",I27*T27)</x:f>
        <x:v>6852.352173635289</x:v>
      </x:c>
    </x:row>
    <x:row r="28" ht="18" customHeight="1">
      <x:c r="A28" s="24" t="str">
        <x:v>EEZ_911</x:v>
      </x:c>
      <x:c r="B28" s="24" t="str">
        <x:v>Musandam (Oman)</x:v>
      </x:c>
      <x:c r="C28" s="24" t="str">
        <x:v>EEZ</x:v>
      </x:c>
      <x:c r="D28" s="30" t="n">
        <x:v>2019</x:v>
      </x:c>
      <x:c r="E28" s="24" t="str">
        <x:v>Lutjanidae</x:v>
      </x:c>
      <x:c r="F28" s="24" t="str">
        <x:v>Snappers</x:v>
      </x:c>
      <x:c r="G28" s="24" t="str">
        <x:v>Medium reef assoc. fish (30 - 89 cm)</x:v>
      </x:c>
      <x:c r="H28" s="24" t="str">
        <x:v>Perch-likes</x:v>
      </x:c>
      <x:c r="I28" s="31" t="n">
        <x:v>38.3725977013</x:v>
      </x:c>
      <x:c r="J28" s="31" t="n">
        <x:v>34.1368879834</x:v>
      </x:c>
      <x:c r="K28" s="31" t="n">
        <x:v>4.2357097179</x:v>
      </x:c>
      <x:c r="L28" s="31" t="n">
        <x:v>0</x:v>
      </x:c>
      <x:c r="M28" s="31" t="n">
        <x:v>38.3725977013</x:v>
      </x:c>
      <x:c r="N28" s="24" t="str">
        <x:v>lutjanidae</x:v>
      </x:c>
      <x:c r="O28" s="32" t="n">
        <x:v>4.02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Lutjanidae</x:v>
      </x:c>
      <x:c r="T28" s="32" t="n">
        <x:f>IF(O28="","",(1/'Metadata'!$B$5)^(O28-1))</x:f>
        <x:v>1047.1285480508984</x:v>
      </x:c>
      <x:c r="U28" s="31" t="n">
        <x:f>IF(T28="","",I28*T28)</x:f>
        <x:v>40181.042515903515</x:v>
      </x:c>
    </x:row>
    <x:row r="29" ht="18" customHeight="1">
      <x:c r="A29" s="24" t="str">
        <x:v>EEZ_911</x:v>
      </x:c>
      <x:c r="B29" s="24" t="str">
        <x:v>Musandam (Oman)</x:v>
      </x:c>
      <x:c r="C29" s="24" t="str">
        <x:v>EEZ</x:v>
      </x:c>
      <x:c r="D29" s="30" t="n">
        <x:v>2019</x:v>
      </x:c>
      <x:c r="E29" s="24" t="str">
        <x:v>Elasmobranchii</x:v>
      </x:c>
      <x:c r="F29" s="24" t="str">
        <x:v>Sharks, rays, skates</x:v>
      </x:c>
      <x:c r="G29" s="24" t="str">
        <x:v>Large sharks (&gt;=90 cm)</x:v>
      </x:c>
      <x:c r="H29" s="24" t="str">
        <x:v>Sharks &amp; rays</x:v>
      </x:c>
      <x:c r="I29" s="31" t="n">
        <x:v>37.464299495000006</x:v>
      </x:c>
      <x:c r="J29" s="31" t="n">
        <x:v>33.7495889992</x:v>
      </x:c>
      <x:c r="K29" s="31" t="n">
        <x:v>3.7147104958</x:v>
      </x:c>
      <x:c r="L29" s="31" t="n">
        <x:v>0</x:v>
      </x:c>
      <x:c r="M29" s="31" t="n">
        <x:v>37.464299495000006</x:v>
      </x:c>
      <x:c r="N29" s="24" t="str">
        <x:v>elasmobranchii</x:v>
      </x:c>
      <x:c r="O29" s="32" t="n">
        <x:v>4.05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Elasmobranchii</x:v>
      </x:c>
      <x:c r="T29" s="32" t="n">
        <x:f>IF(O29="","",(1/'Metadata'!$B$5)^(O29-1))</x:f>
        <x:v>1122.018454301963</x:v>
      </x:c>
      <x:c r="U29" s="31" t="n">
        <x:f>IF(T29="","",I29*T29)</x:f>
        <x:v>42035.63541088572</x:v>
      </x:c>
    </x:row>
    <x:row r="30" ht="18" customHeight="1">
      <x:c r="A30" s="24" t="str">
        <x:v>EEZ_911</x:v>
      </x:c>
      <x:c r="B30" s="24" t="str">
        <x:v>Musandam (Oman)</x:v>
      </x:c>
      <x:c r="C30" s="24" t="str">
        <x:v>EEZ</x:v>
      </x:c>
      <x:c r="D30" s="30" t="n">
        <x:v>2019</x:v>
      </x:c>
      <x:c r="E30" s="24" t="str">
        <x:v>Serranidae</x:v>
      </x:c>
      <x:c r="F30" s="24" t="str">
        <x:v>Basses, groupers, hinds</x:v>
      </x:c>
      <x:c r="G30" s="24" t="str">
        <x:v>Medium reef assoc. fish (30 - 89 cm)</x:v>
      </x:c>
      <x:c r="H30" s="24" t="str">
        <x:v>Perch-likes</x:v>
      </x:c>
      <x:c r="I30" s="31" t="n">
        <x:v>36.9219847637</x:v>
      </x:c>
      <x:c r="J30" s="31" t="n">
        <x:v>32.8567147709</x:v>
      </x:c>
      <x:c r="K30" s="31" t="n">
        <x:v>4.0652699928</x:v>
      </x:c>
      <x:c r="L30" s="31" t="n">
        <x:v>0</x:v>
      </x:c>
      <x:c r="M30" s="31" t="n">
        <x:v>36.9219847637</x:v>
      </x:c>
      <x:c r="N30" s="24" t="str">
        <x:v>serranidae</x:v>
      </x:c>
      <x:c r="O30" s="32" t="n">
        <x:v>3.98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Serranidae</x:v>
      </x:c>
      <x:c r="T30" s="32" t="n">
        <x:f>IF(O30="","",(1/'Metadata'!$B$5)^(O30-1))</x:f>
        <x:v>954.992586021436</x:v>
      </x:c>
      <x:c r="U30" s="31" t="n">
        <x:f>IF(T30="","",I30*T30)</x:f>
        <x:v>35260.22171052992</x:v>
      </x:c>
    </x:row>
    <x:row r="31" ht="18" customHeight="1">
      <x:c r="A31" s="24" t="str">
        <x:v>EEZ_911</x:v>
      </x:c>
      <x:c r="B31" s="24" t="str">
        <x:v>Musandam (Oman)</x:v>
      </x:c>
      <x:c r="C31" s="24" t="str">
        <x:v>EEZ</x:v>
      </x:c>
      <x:c r="D31" s="30" t="n">
        <x:v>2019</x:v>
      </x:c>
      <x:c r="E31" s="24" t="str">
        <x:v>Sepiidae</x:v>
      </x:c>
      <x:c r="F31" s="24" t="str">
        <x:v>Cuttlefishes</x:v>
      </x:c>
      <x:c r="G31" s="24" t="str">
        <x:v>Cephalopods</x:v>
      </x:c>
      <x:c r="H31" s="24" t="str">
        <x:v>Other fishes &amp; inverts</x:v>
      </x:c>
      <x:c r="I31" s="31" t="n">
        <x:v>36.5801759722</x:v>
      </x:c>
      <x:c r="J31" s="31" t="n">
        <x:v>32.5565026136</x:v>
      </x:c>
      <x:c r="K31" s="31" t="n">
        <x:v>4.0236733586</x:v>
      </x:c>
      <x:c r="L31" s="31" t="n">
        <x:v>0</x:v>
      </x:c>
      <x:c r="M31" s="31" t="n">
        <x:v>36.5801759722</x:v>
      </x:c>
      <x:c r="N31" s="24" t="str">
        <x:v>sepiidae</x:v>
      </x:c>
      <x:c r="O31" s="32" t="n">
        <x:v>3.6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Sepiidae</x:v>
      </x:c>
      <x:c r="T31" s="32" t="n">
        <x:f>IF(O31="","",(1/'Metadata'!$B$5)^(O31-1))</x:f>
        <x:v>398.1071705534973</x:v>
      </x:c>
      <x:c r="U31" s="31" t="n">
        <x:f>IF(T31="","",I31*T31)</x:f>
        <x:v>14562.830354641572</x:v>
      </x:c>
    </x:row>
    <x:row r="32" ht="18" customHeight="1">
      <x:c r="A32" s="24" t="str">
        <x:v>EEZ_911</x:v>
      </x:c>
      <x:c r="B32" s="24" t="str">
        <x:v>Musandam (Oman)</x:v>
      </x:c>
      <x:c r="C32" s="24" t="str">
        <x:v>EEZ</x:v>
      </x:c>
      <x:c r="D32" s="30" t="n">
        <x:v>2019</x:v>
      </x:c>
      <x:c r="E32" s="24" t="str">
        <x:v>Plectorhinchus</x:v>
      </x:c>
      <x:c r="F32" s="24" t="str">
        <x:v>Sweetlips</x:v>
      </x:c>
      <x:c r="G32" s="24" t="str">
        <x:v>Medium reef assoc. fish (30 - 89 cm)</x:v>
      </x:c>
      <x:c r="H32" s="24" t="str">
        <x:v>Perch-likes</x:v>
      </x:c>
      <x:c r="I32" s="31" t="n">
        <x:v>34.8995614618</x:v>
      </x:c>
      <x:c r="J32" s="31" t="n">
        <x:v>34.8995614618</x:v>
      </x:c>
      <x:c r="K32" s="31" t="n">
        <x:v>0</x:v>
      </x:c>
      <x:c r="L32" s="31" t="n">
        <x:v>34.8995614618</x:v>
      </x:c>
      <x:c r="M32" s="31" t="n">
        <x:v>0</x:v>
      </x:c>
      <x:c r="N32" s="24" t="str">
        <x:v>plectorhinchus</x:v>
      </x:c>
      <x:c r="O32" s="32" t="n">
        <x:v>3.43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Plectorhinchus</x:v>
      </x:c>
      <x:c r="T32" s="32" t="n">
        <x:f>IF(O32="","",(1/'Metadata'!$B$5)^(O32-1))</x:f>
        <x:v>269.1534803926917</x:v>
      </x:c>
      <x:c r="U32" s="31" t="n">
        <x:f>IF(T32="","",I32*T32)</x:f>
        <x:v>9393.338431622124</x:v>
      </x:c>
    </x:row>
    <x:row r="33" ht="18" customHeight="1">
      <x:c r="A33" s="24" t="str">
        <x:v>EEZ_911</x:v>
      </x:c>
      <x:c r="B33" s="24" t="str">
        <x:v>Musandam (Oman)</x:v>
      </x:c>
      <x:c r="C33" s="24" t="str">
        <x:v>EEZ</x:v>
      </x:c>
      <x:c r="D33" s="30" t="n">
        <x:v>2019</x:v>
      </x:c>
      <x:c r="E33" s="24" t="str">
        <x:v>Palinuridae</x:v>
      </x:c>
      <x:c r="F33" s="24" t="str">
        <x:v>Spiny lobsters</x:v>
      </x:c>
      <x:c r="G33" s="24" t="str">
        <x:v>Lobsters, crabs</x:v>
      </x:c>
      <x:c r="H33" s="24" t="str">
        <x:v>Crustaceans</x:v>
      </x:c>
      <x:c r="I33" s="31" t="n">
        <x:v>21.3245050204</x:v>
      </x:c>
      <x:c r="J33" s="31" t="n">
        <x:v>21.2846899353</x:v>
      </x:c>
      <x:c r="K33" s="31" t="n">
        <x:v>0.0398150851</x:v>
      </x:c>
      <x:c r="L33" s="31" t="n">
        <x:v>0</x:v>
      </x:c>
      <x:c r="M33" s="31" t="n">
        <x:v>21.3245050204</x:v>
      </x:c>
      <x:c r="N33" s="24" t="str">
        <x:v>palinuridae</x:v>
      </x:c>
      <x:c r="O33" s="32" t="n">
        <x:v>3.14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Palinuridae</x:v>
      </x:c>
      <x:c r="T33" s="32" t="n">
        <x:f>IF(O33="","",(1/'Metadata'!$B$5)^(O33-1))</x:f>
        <x:v>138.03842646028852</x:v>
      </x:c>
      <x:c r="U33" s="31" t="n">
        <x:f>IF(T33="","",I33*T33)</x:f>
        <x:v>2943.6011180605387</x:v>
      </x:c>
    </x:row>
    <x:row r="34" ht="18" customHeight="1">
      <x:c r="A34" s="24" t="str">
        <x:v>EEZ_911</x:v>
      </x:c>
      <x:c r="B34" s="24" t="str">
        <x:v>Musandam (Oman)</x:v>
      </x:c>
      <x:c r="C34" s="24" t="str">
        <x:v>EEZ</x:v>
      </x:c>
      <x:c r="D34" s="30" t="n">
        <x:v>2019</x:v>
      </x:c>
      <x:c r="E34" s="24" t="str">
        <x:v>Ariidae</x:v>
      </x:c>
      <x:c r="F34" s="24" t="str">
        <x:v>Sea catfishes, coblers</x:v>
      </x:c>
      <x:c r="G34" s="24" t="str">
        <x:v>Medium demersals (30 - 89 cm)</x:v>
      </x:c>
      <x:c r="H34" s="24" t="str">
        <x:v>Other fishes &amp; inverts</x:v>
      </x:c>
      <x:c r="I34" s="31" t="n">
        <x:v>16.8646752418</x:v>
      </x:c>
      <x:c r="J34" s="31" t="n">
        <x:v>15.0415441738</x:v>
      </x:c>
      <x:c r="K34" s="31" t="n">
        <x:v>1.823131068</x:v>
      </x:c>
      <x:c r="L34" s="31" t="n">
        <x:v>0</x:v>
      </x:c>
      <x:c r="M34" s="31" t="n">
        <x:v>16.8646752418</x:v>
      </x:c>
      <x:c r="N34" s="24" t="str">
        <x:v>ariidae</x:v>
      </x:c>
      <x:c r="O34" s="32" t="n">
        <x:v>3.48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Ariidae</x:v>
      </x:c>
      <x:c r="T34" s="32" t="n">
        <x:f>IF(O34="","",(1/'Metadata'!$B$5)^(O34-1))</x:f>
        <x:v>301.9951720402016</x:v>
      </x:c>
      <x:c r="U34" s="31" t="n">
        <x:f>IF(T34="","",I34*T34)</x:f>
        <x:v>5093.05050104952</x:v>
      </x:c>
    </x:row>
    <x:row r="35" ht="18" customHeight="1">
      <x:c r="A35" s="24" t="str">
        <x:v>EEZ_911</x:v>
      </x:c>
      <x:c r="B35" s="24" t="str">
        <x:v>Musandam (Oman)</x:v>
      </x:c>
      <x:c r="C35" s="24" t="str">
        <x:v>EEZ</x:v>
      </x:c>
      <x:c r="D35" s="30" t="n">
        <x:v>2019</x:v>
      </x:c>
      <x:c r="E35" s="24" t="str">
        <x:v>Haemulidae</x:v>
      </x:c>
      <x:c r="F35" s="24" t="str">
        <x:v>Grunts, sweetlips, bonnetmouths</x:v>
      </x:c>
      <x:c r="G35" s="24" t="str">
        <x:v>Medium demersals (30 - 89 cm)</x:v>
      </x:c>
      <x:c r="H35" s="24" t="str">
        <x:v>Perch-likes</x:v>
      </x:c>
      <x:c r="I35" s="31" t="n">
        <x:v>13.0627769666</x:v>
      </x:c>
      <x:c r="J35" s="31" t="n">
        <x:v>11.612264273</x:v>
      </x:c>
      <x:c r="K35" s="31" t="n">
        <x:v>1.4505126936</x:v>
      </x:c>
      <x:c r="L35" s="31" t="n">
        <x:v>0</x:v>
      </x:c>
      <x:c r="M35" s="31" t="n">
        <x:v>13.0627769666</x:v>
      </x:c>
      <x:c r="N35" s="24" t="str">
        <x:v>haemulidae</x:v>
      </x:c>
      <x:c r="O35" s="32" t="n">
        <x:v>3.36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Haemulidae</x:v>
      </x:c>
      <x:c r="T35" s="32" t="n">
        <x:f>IF(O35="","",(1/'Metadata'!$B$5)^(O35-1))</x:f>
        <x:v>229.08676527677724</x:v>
      </x:c>
      <x:c r="U35" s="31" t="n">
        <x:f>IF(T35="","",I35*T35)</x:f>
        <x:v>2992.5093208103863</x:v>
      </x:c>
    </x:row>
    <x:row r="36" ht="18" customHeight="1">
      <x:c r="A36" s="24" t="str">
        <x:v>EEZ_911</x:v>
      </x:c>
      <x:c r="B36" s="24" t="str">
        <x:v>Musandam (Oman)</x:v>
      </x:c>
      <x:c r="C36" s="24" t="str">
        <x:v>EEZ</x:v>
      </x:c>
      <x:c r="D36" s="30" t="n">
        <x:v>2019</x:v>
      </x:c>
      <x:c r="E36" s="24" t="str">
        <x:v>Siganidae</x:v>
      </x:c>
      <x:c r="F36" s="24" t="str">
        <x:v>Rabbitfishes</x:v>
      </x:c>
      <x:c r="G36" s="24" t="str">
        <x:v>Medium reef assoc. fish (30 - 89 cm)</x:v>
      </x:c>
      <x:c r="H36" s="24" t="str">
        <x:v>Perch-likes</x:v>
      </x:c>
      <x:c r="I36" s="31" t="n">
        <x:v>11.125777897799999</x:v>
      </x:c>
      <x:c r="J36" s="31" t="n">
        <x:v>10.0037560242</x:v>
      </x:c>
      <x:c r="K36" s="31" t="n">
        <x:v>1.1220218736</x:v>
      </x:c>
      <x:c r="L36" s="31" t="n">
        <x:v>0</x:v>
      </x:c>
      <x:c r="M36" s="31" t="n">
        <x:v>11.125777897799999</x:v>
      </x:c>
      <x:c r="N36" s="24" t="str">
        <x:v>siganidae</x:v>
      </x:c>
      <x:c r="O36" s="32" t="n">
        <x:v>2.11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Siganidae</x:v>
      </x:c>
      <x:c r="T36" s="32" t="n">
        <x:f>IF(O36="","",(1/'Metadata'!$B$5)^(O36-1))</x:f>
        <x:v>12.882495516931336</x:v>
      </x:c>
      <x:c r="U36" s="31" t="n">
        <x:f>IF(T36="","",I36*T36)</x:f>
        <x:v>143.32778389078223</x:v>
      </x:c>
    </x:row>
    <x:row r="37" ht="18" customHeight="1">
      <x:c r="A37" s="24" t="str">
        <x:v>EEZ_911</x:v>
      </x:c>
      <x:c r="B37" s="24" t="str">
        <x:v>Musandam (Oman)</x:v>
      </x:c>
      <x:c r="C37" s="24" t="str">
        <x:v>EEZ</x:v>
      </x:c>
      <x:c r="D37" s="30" t="n">
        <x:v>2019</x:v>
      </x:c>
      <x:c r="E37" s="24" t="str">
        <x:v>Katsuwonus pelamis</x:v>
      </x:c>
      <x:c r="F37" s="24" t="str">
        <x:v>Skipjack tuna</x:v>
      </x:c>
      <x:c r="G37" s="24" t="str">
        <x:v>Large pelagics (&gt;=90 cm)</x:v>
      </x:c>
      <x:c r="H37" s="24" t="str">
        <x:v>Tuna &amp; billfishes</x:v>
      </x:c>
      <x:c r="I37" s="31" t="n">
        <x:v>9.7608909181</x:v>
      </x:c>
      <x:c r="J37" s="31" t="n">
        <x:v>9.7498475253</x:v>
      </x:c>
      <x:c r="K37" s="31" t="n">
        <x:v>0.0110433928</x:v>
      </x:c>
      <x:c r="L37" s="31" t="n">
        <x:v>9.6611929952</x:v>
      </x:c>
      <x:c r="M37" s="31" t="n">
        <x:v>0.0996979229</x:v>
      </x:c>
      <x:c r="N37" s="24" t="str">
        <x:v>katsuwonus pelamis</x:v>
      </x:c>
      <x:c r="O37" s="32" t="n">
        <x:v>4.43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Katsuwonus pelamis</x:v>
      </x:c>
      <x:c r="T37" s="32" t="n">
        <x:f>IF(O37="","",(1/'Metadata'!$B$5)^(O37-1))</x:f>
        <x:v>2691.534803926914</x:v>
      </x:c>
      <x:c r="U37" s="31" t="n">
        <x:f>IF(T37="","",I37*T37)</x:f>
        <x:v>26271.777623400274</x:v>
      </x:c>
    </x:row>
    <x:row r="38" ht="18" customHeight="1">
      <x:c r="A38" s="24" t="str">
        <x:v>EEZ_911</x:v>
      </x:c>
      <x:c r="B38" s="24" t="str">
        <x:v>Musandam (Oman)</x:v>
      </x:c>
      <x:c r="C38" s="24" t="str">
        <x:v>EEZ</x:v>
      </x:c>
      <x:c r="D38" s="30" t="n">
        <x:v>2019</x:v>
      </x:c>
      <x:c r="E38" s="24" t="str">
        <x:v>Rachycentridae</x:v>
      </x:c>
      <x:c r="F38" s="24" t="str">
        <x:v>Cobias</x:v>
      </x:c>
      <x:c r="G38" s="24" t="str">
        <x:v>Large pelagics (&gt;=90 cm)</x:v>
      </x:c>
      <x:c r="H38" s="24" t="str">
        <x:v>Perch-likes</x:v>
      </x:c>
      <x:c r="I38" s="31" t="n">
        <x:v>8.3242489341</x:v>
      </x:c>
      <x:c r="J38" s="31" t="n">
        <x:v>7.497884405400001</x:v>
      </x:c>
      <x:c r="K38" s="31" t="n">
        <x:v>0.8263645287</x:v>
      </x:c>
      <x:c r="L38" s="31" t="n">
        <x:v>0</x:v>
      </x:c>
      <x:c r="M38" s="31" t="n">
        <x:v>8.3242489341</x:v>
      </x:c>
      <x:c r="N38" s="24" t="str">
        <x:v>rachycentridae</x:v>
      </x:c>
      <x:c r="O38" s="32" t="n">
        <x:v>3.96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Rachycentridae</x:v>
      </x:c>
      <x:c r="T38" s="32" t="n">
        <x:f>IF(O38="","",(1/'Metadata'!$B$5)^(O38-1))</x:f>
        <x:v>912.0108393559096</x:v>
      </x:c>
      <x:c r="U38" s="31" t="n">
        <x:f>IF(T38="","",I38*T38)</x:f>
        <x:v>7591.805257396077</x:v>
      </x:c>
    </x:row>
    <x:row r="39" ht="18" customHeight="1">
      <x:c r="A39" s="24" t="str">
        <x:v>EEZ_911</x:v>
      </x:c>
      <x:c r="B39" s="24" t="str">
        <x:v>Musandam (Oman)</x:v>
      </x:c>
      <x:c r="C39" s="24" t="str">
        <x:v>EEZ</x:v>
      </x:c>
      <x:c r="D39" s="30" t="n">
        <x:v>2019</x:v>
      </x:c>
      <x:c r="E39" s="24" t="str">
        <x:v>Sciaenidae</x:v>
      </x:c>
      <x:c r="F39" s="24" t="str">
        <x:v>Drums, croakers</x:v>
      </x:c>
      <x:c r="G39" s="24" t="str">
        <x:v>Medium demersals (30 - 89 cm)</x:v>
      </x:c>
      <x:c r="H39" s="24" t="str">
        <x:v>Perch-likes</x:v>
      </x:c>
      <x:c r="I39" s="31" t="n">
        <x:v>3.8345760733</x:v>
      </x:c>
      <x:c r="J39" s="31" t="n">
        <x:v>3.8124979298</x:v>
      </x:c>
      <x:c r="K39" s="31" t="n">
        <x:v>0.0220781435</x:v>
      </x:c>
      <x:c r="L39" s="31" t="n">
        <x:v>2.5384615387</x:v>
      </x:c>
      <x:c r="M39" s="31" t="n">
        <x:v>1.2961145346</x:v>
      </x:c>
      <x:c r="N39" s="24" t="str">
        <x:v>sciaenidae</x:v>
      </x:c>
      <x:c r="O39" s="32" t="n">
        <x:v>3.76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Sciaenidae</x:v>
      </x:c>
      <x:c r="T39" s="32" t="n">
        <x:f>IF(O39="","",(1/'Metadata'!$B$5)^(O39-1))</x:f>
        <x:v>575.4399373371566</x:v>
      </x:c>
      <x:c r="U39" s="31" t="n">
        <x:f>IF(T39="","",I39*T39)</x:f>
        <x:v>2206.5682153343123</x:v>
      </x:c>
    </x:row>
    <x:row r="40" ht="18" customHeight="1">
      <x:c r="A40" s="24" t="str">
        <x:v>EEZ_911</x:v>
      </x:c>
      <x:c r="B40" s="24" t="str">
        <x:v>Musandam (Oman)</x:v>
      </x:c>
      <x:c r="C40" s="24" t="str">
        <x:v>EEZ</x:v>
      </x:c>
      <x:c r="D40" s="30" t="n">
        <x:v>2019</x:v>
      </x:c>
      <x:c r="E40" s="24" t="str">
        <x:v>Penaeidae</x:v>
      </x:c>
      <x:c r="F40" s="24" t="str">
        <x:v>Commercial shrimps and prawns</x:v>
      </x:c>
      <x:c r="G40" s="24" t="str">
        <x:v>Shrimps</x:v>
      </x:c>
      <x:c r="H40" s="24" t="str">
        <x:v>Crustaceans</x:v>
      </x:c>
      <x:c r="I40" s="31" t="n">
        <x:v>0.945287539</x:v>
      </x:c>
      <x:c r="J40" s="31" t="n">
        <x:v>0.945287539</x:v>
      </x:c>
      <x:c r="K40" s="31" t="n">
        <x:v>0</x:v>
      </x:c>
      <x:c r="L40" s="31" t="n">
        <x:v>0</x:v>
      </x:c>
      <x:c r="M40" s="31" t="n">
        <x:v>0.945287539</x:v>
      </x:c>
      <x:c r="N40" s="24" t="str">
        <x:v>penaeidae</x:v>
      </x:c>
      <x:c r="O40" s="32" t="n">
        <x:v>3.31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Penaeidae</x:v>
      </x:c>
      <x:c r="T40" s="32" t="n">
        <x:f>IF(O40="","",(1/'Metadata'!$B$5)^(O40-1))</x:f>
        <x:v>204.17379446695296</x:v>
      </x:c>
      <x:c r="U40" s="31" t="n">
        <x:f>IF(T40="","",I40*T40)</x:f>
        <x:v>193.00294369995777</x:v>
      </x:c>
    </x:row>
    <x:row r="41" ht="18" customHeight="1">
      <x:c r="A41" s="24" t="str">
        <x:v>EEZ_911</x:v>
      </x:c>
      <x:c r="B41" s="24" t="str">
        <x:v>Musandam (Oman)</x:v>
      </x:c>
      <x:c r="C41" s="24" t="str">
        <x:v>EEZ</x:v>
      </x:c>
      <x:c r="D41" s="30" t="n">
        <x:v>2019</x:v>
      </x:c>
      <x:c r="E41" s="24" t="str">
        <x:v>Sarda orientalis</x:v>
      </x:c>
      <x:c r="F41" s="24" t="str">
        <x:v>Striped bonito</x:v>
      </x:c>
      <x:c r="G41" s="24" t="str">
        <x:v>Large pelagics (&gt;=90 cm)</x:v>
      </x:c>
      <x:c r="H41" s="24" t="str">
        <x:v>Tuna &amp; billfishes</x:v>
      </x:c>
      <x:c r="I41" s="31" t="n">
        <x:v>0.35946423239999997</x:v>
      </x:c>
      <x:c r="J41" s="31" t="n">
        <x:v>0.3196491523</x:v>
      </x:c>
      <x:c r="K41" s="31" t="n">
        <x:v>0.0398150801</x:v>
      </x:c>
      <x:c r="L41" s="31" t="n">
        <x:v>0</x:v>
      </x:c>
      <x:c r="M41" s="31" t="n">
        <x:v>0.35946423239999997</x:v>
      </x:c>
      <x:c r="N41" s="24" t="str">
        <x:v>sarda orientalis</x:v>
      </x:c>
      <x:c r="O41" s="32" t="n">
        <x:v>4.21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Sarda orientalis</x:v>
      </x:c>
      <x:c r="T41" s="32" t="n">
        <x:f>IF(O41="","",(1/'Metadata'!$B$5)^(O41-1))</x:f>
        <x:v>1621.8100973589299</x:v>
      </x:c>
      <x:c r="U41" s="31" t="n">
        <x:f>IF(T41="","",I41*T41)</x:f>
        <x:v>582.982721745697</x:v>
      </x:c>
    </x:row>
  </x:sheetData>
  <x:conditionalFormatting sqref="R2:R41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78496a61065d49b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43.2354193092</x:v>
      </x:c>
      <x:c r="C2" s="32" t="n">
        <x:v>3.2</x:v>
      </x:c>
      <x:c r="D2" s="32" t="n">
        <x:f>IF(C2="","",(1/'Metadata'!$B$5)^(C2-1))</x:f>
        <x:v>158.48931924611142</x:v>
      </x:c>
      <x:c r="E2" s="31" t="n">
        <x:f>IF(B2=0,"",B2*D2)</x:f>
        <x:v>6852.352173635289</x:v>
      </x:c>
    </x:row>
    <x:row r="3" ht="18" customHeight="1">
      <x:c r="A3" s="24" t="str">
        <x:v>Crustaceans</x:v>
      </x:c>
      <x:c r="B3" s="31" t="n">
        <x:v>22.2697925594</x:v>
      </x:c>
      <x:c r="C3" s="32" t="n">
        <x:v>3.147216002627836</x:v>
      </x:c>
      <x:c r="D3" s="32" t="n">
        <x:f>IF(C3="","",(1/'Metadata'!$B$5)^(C3-1))</x:f>
        <x:v>140.35115877385383</x:v>
      </x:c>
      <x:c r="E3" s="31" t="n">
        <x:f>IF(B3=0,"",B3*D3)</x:f>
        <x:v>3125.591191365138</x:v>
      </x:c>
    </x:row>
    <x:row r="4" ht="18" customHeight="1">
      <x:c r="A4" s="24" t="str">
        <x:v>Herring-likes</x:v>
      </x:c>
      <x:c r="B4" s="31" t="n">
        <x:v>3557.9524589119</x:v>
      </x:c>
      <x:c r="C4" s="32" t="n">
        <x:v>2.450046621170895</x:v>
      </x:c>
      <x:c r="D4" s="32" t="n">
        <x:f>IF(C4="","",(1/'Metadata'!$B$5)^(C4-1))</x:f>
        <x:v>28.186854986942958</x:v>
      </x:c>
      <x:c r="E4" s="31" t="n">
        <x:f>IF(B4=0,"",B4*D4)</x:f>
        <x:v>100287.49000978685</x:v>
      </x:c>
    </x:row>
    <x:row r="5" ht="18" customHeight="1">
      <x:c r="A5" s="24" t="str">
        <x:v>Other fishes &amp; inverts</x:v>
      </x:c>
      <x:c r="B5" s="31" t="n">
        <x:v>1465.7492693928002</x:v>
      </x:c>
      <x:c r="C5" s="32" t="n">
        <x:v>3.5652554945419985</x:v>
      </x:c>
      <x:c r="D5" s="32" t="n">
        <x:f>IF(C5="","",(1/'Metadata'!$B$5)^(C5-1))</x:f>
        <x:v>367.4984354825445</x:v>
      </x:c>
      <x:c r="E5" s="31" t="n">
        <x:f>IF(B5=0,"",B5*D5)</x:f>
        <x:v>538660.5633115367</x:v>
      </x:c>
    </x:row>
    <x:row r="6" ht="18" customHeight="1">
      <x:c r="A6" s="24" t="str">
        <x:v>Perch-likes</x:v>
      </x:c>
      <x:c r="B6" s="31" t="n">
        <x:v>15453.1517456313</x:v>
      </x:c>
      <x:c r="C6" s="32" t="n">
        <x:v>3.752744115657045</x:v>
      </x:c>
      <x:c r="D6" s="32" t="n">
        <x:f>IF(C6="","",(1/'Metadata'!$B$5)^(C6-1))</x:f>
        <x:v>565.9057616782212</x:v>
      </x:c>
      <x:c r="E6" s="31" t="n">
        <x:f>IF(B6=0,"",B6*D6)</x:f>
        <x:v>8745027.608940614</x:v>
      </x:c>
    </x:row>
    <x:row r="7" ht="18" customHeight="1">
      <x:c r="A7" s="24" t="str">
        <x:v>Sharks &amp; rays</x:v>
      </x:c>
      <x:c r="B7" s="31" t="n">
        <x:v>37.464299495000006</x:v>
      </x:c>
      <x:c r="C7" s="32" t="n">
        <x:v>4.05</x:v>
      </x:c>
      <x:c r="D7" s="32" t="n">
        <x:f>IF(C7="","",(1/'Metadata'!$B$5)^(C7-1))</x:f>
        <x:v>1122.018454301963</x:v>
      </x:c>
      <x:c r="E7" s="31" t="n">
        <x:f>IF(B7=0,"",B7*D7)</x:f>
        <x:v>42035.63541088572</x:v>
      </x:c>
    </x:row>
    <x:row r="8" ht="18" customHeight="1">
      <x:c r="A8" s="24" t="str">
        <x:v>Tuna &amp; billfishes</x:v>
      </x:c>
      <x:c r="B8" s="31" t="n">
        <x:v>1823.9215240582002</x:v>
      </x:c>
      <x:c r="C8" s="32" t="n">
        <x:v>4.455333594936524</x:v>
      </x:c>
      <x:c r="D8" s="32" t="n">
        <x:f>IF(C8="","",(1/'Metadata'!$B$5)^(C8-1))</x:f>
        <x:v>2853.209063542249</x:v>
      </x:c>
      <x:c r="E8" s="31" t="n">
        <x:f>IF(B8=0,"",B8*D8)</x:f>
        <x:v>5204029.42363265</x:v>
      </x:c>
    </x:row>
  </x:sheetData>
  <x:pageMargins left="0.7" right="0.7" top="0.75" bottom="0.75" header="0.3" footer="0.3"/>
  <x:tableParts count="1">
    <x:tablePart xmlns:r="http://schemas.openxmlformats.org/officeDocument/2006/relationships" r:id="R850a16b0b13448a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784.1749607111</x:v>
      </x:c>
      <x:c r="C2" s="32" t="n">
        <x:v>3.790670404487532</x:v>
      </x:c>
      <x:c r="D2" s="32" t="n">
        <x:f>IF(C2="","",(1/'Metadata'!$B$5)^(C2-1))</x:f>
        <x:v>617.5475520049292</x:v>
      </x:c>
      <x:c r="E2" s="31" t="n">
        <x:f>IF(B2=0,"",B2*D2)</x:f>
        <x:v>484265.32733070134</x:v>
      </x:c>
    </x:row>
    <x:row r="3" ht="18" customHeight="1">
      <x:c r="A3" s="24" t="str">
        <x:v>Large demersals (&gt;=90 cm)</x:v>
      </x:c>
      <x:c r="B3" s="31" t="n">
        <x:v>54.9428972751</x:v>
      </x:c>
      <x:c r="C3" s="32" t="n">
        <x:v>3.54</x:v>
      </x:c>
      <x:c r="D3" s="32" t="n">
        <x:f>IF(C3="","",(1/'Metadata'!$B$5)^(C3-1))</x:f>
        <x:v>346.73685045253166</x:v>
      </x:c>
      <x:c r="E3" s="31" t="n">
        <x:f>IF(B3=0,"",B3*D3)</x:f>
        <x:v>19050.72715590516</x:v>
      </x:c>
    </x:row>
    <x:row r="4" ht="18" customHeight="1">
      <x:c r="A4" s="24" t="str">
        <x:v>Large pelagics (&gt;=90 cm)</x:v>
      </x:c>
      <x:c r="B4" s="31" t="n">
        <x:v>3670.0639227192</x:v>
      </x:c>
      <x:c r="C4" s="32" t="n">
        <x:v>4.40675944334201</x:v>
      </x:c>
      <x:c r="D4" s="32" t="n">
        <x:f>IF(C4="","",(1/'Metadata'!$B$5)^(C4-1))</x:f>
        <x:v>2551.287747380137</x:v>
      </x:c>
      <x:c r="E4" s="31" t="n">
        <x:f>IF(B4=0,"",B4*D4)</x:f>
        <x:v>9363389.118135376</x:v>
      </x:c>
    </x:row>
    <x:row r="5" ht="18" customHeight="1">
      <x:c r="A5" s="24" t="str">
        <x:v>Large sharks (&gt;=90 cm)</x:v>
      </x:c>
      <x:c r="B5" s="31" t="n">
        <x:v>37.464299495000006</x:v>
      </x:c>
      <x:c r="C5" s="32" t="n">
        <x:v>4.05</x:v>
      </x:c>
      <x:c r="D5" s="32" t="n">
        <x:f>IF(C5="","",(1/'Metadata'!$B$5)^(C5-1))</x:f>
        <x:v>1122.018454301963</x:v>
      </x:c>
      <x:c r="E5" s="31" t="n">
        <x:f>IF(B5=0,"",B5*D5)</x:f>
        <x:v>42035.63541088572</x:v>
      </x:c>
    </x:row>
    <x:row r="6" ht="18" customHeight="1">
      <x:c r="A6" s="24" t="str">
        <x:v>Lobsters, crabs</x:v>
      </x:c>
      <x:c r="B6" s="31" t="n">
        <x:v>21.3245050204</x:v>
      </x:c>
      <x:c r="C6" s="32" t="n">
        <x:v>3.1399999999999997</x:v>
      </x:c>
      <x:c r="D6" s="32" t="n">
        <x:f>IF(C6="","",(1/'Metadata'!$B$5)^(C6-1))</x:f>
        <x:v>138.03842646028838</x:v>
      </x:c>
      <x:c r="E6" s="31" t="n">
        <x:f>IF(B6=0,"",B6*D6)</x:f>
        <x:v>2943.6011180605356</x:v>
      </x:c>
    </x:row>
    <x:row r="7" ht="18" customHeight="1">
      <x:c r="A7" s="24" t="str">
        <x:v>Medium benthopelagics (30 - 89 cm)</x:v>
      </x:c>
      <x:c r="B7" s="31" t="n">
        <x:v>194.3840967639</x:v>
      </x:c>
      <x:c r="C7" s="32" t="n">
        <x:v>3.31</x:v>
      </x:c>
      <x:c r="D7" s="32" t="n">
        <x:f>IF(C7="","",(1/'Metadata'!$B$5)^(C7-1))</x:f>
        <x:v>204.17379446695296</x:v>
      </x:c>
      <x:c r="E7" s="31" t="n">
        <x:f>IF(B7=0,"",B7*D7)</x:f>
        <x:v>39688.138620316815</x:v>
      </x:c>
    </x:row>
    <x:row r="8" ht="18" customHeight="1">
      <x:c r="A8" s="24" t="str">
        <x:v>Medium demersals (30 - 89 cm)</x:v>
      </x:c>
      <x:c r="B8" s="31" t="n">
        <x:v>1272.8062126439002</x:v>
      </x:c>
      <x:c r="C8" s="32" t="n">
        <x:v>3.522229905694121</x:v>
      </x:c>
      <x:c r="D8" s="32" t="n">
        <x:f>IF(C8="","",(1/'Metadata'!$B$5)^(C8-1))</x:f>
        <x:v>332.83570237198086</x:v>
      </x:c>
      <x:c r="E8" s="31" t="n">
        <x:f>IF(B8=0,"",B8*D8)</x:f>
        <x:v>423635.34976875334</x:v>
      </x:c>
    </x:row>
    <x:row r="9" ht="18" customHeight="1">
      <x:c r="A9" s="24" t="str">
        <x:v>Medium pelagics (30 - 89 cm)</x:v>
      </x:c>
      <x:c r="B9" s="31" t="n">
        <x:v>10988.933257401299</x:v>
      </x:c>
      <x:c r="C9" s="32" t="n">
        <x:v>3.719326097448284</x:v>
      </x:c>
      <x:c r="D9" s="32" t="n">
        <x:f>IF(C9="","",(1/'Metadata'!$B$5)^(C9-1))</x:f>
        <x:v>523.993738579608</x:v>
      </x:c>
      <x:c r="E9" s="31" t="n">
        <x:f>IF(B9=0,"",B9*D9)</x:f>
        <x:v>5758132.220547496</x:v>
      </x:c>
    </x:row>
    <x:row r="10" ht="18" customHeight="1">
      <x:c r="A10" s="24" t="str">
        <x:v>Medium reef assoc. fish (30 - 89 cm)</x:v>
      </x:c>
      <x:c r="B10" s="31" t="n">
        <x:v>1173.6682269478</x:v>
      </x:c>
      <x:c r="C10" s="32" t="n">
        <x:v>3.372931229951866</x:v>
      </x:c>
      <x:c r="D10" s="32" t="n">
        <x:f>IF(C10="","",(1/'Metadata'!$B$5)^(C10-1))</x:f>
        <x:v>236.01044836701553</x:v>
      </x:c>
      <x:c r="E10" s="31" t="n">
        <x:f>IF(B10=0,"",B10*D10)</x:f>
        <x:v>276997.96447607037</x:v>
      </x:c>
    </x:row>
    <x:row r="11" ht="18" customHeight="1">
      <x:c r="A11" s="24" t="str">
        <x:v>Shrimps</x:v>
      </x:c>
      <x:c r="B11" s="31" t="n">
        <x:v>0.945287539</x:v>
      </x:c>
      <x:c r="C11" s="32" t="n">
        <x:v>3.31</x:v>
      </x:c>
      <x:c r="D11" s="32" t="n">
        <x:f>IF(C11="","",(1/'Metadata'!$B$5)^(C11-1))</x:f>
        <x:v>204.17379446695296</x:v>
      </x:c>
      <x:c r="E11" s="31" t="n">
        <x:f>IF(B11=0,"",B11*D11)</x:f>
        <x:v>193.00294369995777</x:v>
      </x:c>
    </x:row>
    <x:row r="12" ht="18" customHeight="1">
      <x:c r="A12" s="24" t="str">
        <x:v>Small demersals (&lt;30 cm)</x:v>
      </x:c>
      <x:c r="B12" s="31" t="n">
        <x:v>507.0122202348</x:v>
      </x:c>
      <x:c r="C12" s="32" t="n">
        <x:v>3.51</x:v>
      </x:c>
      <x:c r="D12" s="32" t="n">
        <x:f>IF(C12="","",(1/'Metadata'!$B$5)^(C12-1))</x:f>
        <x:v>323.5936569296281</x:v>
      </x:c>
      <x:c r="E12" s="31" t="n">
        <x:f>IF(B12=0,"",B12*D12)</x:f>
        <x:v>164065.9384537889</x:v>
      </x:c>
    </x:row>
    <x:row r="13" ht="18" customHeight="1">
      <x:c r="A13" s="24" t="str">
        <x:v>Small pelagics (&lt;30 cm)</x:v>
      </x:c>
      <x:c r="B13" s="31" t="n">
        <x:v>3601.1878782211</x:v>
      </x:c>
      <x:c r="C13" s="32" t="n">
        <x:v>2.4590504693155926</x:v>
      </x:c>
      <x:c r="D13" s="32" t="n">
        <x:f>IF(C13="","",(1/'Metadata'!$B$5)^(C13-1))</x:f>
        <x:v>28.777328163296954</x:v>
      </x:c>
      <x:c r="E13" s="31" t="n">
        <x:f>IF(B13=0,"",B13*D13)</x:f>
        <x:v>103632.56534925566</x:v>
      </x:c>
    </x:row>
    <x:row r="14" ht="18" customHeight="1">
      <x:c r="A14" s="24" t="str">
        <x:v>Small reef assoc. fish (&lt;30 cm)</x:v>
      </x:c>
      <x:c r="B14" s="31" t="n">
        <x:v>96.8367443852</x:v>
      </x:c>
      <x:c r="C14" s="32" t="n">
        <x:v>2.76</x:v>
      </x:c>
      <x:c r="D14" s="32" t="n">
        <x:f>IF(C14="","",(1/'Metadata'!$B$5)^(C14-1))</x:f>
        <x:v>57.543993733715666</x:v>
      </x:c>
      <x:c r="E14" s="31" t="n">
        <x:f>IF(B14=0,"",B14*D14)</x:f>
        <x:v>5572.373012095375</x:v>
      </x:c>
    </x:row>
  </x:sheetData>
  <x:pageMargins left="0.7" right="0.7" top="0.75" bottom="0.75" header="0.3" footer="0.3"/>
  <x:tableParts count="1">
    <x:tablePart xmlns:r="http://schemas.openxmlformats.org/officeDocument/2006/relationships" r:id="R1cfbc40d8dd5436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EEZ_911</x:v>
      </x:c>
      <x:c r="B2" s="24" t="str">
        <x:v>raw_filtered_tonnes</x:v>
      </x:c>
      <x:c r="C2" s="24" t="n">
        <x:v>22403.7445093578</x:v>
      </x:c>
      <x:c r="D2" s="24" t="str">
        <x:v>tonnes</x:v>
      </x:c>
    </x:row>
    <x:row r="3" ht="18" customHeight="1">
      <x:c r="A3" s="24" t="str">
        <x:v>EEZ_911</x:v>
      </x:c>
      <x:c r="B3" s="24" t="str">
        <x:v>species_catch_tonnes</x:v>
      </x:c>
      <x:c r="C3" s="24" t="n">
        <x:v>22403.744509357803</x:v>
      </x:c>
      <x:c r="D3" s="24" t="str">
        <x:v>tonnes</x:v>
      </x:c>
    </x:row>
    <x:row r="4" ht="18" customHeight="1">
      <x:c r="A4" s="24" t="str">
        <x:v>EEZ_911</x:v>
      </x:c>
      <x:c r="B4" s="24" t="str">
        <x:v>catch_difference_tonnes</x:v>
      </x:c>
      <x:c r="C4" s="24" t="n">
        <x:v>3.637978807091713e-12</x:v>
      </x:c>
      <x:c r="D4" s="24" t="str">
        <x:v>tonnes</x:v>
      </x:c>
    </x:row>
    <x:row r="5" ht="18" customHeight="1">
      <x:c r="A5" s="24" t="str">
        <x:v>EEZ_911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EEZ_911</x:v>
      </x:c>
      <x:c r="B6" s="24" t="str">
        <x:v>matched_catch_tonnes</x:v>
      </x:c>
      <x:c r="C6" s="24" t="n">
        <x:v>22403.744509357803</x:v>
      </x:c>
      <x:c r="D6" s="24" t="str">
        <x:v>tonnes</x:v>
      </x:c>
    </x:row>
    <x:row r="7" ht="18" customHeight="1">
      <x:c r="A7" s="24" t="str">
        <x:v>EEZ_911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EEZ_911</x:v>
      </x:c>
      <x:c r="B8" s="24" t="str">
        <x:v>taxa_count</x:v>
      </x:c>
      <x:c r="C8" s="24" t="n">
        <x:v>40</x:v>
      </x:c>
      <x:c r="D8" s="24" t="str">
        <x:v>count</x:v>
      </x:c>
    </x:row>
    <x:row r="9" ht="18" customHeight="1">
      <x:c r="A9" s="24" t="str">
        <x:v>EEZ_911</x:v>
      </x:c>
      <x:c r="B9" s="24" t="str">
        <x:v>matched_taxa_count</x:v>
      </x:c>
      <x:c r="C9" s="24" t="n">
        <x:v>40</x:v>
      </x:c>
      <x:c r="D9" s="24" t="str">
        <x:v>count</x:v>
      </x:c>
    </x:row>
    <x:row r="10" ht="18" customHeight="1">
      <x:c r="A10" s="24" t="str">
        <x:v>EEZ_911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EEZ_911</x:v>
      </x:c>
      <x:c r="B11" s="24" t="str">
        <x:v>species_ppr</x:v>
      </x:c>
      <x:c r="C11" s="24" t="n">
        <x:v>20905875.58165651</x:v>
      </x:c>
      <x:c r="D11" s="24" t="str">
        <x:v>tonnes_primary_production_equivalent</x:v>
      </x:c>
    </x:row>
    <x:row r="12" ht="18" customHeight="1">
      <x:c r="A12" s="24" t="str">
        <x:v>EEZ_911</x:v>
      </x:c>
      <x:c r="B12" s="24" t="str">
        <x:v>commercial_ppr</x:v>
      </x:c>
      <x:c r="C12" s="24" t="n">
        <x:v>14640018.664670475</x:v>
      </x:c>
      <x:c r="D12" s="24" t="str">
        <x:v>tonnes_primary_production_equivalent</x:v>
      </x:c>
    </x:row>
    <x:row r="13" ht="18" customHeight="1">
      <x:c r="A13" s="24" t="str">
        <x:v>EEZ_911</x:v>
      </x:c>
      <x:c r="B13" s="24" t="str">
        <x:v>functional_ppr</x:v>
      </x:c>
      <x:c r="C13" s="24" t="n">
        <x:v>16683601.962322408</x:v>
      </x:c>
      <x:c r="D13" s="24" t="str">
        <x:v>tonnes_primary_production_equivalent</x:v>
      </x:c>
    </x:row>
    <x:row r="14" ht="18" customHeight="1">
      <x:c r="A14" s="24" t="str">
        <x:v>EEZ_911</x:v>
      </x:c>
      <x:c r="B14" s="24" t="str">
        <x:v>commercial_ppr_difference</x:v>
      </x:c>
      <x:c r="C14" s="24" t="n">
        <x:v>-6265856.916986033</x:v>
      </x:c>
      <x:c r="D14" s="24" t="str">
        <x:v>tonnes_primary_production_equivalent</x:v>
      </x:c>
    </x:row>
    <x:row r="15" ht="18" customHeight="1">
      <x:c r="A15" s="24" t="str">
        <x:v>EEZ_911</x:v>
      </x:c>
      <x:c r="B15" s="24" t="str">
        <x:v>functional_ppr_difference</x:v>
      </x:c>
      <x:c r="C15" s="24" t="n">
        <x:v>-4222273.6193341</x:v>
      </x:c>
      <x:c r="D15" s="24" t="str">
        <x:v>tonnes_primary_production_equivalent</x:v>
      </x:c>
    </x:row>
    <x:row r="16" ht="18" customHeight="1">
      <x:c r="A16" s="24" t="str">
        <x:v>EEZ_911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EEZ_911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9531f9d024e24d6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EEZ_911 - Musandam (Oman)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EEZ_911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raw_data/SAU_downloads/EEZ_911-catch.zip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