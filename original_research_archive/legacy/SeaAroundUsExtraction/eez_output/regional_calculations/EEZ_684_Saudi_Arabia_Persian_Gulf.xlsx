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6178ad470645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40f73e2443dc4457"/>
    <x:sheet xmlns:r="http://schemas.openxmlformats.org/officeDocument/2006/relationships" name="Commercial" sheetId="2" r:id="R285eea340f67462d"/>
    <x:sheet xmlns:r="http://schemas.openxmlformats.org/officeDocument/2006/relationships" name="Functional" sheetId="3" r:id="R1065b6a8fce34643"/>
    <x:sheet xmlns:r="http://schemas.openxmlformats.org/officeDocument/2006/relationships" name="Missing TL" sheetId="4" r:id="R45b3c876defe413d"/>
    <x:sheet xmlns:r="http://schemas.openxmlformats.org/officeDocument/2006/relationships" name="Validation" sheetId="5" r:id="R9be7f5b773cf4289"/>
    <x:sheet xmlns:r="http://schemas.openxmlformats.org/officeDocument/2006/relationships" name="Metadata" sheetId="6" r:id="R4fd0a591c8784d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547803a2474e9c" /><Relationship Type="http://schemas.openxmlformats.org/officeDocument/2006/relationships/theme" Target="/xl/theme/theme1.xml" Id="R488daacdffeb43a0" /><Relationship Type="http://schemas.microsoft.com/office/2022/11/relationships/FeaturePropertyBag" Target="/xl/featurePropertyBag/featurePropertyBag.xml" Id="R0b7b86fab73d4c6d" /><Relationship Type="http://schemas.openxmlformats.org/officeDocument/2006/relationships/sharedStrings" Target="/xl/sharedStrings.xml" Id="R0720f6136dca44b0" /><Relationship Type="http://schemas.openxmlformats.org/officeDocument/2006/relationships/worksheet" Target="/xl/worksheets/sheet1.xml" Id="R40f73e2443dc4457" /><Relationship Type="http://schemas.openxmlformats.org/officeDocument/2006/relationships/worksheet" Target="/xl/worksheets/sheet2.xml" Id="R285eea340f67462d" /><Relationship Type="http://schemas.openxmlformats.org/officeDocument/2006/relationships/worksheet" Target="/xl/worksheets/sheet3.xml" Id="R1065b6a8fce34643" /><Relationship Type="http://schemas.openxmlformats.org/officeDocument/2006/relationships/worksheet" Target="/xl/worksheets/sheet4.xml" Id="R45b3c876defe413d" /><Relationship Type="http://schemas.openxmlformats.org/officeDocument/2006/relationships/worksheet" Target="/xl/worksheets/sheet5.xml" Id="R9be7f5b773cf4289" /><Relationship Type="http://schemas.openxmlformats.org/officeDocument/2006/relationships/worksheet" Target="/xl/worksheets/sheet6.xml" Id="R4fd0a591c8784d7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684SpeciesTable" displayName="EEZ684SpeciesTable" ref="A1:U102" headerRowCount="1" totalsRowCount="0" totalsRowShown="0">
  <x:autoFilter ref="A1:U102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684CommercialTable" displayName="EEZ684CommercialTable" ref="A1:E9" headerRowCount="1" totalsRowCount="0" totalsRowShown="0">
  <x:autoFilter ref="A1:E9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684FunctionalTable" displayName="EEZ684FunctionalTable" ref="A1:E19" headerRowCount="1" totalsRowCount="0" totalsRowShown="0">
  <x:autoFilter ref="A1:E19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684ValidationTable" displayName="EEZ684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56530df85dd4bb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89f62cc7f3242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f309bc169314d3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50c750a7dbd4d3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EEZ_684</x:v>
      </x:c>
      <x:c r="B2" s="24" t="str">
        <x:v>Saudi Arabia (Persian Gulf)</x:v>
      </x:c>
      <x:c r="C2" s="24" t="str">
        <x:v>EEZ</x:v>
      </x:c>
      <x:c r="D2" s="30" t="n">
        <x:v>2019</x:v>
      </x:c>
      <x:c r="E2" s="24" t="str">
        <x:v>Penaeus semisulcatus</x:v>
      </x:c>
      <x:c r="F2" s="24" t="str">
        <x:v>Green tiger prawn</x:v>
      </x:c>
      <x:c r="G2" s="24" t="str">
        <x:v>Shrimps</x:v>
      </x:c>
      <x:c r="H2" s="24" t="str">
        <x:v>Crustaceans</x:v>
      </x:c>
      <x:c r="I2" s="31" t="n">
        <x:v>7246.4503148938</x:v>
      </x:c>
      <x:c r="J2" s="31" t="n">
        <x:v>7246.4503148938</x:v>
      </x:c>
      <x:c r="K2" s="31" t="n">
        <x:v>0</x:v>
      </x:c>
      <x:c r="L2" s="31" t="n">
        <x:v>6431.0488822908</x:v>
      </x:c>
      <x:c r="M2" s="31" t="n">
        <x:v>815.4014326030001</x:v>
      </x:c>
      <x:c r="N2" s="24" t="str">
        <x:v>penaeus semisulcatus</x:v>
      </x:c>
      <x:c r="O2" s="32" t="n">
        <x:v>2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Penaeus semisulcatus</x:v>
      </x:c>
      <x:c r="T2" s="32" t="n">
        <x:f>IF(O2="","",(1/'Metadata'!$B$5)^(O2-1))</x:f>
        <x:v>10</x:v>
      </x:c>
      <x:c r="U2" s="31" t="n">
        <x:f>IF(T2="","",I2*T2)</x:f>
        <x:v>72464.503148938</x:v>
      </x:c>
    </x:row>
    <x:row r="3" ht="18" customHeight="1">
      <x:c r="A3" s="24" t="str">
        <x:v>EEZ_684</x:v>
      </x:c>
      <x:c r="B3" s="24" t="str">
        <x:v>Saudi Arabia (Persian Gulf)</x:v>
      </x:c>
      <x:c r="C3" s="24" t="str">
        <x:v>EEZ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6590.8996881686</x:v>
      </x:c>
      <x:c r="J3" s="31" t="n">
        <x:v>6199.9760257842</x:v>
      </x:c>
      <x:c r="K3" s="31" t="n">
        <x:v>390.9236623844</x:v>
      </x:c>
      <x:c r="L3" s="31" t="n">
        <x:v>4596.0651777237</x:v>
      </x:c>
      <x:c r="M3" s="31" t="n">
        <x:v>1994.8345104449002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1255870.0451841478</x:v>
      </x:c>
    </x:row>
    <x:row r="4" ht="18" customHeight="1">
      <x:c r="A4" s="24" t="str">
        <x:v>EEZ_684</x:v>
      </x:c>
      <x:c r="B4" s="24" t="str">
        <x:v>Saudi Arabia (Persian Gulf)</x:v>
      </x:c>
      <x:c r="C4" s="24" t="str">
        <x:v>EEZ</x:v>
      </x:c>
      <x:c r="D4" s="30" t="n">
        <x:v>2019</x:v>
      </x:c>
      <x:c r="E4" s="24" t="str">
        <x:v>Lethrinidae</x:v>
      </x:c>
      <x:c r="F4" s="24" t="str">
        <x:v>Emperors, scavengers</x:v>
      </x:c>
      <x:c r="G4" s="24" t="str">
        <x:v>Medium reef assoc. fish (30 - 89 cm)</x:v>
      </x:c>
      <x:c r="H4" s="24" t="str">
        <x:v>Perch-likes</x:v>
      </x:c>
      <x:c r="I4" s="31" t="n">
        <x:v>4462.5016707357</x:v>
      </x:c>
      <x:c r="J4" s="31" t="n">
        <x:v>4462.5016707357</x:v>
      </x:c>
      <x:c r="K4" s="31" t="n">
        <x:v>0</x:v>
      </x:c>
      <x:c r="L4" s="31" t="n">
        <x:v>2610.5330822211</x:v>
      </x:c>
      <x:c r="M4" s="31" t="n">
        <x:v>1851.9685885146</x:v>
      </x:c>
      <x:c r="N4" s="24" t="str">
        <x:v>lethrinidae</x:v>
      </x:c>
      <x:c r="O4" s="32" t="n">
        <x:v>3.59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Lethrinidae</x:v>
      </x:c>
      <x:c r="T4" s="32" t="n">
        <x:f>IF(O4="","",(1/'Metadata'!$B$5)^(O4-1))</x:f>
        <x:v>389.04514499428046</x:v>
      </x:c>
      <x:c r="U4" s="31" t="n">
        <x:f>IF(T4="","",I4*T4)</x:f>
        <x:v>1736114.6095285893</x:v>
      </x:c>
    </x:row>
    <x:row r="5" ht="18" customHeight="1">
      <x:c r="A5" s="24" t="str">
        <x:v>EEZ_684</x:v>
      </x:c>
      <x:c r="B5" s="24" t="str">
        <x:v>Saudi Arabia (Persian Gulf)</x:v>
      </x:c>
      <x:c r="C5" s="24" t="str">
        <x:v>EEZ</x:v>
      </x:c>
      <x:c r="D5" s="30" t="n">
        <x:v>2019</x:v>
      </x:c>
      <x:c r="E5" s="24" t="str">
        <x:v>Scomberomorus commerson</x:v>
      </x:c>
      <x:c r="F5" s="24" t="str">
        <x:v>Narrow-barred Spanish mackerel</x:v>
      </x:c>
      <x:c r="G5" s="24" t="str">
        <x:v>Large pelagics (&gt;=90 cm)</x:v>
      </x:c>
      <x:c r="H5" s="24" t="str">
        <x:v>Perch-likes</x:v>
      </x:c>
      <x:c r="I5" s="31" t="n">
        <x:v>4201.5255751974</x:v>
      </x:c>
      <x:c r="J5" s="31" t="n">
        <x:v>4201.5255751974</x:v>
      </x:c>
      <x:c r="K5" s="31" t="n">
        <x:v>0</x:v>
      </x:c>
      <x:c r="L5" s="31" t="n">
        <x:v>3003.1893860177997</x:v>
      </x:c>
      <x:c r="M5" s="31" t="n">
        <x:v>1198.3361891796</x:v>
      </x:c>
      <x:c r="N5" s="24" t="str">
        <x:v>scomberomorus commerson</x:v>
      </x:c>
      <x:c r="O5" s="32" t="n">
        <x:v>4.5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Scomberomorus commerson</x:v>
      </x:c>
      <x:c r="T5" s="32" t="n">
        <x:f>IF(O5="","",(1/'Metadata'!$B$5)^(O5-1))</x:f>
        <x:v>3162.2776601683795</x:v>
      </x:c>
      <x:c r="U5" s="31" t="n">
        <x:f>IF(T5="","",I5*T5)</x:f>
        <x:v>13286390.465072839</x:v>
      </x:c>
    </x:row>
    <x:row r="6" ht="18" customHeight="1">
      <x:c r="A6" s="24" t="str">
        <x:v>EEZ_684</x:v>
      </x:c>
      <x:c r="B6" s="24" t="str">
        <x:v>Saudi Arabia (Persian Gulf)</x:v>
      </x:c>
      <x:c r="C6" s="24" t="str">
        <x:v>EEZ</x:v>
      </x:c>
      <x:c r="D6" s="30" t="n">
        <x:v>2019</x:v>
      </x:c>
      <x:c r="E6" s="24" t="str">
        <x:v>Argyrops spinifer</x:v>
      </x:c>
      <x:c r="F6" s="24" t="str">
        <x:v>King soldier bream</x:v>
      </x:c>
      <x:c r="G6" s="24" t="str">
        <x:v>Medium demersals (30 - 89 cm)</x:v>
      </x:c>
      <x:c r="H6" s="24" t="str">
        <x:v>Perch-likes</x:v>
      </x:c>
      <x:c r="I6" s="31" t="n">
        <x:v>2619.2900626954</x:v>
      </x:c>
      <x:c r="J6" s="31" t="n">
        <x:v>2619.2900626954</x:v>
      </x:c>
      <x:c r="K6" s="31" t="n">
        <x:v>0</x:v>
      </x:c>
      <x:c r="L6" s="31" t="n">
        <x:v>2172.2161078358</x:v>
      </x:c>
      <x:c r="M6" s="31" t="n">
        <x:v>447.0739548596</x:v>
      </x:c>
      <x:c r="N6" s="24" t="str">
        <x:v>argyrops spinifer</x:v>
      </x:c>
      <x:c r="O6" s="32" t="n">
        <x:v>4.49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Argyrops spinifer</x:v>
      </x:c>
      <x:c r="T6" s="32" t="n">
        <x:f>IF(O6="","",(1/'Metadata'!$B$5)^(O6-1))</x:f>
        <x:v>3090.295432513592</x:v>
      </x:c>
      <x:c r="U6" s="31" t="n">
        <x:f>IF(T6="","",I6*T6)</x:f>
        <x:v>8094380.117175835</x:v>
      </x:c>
    </x:row>
    <x:row r="7" ht="18" customHeight="1">
      <x:c r="A7" s="24" t="str">
        <x:v>EEZ_684</x:v>
      </x:c>
      <x:c r="B7" s="24" t="str">
        <x:v>Saudi Arabia (Persian Gulf)</x:v>
      </x:c>
      <x:c r="C7" s="24" t="str">
        <x:v>EEZ</x:v>
      </x:c>
      <x:c r="D7" s="30" t="n">
        <x:v>2019</x:v>
      </x:c>
      <x:c r="E7" s="24" t="str">
        <x:v>Siganus</x:v>
      </x:c>
      <x:c r="F7" s="24" t="str">
        <x:v>Spinefoots</x:v>
      </x:c>
      <x:c r="G7" s="24" t="str">
        <x:v>Medium reef assoc. fish (30 - 89 cm)</x:v>
      </x:c>
      <x:c r="H7" s="24" t="str">
        <x:v>Perch-likes</x:v>
      </x:c>
      <x:c r="I7" s="31" t="n">
        <x:v>2592.3663806893</x:v>
      </x:c>
      <x:c r="J7" s="31" t="n">
        <x:v>2592.3663806893</x:v>
      </x:c>
      <x:c r="K7" s="31" t="n">
        <x:v>0</x:v>
      </x:c>
      <x:c r="L7" s="31" t="n">
        <x:v>1981.0633075335</x:v>
      </x:c>
      <x:c r="M7" s="31" t="n">
        <x:v>611.3030731558</x:v>
      </x:c>
      <x:c r="N7" s="24" t="str">
        <x:v>siganus</x:v>
      </x:c>
      <x:c r="O7" s="32" t="n">
        <x:v>2.11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Siganus</x:v>
      </x:c>
      <x:c r="T7" s="32" t="n">
        <x:f>IF(O7="","",(1/'Metadata'!$B$5)^(O7-1))</x:f>
        <x:v>12.882495516931336</x:v>
      </x:c>
      <x:c r="U7" s="31" t="n">
        <x:f>IF(T7="","",I7*T7)</x:f>
        <x:v>33396.14827747342</x:v>
      </x:c>
    </x:row>
    <x:row r="8" ht="18" customHeight="1">
      <x:c r="A8" s="24" t="str">
        <x:v>EEZ_684</x:v>
      </x:c>
      <x:c r="B8" s="24" t="str">
        <x:v>Saudi Arabia (Persian Gulf)</x:v>
      </x:c>
      <x:c r="C8" s="24" t="str">
        <x:v>EEZ</x:v>
      </x:c>
      <x:c r="D8" s="30" t="n">
        <x:v>2019</x:v>
      </x:c>
      <x:c r="E8" s="24" t="str">
        <x:v>Lethrinus lentjan</x:v>
      </x:c>
      <x:c r="F8" s="24" t="str">
        <x:v>Pink ear emperor</x:v>
      </x:c>
      <x:c r="G8" s="24" t="str">
        <x:v>Medium demersals (30 - 89 cm)</x:v>
      </x:c>
      <x:c r="H8" s="24" t="str">
        <x:v>Perch-likes</x:v>
      </x:c>
      <x:c r="I8" s="31" t="n">
        <x:v>2458.5652709381</x:v>
      </x:c>
      <x:c r="J8" s="31" t="n">
        <x:v>2458.5652709381</x:v>
      </x:c>
      <x:c r="K8" s="31" t="n">
        <x:v>0</x:v>
      </x:c>
      <x:c r="L8" s="31" t="n">
        <x:v>1966.2614878035001</x:v>
      </x:c>
      <x:c r="M8" s="31" t="n">
        <x:v>492.3037831346</x:v>
      </x:c>
      <x:c r="N8" s="24" t="str">
        <x:v>lethrinus lentjan</x:v>
      </x:c>
      <x:c r="O8" s="32" t="n">
        <x:v>3.94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Lethrinus lentjan</x:v>
      </x:c>
      <x:c r="T8" s="32" t="n">
        <x:f>IF(O8="","",(1/'Metadata'!$B$5)^(O8-1))</x:f>
        <x:v>870.9635899560806</x:v>
      </x:c>
      <x:c r="U8" s="31" t="n">
        <x:f>IF(T8="","",I8*T8)</x:f>
        <x:v>2141320.8345175916</x:v>
      </x:c>
    </x:row>
    <x:row r="9" ht="18" customHeight="1">
      <x:c r="A9" s="24" t="str">
        <x:v>EEZ_684</x:v>
      </x:c>
      <x:c r="B9" s="24" t="str">
        <x:v>Saudi Arabia (Persian Gulf)</x:v>
      </x:c>
      <x:c r="C9" s="24" t="str">
        <x:v>EEZ</x:v>
      </x:c>
      <x:c r="D9" s="30" t="n">
        <x:v>2019</x:v>
      </x:c>
      <x:c r="E9" s="24" t="str">
        <x:v>Rhabdosargus haffara</x:v>
      </x:c>
      <x:c r="F9" s="24" t="str">
        <x:v>Haffara seabream</x:v>
      </x:c>
      <x:c r="G9" s="24" t="str">
        <x:v>Medium reef assoc. fish (30 - 89 cm)</x:v>
      </x:c>
      <x:c r="H9" s="24" t="str">
        <x:v>Perch-likes</x:v>
      </x:c>
      <x:c r="I9" s="31" t="n">
        <x:v>1616.6492633285</x:v>
      </x:c>
      <x:c r="J9" s="31" t="n">
        <x:v>1616.6492633285</x:v>
      </x:c>
      <x:c r="K9" s="31" t="n">
        <x:v>0</x:v>
      </x:c>
      <x:c r="L9" s="31" t="n">
        <x:v>1278.8037734401</x:v>
      </x:c>
      <x:c r="M9" s="31" t="n">
        <x:v>337.8454898884</x:v>
      </x:c>
      <x:c r="N9" s="24" t="str">
        <x:v>rhabdosargus haffara</x:v>
      </x:c>
      <x:c r="O9" s="32" t="n">
        <x:v>3.5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Rhabdosargus haffara</x:v>
      </x:c>
      <x:c r="T9" s="32" t="n">
        <x:f>IF(O9="","",(1/'Metadata'!$B$5)^(O9-1))</x:f>
        <x:v>316.22776601683796</x:v>
      </x:c>
      <x:c r="U9" s="31" t="n">
        <x:f>IF(T9="","",I9*T9)</x:f>
        <x:v>511229.38497513835</x:v>
      </x:c>
    </x:row>
    <x:row r="10" ht="18" customHeight="1">
      <x:c r="A10" s="24" t="str">
        <x:v>EEZ_684</x:v>
      </x:c>
      <x:c r="B10" s="24" t="str">
        <x:v>Saudi Arabia (Persian Gulf)</x:v>
      </x:c>
      <x:c r="C10" s="24" t="str">
        <x:v>EEZ</x:v>
      </x:c>
      <x:c r="D10" s="30" t="n">
        <x:v>2019</x:v>
      </x:c>
      <x:c r="E10" s="24" t="str">
        <x:v>Serranidae</x:v>
      </x:c>
      <x:c r="F10" s="24" t="str">
        <x:v>Basses, groupers, hinds</x:v>
      </x:c>
      <x:c r="G10" s="24" t="str">
        <x:v>Medium reef assoc. fish (30 - 89 cm)</x:v>
      </x:c>
      <x:c r="H10" s="24" t="str">
        <x:v>Perch-likes</x:v>
      </x:c>
      <x:c r="I10" s="31" t="n">
        <x:v>1416.7363639571</x:v>
      </x:c>
      <x:c r="J10" s="31" t="n">
        <x:v>1416.7363639571</x:v>
      </x:c>
      <x:c r="K10" s="31" t="n">
        <x:v>0</x:v>
      </x:c>
      <x:c r="L10" s="31" t="n">
        <x:v>727.9138406392</x:v>
      </x:c>
      <x:c r="M10" s="31" t="n">
        <x:v>688.8225233179</x:v>
      </x:c>
      <x:c r="N10" s="24" t="str">
        <x:v>serranidae</x:v>
      </x:c>
      <x:c r="O10" s="32" t="n">
        <x:v>3.98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Serranidae</x:v>
      </x:c>
      <x:c r="T10" s="32" t="n">
        <x:f>IF(O10="","",(1/'Metadata'!$B$5)^(O10-1))</x:f>
        <x:v>954.992586021436</x:v>
      </x:c>
      <x:c r="U10" s="31" t="n">
        <x:f>IF(T10="","",I10*T10)</x:f>
        <x:v>1352972.723925997</x:v>
      </x:c>
    </x:row>
    <x:row r="11" ht="18" customHeight="1">
      <x:c r="A11" s="24" t="str">
        <x:v>EEZ_684</x:v>
      </x:c>
      <x:c r="B11" s="24" t="str">
        <x:v>Saudi Arabia (Persian Gulf)</x:v>
      </x:c>
      <x:c r="C11" s="24" t="str">
        <x:v>EEZ</x:v>
      </x:c>
      <x:c r="D11" s="30" t="n">
        <x:v>2019</x:v>
      </x:c>
      <x:c r="E11" s="24" t="str">
        <x:v>Scomberomorus guttatus</x:v>
      </x:c>
      <x:c r="F11" s="24" t="str">
        <x:v>Indo-Pacific king mackerel</x:v>
      </x:c>
      <x:c r="G11" s="24" t="str">
        <x:v>Medium pelagics (30 - 89 cm)</x:v>
      </x:c>
      <x:c r="H11" s="24" t="str">
        <x:v>Perch-likes</x:v>
      </x:c>
      <x:c r="I11" s="31" t="n">
        <x:v>1102.3341597441001</x:v>
      </x:c>
      <x:c r="J11" s="31" t="n">
        <x:v>1102.3341597441001</x:v>
      </x:c>
      <x:c r="K11" s="31" t="n">
        <x:v>0</x:v>
      </x:c>
      <x:c r="L11" s="31" t="n">
        <x:v>1053.78663</x:v>
      </x:c>
      <x:c r="M11" s="31" t="n">
        <x:v>48.547529744100004</x:v>
      </x:c>
      <x:c r="N11" s="24" t="str">
        <x:v>scomberomorus guttatus</x:v>
      </x:c>
      <x:c r="O11" s="32" t="n">
        <x:v>4.28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Scomberomorus guttatus</x:v>
      </x:c>
      <x:c r="T11" s="32" t="n">
        <x:f>IF(O11="","",(1/'Metadata'!$B$5)^(O11-1))</x:f>
        <x:v>1905.4607179632483</x:v>
      </x:c>
      <x:c r="U11" s="31" t="n">
        <x:f>IF(T11="","",I11*T11)</x:f>
        <x:v>2100454.4394614073</x:v>
      </x:c>
    </x:row>
    <x:row r="12" ht="18" customHeight="1">
      <x:c r="A12" s="24" t="str">
        <x:v>EEZ_684</x:v>
      </x:c>
      <x:c r="B12" s="24" t="str">
        <x:v>Saudi Arabia (Persian Gulf)</x:v>
      </x:c>
      <x:c r="C12" s="24" t="str">
        <x:v>EEZ</x:v>
      </x:c>
      <x:c r="D12" s="30" t="n">
        <x:v>2019</x:v>
      </x:c>
      <x:c r="E12" s="24" t="str">
        <x:v>Carangidae</x:v>
      </x:c>
      <x:c r="F12" s="24" t="str">
        <x:v>Jacks, pompanos</x:v>
      </x:c>
      <x:c r="G12" s="24" t="str">
        <x:v>Medium pelagics (30 - 89 cm)</x:v>
      </x:c>
      <x:c r="H12" s="24" t="str">
        <x:v>Perch-likes</x:v>
      </x:c>
      <x:c r="I12" s="31" t="n">
        <x:v>928.9861120603999</x:v>
      </x:c>
      <x:c r="J12" s="31" t="n">
        <x:v>928.9861120603999</x:v>
      </x:c>
      <x:c r="K12" s="31" t="n">
        <x:v>0</x:v>
      </x:c>
      <x:c r="L12" s="31" t="n">
        <x:v>730.3174547811</x:v>
      </x:c>
      <x:c r="M12" s="31" t="n">
        <x:v>198.66865727930002</x:v>
      </x:c>
      <x:c r="N12" s="24" t="str">
        <x:v>carangidae</x:v>
      </x:c>
      <x:c r="O12" s="32" t="n">
        <x:v>4.05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Carangidae</x:v>
      </x:c>
      <x:c r="T12" s="32" t="n">
        <x:f>IF(O12="","",(1/'Metadata'!$B$5)^(O12-1))</x:f>
        <x:v>1122.018454301963</x:v>
      </x:c>
      <x:c r="U12" s="31" t="n">
        <x:f>IF(T12="","",I12*T12)</x:f>
        <x:v>1042339.5615220001</x:v>
      </x:c>
    </x:row>
    <x:row r="13" ht="18" customHeight="1">
      <x:c r="A13" s="24" t="str">
        <x:v>EEZ_684</x:v>
      </x:c>
      <x:c r="B13" s="24" t="str">
        <x:v>Saudi Arabia (Persian Gulf)</x:v>
      </x:c>
      <x:c r="C13" s="24" t="str">
        <x:v>EEZ</x:v>
      </x:c>
      <x:c r="D13" s="30" t="n">
        <x:v>2019</x:v>
      </x:c>
      <x:c r="E13" s="24" t="str">
        <x:v>Chondrichthyes</x:v>
      </x:c>
      <x:c r="F13" s="24" t="str">
        <x:v>Sharks, rays, chimaeras</x:v>
      </x:c>
      <x:c r="G13" s="24" t="str">
        <x:v>Large sharks (&gt;=90 cm)</x:v>
      </x:c>
      <x:c r="H13" s="24" t="str">
        <x:v>Sharks &amp; rays</x:v>
      </x:c>
      <x:c r="I13" s="31" t="n">
        <x:v>883.5184261126</x:v>
      </x:c>
      <x:c r="J13" s="31" t="n">
        <x:v>883.5184261126</x:v>
      </x:c>
      <x:c r="K13" s="31" t="n">
        <x:v>0</x:v>
      </x:c>
      <x:c r="L13" s="31" t="n">
        <x:v>883.5184261126</x:v>
      </x:c>
      <x:c r="M13" s="31" t="n">
        <x:v>0</x:v>
      </x:c>
      <x:c r="N13" s="24" t="str">
        <x:v>chondrichthyes</x:v>
      </x:c>
      <x:c r="O13" s="32" t="n">
        <x:v>4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Chondrichthyes</x:v>
      </x:c>
      <x:c r="T13" s="32" t="n">
        <x:f>IF(O13="","",(1/'Metadata'!$B$5)^(O13-1))</x:f>
        <x:v>1000</x:v>
      </x:c>
      <x:c r="U13" s="31" t="n">
        <x:f>IF(T13="","",I13*T13)</x:f>
        <x:v>883518.4261126</x:v>
      </x:c>
    </x:row>
    <x:row r="14" ht="18" customHeight="1">
      <x:c r="A14" s="24" t="str">
        <x:v>EEZ_684</x:v>
      </x:c>
      <x:c r="B14" s="24" t="str">
        <x:v>Saudi Arabia (Persian Gulf)</x:v>
      </x:c>
      <x:c r="C14" s="24" t="str">
        <x:v>EEZ</x:v>
      </x:c>
      <x:c r="D14" s="30" t="n">
        <x:v>2019</x:v>
      </x:c>
      <x:c r="E14" s="24" t="str">
        <x:v>Sepia pharaonis</x:v>
      </x:c>
      <x:c r="F14" s="24" t="str">
        <x:v>Pharaoh cuttlefish</x:v>
      </x:c>
      <x:c r="G14" s="24" t="str">
        <x:v>Cephalopods</x:v>
      </x:c>
      <x:c r="H14" s="24" t="str">
        <x:v>Other fishes &amp; inverts</x:v>
      </x:c>
      <x:c r="I14" s="31" t="n">
        <x:v>873.0715955858</x:v>
      </x:c>
      <x:c r="J14" s="31" t="n">
        <x:v>873.0715955858</x:v>
      </x:c>
      <x:c r="K14" s="31" t="n">
        <x:v>0</x:v>
      </x:c>
      <x:c r="L14" s="31" t="n">
        <x:v>873.0715955858</x:v>
      </x:c>
      <x:c r="M14" s="31" t="n">
        <x:v>0</x:v>
      </x:c>
      <x:c r="N14" s="24" t="str">
        <x:v>sepia pharaonis</x:v>
      </x:c>
      <x:c r="O14" s="32" t="n">
        <x:v>3.8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Sepia pharaonis</x:v>
      </x:c>
      <x:c r="T14" s="32" t="n">
        <x:f>IF(O14="","",(1/'Metadata'!$B$5)^(O14-1))</x:f>
        <x:v>630.957344480193</x:v>
      </x:c>
      <x:c r="U14" s="31" t="n">
        <x:f>IF(T14="","",I14*T14)</x:f>
        <x:v>550870.9354919014</x:v>
      </x:c>
    </x:row>
    <x:row r="15" ht="18" customHeight="1">
      <x:c r="A15" s="24" t="str">
        <x:v>EEZ_684</x:v>
      </x:c>
      <x:c r="B15" s="24" t="str">
        <x:v>Saudi Arabia (Persian Gulf)</x:v>
      </x:c>
      <x:c r="C15" s="24" t="str">
        <x:v>EEZ</x:v>
      </x:c>
      <x:c r="D15" s="30" t="n">
        <x:v>2019</x:v>
      </x:c>
      <x:c r="E15" s="24" t="str">
        <x:v>Euthynnus affinis</x:v>
      </x:c>
      <x:c r="F15" s="24" t="str">
        <x:v>Kawakawa</x:v>
      </x:c>
      <x:c r="G15" s="24" t="str">
        <x:v>Large pelagics (&gt;=90 cm)</x:v>
      </x:c>
      <x:c r="H15" s="24" t="str">
        <x:v>Tuna &amp; billfishes</x:v>
      </x:c>
      <x:c r="I15" s="31" t="n">
        <x:v>847.0019536766999</x:v>
      </x:c>
      <x:c r="J15" s="31" t="n">
        <x:v>847.0019536766999</x:v>
      </x:c>
      <x:c r="K15" s="31" t="n">
        <x:v>0</x:v>
      </x:c>
      <x:c r="L15" s="31" t="n">
        <x:v>700.8709932498</x:v>
      </x:c>
      <x:c r="M15" s="31" t="n">
        <x:v>146.1309604269</x:v>
      </x:c>
      <x:c r="N15" s="24" t="str">
        <x:v>euthynnus affinis</x:v>
      </x:c>
      <x:c r="O15" s="32" t="n">
        <x:v>4.5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Euthynnus affinis</x:v>
      </x:c>
      <x:c r="T15" s="32" t="n">
        <x:f>IF(O15="","",(1/'Metadata'!$B$5)^(O15-1))</x:f>
        <x:v>3162.2776601683795</x:v>
      </x:c>
      <x:c r="U15" s="31" t="n">
        <x:f>IF(T15="","",I15*T15)</x:f>
        <x:v>2678455.356230801</x:v>
      </x:c>
    </x:row>
    <x:row r="16" ht="18" customHeight="1">
      <x:c r="A16" s="24" t="str">
        <x:v>EEZ_684</x:v>
      </x:c>
      <x:c r="B16" s="24" t="str">
        <x:v>Saudi Arabia (Persian Gulf)</x:v>
      </x:c>
      <x:c r="C16" s="24" t="str">
        <x:v>EEZ</x:v>
      </x:c>
      <x:c r="D16" s="30" t="n">
        <x:v>2019</x:v>
      </x:c>
      <x:c r="E16" s="24" t="str">
        <x:v>Atule mate</x:v>
      </x:c>
      <x:c r="F16" s="24" t="str">
        <x:v>Yellowtail scad</x:v>
      </x:c>
      <x:c r="G16" s="24" t="str">
        <x:v>Small pelagics (&lt;30 cm)</x:v>
      </x:c>
      <x:c r="H16" s="24" t="str">
        <x:v>Perch-likes</x:v>
      </x:c>
      <x:c r="I16" s="31" t="n">
        <x:v>827.6715219424</x:v>
      </x:c>
      <x:c r="J16" s="31" t="n">
        <x:v>827.6715219424</x:v>
      </x:c>
      <x:c r="K16" s="31" t="n">
        <x:v>0</x:v>
      </x:c>
      <x:c r="L16" s="31" t="n">
        <x:v>679.5869786265</x:v>
      </x:c>
      <x:c r="M16" s="31" t="n">
        <x:v>148.0845433159</x:v>
      </x:c>
      <x:c r="N16" s="24" t="str">
        <x:v>atule mate</x:v>
      </x:c>
      <x:c r="O16" s="32" t="n">
        <x:v>4.22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Atule mate</x:v>
      </x:c>
      <x:c r="T16" s="32" t="n">
        <x:f>IF(O16="","",(1/'Metadata'!$B$5)^(O16-1))</x:f>
        <x:v>1659.5869074375596</x:v>
      </x:c>
      <x:c r="U16" s="31" t="n">
        <x:f>IF(T16="","",I16*T16)</x:f>
        <x:v>1373592.8214745258</x:v>
      </x:c>
    </x:row>
    <x:row r="17" ht="18" customHeight="1">
      <x:c r="A17" s="24" t="str">
        <x:v>EEZ_684</x:v>
      </x:c>
      <x:c r="B17" s="24" t="str">
        <x:v>Saudi Arabia (Persian Gulf)</x:v>
      </x:c>
      <x:c r="C17" s="24" t="str">
        <x:v>EEZ</x:v>
      </x:c>
      <x:c r="D17" s="30" t="n">
        <x:v>2019</x:v>
      </x:c>
      <x:c r="E17" s="24" t="str">
        <x:v>Sparidae</x:v>
      </x:c>
      <x:c r="F17" s="24" t="str">
        <x:v>Porgies, seabreams</x:v>
      </x:c>
      <x:c r="G17" s="24" t="str">
        <x:v>Medium benthopelagics (30 - 89 cm)</x:v>
      </x:c>
      <x:c r="H17" s="24" t="str">
        <x:v>Perch-likes</x:v>
      </x:c>
      <x:c r="I17" s="31" t="n">
        <x:v>804.8650191123</x:v>
      </x:c>
      <x:c r="J17" s="31" t="n">
        <x:v>804.8650191123</x:v>
      </x:c>
      <x:c r="K17" s="31" t="n">
        <x:v>0</x:v>
      </x:c>
      <x:c r="L17" s="31" t="n">
        <x:v>38.448696579899995</x:v>
      </x:c>
      <x:c r="M17" s="31" t="n">
        <x:v>766.4163225324</x:v>
      </x:c>
      <x:c r="N17" s="24" t="str">
        <x:v>sparidae</x:v>
      </x:c>
      <x:c r="O17" s="32" t="n">
        <x:v>3.31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Sparidae</x:v>
      </x:c>
      <x:c r="T17" s="32" t="n">
        <x:f>IF(O17="","",(1/'Metadata'!$B$5)^(O17-1))</x:f>
        <x:v>204.17379446695296</x:v>
      </x:c>
      <x:c r="U17" s="31" t="n">
        <x:f>IF(T17="","",I17*T17)</x:f>
        <x:v>164332.34498587492</x:v>
      </x:c>
    </x:row>
    <x:row r="18" ht="18" customHeight="1">
      <x:c r="A18" s="24" t="str">
        <x:v>EEZ_684</x:v>
      </x:c>
      <x:c r="B18" s="24" t="str">
        <x:v>Saudi Arabia (Persian Gulf)</x:v>
      </x:c>
      <x:c r="C18" s="24" t="str">
        <x:v>EEZ</x:v>
      </x:c>
      <x:c r="D18" s="30" t="n">
        <x:v>2019</x:v>
      </x:c>
      <x:c r="E18" s="24" t="str">
        <x:v>Acanthopagrus bifasciatus</x:v>
      </x:c>
      <x:c r="F18" s="24" t="str">
        <x:v>Twobar seabream</x:v>
      </x:c>
      <x:c r="G18" s="24" t="str">
        <x:v>Medium reef assoc. fish (30 - 89 cm)</x:v>
      </x:c>
      <x:c r="H18" s="24" t="str">
        <x:v>Perch-likes</x:v>
      </x:c>
      <x:c r="I18" s="31" t="n">
        <x:v>766.2833172933</x:v>
      </x:c>
      <x:c r="J18" s="31" t="n">
        <x:v>766.2833172933</x:v>
      </x:c>
      <x:c r="K18" s="31" t="n">
        <x:v>0</x:v>
      </x:c>
      <x:c r="L18" s="31" t="n">
        <x:v>615.141824703</x:v>
      </x:c>
      <x:c r="M18" s="31" t="n">
        <x:v>151.1414925903</x:v>
      </x:c>
      <x:c r="N18" s="24" t="str">
        <x:v>acanthopagrus bifasciatus</x:v>
      </x:c>
      <x:c r="O18" s="32" t="n">
        <x:v>3.39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Acanthopagrus bifasciatus</x:v>
      </x:c>
      <x:c r="T18" s="32" t="n">
        <x:f>IF(O18="","",(1/'Metadata'!$B$5)^(O18-1))</x:f>
        <x:v>245.4708915685031</x:v>
      </x:c>
      <x:c r="U18" s="31" t="n">
        <x:f>IF(T18="","",I18*T18)</x:f>
        <x:v>188100.24909005652</x:v>
      </x:c>
    </x:row>
    <x:row r="19" ht="18" customHeight="1">
      <x:c r="A19" s="24" t="str">
        <x:v>EEZ_684</x:v>
      </x:c>
      <x:c r="B19" s="24" t="str">
        <x:v>Saudi Arabia (Persian Gulf)</x:v>
      </x:c>
      <x:c r="C19" s="24" t="str">
        <x:v>EEZ</x:v>
      </x:c>
      <x:c r="D19" s="30" t="n">
        <x:v>2019</x:v>
      </x:c>
      <x:c r="E19" s="24" t="str">
        <x:v>Flavocaranx bajad</x:v>
      </x:c>
      <x:c r="F19" s="24" t="str">
        <x:v>Orangespotted trevally</x:v>
      </x:c>
      <x:c r="G19" s="24" t="str">
        <x:v>Medium reef assoc. fish (30 - 89 cm)</x:v>
      </x:c>
      <x:c r="H19" s="24" t="str">
        <x:v>Perch-likes</x:v>
      </x:c>
      <x:c r="I19" s="31" t="n">
        <x:v>706.6570263738</x:v>
      </x:c>
      <x:c r="J19" s="31" t="n">
        <x:v>706.6570263738</x:v>
      </x:c>
      <x:c r="K19" s="31" t="n">
        <x:v>0</x:v>
      </x:c>
      <x:c r="L19" s="31" t="n">
        <x:v>530.9117013708</x:v>
      </x:c>
      <x:c r="M19" s="31" t="n">
        <x:v>175.745325003</x:v>
      </x:c>
      <x:c r="N19" s="24" t="str">
        <x:v>flavocaranx bajad</x:v>
      </x:c>
      <x:c r="O19" s="32" t="n">
        <x:v>4.3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Flavocaranx bajad</x:v>
      </x:c>
      <x:c r="T19" s="32" t="n">
        <x:f>IF(O19="","",(1/'Metadata'!$B$5)^(O19-1))</x:f>
        <x:v>1995.2623149688789</x:v>
      </x:c>
      <x:c r="U19" s="31" t="n">
        <x:f>IF(T19="","",I19*T19)</x:f>
        <x:v>1409966.1343316124</x:v>
      </x:c>
    </x:row>
    <x:row r="20" ht="18" customHeight="1">
      <x:c r="A20" s="24" t="str">
        <x:v>EEZ_684</x:v>
      </x:c>
      <x:c r="B20" s="24" t="str">
        <x:v>Saudi Arabia (Persian Gulf)</x:v>
      </x:c>
      <x:c r="C20" s="24" t="str">
        <x:v>EEZ</x:v>
      </x:c>
      <x:c r="D20" s="30" t="n">
        <x:v>2019</x:v>
      </x:c>
      <x:c r="E20" s="24" t="str">
        <x:v>Netuma thalassina</x:v>
      </x:c>
      <x:c r="F20" s="24" t="str">
        <x:v>Giant catfish</x:v>
      </x:c>
      <x:c r="G20" s="24" t="str">
        <x:v>Large demersals (&gt;=90 cm)</x:v>
      </x:c>
      <x:c r="H20" s="24" t="str">
        <x:v>Other fishes &amp; inverts</x:v>
      </x:c>
      <x:c r="I20" s="31" t="n">
        <x:v>623.9476994075</x:v>
      </x:c>
      <x:c r="J20" s="31" t="n">
        <x:v>623.9476994075</x:v>
      </x:c>
      <x:c r="K20" s="31" t="n">
        <x:v>0</x:v>
      </x:c>
      <x:c r="L20" s="31" t="n">
        <x:v>507.67309056510004</x:v>
      </x:c>
      <x:c r="M20" s="31" t="n">
        <x:v>116.2746088424</x:v>
      </x:c>
      <x:c r="N20" s="24" t="str">
        <x:v>netuma thalassina</x:v>
      </x:c>
      <x:c r="O20" s="32" t="n">
        <x:v>3.54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Netuma thalassina</x:v>
      </x:c>
      <x:c r="T20" s="32" t="n">
        <x:f>IF(O20="","",(1/'Metadata'!$B$5)^(O20-1))</x:f>
        <x:v>346.73685045253166</x:v>
      </x:c>
      <x:c r="U20" s="31" t="n">
        <x:f>IF(T20="","",I20*T20)</x:f>
        <x:v>216345.66013965948</x:v>
      </x:c>
    </x:row>
    <x:row r="21" ht="18" customHeight="1">
      <x:c r="A21" s="24" t="str">
        <x:v>EEZ_684</x:v>
      </x:c>
      <x:c r="B21" s="24" t="str">
        <x:v>Saudi Arabia (Persian Gulf)</x:v>
      </x:c>
      <x:c r="C21" s="24" t="str">
        <x:v>EEZ</x:v>
      </x:c>
      <x:c r="D21" s="30" t="n">
        <x:v>2019</x:v>
      </x:c>
      <x:c r="E21" s="24" t="str">
        <x:v>Epinephelus tauvina</x:v>
      </x:c>
      <x:c r="F21" s="24" t="str">
        <x:v>Greasy grouper</x:v>
      </x:c>
      <x:c r="G21" s="24" t="str">
        <x:v>Medium reef assoc. fish (30 - 89 cm)</x:v>
      </x:c>
      <x:c r="H21" s="24" t="str">
        <x:v>Perch-likes</x:v>
      </x:c>
      <x:c r="I21" s="31" t="n">
        <x:v>580.707091562</x:v>
      </x:c>
      <x:c r="J21" s="31" t="n">
        <x:v>580.707091562</x:v>
      </x:c>
      <x:c r="K21" s="31" t="n">
        <x:v>0</x:v>
      </x:c>
      <x:c r="L21" s="31" t="n">
        <x:v>455.7114110549</x:v>
      </x:c>
      <x:c r="M21" s="31" t="n">
        <x:v>124.99568050709999</x:v>
      </x:c>
      <x:c r="N21" s="24" t="str">
        <x:v>epinephelus tauvina</x:v>
      </x:c>
      <x:c r="O21" s="32" t="n">
        <x:v>4.13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Epinephelus tauvina</x:v>
      </x:c>
      <x:c r="T21" s="32" t="n">
        <x:f>IF(O21="","",(1/'Metadata'!$B$5)^(O21-1))</x:f>
        <x:v>1348.9628825916532</x:v>
      </x:c>
      <x:c r="U21" s="31" t="n">
        <x:f>IF(T21="","",I21*T21)</x:f>
        <x:v>783352.3121748905</x:v>
      </x:c>
    </x:row>
    <x:row r="22" ht="18" customHeight="1">
      <x:c r="A22" s="24" t="str">
        <x:v>EEZ_684</x:v>
      </x:c>
      <x:c r="B22" s="24" t="str">
        <x:v>Saudi Arabia (Persian Gulf)</x:v>
      </x:c>
      <x:c r="C22" s="24" t="str">
        <x:v>EEZ</x:v>
      </x:c>
      <x:c r="D22" s="30" t="n">
        <x:v>2019</x:v>
      </x:c>
      <x:c r="E22" s="24" t="str">
        <x:v>Scolopsis taeniata</x:v>
      </x:c>
      <x:c r="F22" s="24" t="str">
        <x:v>Black-streaked monocle bream</x:v>
      </x:c>
      <x:c r="G22" s="24" t="str">
        <x:v>Small reef assoc. fish (&lt;30 cm)</x:v>
      </x:c>
      <x:c r="H22" s="24" t="str">
        <x:v>Perch-likes</x:v>
      </x:c>
      <x:c r="I22" s="31" t="n">
        <x:v>579.5801648129</x:v>
      </x:c>
      <x:c r="J22" s="31" t="n">
        <x:v>579.5801648129</x:v>
      </x:c>
      <x:c r="K22" s="31" t="n">
        <x:v>0</x:v>
      </x:c>
      <x:c r="L22" s="31" t="n">
        <x:v>473.3492058711</x:v>
      </x:c>
      <x:c r="M22" s="31" t="n">
        <x:v>106.2309589418</x:v>
      </x:c>
      <x:c r="N22" s="24" t="str">
        <x:v>scolopsis taeniata</x:v>
      </x:c>
      <x:c r="O22" s="32" t="n">
        <x:v>3.51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Scolopsis taeniata</x:v>
      </x:c>
      <x:c r="T22" s="32" t="n">
        <x:f>IF(O22="","",(1/'Metadata'!$B$5)^(O22-1))</x:f>
        <x:v>323.5936569296281</x:v>
      </x:c>
      <x:c r="U22" s="31" t="n">
        <x:f>IF(T22="","",I22*T22)</x:f>
        <x:v>187548.46501568286</x:v>
      </x:c>
    </x:row>
    <x:row r="23" ht="18" customHeight="1">
      <x:c r="A23" s="24" t="str">
        <x:v>EEZ_684</x:v>
      </x:c>
      <x:c r="B23" s="24" t="str">
        <x:v>Saudi Arabia (Persian Gulf)</x:v>
      </x:c>
      <x:c r="C23" s="24" t="str">
        <x:v>EEZ</x:v>
      </x:c>
      <x:c r="D23" s="30" t="n">
        <x:v>2019</x:v>
      </x:c>
      <x:c r="E23" s="24" t="str">
        <x:v>Rachycentron canadum</x:v>
      </x:c>
      <x:c r="F23" s="24" t="str">
        <x:v>Cobia</x:v>
      </x:c>
      <x:c r="G23" s="24" t="str">
        <x:v>Large pelagics (&gt;=90 cm)</x:v>
      </x:c>
      <x:c r="H23" s="24" t="str">
        <x:v>Perch-likes</x:v>
      </x:c>
      <x:c r="I23" s="31" t="n">
        <x:v>544.4764316527</x:v>
      </x:c>
      <x:c r="J23" s="31" t="n">
        <x:v>544.4764316527</x:v>
      </x:c>
      <x:c r="K23" s="31" t="n">
        <x:v>0</x:v>
      </x:c>
      <x:c r="L23" s="31" t="n">
        <x:v>544.4764316527</x:v>
      </x:c>
      <x:c r="M23" s="31" t="n">
        <x:v>0</x:v>
      </x:c>
      <x:c r="N23" s="24" t="str">
        <x:v>rachycentron canadum</x:v>
      </x:c>
      <x:c r="O23" s="32" t="n">
        <x:v>3.96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Rachycentron canadum</x:v>
      </x:c>
      <x:c r="T23" s="32" t="n">
        <x:f>IF(O23="","",(1/'Metadata'!$B$5)^(O23-1))</x:f>
        <x:v>912.0108393559096</x:v>
      </x:c>
      <x:c r="U23" s="31" t="n">
        <x:f>IF(T23="","",I23*T23)</x:f>
        <x:v>496568.40744108945</x:v>
      </x:c>
    </x:row>
    <x:row r="24" ht="18" customHeight="1">
      <x:c r="A24" s="24" t="str">
        <x:v>EEZ_684</x:v>
      </x:c>
      <x:c r="B24" s="24" t="str">
        <x:v>Saudi Arabia (Persian Gulf)</x:v>
      </x:c>
      <x:c r="C24" s="24" t="str">
        <x:v>EEZ</x:v>
      </x:c>
      <x:c r="D24" s="30" t="n">
        <x:v>2019</x:v>
      </x:c>
      <x:c r="E24" s="24" t="str">
        <x:v>Lethrinus borbonicus</x:v>
      </x:c>
      <x:c r="F24" s="24" t="str">
        <x:v>Snubnose emperor</x:v>
      </x:c>
      <x:c r="G24" s="24" t="str">
        <x:v>Medium reef assoc. fish (30 - 89 cm)</x:v>
      </x:c>
      <x:c r="H24" s="24" t="str">
        <x:v>Perch-likes</x:v>
      </x:c>
      <x:c r="I24" s="31" t="n">
        <x:v>543.9357710328</x:v>
      </x:c>
      <x:c r="J24" s="31" t="n">
        <x:v>543.9357710328</x:v>
      </x:c>
      <x:c r="K24" s="31" t="n">
        <x:v>0</x:v>
      </x:c>
      <x:c r="L24" s="31" t="n">
        <x:v>420.25944355629997</x:v>
      </x:c>
      <x:c r="M24" s="31" t="n">
        <x:v>123.6763274765</x:v>
      </x:c>
      <x:c r="N24" s="24" t="str">
        <x:v>lethrinus borbonicus</x:v>
      </x:c>
      <x:c r="O24" s="32" t="n">
        <x:v>3.47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Lethrinus borbonicus</x:v>
      </x:c>
      <x:c r="T24" s="32" t="n">
        <x:f>IF(O24="","",(1/'Metadata'!$B$5)^(O24-1))</x:f>
        <x:v>295.1209226666387</x:v>
      </x:c>
      <x:c r="U24" s="31" t="n">
        <x:f>IF(T24="","",I24*T24)</x:f>
        <x:v>160526.82661858946</x:v>
      </x:c>
    </x:row>
    <x:row r="25" ht="18" customHeight="1">
      <x:c r="A25" s="24" t="str">
        <x:v>EEZ_684</x:v>
      </x:c>
      <x:c r="B25" s="24" t="str">
        <x:v>Saudi Arabia (Persian Gulf)</x:v>
      </x:c>
      <x:c r="C25" s="24" t="str">
        <x:v>EEZ</x:v>
      </x:c>
      <x:c r="D25" s="30" t="n">
        <x:v>2019</x:v>
      </x:c>
      <x:c r="E25" s="24" t="str">
        <x:v>Gnathanodon speciosus</x:v>
      </x:c>
      <x:c r="F25" s="24" t="str">
        <x:v>Golden trevally</x:v>
      </x:c>
      <x:c r="G25" s="24" t="str">
        <x:v>Large reef assoc. fish (&gt;=90 cm)</x:v>
      </x:c>
      <x:c r="H25" s="24" t="str">
        <x:v>Perch-likes</x:v>
      </x:c>
      <x:c r="I25" s="31" t="n">
        <x:v>461.836161923</x:v>
      </x:c>
      <x:c r="J25" s="31" t="n">
        <x:v>461.836161923</x:v>
      </x:c>
      <x:c r="K25" s="31" t="n">
        <x:v>0</x:v>
      </x:c>
      <x:c r="L25" s="31" t="n">
        <x:v>387.2590192231</x:v>
      </x:c>
      <x:c r="M25" s="31" t="n">
        <x:v>74.57714269990001</x:v>
      </x:c>
      <x:c r="N25" s="24" t="str">
        <x:v>gnathanodon speciosus</x:v>
      </x:c>
      <x:c r="O25" s="32" t="n">
        <x:v>3.84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Gnathanodon speciosus</x:v>
      </x:c>
      <x:c r="T25" s="32" t="n">
        <x:f>IF(O25="","",(1/'Metadata'!$B$5)^(O25-1))</x:f>
        <x:v>691.8309709189363</x:v>
      </x:c>
      <x:c r="U25" s="31" t="n">
        <x:f>IF(T25="","",I25*T25)</x:f>
        <x:v>319512.56030866416</x:v>
      </x:c>
    </x:row>
    <x:row r="26" ht="18" customHeight="1">
      <x:c r="A26" s="24" t="str">
        <x:v>EEZ_684</x:v>
      </x:c>
      <x:c r="B26" s="24" t="str">
        <x:v>Saudi Arabia (Persian Gulf)</x:v>
      </x:c>
      <x:c r="C26" s="24" t="str">
        <x:v>EEZ</x:v>
      </x:c>
      <x:c r="D26" s="30" t="n">
        <x:v>2019</x:v>
      </x:c>
      <x:c r="E26" s="24" t="str">
        <x:v>Scomberoides commersonnianus</x:v>
      </x:c>
      <x:c r="F26" s="24" t="str">
        <x:v>Talang queenfish</x:v>
      </x:c>
      <x:c r="G26" s="24" t="str">
        <x:v>Large reef assoc. fish (&gt;=90 cm)</x:v>
      </x:c>
      <x:c r="H26" s="24" t="str">
        <x:v>Perch-likes</x:v>
      </x:c>
      <x:c r="I26" s="31" t="n">
        <x:v>407.4203797331</x:v>
      </x:c>
      <x:c r="J26" s="31" t="n">
        <x:v>407.4203797331</x:v>
      </x:c>
      <x:c r="K26" s="31" t="n">
        <x:v>0</x:v>
      </x:c>
      <x:c r="L26" s="31" t="n">
        <x:v>316.8878917133</x:v>
      </x:c>
      <x:c r="M26" s="31" t="n">
        <x:v>90.5324880198</x:v>
      </x:c>
      <x:c r="N26" s="24" t="str">
        <x:v>scomberoides commersonnianus</x:v>
      </x:c>
      <x:c r="O26" s="32" t="n">
        <x:v>4.48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Scomberoides commersonnianus</x:v>
      </x:c>
      <x:c r="T26" s="32" t="n">
        <x:f>IF(O26="","",(1/'Metadata'!$B$5)^(O26-1))</x:f>
        <x:v>3019.951720402019</x:v>
      </x:c>
      <x:c r="U26" s="31" t="n">
        <x:f>IF(T26="","",I26*T26)</x:f>
        <x:v>1230389.8767018192</x:v>
      </x:c>
    </x:row>
    <x:row r="27" ht="18" customHeight="1">
      <x:c r="A27" s="24" t="str">
        <x:v>EEZ_684</x:v>
      </x:c>
      <x:c r="B27" s="24" t="str">
        <x:v>Saudi Arabia (Persian Gulf)</x:v>
      </x:c>
      <x:c r="C27" s="24" t="str">
        <x:v>EEZ</x:v>
      </x:c>
      <x:c r="D27" s="30" t="n">
        <x:v>2019</x:v>
      </x:c>
      <x:c r="E27" s="24" t="str">
        <x:v>Epinephelus polylepis</x:v>
      </x:c>
      <x:c r="F27" s="24" t="str">
        <x:v>Smallscaled grouper</x:v>
      </x:c>
      <x:c r="G27" s="24" t="str">
        <x:v>Medium demersals (30 - 89 cm)</x:v>
      </x:c>
      <x:c r="H27" s="24" t="str">
        <x:v>Perch-likes</x:v>
      </x:c>
      <x:c r="I27" s="31" t="n">
        <x:v>405.2496624688</x:v>
      </x:c>
      <x:c r="J27" s="31" t="n">
        <x:v>405.2496624688</x:v>
      </x:c>
      <x:c r="K27" s="31" t="n">
        <x:v>0</x:v>
      </x:c>
      <x:c r="L27" s="31" t="n">
        <x:v>349.79945</x:v>
      </x:c>
      <x:c r="M27" s="31" t="n">
        <x:v>55.4502124688</x:v>
      </x:c>
      <x:c r="N27" s="24" t="str">
        <x:v>epinephelus polylepis</x:v>
      </x:c>
      <x:c r="O27" s="32" t="n">
        <x:v>3.8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Epinephelus polylepis</x:v>
      </x:c>
      <x:c r="T27" s="32" t="n">
        <x:f>IF(O27="","",(1/'Metadata'!$B$5)^(O27-1))</x:f>
        <x:v>630.957344480193</x:v>
      </x:c>
      <x:c r="U27" s="31" t="n">
        <x:f>IF(T27="","",I27*T27)</x:f>
        <x:v>255695.25088280858</x:v>
      </x:c>
    </x:row>
    <x:row r="28" ht="18" customHeight="1">
      <x:c r="A28" s="24" t="str">
        <x:v>EEZ_684</x:v>
      </x:c>
      <x:c r="B28" s="24" t="str">
        <x:v>Saudi Arabia (Persian Gulf)</x:v>
      </x:c>
      <x:c r="C28" s="24" t="str">
        <x:v>EEZ</x:v>
      </x:c>
      <x:c r="D28" s="30" t="n">
        <x:v>2019</x:v>
      </x:c>
      <x:c r="E28" s="24" t="str">
        <x:v>Gerres oyena</x:v>
      </x:c>
      <x:c r="F28" s="24" t="str">
        <x:v>Common silver-biddy</x:v>
      </x:c>
      <x:c r="G28" s="24" t="str">
        <x:v>Small demersals (&lt;30 cm)</x:v>
      </x:c>
      <x:c r="H28" s="24" t="str">
        <x:v>Perch-likes</x:v>
      </x:c>
      <x:c r="I28" s="31" t="n">
        <x:v>375.4918263981</x:v>
      </x:c>
      <x:c r="J28" s="31" t="n">
        <x:v>375.4918263981</x:v>
      </x:c>
      <x:c r="K28" s="31" t="n">
        <x:v>0</x:v>
      </x:c>
      <x:c r="L28" s="31" t="n">
        <x:v>290.5683886663</x:v>
      </x:c>
      <x:c r="M28" s="31" t="n">
        <x:v>84.92343773179999</x:v>
      </x:c>
      <x:c r="N28" s="24" t="str">
        <x:v>gerres oyena</x:v>
      </x:c>
      <x:c r="O28" s="32" t="n">
        <x:v>3.07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Gerres oyena</x:v>
      </x:c>
      <x:c r="T28" s="32" t="n">
        <x:f>IF(O28="","",(1/'Metadata'!$B$5)^(O28-1))</x:f>
        <x:v>117.48975549395291</x:v>
      </x:c>
      <x:c r="U28" s="31" t="n">
        <x:f>IF(T28="","",I28*T28)</x:f>
        <x:v>44116.44287349058</x:v>
      </x:c>
    </x:row>
    <x:row r="29" ht="18" customHeight="1">
      <x:c r="A29" s="24" t="str">
        <x:v>EEZ_684</x:v>
      </x:c>
      <x:c r="B29" s="24" t="str">
        <x:v>Saudi Arabia (Persian Gulf)</x:v>
      </x:c>
      <x:c r="C29" s="24" t="str">
        <x:v>EEZ</x:v>
      </x:c>
      <x:c r="D29" s="30" t="n">
        <x:v>2019</x:v>
      </x:c>
      <x:c r="E29" s="24" t="str">
        <x:v>Epinephelus multinotatus</x:v>
      </x:c>
      <x:c r="F29" s="24" t="str">
        <x:v>White-blotched grouper</x:v>
      </x:c>
      <x:c r="G29" s="24" t="str">
        <x:v>Medium reef assoc. fish (30 - 89 cm)</x:v>
      </x:c>
      <x:c r="H29" s="24" t="str">
        <x:v>Perch-likes</x:v>
      </x:c>
      <x:c r="I29" s="31" t="n">
        <x:v>316.6988477004</x:v>
      </x:c>
      <x:c r="J29" s="31" t="n">
        <x:v>316.6988477004</x:v>
      </x:c>
      <x:c r="K29" s="31" t="n">
        <x:v>0</x:v>
      </x:c>
      <x:c r="L29" s="31" t="n">
        <x:v>256.46156977239997</x:v>
      </x:c>
      <x:c r="M29" s="31" t="n">
        <x:v>60.237277928000005</x:v>
      </x:c>
      <x:c r="N29" s="24" t="str">
        <x:v>epinephelus multinotatus</x:v>
      </x:c>
      <x:c r="O29" s="32" t="n">
        <x:v>3.86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Epinephelus multinotatus</x:v>
      </x:c>
      <x:c r="T29" s="32" t="n">
        <x:f>IF(O29="","",(1/'Metadata'!$B$5)^(O29-1))</x:f>
        <x:v>724.4359600749899</x:v>
      </x:c>
      <x:c r="U29" s="31" t="n">
        <x:f>IF(T29="","",I29*T29)</x:f>
        <x:v>229428.03378848228</x:v>
      </x:c>
    </x:row>
    <x:row r="30" ht="18" customHeight="1">
      <x:c r="A30" s="24" t="str">
        <x:v>EEZ_684</x:v>
      </x:c>
      <x:c r="B30" s="24" t="str">
        <x:v>Saudi Arabia (Persian Gulf)</x:v>
      </x:c>
      <x:c r="C30" s="24" t="str">
        <x:v>EEZ</x:v>
      </x:c>
      <x:c r="D30" s="30" t="n">
        <x:v>2019</x:v>
      </x:c>
      <x:c r="E30" s="24" t="str">
        <x:v>Lethrinus obsoletus</x:v>
      </x:c>
      <x:c r="F30" s="24" t="str">
        <x:v>Orange-striped emperor</x:v>
      </x:c>
      <x:c r="G30" s="24" t="str">
        <x:v>Medium demersals (30 - 89 cm)</x:v>
      </x:c>
      <x:c r="H30" s="24" t="str">
        <x:v>Perch-likes</x:v>
      </x:c>
      <x:c r="I30" s="31" t="n">
        <x:v>272.40101423240003</x:v>
      </x:c>
      <x:c r="J30" s="31" t="n">
        <x:v>272.40101423240003</x:v>
      </x:c>
      <x:c r="K30" s="31" t="n">
        <x:v>0</x:v>
      </x:c>
      <x:c r="L30" s="31" t="n">
        <x:v>210.76296063639998</x:v>
      </x:c>
      <x:c r="M30" s="31" t="n">
        <x:v>61.638053596</x:v>
      </x:c>
      <x:c r="N30" s="24" t="str">
        <x:v>lethrinus obsoletus</x:v>
      </x:c>
      <x:c r="O30" s="32" t="n">
        <x:v>3.89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Lethrinus obsoletus</x:v>
      </x:c>
      <x:c r="T30" s="32" t="n">
        <x:f>IF(O30="","",(1/'Metadata'!$B$5)^(O30-1))</x:f>
        <x:v>776.247116628692</x:v>
      </x:c>
      <x:c r="U30" s="31" t="n">
        <x:f>IF(T30="","",I30*T30)</x:f>
        <x:v>211450.5018646318</x:v>
      </x:c>
    </x:row>
    <x:row r="31" ht="18" customHeight="1">
      <x:c r="A31" s="24" t="str">
        <x:v>EEZ_684</x:v>
      </x:c>
      <x:c r="B31" s="24" t="str">
        <x:v>Saudi Arabia (Persian Gulf)</x:v>
      </x:c>
      <x:c r="C31" s="24" t="str">
        <x:v>EEZ</x:v>
      </x:c>
      <x:c r="D31" s="30" t="n">
        <x:v>2019</x:v>
      </x:c>
      <x:c r="E31" s="24" t="str">
        <x:v>Epinephelus areolatus</x:v>
      </x:c>
      <x:c r="F31" s="24" t="str">
        <x:v>Areolate grouper</x:v>
      </x:c>
      <x:c r="G31" s="24" t="str">
        <x:v>Medium reef assoc. fish (30 - 89 cm)</x:v>
      </x:c>
      <x:c r="H31" s="24" t="str">
        <x:v>Perch-likes</x:v>
      </x:c>
      <x:c r="I31" s="31" t="n">
        <x:v>257.4263109304</x:v>
      </x:c>
      <x:c r="J31" s="31" t="n">
        <x:v>257.4263109304</x:v>
      </x:c>
      <x:c r="K31" s="31" t="n">
        <x:v>0</x:v>
      </x:c>
      <x:c r="L31" s="31" t="n">
        <x:v>192.1360074316</x:v>
      </x:c>
      <x:c r="M31" s="31" t="n">
        <x:v>65.2903034988</x:v>
      </x:c>
      <x:c r="N31" s="24" t="str">
        <x:v>epinephelus areolatus</x:v>
      </x:c>
      <x:c r="O31" s="32" t="n">
        <x:v>3.74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Epinephelus areolatus</x:v>
      </x:c>
      <x:c r="T31" s="32" t="n">
        <x:f>IF(O31="","",(1/'Metadata'!$B$5)^(O31-1))</x:f>
        <x:v>549.5408738576248</x:v>
      </x:c>
      <x:c r="U31" s="31" t="n">
        <x:f>IF(T31="","",I31*T31)</x:f>
        <x:v>141466.27986263664</x:v>
      </x:c>
    </x:row>
    <x:row r="32" ht="18" customHeight="1">
      <x:c r="A32" s="24" t="str">
        <x:v>EEZ_684</x:v>
      </x:c>
      <x:c r="B32" s="24" t="str">
        <x:v>Saudi Arabia (Persian Gulf)</x:v>
      </x:c>
      <x:c r="C32" s="24" t="str">
        <x:v>EEZ</x:v>
      </x:c>
      <x:c r="D32" s="30" t="n">
        <x:v>2019</x:v>
      </x:c>
      <x:c r="E32" s="24" t="str">
        <x:v>Scomberoides tol</x:v>
      </x:c>
      <x:c r="F32" s="24" t="str">
        <x:v>Needlescaled queenfish</x:v>
      </x:c>
      <x:c r="G32" s="24" t="str">
        <x:v>Medium pelagics (30 - 89 cm)</x:v>
      </x:c>
      <x:c r="H32" s="24" t="str">
        <x:v>Perch-likes</x:v>
      </x:c>
      <x:c r="I32" s="31" t="n">
        <x:v>243.9331422627</x:v>
      </x:c>
      <x:c r="J32" s="31" t="n">
        <x:v>243.9331422627</x:v>
      </x:c>
      <x:c r="K32" s="31" t="n">
        <x:v>0</x:v>
      </x:c>
      <x:c r="L32" s="31" t="n">
        <x:v>170.7247596149</x:v>
      </x:c>
      <x:c r="M32" s="31" t="n">
        <x:v>73.20838264780001</x:v>
      </x:c>
      <x:c r="N32" s="24" t="str">
        <x:v>scomberoides tol</x:v>
      </x:c>
      <x:c r="O32" s="32" t="n">
        <x:v>4.11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Scomberoides tol</x:v>
      </x:c>
      <x:c r="T32" s="32" t="n">
        <x:f>IF(O32="","",(1/'Metadata'!$B$5)^(O32-1))</x:f>
        <x:v>1288.249551693135</x:v>
      </x:c>
      <x:c r="U32" s="31" t="n">
        <x:f>IF(T32="","",I32*T32)</x:f>
        <x:v>314246.761163021</x:v>
      </x:c>
    </x:row>
    <x:row r="33" ht="18" customHeight="1">
      <x:c r="A33" s="24" t="str">
        <x:v>EEZ_684</x:v>
      </x:c>
      <x:c r="B33" s="24" t="str">
        <x:v>Saudi Arabia (Persian Gulf)</x:v>
      </x:c>
      <x:c r="C33" s="24" t="str">
        <x:v>EEZ</x:v>
      </x:c>
      <x:c r="D33" s="30" t="n">
        <x:v>2019</x:v>
      </x:c>
      <x:c r="E33" s="24" t="str">
        <x:v>Variola louti</x:v>
      </x:c>
      <x:c r="F33" s="24" t="str">
        <x:v>Yellow-edged lyretail</x:v>
      </x:c>
      <x:c r="G33" s="24" t="str">
        <x:v>Medium reef assoc. fish (30 - 89 cm)</x:v>
      </x:c>
      <x:c r="H33" s="24" t="str">
        <x:v>Perch-likes</x:v>
      </x:c>
      <x:c r="I33" s="31" t="n">
        <x:v>239.70201951500002</x:v>
      </x:c>
      <x:c r="J33" s="31" t="n">
        <x:v>239.70201951500002</x:v>
      </x:c>
      <x:c r="K33" s="31" t="n">
        <x:v>0</x:v>
      </x:c>
      <x:c r="L33" s="31" t="n">
        <x:v>184.5177597102</x:v>
      </x:c>
      <x:c r="M33" s="31" t="n">
        <x:v>55.1842598048</x:v>
      </x:c>
      <x:c r="N33" s="24" t="str">
        <x:v>variola louti</x:v>
      </x:c>
      <x:c r="O33" s="32" t="n">
        <x:v>4.33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Variola louti</x:v>
      </x:c>
      <x:c r="T33" s="32" t="n">
        <x:f>IF(O33="","",(1/'Metadata'!$B$5)^(O33-1))</x:f>
        <x:v>2137.9620895022326</x:v>
      </x:c>
      <x:c r="U33" s="31" t="n">
        <x:f>IF(T33="","",I33*T33)</x:f>
        <x:v>512473.8305001944</x:v>
      </x:c>
    </x:row>
    <x:row r="34" ht="18" customHeight="1">
      <x:c r="A34" s="24" t="str">
        <x:v>EEZ_684</x:v>
      </x:c>
      <x:c r="B34" s="24" t="str">
        <x:v>Saudi Arabia (Persian Gulf)</x:v>
      </x:c>
      <x:c r="C34" s="24" t="str">
        <x:v>EEZ</x:v>
      </x:c>
      <x:c r="D34" s="30" t="n">
        <x:v>2019</x:v>
      </x:c>
      <x:c r="E34" s="24" t="str">
        <x:v>Moolgarda seheli</x:v>
      </x:c>
      <x:c r="F34" s="24" t="str">
        <x:v>Bluespot mullet</x:v>
      </x:c>
      <x:c r="G34" s="24" t="str">
        <x:v>Medium reef assoc. fish (30 - 89 cm)</x:v>
      </x:c>
      <x:c r="H34" s="24" t="str">
        <x:v>Perch-likes</x:v>
      </x:c>
      <x:c r="I34" s="31" t="n">
        <x:v>236.5576534244</x:v>
      </x:c>
      <x:c r="J34" s="31" t="n">
        <x:v>236.5576534244</x:v>
      </x:c>
      <x:c r="K34" s="31" t="n">
        <x:v>0</x:v>
      </x:c>
      <x:c r="L34" s="31" t="n">
        <x:v>179.5233619132</x:v>
      </x:c>
      <x:c r="M34" s="31" t="n">
        <x:v>57.034291511199996</x:v>
      </x:c>
      <x:c r="N34" s="24" t="str">
        <x:v>moolgarda seheli</x:v>
      </x:c>
      <x:c r="O34" s="32" t="n">
        <x:v>2.32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Moolgarda seheli</x:v>
      </x:c>
      <x:c r="T34" s="32" t="n">
        <x:f>IF(O34="","",(1/'Metadata'!$B$5)^(O34-1))</x:f>
        <x:v>20.892961308540386</x:v>
      </x:c>
      <x:c r="U34" s="31" t="n">
        <x:f>IF(T34="","",I34*T34)</x:f>
        <x:v>4942.389900235095</x:v>
      </x:c>
    </x:row>
    <x:row r="35" ht="18" customHeight="1">
      <x:c r="A35" s="24" t="str">
        <x:v>EEZ_684</x:v>
      </x:c>
      <x:c r="B35" s="24" t="str">
        <x:v>Saudi Arabia (Persian Gulf)</x:v>
      </x:c>
      <x:c r="C35" s="24" t="str">
        <x:v>EEZ</x:v>
      </x:c>
      <x:c r="D35" s="30" t="n">
        <x:v>2019</x:v>
      </x:c>
      <x:c r="E35" s="24" t="str">
        <x:v>Lethrinus nebulosus</x:v>
      </x:c>
      <x:c r="F35" s="24" t="str">
        <x:v>Spangled emperor</x:v>
      </x:c>
      <x:c r="G35" s="24" t="str">
        <x:v>Medium demersals (30 - 89 cm)</x:v>
      </x:c>
      <x:c r="H35" s="24" t="str">
        <x:v>Perch-likes</x:v>
      </x:c>
      <x:c r="I35" s="31" t="n">
        <x:v>231.7074877368</x:v>
      </x:c>
      <x:c r="J35" s="31" t="n">
        <x:v>231.7074877368</x:v>
      </x:c>
      <x:c r="K35" s="31" t="n">
        <x:v>0</x:v>
      </x:c>
      <x:c r="L35" s="31" t="n">
        <x:v>182.4771094234</x:v>
      </x:c>
      <x:c r="M35" s="31" t="n">
        <x:v>49.2303783134</x:v>
      </x:c>
      <x:c r="N35" s="24" t="str">
        <x:v>lethrinus nebulosus</x:v>
      </x:c>
      <x:c r="O35" s="32" t="n">
        <x:v>3.76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Lethrinus nebulosus</x:v>
      </x:c>
      <x:c r="T35" s="32" t="n">
        <x:f>IF(O35="","",(1/'Metadata'!$B$5)^(O35-1))</x:f>
        <x:v>575.4399373371566</x:v>
      </x:c>
      <x:c r="U35" s="31" t="n">
        <x:f>IF(T35="","",I35*T35)</x:f>
        <x:v>133333.7422238142</x:v>
      </x:c>
    </x:row>
    <x:row r="36" ht="18" customHeight="1">
      <x:c r="A36" s="24" t="str">
        <x:v>EEZ_684</x:v>
      </x:c>
      <x:c r="B36" s="24" t="str">
        <x:v>Saudi Arabia (Persian Gulf)</x:v>
      </x:c>
      <x:c r="C36" s="24" t="str">
        <x:v>EEZ</x:v>
      </x:c>
      <x:c r="D36" s="30" t="n">
        <x:v>2019</x:v>
      </x:c>
      <x:c r="E36" s="24" t="str">
        <x:v>Sphyraena</x:v>
      </x:c>
      <x:c r="F36" s="24" t="str">
        <x:v>Barracudas, sennets</x:v>
      </x:c>
      <x:c r="G36" s="24" t="str">
        <x:v>Large pelagics (&gt;=90 cm)</x:v>
      </x:c>
      <x:c r="H36" s="24" t="str">
        <x:v>Perch-likes</x:v>
      </x:c>
      <x:c r="I36" s="31" t="n">
        <x:v>230.5097084816</x:v>
      </x:c>
      <x:c r="J36" s="31" t="n">
        <x:v>230.5097084816</x:v>
      </x:c>
      <x:c r="K36" s="31" t="n">
        <x:v>0</x:v>
      </x:c>
      <x:c r="L36" s="31" t="n">
        <x:v>180.78414921</x:v>
      </x:c>
      <x:c r="M36" s="31" t="n">
        <x:v>49.7255592716</x:v>
      </x:c>
      <x:c r="N36" s="24" t="str">
        <x:v>sphyraena</x:v>
      </x:c>
      <x:c r="O36" s="32" t="n">
        <x:v>4.4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Sphyraena</x:v>
      </x:c>
      <x:c r="T36" s="32" t="n">
        <x:f>IF(O36="","",(1/'Metadata'!$B$5)^(O36-1))</x:f>
        <x:v>2511.886431509582</x:v>
      </x:c>
      <x:c r="U36" s="31" t="n">
        <x:f>IF(T36="","",I36*T36)</x:f>
        <x:v>579014.2090661603</x:v>
      </x:c>
    </x:row>
    <x:row r="37" ht="18" customHeight="1">
      <x:c r="A37" s="24" t="str">
        <x:v>EEZ_684</x:v>
      </x:c>
      <x:c r="B37" s="24" t="str">
        <x:v>Saudi Arabia (Persian Gulf)</x:v>
      </x:c>
      <x:c r="C37" s="24" t="str">
        <x:v>EEZ</x:v>
      </x:c>
      <x:c r="D37" s="30" t="n">
        <x:v>2019</x:v>
      </x:c>
      <x:c r="E37" s="24" t="str">
        <x:v>Plectropomus areolatus</x:v>
      </x:c>
      <x:c r="F37" s="24" t="str">
        <x:v>Squaretail coralgrouper</x:v>
      </x:c>
      <x:c r="G37" s="24" t="str">
        <x:v>Medium reef assoc. fish (30 - 89 cm)</x:v>
      </x:c>
      <x:c r="H37" s="24" t="str">
        <x:v>Perch-likes</x:v>
      </x:c>
      <x:c r="I37" s="31" t="n">
        <x:v>224.1655238879</x:v>
      </x:c>
      <x:c r="J37" s="31" t="n">
        <x:v>224.1655238879</x:v>
      </x:c>
      <x:c r="K37" s="31" t="n">
        <x:v>0</x:v>
      </x:c>
      <x:c r="L37" s="31" t="n">
        <x:v>170.9758669777</x:v>
      </x:c>
      <x:c r="M37" s="31" t="n">
        <x:v>53.1896569102</x:v>
      </x:c>
      <x:c r="N37" s="24" t="str">
        <x:v>plectropomus areolatus</x:v>
      </x:c>
      <x:c r="O37" s="32" t="n">
        <x:v>4.5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Plectropomus areolatus</x:v>
      </x:c>
      <x:c r="T37" s="32" t="n">
        <x:f>IF(O37="","",(1/'Metadata'!$B$5)^(O37-1))</x:f>
        <x:v>3162.2776601683795</x:v>
      </x:c>
      <x:c r="U37" s="31" t="n">
        <x:f>IF(T37="","",I37*T37)</x:f>
        <x:v>708873.6283706474</x:v>
      </x:c>
    </x:row>
    <x:row r="38" ht="18" customHeight="1">
      <x:c r="A38" s="24" t="str">
        <x:v>EEZ_684</x:v>
      </x:c>
      <x:c r="B38" s="24" t="str">
        <x:v>Saudi Arabia (Persian Gulf)</x:v>
      </x:c>
      <x:c r="C38" s="24" t="str">
        <x:v>EEZ</x:v>
      </x:c>
      <x:c r="D38" s="30" t="n">
        <x:v>2019</x:v>
      </x:c>
      <x:c r="E38" s="24" t="str">
        <x:v>Clupeiformes</x:v>
      </x:c>
      <x:c r="F38" s="24" t="str">
        <x:v>Herrings, shads, anchovies</x:v>
      </x:c>
      <x:c r="G38" s="24" t="str">
        <x:v>Small pelagics (&lt;30 cm)</x:v>
      </x:c>
      <x:c r="H38" s="24" t="str">
        <x:v>Other fishes &amp; inverts</x:v>
      </x:c>
      <x:c r="I38" s="31" t="n">
        <x:v>223.9471414891</x:v>
      </x:c>
      <x:c r="J38" s="31" t="n">
        <x:v>223.9471414891</x:v>
      </x:c>
      <x:c r="K38" s="31" t="n">
        <x:v>0</x:v>
      </x:c>
      <x:c r="L38" s="31" t="n">
        <x:v>223.9471414891</x:v>
      </x:c>
      <x:c r="M38" s="31" t="n">
        <x:v>0</x:v>
      </x:c>
      <x:c r="N38" s="24" t="str">
        <x:v>clupeiformes</x:v>
      </x:c>
      <x:c r="O38" s="32" t="n">
        <x:v>3.24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Clupeiformes</x:v>
      </x:c>
      <x:c r="T38" s="32" t="n">
        <x:f>IF(O38="","",(1/'Metadata'!$B$5)^(O38-1))</x:f>
        <x:v>173.78008287493762</x:v>
      </x:c>
      <x:c r="U38" s="31" t="n">
        <x:f>IF(T38="","",I38*T38)</x:f>
        <x:v>38917.55280758118</x:v>
      </x:c>
    </x:row>
    <x:row r="39" ht="18" customHeight="1">
      <x:c r="A39" s="24" t="str">
        <x:v>EEZ_684</x:v>
      </x:c>
      <x:c r="B39" s="24" t="str">
        <x:v>Saudi Arabia (Persian Gulf)</x:v>
      </x:c>
      <x:c r="C39" s="24" t="str">
        <x:v>EEZ</x:v>
      </x:c>
      <x:c r="D39" s="30" t="n">
        <x:v>2019</x:v>
      </x:c>
      <x:c r="E39" s="24" t="str">
        <x:v>Turrum fulvoguttatum</x:v>
      </x:c>
      <x:c r="F39" s="24" t="str">
        <x:v>Yellowspotted trevally</x:v>
      </x:c>
      <x:c r="G39" s="24" t="str">
        <x:v>Large reef assoc. fish (&gt;=90 cm)</x:v>
      </x:c>
      <x:c r="H39" s="24" t="str">
        <x:v>Perch-likes</x:v>
      </x:c>
      <x:c r="I39" s="31" t="n">
        <x:v>220.2271780756</x:v>
      </x:c>
      <x:c r="J39" s="31" t="n">
        <x:v>220.2271780756</x:v>
      </x:c>
      <x:c r="K39" s="31" t="n">
        <x:v>0</x:v>
      </x:c>
      <x:c r="L39" s="31" t="n">
        <x:v>191.19099999990001</x:v>
      </x:c>
      <x:c r="M39" s="31" t="n">
        <x:v>29.0361780757</x:v>
      </x:c>
      <x:c r="N39" s="24" t="str">
        <x:v>turrum fulvoguttatum</x:v>
      </x:c>
      <x:c r="O39" s="32" t="n">
        <x:v>4.43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Turrum fulvoguttatum</x:v>
      </x:c>
      <x:c r="T39" s="32" t="n">
        <x:f>IF(O39="","",(1/'Metadata'!$B$5)^(O39-1))</x:f>
        <x:v>2691.534803926914</x:v>
      </x:c>
      <x:c r="U39" s="31" t="n">
        <x:f>IF(T39="","",I39*T39)</x:f>
        <x:v>592749.1145610876</x:v>
      </x:c>
    </x:row>
    <x:row r="40" ht="18" customHeight="1">
      <x:c r="A40" s="24" t="str">
        <x:v>EEZ_684</x:v>
      </x:c>
      <x:c r="B40" s="24" t="str">
        <x:v>Saudi Arabia (Persian Gulf)</x:v>
      </x:c>
      <x:c r="C40" s="24" t="str">
        <x:v>EEZ</x:v>
      </x:c>
      <x:c r="D40" s="30" t="n">
        <x:v>2019</x:v>
      </x:c>
      <x:c r="E40" s="24" t="str">
        <x:v>Lutjanus bohar</x:v>
      </x:c>
      <x:c r="F40" s="24" t="str">
        <x:v>Two-spot red snapper</x:v>
      </x:c>
      <x:c r="G40" s="24" t="str">
        <x:v>Medium reef assoc. fish (30 - 89 cm)</x:v>
      </x:c>
      <x:c r="H40" s="24" t="str">
        <x:v>Perch-likes</x:v>
      </x:c>
      <x:c r="I40" s="31" t="n">
        <x:v>210.2400167859</x:v>
      </x:c>
      <x:c r="J40" s="31" t="n">
        <x:v>210.2400167859</x:v>
      </x:c>
      <x:c r="K40" s="31" t="n">
        <x:v>0</x:v>
      </x:c>
      <x:c r="L40" s="31" t="n">
        <x:v>166.118845928</x:v>
      </x:c>
      <x:c r="M40" s="31" t="n">
        <x:v>44.1211708579</x:v>
      </x:c>
      <x:c r="N40" s="24" t="str">
        <x:v>lutjanus bohar</x:v>
      </x:c>
      <x:c r="O40" s="32" t="n">
        <x:v>4.27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Lutjanus bohar</x:v>
      </x:c>
      <x:c r="T40" s="32" t="n">
        <x:f>IF(O40="","",(1/'Metadata'!$B$5)^(O40-1))</x:f>
        <x:v>1862.0871366628655</x:v>
      </x:c>
      <x:c r="U40" s="31" t="n">
        <x:f>IF(T40="","",I40*T40)</x:f>
        <x:v>391485.23086880933</x:v>
      </x:c>
    </x:row>
    <x:row r="41" ht="18" customHeight="1">
      <x:c r="A41" s="24" t="str">
        <x:v>EEZ_684</x:v>
      </x:c>
      <x:c r="B41" s="24" t="str">
        <x:v>Saudi Arabia (Persian Gulf)</x:v>
      </x:c>
      <x:c r="C41" s="24" t="str">
        <x:v>EEZ</x:v>
      </x:c>
      <x:c r="D41" s="30" t="n">
        <x:v>2019</x:v>
      </x:c>
      <x:c r="E41" s="24" t="str">
        <x:v>Sparidentex hasta</x:v>
      </x:c>
      <x:c r="F41" s="24" t="str">
        <x:v>Sobaity seabream</x:v>
      </x:c>
      <x:c r="G41" s="24" t="str">
        <x:v>Medium demersals (30 - 89 cm)</x:v>
      </x:c>
      <x:c r="H41" s="24" t="str">
        <x:v>Perch-likes</x:v>
      </x:c>
      <x:c r="I41" s="31" t="n">
        <x:v>198.7693316067</x:v>
      </x:c>
      <x:c r="J41" s="31" t="n">
        <x:v>198.7693316067</x:v>
      </x:c>
      <x:c r="K41" s="31" t="n">
        <x:v>0</x:v>
      </x:c>
      <x:c r="L41" s="31" t="n">
        <x:v>145.42528000020002</x:v>
      </x:c>
      <x:c r="M41" s="31" t="n">
        <x:v>53.3440516065</x:v>
      </x:c>
      <x:c r="N41" s="24" t="str">
        <x:v>sparidentex hasta</x:v>
      </x:c>
      <x:c r="O41" s="32" t="n">
        <x:v>3.38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Sparidentex hasta</x:v>
      </x:c>
      <x:c r="T41" s="32" t="n">
        <x:f>IF(O41="","",(1/'Metadata'!$B$5)^(O41-1))</x:f>
        <x:v>239.88329190194898</x:v>
      </x:c>
      <x:c r="U41" s="31" t="n">
        <x:f>IF(T41="","",I41*T41)</x:f>
        <x:v>47681.44159496531</x:v>
      </x:c>
    </x:row>
    <x:row r="42" ht="18" customHeight="1">
      <x:c r="A42" s="24" t="str">
        <x:v>EEZ_684</x:v>
      </x:c>
      <x:c r="B42" s="24" t="str">
        <x:v>Saudi Arabia (Persian Gulf)</x:v>
      </x:c>
      <x:c r="C42" s="24" t="str">
        <x:v>EEZ</x:v>
      </x:c>
      <x:c r="D42" s="30" t="n">
        <x:v>2019</x:v>
      </x:c>
      <x:c r="E42" s="24" t="str">
        <x:v>Plectropomus pessuliferus</x:v>
      </x:c>
      <x:c r="F42" s="24" t="str">
        <x:v>Roving coralgrouper</x:v>
      </x:c>
      <x:c r="G42" s="24" t="str">
        <x:v>Large reef assoc. fish (&gt;=90 cm)</x:v>
      </x:c>
      <x:c r="H42" s="24" t="str">
        <x:v>Perch-likes</x:v>
      </x:c>
      <x:c r="I42" s="31" t="n">
        <x:v>196.23645832850002</x:v>
      </x:c>
      <x:c r="J42" s="31" t="n">
        <x:v>196.23645832850002</x:v>
      </x:c>
      <x:c r="K42" s="31" t="n">
        <x:v>0</x:v>
      </x:c>
      <x:c r="L42" s="31" t="n">
        <x:v>152.3549931009</x:v>
      </x:c>
      <x:c r="M42" s="31" t="n">
        <x:v>43.881465227599996</x:v>
      </x:c>
      <x:c r="N42" s="24" t="str">
        <x:v>plectropomus pessuliferus</x:v>
      </x:c>
      <x:c r="O42" s="32" t="n">
        <x:v>4.28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Plectropomus pessuliferus</x:v>
      </x:c>
      <x:c r="T42" s="32" t="n">
        <x:f>IF(O42="","",(1/'Metadata'!$B$5)^(O42-1))</x:f>
        <x:v>1905.4607179632483</x:v>
      </x:c>
      <x:c r="U42" s="31" t="n">
        <x:f>IF(T42="","",I42*T42)</x:f>
        <x:v>373920.8627771887</x:v>
      </x:c>
    </x:row>
    <x:row r="43" ht="18" customHeight="1">
      <x:c r="A43" s="24" t="str">
        <x:v>EEZ_684</x:v>
      </x:c>
      <x:c r="B43" s="24" t="str">
        <x:v>Saudi Arabia (Persian Gulf)</x:v>
      </x:c>
      <x:c r="C43" s="24" t="str">
        <x:v>EEZ</x:v>
      </x:c>
      <x:c r="D43" s="30" t="n">
        <x:v>2019</x:v>
      </x:c>
      <x:c r="E43" s="24" t="str">
        <x:v>Plectorhinchus gaterinus</x:v>
      </x:c>
      <x:c r="F43" s="24" t="str">
        <x:v>Blackspotted rubberlip</x:v>
      </x:c>
      <x:c r="G43" s="24" t="str">
        <x:v>Medium reef assoc. fish (30 - 89 cm)</x:v>
      </x:c>
      <x:c r="H43" s="24" t="str">
        <x:v>Perch-likes</x:v>
      </x:c>
      <x:c r="I43" s="31" t="n">
        <x:v>191.7460552471</x:v>
      </x:c>
      <x:c r="J43" s="31" t="n">
        <x:v>191.7460552471</x:v>
      </x:c>
      <x:c r="K43" s="31" t="n">
        <x:v>0</x:v>
      </x:c>
      <x:c r="L43" s="31" t="n">
        <x:v>145.3861103388</x:v>
      </x:c>
      <x:c r="M43" s="31" t="n">
        <x:v>46.3599449083</x:v>
      </x:c>
      <x:c r="N43" s="24" t="str">
        <x:v>plectorhinchus gaterinus</x:v>
      </x:c>
      <x:c r="O43" s="32" t="n">
        <x:v>3.99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Plectorhinchus gaterinus</x:v>
      </x:c>
      <x:c r="T43" s="32" t="n">
        <x:f>IF(O43="","",(1/'Metadata'!$B$5)^(O43-1))</x:f>
        <x:v>977.2372209558112</x:v>
      </x:c>
      <x:c r="U43" s="31" t="n">
        <x:f>IF(T43="","",I43*T43)</x:f>
        <x:v>187381.38215891542</x:v>
      </x:c>
    </x:row>
    <x:row r="44" ht="18" customHeight="1">
      <x:c r="A44" s="24" t="str">
        <x:v>EEZ_684</x:v>
      </x:c>
      <x:c r="B44" s="24" t="str">
        <x:v>Saudi Arabia (Persian Gulf)</x:v>
      </x:c>
      <x:c r="C44" s="24" t="str">
        <x:v>EEZ</x:v>
      </x:c>
      <x:c r="D44" s="30" t="n">
        <x:v>2019</x:v>
      </x:c>
      <x:c r="E44" s="24" t="str">
        <x:v>Lutjanus quinquelineatus</x:v>
      </x:c>
      <x:c r="F44" s="24" t="str">
        <x:v>Five-lined snapper</x:v>
      </x:c>
      <x:c r="G44" s="24" t="str">
        <x:v>Medium reef assoc. fish (30 - 89 cm)</x:v>
      </x:c>
      <x:c r="H44" s="24" t="str">
        <x:v>Perch-likes</x:v>
      </x:c>
      <x:c r="I44" s="31" t="n">
        <x:v>189.8961902899</x:v>
      </x:c>
      <x:c r="J44" s="31" t="n">
        <x:v>189.8961902899</x:v>
      </x:c>
      <x:c r="K44" s="31" t="n">
        <x:v>0</x:v>
      </x:c>
      <x:c r="L44" s="31" t="n">
        <x:v>150.43298415069998</x:v>
      </x:c>
      <x:c r="M44" s="31" t="n">
        <x:v>39.463206139200004</x:v>
      </x:c>
      <x:c r="N44" s="24" t="str">
        <x:v>lutjanus quinquelineatus</x:v>
      </x:c>
      <x:c r="O44" s="32" t="n">
        <x:v>3.68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Lutjanus quinquelineatus</x:v>
      </x:c>
      <x:c r="T44" s="32" t="n">
        <x:f>IF(O44="","",(1/'Metadata'!$B$5)^(O44-1))</x:f>
        <x:v>478.6300923226385</x:v>
      </x:c>
      <x:c r="U44" s="31" t="n">
        <x:f>IF(T44="","",I44*T44)</x:f>
        <x:v>90890.03109017217</x:v>
      </x:c>
    </x:row>
    <x:row r="45" ht="18" customHeight="1">
      <x:c r="A45" s="24" t="str">
        <x:v>EEZ_684</x:v>
      </x:c>
      <x:c r="B45" s="24" t="str">
        <x:v>Saudi Arabia (Persian Gulf)</x:v>
      </x:c>
      <x:c r="C45" s="24" t="str">
        <x:v>EEZ</x:v>
      </x:c>
      <x:c r="D45" s="30" t="n">
        <x:v>2019</x:v>
      </x:c>
      <x:c r="E45" s="24" t="str">
        <x:v>Pomadasys argenteus</x:v>
      </x:c>
      <x:c r="F45" s="24" t="str">
        <x:v>Silver grunt</x:v>
      </x:c>
      <x:c r="G45" s="24" t="str">
        <x:v>Medium demersals (30 - 89 cm)</x:v>
      </x:c>
      <x:c r="H45" s="24" t="str">
        <x:v>Perch-likes</x:v>
      </x:c>
      <x:c r="I45" s="31" t="n">
        <x:v>184.5010721135</x:v>
      </x:c>
      <x:c r="J45" s="31" t="n">
        <x:v>184.5010721135</x:v>
      </x:c>
      <x:c r="K45" s="31" t="n">
        <x:v>0</x:v>
      </x:c>
      <x:c r="L45" s="31" t="n">
        <x:v>136.3301824476</x:v>
      </x:c>
      <x:c r="M45" s="31" t="n">
        <x:v>48.1708896659</x:v>
      </x:c>
      <x:c r="N45" s="24" t="str">
        <x:v>pomadasys argenteus</x:v>
      </x:c>
      <x:c r="O45" s="32" t="n">
        <x:v>3.47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Pomadasys argenteus</x:v>
      </x:c>
      <x:c r="T45" s="32" t="n">
        <x:f>IF(O45="","",(1/'Metadata'!$B$5)^(O45-1))</x:f>
        <x:v>295.1209226666387</x:v>
      </x:c>
      <x:c r="U45" s="31" t="n">
        <x:f>IF(T45="","",I45*T45)</x:f>
        <x:v>54450.12663512016</x:v>
      </x:c>
    </x:row>
    <x:row r="46" ht="18" customHeight="1">
      <x:c r="A46" s="24" t="str">
        <x:v>EEZ_684</x:v>
      </x:c>
      <x:c r="B46" s="24" t="str">
        <x:v>Saudi Arabia (Persian Gulf)</x:v>
      </x:c>
      <x:c r="C46" s="24" t="str">
        <x:v>EEZ</x:v>
      </x:c>
      <x:c r="D46" s="30" t="n">
        <x:v>2019</x:v>
      </x:c>
      <x:c r="E46" s="24" t="str">
        <x:v>Scaridae</x:v>
      </x:c>
      <x:c r="F46" s="24" t="str">
        <x:v>Parrotfishes</x:v>
      </x:c>
      <x:c r="G46" s="24" t="str">
        <x:v>Medium reef assoc. fish (30 - 89 cm)</x:v>
      </x:c>
      <x:c r="H46" s="24" t="str">
        <x:v>Perch-likes</x:v>
      </x:c>
      <x:c r="I46" s="31" t="n">
        <x:v>160.474692729</x:v>
      </x:c>
      <x:c r="J46" s="31" t="n">
        <x:v>160.474692729</x:v>
      </x:c>
      <x:c r="K46" s="31" t="n">
        <x:v>0</x:v>
      </x:c>
      <x:c r="L46" s="31" t="n">
        <x:v>123.3859574345</x:v>
      </x:c>
      <x:c r="M46" s="31" t="n">
        <x:v>37.0887352945</x:v>
      </x:c>
      <x:c r="N46" s="24" t="str">
        <x:v>scaridae</x:v>
      </x:c>
      <x:c r="O46" s="32" t="n">
        <x:v>2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Scaridae</x:v>
      </x:c>
      <x:c r="T46" s="32" t="n">
        <x:f>IF(O46="","",(1/'Metadata'!$B$5)^(O46-1))</x:f>
        <x:v>10</x:v>
      </x:c>
      <x:c r="U46" s="31" t="n">
        <x:f>IF(T46="","",I46*T46)</x:f>
        <x:v>1604.74692729</x:v>
      </x:c>
    </x:row>
    <x:row r="47" ht="18" customHeight="1">
      <x:c r="A47" s="24" t="str">
        <x:v>EEZ_684</x:v>
      </x:c>
      <x:c r="B47" s="24" t="str">
        <x:v>Saudi Arabia (Persian Gulf)</x:v>
      </x:c>
      <x:c r="C47" s="24" t="str">
        <x:v>EEZ</x:v>
      </x:c>
      <x:c r="D47" s="30" t="n">
        <x:v>2019</x:v>
      </x:c>
      <x:c r="E47" s="24" t="str">
        <x:v>Alepes djedaba</x:v>
      </x:c>
      <x:c r="F47" s="24" t="str">
        <x:v>Shrimp scad</x:v>
      </x:c>
      <x:c r="G47" s="24" t="str">
        <x:v>Medium reef assoc. fish (30 - 89 cm)</x:v>
      </x:c>
      <x:c r="H47" s="24" t="str">
        <x:v>Perch-likes</x:v>
      </x:c>
      <x:c r="I47" s="31" t="n">
        <x:v>159.2489175968</x:v>
      </x:c>
      <x:c r="J47" s="31" t="n">
        <x:v>159.2489175968</x:v>
      </x:c>
      <x:c r="K47" s="31" t="n">
        <x:v>0</x:v>
      </x:c>
      <x:c r="L47" s="31" t="n">
        <x:v>128.684500429</x:v>
      </x:c>
      <x:c r="M47" s="31" t="n">
        <x:v>30.5644171678</x:v>
      </x:c>
      <x:c r="N47" s="24" t="str">
        <x:v>alepes djedaba</x:v>
      </x:c>
      <x:c r="O47" s="32" t="n">
        <x:v>3.32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Alepes djedaba</x:v>
      </x:c>
      <x:c r="T47" s="32" t="n">
        <x:f>IF(O47="","",(1/'Metadata'!$B$5)^(O47-1))</x:f>
        <x:v>208.92961308540387</x:v>
      </x:c>
      <x:c r="U47" s="31" t="n">
        <x:f>IF(T47="","",I47*T47)</x:f>
        <x:v>33271.814737768786</x:v>
      </x:c>
    </x:row>
    <x:row r="48" ht="18" customHeight="1">
      <x:c r="A48" s="24" t="str">
        <x:v>EEZ_684</x:v>
      </x:c>
      <x:c r="B48" s="24" t="str">
        <x:v>Saudi Arabia (Persian Gulf)</x:v>
      </x:c>
      <x:c r="C48" s="24" t="str">
        <x:v>EEZ</x:v>
      </x:c>
      <x:c r="D48" s="30" t="n">
        <x:v>2019</x:v>
      </x:c>
      <x:c r="E48" s="24" t="str">
        <x:v>Lutjanus gibbus</x:v>
      </x:c>
      <x:c r="F48" s="24" t="str">
        <x:v>Humpback red snapper</x:v>
      </x:c>
      <x:c r="G48" s="24" t="str">
        <x:v>Medium reef assoc. fish (30 - 89 cm)</x:v>
      </x:c>
      <x:c r="H48" s="24" t="str">
        <x:v>Perch-likes</x:v>
      </x:c>
      <x:c r="I48" s="31" t="n">
        <x:v>158.5385761467</x:v>
      </x:c>
      <x:c r="J48" s="31" t="n">
        <x:v>158.5385761467</x:v>
      </x:c>
      <x:c r="K48" s="31" t="n">
        <x:v>0</x:v>
      </x:c>
      <x:c r="L48" s="31" t="n">
        <x:v>115.8406832284</x:v>
      </x:c>
      <x:c r="M48" s="31" t="n">
        <x:v>42.6978929183</x:v>
      </x:c>
      <x:c r="N48" s="24" t="str">
        <x:v>lutjanus gibbus</x:v>
      </x:c>
      <x:c r="O48" s="32" t="n">
        <x:v>4.12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Lutjanus gibbus</x:v>
      </x:c>
      <x:c r="T48" s="32" t="n">
        <x:f>IF(O48="","",(1/'Metadata'!$B$5)^(O48-1))</x:f>
        <x:v>1318.2567385564075</x:v>
      </x:c>
      <x:c r="U48" s="31" t="n">
        <x:f>IF(T48="","",I48*T48)</x:f>
        <x:v>208994.5463265254</x:v>
      </x:c>
    </x:row>
    <x:row r="49" ht="18" customHeight="1">
      <x:c r="A49" s="24" t="str">
        <x:v>EEZ_684</x:v>
      </x:c>
      <x:c r="B49" s="24" t="str">
        <x:v>Saudi Arabia (Persian Gulf)</x:v>
      </x:c>
      <x:c r="C49" s="24" t="str">
        <x:v>EEZ</x:v>
      </x:c>
      <x:c r="D49" s="30" t="n">
        <x:v>2019</x:v>
      </x:c>
      <x:c r="E49" s="24" t="str">
        <x:v>Cephalopholis hemistiktos</x:v>
      </x:c>
      <x:c r="F49" s="24" t="str">
        <x:v>Yellowfin hind</x:v>
      </x:c>
      <x:c r="G49" s="24" t="str">
        <x:v>Medium reef assoc. fish (30 - 89 cm)</x:v>
      </x:c>
      <x:c r="H49" s="24" t="str">
        <x:v>Perch-likes</x:v>
      </x:c>
      <x:c r="I49" s="31" t="n">
        <x:v>143.8701483105</x:v>
      </x:c>
      <x:c r="J49" s="31" t="n">
        <x:v>143.8701483105</x:v>
      </x:c>
      <x:c r="K49" s="31" t="n">
        <x:v>0</x:v>
      </x:c>
      <x:c r="L49" s="31" t="n">
        <x:v>113.4190657635</x:v>
      </x:c>
      <x:c r="M49" s="31" t="n">
        <x:v>30.451082547</x:v>
      </x:c>
      <x:c r="N49" s="24" t="str">
        <x:v>cephalopholis hemistiktos</x:v>
      </x:c>
      <x:c r="O49" s="32" t="n">
        <x:v>4.14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Cephalopholis hemistiktos</x:v>
      </x:c>
      <x:c r="T49" s="32" t="n">
        <x:f>IF(O49="","",(1/'Metadata'!$B$5)^(O49-1))</x:f>
        <x:v>1380.3842646028838</x:v>
      </x:c>
      <x:c r="U49" s="31" t="n">
        <x:f>IF(T49="","",I49*T49)</x:f>
        <x:v>198596.0888738974</x:v>
      </x:c>
    </x:row>
    <x:row r="50" ht="18" customHeight="1">
      <x:c r="A50" s="24" t="str">
        <x:v>EEZ_684</x:v>
      </x:c>
      <x:c r="B50" s="24" t="str">
        <x:v>Saudi Arabia (Persian Gulf)</x:v>
      </x:c>
      <x:c r="C50" s="24" t="str">
        <x:v>EEZ</x:v>
      </x:c>
      <x:c r="D50" s="30" t="n">
        <x:v>2019</x:v>
      </x:c>
      <x:c r="E50" s="24" t="str">
        <x:v>Sepiidae</x:v>
      </x:c>
      <x:c r="F50" s="24" t="str">
        <x:v>Cuttlefishes</x:v>
      </x:c>
      <x:c r="G50" s="24" t="str">
        <x:v>Cephalopods</x:v>
      </x:c>
      <x:c r="H50" s="24" t="str">
        <x:v>Other fishes &amp; inverts</x:v>
      </x:c>
      <x:c r="I50" s="31" t="n">
        <x:v>131.91617325069998</x:v>
      </x:c>
      <x:c r="J50" s="31" t="n">
        <x:v>131.91617325069998</x:v>
      </x:c>
      <x:c r="K50" s="31" t="n">
        <x:v>0</x:v>
      </x:c>
      <x:c r="L50" s="31" t="n">
        <x:v>0</x:v>
      </x:c>
      <x:c r="M50" s="31" t="n">
        <x:v>131.91617325069998</x:v>
      </x:c>
      <x:c r="N50" s="24" t="str">
        <x:v>sepiidae</x:v>
      </x:c>
      <x:c r="O50" s="32" t="n">
        <x:v>3.6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Sepiidae</x:v>
      </x:c>
      <x:c r="T50" s="32" t="n">
        <x:f>IF(O50="","",(1/'Metadata'!$B$5)^(O50-1))</x:f>
        <x:v>398.1071705534973</x:v>
      </x:c>
      <x:c r="U50" s="31" t="n">
        <x:f>IF(T50="","",I50*T50)</x:f>
        <x:v>52516.77448308112</x:v>
      </x:c>
    </x:row>
    <x:row r="51" ht="18" customHeight="1">
      <x:c r="A51" s="24" t="str">
        <x:v>EEZ_684</x:v>
      </x:c>
      <x:c r="B51" s="24" t="str">
        <x:v>Saudi Arabia (Persian Gulf)</x:v>
      </x:c>
      <x:c r="C51" s="24" t="str">
        <x:v>EEZ</x:v>
      </x:c>
      <x:c r="D51" s="30" t="n">
        <x:v>2019</x:v>
      </x:c>
      <x:c r="E51" s="24" t="str">
        <x:v>Elasmobranchii</x:v>
      </x:c>
      <x:c r="F51" s="24" t="str">
        <x:v>Sharks, rays, skates</x:v>
      </x:c>
      <x:c r="G51" s="24" t="str">
        <x:v>Large sharks (&gt;=90 cm)</x:v>
      </x:c>
      <x:c r="H51" s="24" t="str">
        <x:v>Sharks &amp; rays</x:v>
      </x:c>
      <x:c r="I51" s="31" t="n">
        <x:v>130.2553972924</x:v>
      </x:c>
      <x:c r="J51" s="31" t="n">
        <x:v>130.2553972924</x:v>
      </x:c>
      <x:c r="K51" s="31" t="n">
        <x:v>0</x:v>
      </x:c>
      <x:c r="L51" s="31" t="n">
        <x:v>0</x:v>
      </x:c>
      <x:c r="M51" s="31" t="n">
        <x:v>130.2553972924</x:v>
      </x:c>
      <x:c r="N51" s="24" t="str">
        <x:v>elasmobranchii</x:v>
      </x:c>
      <x:c r="O51" s="32" t="n">
        <x:v>4.05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Elasmobranchii</x:v>
      </x:c>
      <x:c r="T51" s="32" t="n">
        <x:f>IF(O51="","",(1/'Metadata'!$B$5)^(O51-1))</x:f>
        <x:v>1122.018454301963</x:v>
      </x:c>
      <x:c r="U51" s="31" t="n">
        <x:f>IF(T51="","",I51*T51)</x:f>
        <x:v>146148.95953450675</x:v>
      </x:c>
    </x:row>
    <x:row r="52" ht="18" customHeight="1">
      <x:c r="A52" s="24" t="str">
        <x:v>EEZ_684</x:v>
      </x:c>
      <x:c r="B52" s="24" t="str">
        <x:v>Saudi Arabia (Persian Gulf)</x:v>
      </x:c>
      <x:c r="C52" s="24" t="str">
        <x:v>EEZ</x:v>
      </x:c>
      <x:c r="D52" s="30" t="n">
        <x:v>2019</x:v>
      </x:c>
      <x:c r="E52" s="24" t="str">
        <x:v>Lutjanidae</x:v>
      </x:c>
      <x:c r="F52" s="24" t="str">
        <x:v>Snappers</x:v>
      </x:c>
      <x:c r="G52" s="24" t="str">
        <x:v>Medium reef assoc. fish (30 - 89 cm)</x:v>
      </x:c>
      <x:c r="H52" s="24" t="str">
        <x:v>Perch-likes</x:v>
      </x:c>
      <x:c r="I52" s="31" t="n">
        <x:v>123.02140409040001</x:v>
      </x:c>
      <x:c r="J52" s="31" t="n">
        <x:v>123.02140409040001</x:v>
      </x:c>
      <x:c r="K52" s="31" t="n">
        <x:v>0</x:v>
      </x:c>
      <x:c r="L52" s="31" t="n">
        <x:v>91.7096035758</x:v>
      </x:c>
      <x:c r="M52" s="31" t="n">
        <x:v>31.3118005146</x:v>
      </x:c>
      <x:c r="N52" s="24" t="str">
        <x:v>lutjanidae</x:v>
      </x:c>
      <x:c r="O52" s="32" t="n">
        <x:v>4.02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Lutjanidae</x:v>
      </x:c>
      <x:c r="T52" s="32" t="n">
        <x:f>IF(O52="","",(1/'Metadata'!$B$5)^(O52-1))</x:f>
        <x:v>1047.1285480508984</x:v>
      </x:c>
      <x:c r="U52" s="31" t="n">
        <x:f>IF(T52="","",I52*T52)</x:f>
        <x:v>128819.22424436342</x:v>
      </x:c>
    </x:row>
    <x:row r="53" ht="18" customHeight="1">
      <x:c r="A53" s="24" t="str">
        <x:v>EEZ_684</x:v>
      </x:c>
      <x:c r="B53" s="24" t="str">
        <x:v>Saudi Arabia (Persian Gulf)</x:v>
      </x:c>
      <x:c r="C53" s="24" t="str">
        <x:v>EEZ</x:v>
      </x:c>
      <x:c r="D53" s="30" t="n">
        <x:v>2019</x:v>
      </x:c>
      <x:c r="E53" s="24" t="str">
        <x:v>Scombroidei</x:v>
      </x:c>
      <x:c r="F53" s="24" t="str">
        <x:v>Tunas, bonitos, billfishes</x:v>
      </x:c>
      <x:c r="G53" s="24" t="str">
        <x:v>Large pelagics (&gt;=90 cm)</x:v>
      </x:c>
      <x:c r="H53" s="24" t="str">
        <x:v>Tuna &amp; billfishes</x:v>
      </x:c>
      <x:c r="I53" s="31" t="n">
        <x:v>110.7132325643</x:v>
      </x:c>
      <x:c r="J53" s="31" t="n">
        <x:v>110.7132325643</x:v>
      </x:c>
      <x:c r="K53" s="31" t="n">
        <x:v>0</x:v>
      </x:c>
      <x:c r="L53" s="31" t="n">
        <x:v>110.7132325643</x:v>
      </x:c>
      <x:c r="M53" s="31" t="n">
        <x:v>0</x:v>
      </x:c>
      <x:c r="N53" s="24" t="str">
        <x:v>scombroidei</x:v>
      </x:c>
      <x:c r="O53" s="32" t="n">
        <x:v>4.2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Scombroidei</x:v>
      </x:c>
      <x:c r="T53" s="32" t="n">
        <x:f>IF(O53="","",(1/'Metadata'!$B$5)^(O53-1))</x:f>
        <x:v>1584.893192461114</x:v>
      </x:c>
      <x:c r="U53" s="31" t="n">
        <x:f>IF(T53="","",I53*T53)</x:f>
        <x:v>175468.6486065232</x:v>
      </x:c>
    </x:row>
    <x:row r="54" ht="18" customHeight="1">
      <x:c r="A54" s="24" t="str">
        <x:v>EEZ_684</x:v>
      </x:c>
      <x:c r="B54" s="24" t="str">
        <x:v>Saudi Arabia (Persian Gulf)</x:v>
      </x:c>
      <x:c r="C54" s="24" t="str">
        <x:v>EEZ</x:v>
      </x:c>
      <x:c r="D54" s="30" t="n">
        <x:v>2019</x:v>
      </x:c>
      <x:c r="E54" s="24" t="str">
        <x:v>Caranx sexfasciatus</x:v>
      </x:c>
      <x:c r="F54" s="24" t="str">
        <x:v>Bigeye trevally</x:v>
      </x:c>
      <x:c r="G54" s="24" t="str">
        <x:v>Large reef assoc. fish (&gt;=90 cm)</x:v>
      </x:c>
      <x:c r="H54" s="24" t="str">
        <x:v>Perch-likes</x:v>
      </x:c>
      <x:c r="I54" s="31" t="n">
        <x:v>88.0039185415</x:v>
      </x:c>
      <x:c r="J54" s="31" t="n">
        <x:v>88.0039185415</x:v>
      </x:c>
      <x:c r="K54" s="31" t="n">
        <x:v>0</x:v>
      </x:c>
      <x:c r="L54" s="31" t="n">
        <x:v>65.0806215943</x:v>
      </x:c>
      <x:c r="M54" s="31" t="n">
        <x:v>22.9232969472</x:v>
      </x:c>
      <x:c r="N54" s="24" t="str">
        <x:v>caranx sexfasciatus</x:v>
      </x:c>
      <x:c r="O54" s="32" t="n">
        <x:v>4.5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Caranx sexfasciatus</x:v>
      </x:c>
      <x:c r="T54" s="32" t="n">
        <x:f>IF(O54="","",(1/'Metadata'!$B$5)^(O54-1))</x:f>
        <x:v>3162.2776601683795</x:v>
      </x:c>
      <x:c r="U54" s="31" t="n">
        <x:f>IF(T54="","",I54*T54)</x:f>
        <x:v>278292.8256110633</x:v>
      </x:c>
    </x:row>
    <x:row r="55" ht="18" customHeight="1">
      <x:c r="A55" s="24" t="str">
        <x:v>EEZ_684</x:v>
      </x:c>
      <x:c r="B55" s="24" t="str">
        <x:v>Saudi Arabia (Persian Gulf)</x:v>
      </x:c>
      <x:c r="C55" s="24" t="str">
        <x:v>EEZ</x:v>
      </x:c>
      <x:c r="D55" s="30" t="n">
        <x:v>2019</x:v>
      </x:c>
      <x:c r="E55" s="24" t="str">
        <x:v>Bolbometopon muricatum</x:v>
      </x:c>
      <x:c r="F55" s="24" t="str">
        <x:v>Green humphead parrotfish</x:v>
      </x:c>
      <x:c r="G55" s="24" t="str">
        <x:v>Large reef assoc. fish (&gt;=90 cm)</x:v>
      </x:c>
      <x:c r="H55" s="24" t="str">
        <x:v>Perch-likes</x:v>
      </x:c>
      <x:c r="I55" s="31" t="n">
        <x:v>84.6792674723</x:v>
      </x:c>
      <x:c r="J55" s="31" t="n">
        <x:v>84.6792674723</x:v>
      </x:c>
      <x:c r="K55" s="31" t="n">
        <x:v>0</x:v>
      </x:c>
      <x:c r="L55" s="31" t="n">
        <x:v>70.0498197586</x:v>
      </x:c>
      <x:c r="M55" s="31" t="n">
        <x:v>14.6294477137</x:v>
      </x:c>
      <x:c r="N55" s="24" t="str">
        <x:v>bolbometopon muricatum</x:v>
      </x:c>
      <x:c r="O55" s="32" t="n">
        <x:v>2.67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Bolbometopon muricatum</x:v>
      </x:c>
      <x:c r="T55" s="32" t="n">
        <x:f>IF(O55="","",(1/'Metadata'!$B$5)^(O55-1))</x:f>
        <x:v>46.77351412871981</x:v>
      </x:c>
      <x:c r="U55" s="31" t="n">
        <x:f>IF(T55="","",I55*T55)</x:f>
        <x:v>3960.7469135252677</x:v>
      </x:c>
    </x:row>
    <x:row r="56" ht="18" customHeight="1">
      <x:c r="A56" s="24" t="str">
        <x:v>EEZ_684</x:v>
      </x:c>
      <x:c r="B56" s="24" t="str">
        <x:v>Saudi Arabia (Persian Gulf)</x:v>
      </x:c>
      <x:c r="C56" s="24" t="str">
        <x:v>EEZ</x:v>
      </x:c>
      <x:c r="D56" s="30" t="n">
        <x:v>2019</x:v>
      </x:c>
      <x:c r="E56" s="24" t="str">
        <x:v>Synodontidae</x:v>
      </x:c>
      <x:c r="F56" s="24" t="str">
        <x:v>Lizardfishes, sauries</x:v>
      </x:c>
      <x:c r="G56" s="24" t="str">
        <x:v>Medium demersals (30 - 89 cm)</x:v>
      </x:c>
      <x:c r="H56" s="24" t="str">
        <x:v>Other fishes &amp; inverts</x:v>
      </x:c>
      <x:c r="I56" s="31" t="n">
        <x:v>79.11523291360001</x:v>
      </x:c>
      <x:c r="J56" s="31" t="n">
        <x:v>79.11523291360001</x:v>
      </x:c>
      <x:c r="K56" s="31" t="n">
        <x:v>0</x:v>
      </x:c>
      <x:c r="L56" s="31" t="n">
        <x:v>52.9298035158</x:v>
      </x:c>
      <x:c r="M56" s="31" t="n">
        <x:v>26.1854293978</x:v>
      </x:c>
      <x:c r="N56" s="24" t="str">
        <x:v>synodontidae</x:v>
      </x:c>
      <x:c r="O56" s="32" t="n">
        <x:v>4.3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Synodontidae</x:v>
      </x:c>
      <x:c r="T56" s="32" t="n">
        <x:f>IF(O56="","",(1/'Metadata'!$B$5)^(O56-1))</x:f>
        <x:v>1995.2623149688789</x:v>
      </x:c>
      <x:c r="U56" s="31" t="n">
        <x:f>IF(T56="","",I56*T56)</x:f>
        <x:v>157855.64277249158</x:v>
      </x:c>
    </x:row>
    <x:row r="57" ht="18" customHeight="1">
      <x:c r="A57" s="24" t="str">
        <x:v>EEZ_684</x:v>
      </x:c>
      <x:c r="B57" s="24" t="str">
        <x:v>Saudi Arabia (Persian Gulf)</x:v>
      </x:c>
      <x:c r="C57" s="24" t="str">
        <x:v>EEZ</x:v>
      </x:c>
      <x:c r="D57" s="30" t="n">
        <x:v>2019</x:v>
      </x:c>
      <x:c r="E57" s="24" t="str">
        <x:v>Lethrinus microdon</x:v>
      </x:c>
      <x:c r="F57" s="24" t="str">
        <x:v>Smalltooth emperor</x:v>
      </x:c>
      <x:c r="G57" s="24" t="str">
        <x:v>Medium reef assoc. fish (30 - 89 cm)</x:v>
      </x:c>
      <x:c r="H57" s="24" t="str">
        <x:v>Perch-likes</x:v>
      </x:c>
      <x:c r="I57" s="31" t="n">
        <x:v>78.2701134676</x:v>
      </x:c>
      <x:c r="J57" s="31" t="n">
        <x:v>78.2701134676</x:v>
      </x:c>
      <x:c r="K57" s="31" t="n">
        <x:v>0</x:v>
      </x:c>
      <x:c r="L57" s="31" t="n">
        <x:v>49.8525789081</x:v>
      </x:c>
      <x:c r="M57" s="31" t="n">
        <x:v>28.417534559499998</x:v>
      </x:c>
      <x:c r="N57" s="24" t="str">
        <x:v>lethrinus microdon</x:v>
      </x:c>
      <x:c r="O57" s="32" t="n">
        <x:v>3.79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Lethrinus microdon</x:v>
      </x:c>
      <x:c r="T57" s="32" t="n">
        <x:f>IF(O57="","",(1/'Metadata'!$B$5)^(O57-1))</x:f>
        <x:v>616.5950018614822</x:v>
      </x:c>
      <x:c r="U57" s="31" t="n">
        <x:f>IF(T57="","",I57*T57)</x:f>
        <x:v>48260.96075925324</x:v>
      </x:c>
    </x:row>
    <x:row r="58" ht="18" customHeight="1">
      <x:c r="A58" s="24" t="str">
        <x:v>EEZ_684</x:v>
      </x:c>
      <x:c r="B58" s="24" t="str">
        <x:v>Saudi Arabia (Persian Gulf)</x:v>
      </x:c>
      <x:c r="C58" s="24" t="str">
        <x:v>EEZ</x:v>
      </x:c>
      <x:c r="D58" s="30" t="n">
        <x:v>2019</x:v>
      </x:c>
      <x:c r="E58" s="24" t="str">
        <x:v>Crenidens crenidens</x:v>
      </x:c>
      <x:c r="F58" s="24" t="str">
        <x:v>Karanteen seabream</x:v>
      </x:c>
      <x:c r="G58" s="24" t="str">
        <x:v>Small demersals (&lt;30 cm)</x:v>
      </x:c>
      <x:c r="H58" s="24" t="str">
        <x:v>Perch-likes</x:v>
      </x:c>
      <x:c r="I58" s="31" t="n">
        <x:v>65.645165941</x:v>
      </x:c>
      <x:c r="J58" s="31" t="n">
        <x:v>65.645165941</x:v>
      </x:c>
      <x:c r="K58" s="31" t="n">
        <x:v>0</x:v>
      </x:c>
      <x:c r="L58" s="31" t="n">
        <x:v>56.7544897318</x:v>
      </x:c>
      <x:c r="M58" s="31" t="n">
        <x:v>8.890676209199999</x:v>
      </x:c>
      <x:c r="N58" s="24" t="str">
        <x:v>crenidens crenidens</x:v>
      </x:c>
      <x:c r="O58" s="32" t="n">
        <x:v>2.8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Crenidens crenidens</x:v>
      </x:c>
      <x:c r="T58" s="32" t="n">
        <x:f>IF(O58="","",(1/'Metadata'!$B$5)^(O58-1))</x:f>
        <x:v>63.0957344480193</x:v>
      </x:c>
      <x:c r="U58" s="31" t="n">
        <x:f>IF(T58="","",I58*T58)</x:f>
        <x:v>4141.929958009498</x:v>
      </x:c>
    </x:row>
    <x:row r="59" ht="18" customHeight="1">
      <x:c r="A59" s="24" t="str">
        <x:v>EEZ_684</x:v>
      </x:c>
      <x:c r="B59" s="24" t="str">
        <x:v>Saudi Arabia (Persian Gulf)</x:v>
      </x:c>
      <x:c r="C59" s="24" t="str">
        <x:v>EEZ</x:v>
      </x:c>
      <x:c r="D59" s="30" t="n">
        <x:v>2019</x:v>
      </x:c>
      <x:c r="E59" s="24" t="str">
        <x:v>Plectorhinchus schotaf</x:v>
      </x:c>
      <x:c r="F59" s="24" t="str">
        <x:v>Minstrel sweetlips</x:v>
      </x:c>
      <x:c r="G59" s="24" t="str">
        <x:v>Medium reef assoc. fish (30 - 89 cm)</x:v>
      </x:c>
      <x:c r="H59" s="24" t="str">
        <x:v>Perch-likes</x:v>
      </x:c>
      <x:c r="I59" s="31" t="n">
        <x:v>63.7900229091</x:v>
      </x:c>
      <x:c r="J59" s="31" t="n">
        <x:v>63.7900229091</x:v>
      </x:c>
      <x:c r="K59" s="31" t="n">
        <x:v>0</x:v>
      </x:c>
      <x:c r="L59" s="31" t="n">
        <x:v>49.3025380037</x:v>
      </x:c>
      <x:c r="M59" s="31" t="n">
        <x:v>14.4874849054</x:v>
      </x:c>
      <x:c r="N59" s="24" t="str">
        <x:v>plectorhinchus schotaf</x:v>
      </x:c>
      <x:c r="O59" s="32" t="n">
        <x:v>3.82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Plectorhinchus schotaf</x:v>
      </x:c>
      <x:c r="T59" s="32" t="n">
        <x:f>IF(O59="","",(1/'Metadata'!$B$5)^(O59-1))</x:f>
        <x:v>660.6934480075957</x:v>
      </x:c>
      <x:c r="U59" s="31" t="n">
        <x:f>IF(T59="","",I59*T59)</x:f>
        <x:v>42145.65018429681</x:v>
      </x:c>
    </x:row>
    <x:row r="60" ht="18" customHeight="1">
      <x:c r="A60" s="24" t="str">
        <x:v>EEZ_684</x:v>
      </x:c>
      <x:c r="B60" s="24" t="str">
        <x:v>Saudi Arabia (Persian Gulf)</x:v>
      </x:c>
      <x:c r="C60" s="24" t="str">
        <x:v>EEZ</x:v>
      </x:c>
      <x:c r="D60" s="30" t="n">
        <x:v>2019</x:v>
      </x:c>
      <x:c r="E60" s="24" t="str">
        <x:v>Platycaranx malabaricus</x:v>
      </x:c>
      <x:c r="F60" s="24" t="str">
        <x:v>Malabar trevally</x:v>
      </x:c>
      <x:c r="G60" s="24" t="str">
        <x:v>Medium reef assoc. fish (30 - 89 cm)</x:v>
      </x:c>
      <x:c r="H60" s="24" t="str">
        <x:v>Perch-likes</x:v>
      </x:c>
      <x:c r="I60" s="31" t="n">
        <x:v>59.6796209776</x:v>
      </x:c>
      <x:c r="J60" s="31" t="n">
        <x:v>59.6796209776</x:v>
      </x:c>
      <x:c r="K60" s="31" t="n">
        <x:v>0</x:v>
      </x:c>
      <x:c r="L60" s="31" t="n">
        <x:v>44.703063025300004</x:v>
      </x:c>
      <x:c r="M60" s="31" t="n">
        <x:v>14.9765579523</x:v>
      </x:c>
      <x:c r="N60" s="24" t="str">
        <x:v>platycaranx malabaricus</x:v>
      </x:c>
      <x:c r="O60" s="32" t="n">
        <x:v>3.88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Platycaranx malabaricus</x:v>
      </x:c>
      <x:c r="T60" s="32" t="n">
        <x:f>IF(O60="","",(1/'Metadata'!$B$5)^(O60-1))</x:f>
        <x:v>758.5775750291835</x:v>
      </x:c>
      <x:c r="U60" s="31" t="n">
        <x:f>IF(T60="","",I60*T60)</x:f>
        <x:v>45271.6221598486</x:v>
      </x:c>
    </x:row>
    <x:row r="61" ht="18" customHeight="1">
      <x:c r="A61" s="24" t="str">
        <x:v>EEZ_684</x:v>
      </x:c>
      <x:c r="B61" s="24" t="str">
        <x:v>Saudi Arabia (Persian Gulf)</x:v>
      </x:c>
      <x:c r="C61" s="24" t="str">
        <x:v>EEZ</x:v>
      </x:c>
      <x:c r="D61" s="30" t="n">
        <x:v>2019</x:v>
      </x:c>
      <x:c r="E61" s="24" t="str">
        <x:v>Teuthida</x:v>
      </x:c>
      <x:c r="F61" s="24" t="str">
        <x:v>Squids</x:v>
      </x:c>
      <x:c r="G61" s="24" t="str">
        <x:v>Cephalopods</x:v>
      </x:c>
      <x:c r="H61" s="24" t="str">
        <x:v>Other fishes &amp; inverts</x:v>
      </x:c>
      <x:c r="I61" s="31" t="n">
        <x:v>58.0927555651</x:v>
      </x:c>
      <x:c r="J61" s="31" t="n">
        <x:v>58.0927555651</x:v>
      </x:c>
      <x:c r="K61" s="31" t="n">
        <x:v>0</x:v>
      </x:c>
      <x:c r="L61" s="31" t="n">
        <x:v>24.457478038799998</x:v>
      </x:c>
      <x:c r="M61" s="31" t="n">
        <x:v>33.6352775263</x:v>
      </x:c>
      <x:c r="N61" s="24" t="str">
        <x:v>teuthida</x:v>
      </x:c>
      <x:c r="O61" s="32" t="n">
        <x:v>4.13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Teuthida</x:v>
      </x:c>
      <x:c r="T61" s="32" t="n">
        <x:f>IF(O61="","",(1/'Metadata'!$B$5)^(O61-1))</x:f>
        <x:v>1348.9628825916532</x:v>
      </x:c>
      <x:c r="U61" s="31" t="n">
        <x:f>IF(T61="","",I61*T61)</x:f>
        <x:v>78364.9710047896</x:v>
      </x:c>
    </x:row>
    <x:row r="62" ht="18" customHeight="1">
      <x:c r="A62" s="24" t="str">
        <x:v>EEZ_684</x:v>
      </x:c>
      <x:c r="B62" s="24" t="str">
        <x:v>Saudi Arabia (Persian Gulf)</x:v>
      </x:c>
      <x:c r="C62" s="24" t="str">
        <x:v>EEZ</x:v>
      </x:c>
      <x:c r="D62" s="30" t="n">
        <x:v>2019</x:v>
      </x:c>
      <x:c r="E62" s="24" t="str">
        <x:v>Grammoplites suppositus</x:v>
      </x:c>
      <x:c r="F62" s="24" t="str">
        <x:v>Spotfin flathead</x:v>
      </x:c>
      <x:c r="G62" s="24" t="str">
        <x:v>Small demersals (&lt;30 cm)</x:v>
      </x:c>
      <x:c r="H62" s="24" t="str">
        <x:v>Scorpionfishes</x:v>
      </x:c>
      <x:c r="I62" s="31" t="n">
        <x:v>52.9382544507</x:v>
      </x:c>
      <x:c r="J62" s="31" t="n">
        <x:v>52.9382544507</x:v>
      </x:c>
      <x:c r="K62" s="31" t="n">
        <x:v>0</x:v>
      </x:c>
      <x:c r="L62" s="31" t="n">
        <x:v>42.0419999998</x:v>
      </x:c>
      <x:c r="M62" s="31" t="n">
        <x:v>10.8962544509</x:v>
      </x:c>
      <x:c r="N62" s="24" t="str">
        <x:v>grammoplites suppositus</x:v>
      </x:c>
      <x:c r="O62" s="32" t="n">
        <x:v>3.84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Grammoplites suppositus</x:v>
      </x:c>
      <x:c r="T62" s="32" t="n">
        <x:f>IF(O62="","",(1/'Metadata'!$B$5)^(O62-1))</x:f>
        <x:v>691.8309709189363</x:v>
      </x:c>
      <x:c r="U62" s="31" t="n">
        <x:f>IF(T62="","",I62*T62)</x:f>
        <x:v>36624.32397538148</x:v>
      </x:c>
    </x:row>
    <x:row r="63" ht="18" customHeight="1">
      <x:c r="A63" s="24" t="str">
        <x:v>EEZ_684</x:v>
      </x:c>
      <x:c r="B63" s="24" t="str">
        <x:v>Saudi Arabia (Persian Gulf)</x:v>
      </x:c>
      <x:c r="C63" s="24" t="str">
        <x:v>EEZ</x:v>
      </x:c>
      <x:c r="D63" s="30" t="n">
        <x:v>2019</x:v>
      </x:c>
      <x:c r="E63" s="24" t="str">
        <x:v>Haemulidae</x:v>
      </x:c>
      <x:c r="F63" s="24" t="str">
        <x:v>Grunts, sweetlips, bonnetmouths</x:v>
      </x:c>
      <x:c r="G63" s="24" t="str">
        <x:v>Medium demersals (30 - 89 cm)</x:v>
      </x:c>
      <x:c r="H63" s="24" t="str">
        <x:v>Perch-likes</x:v>
      </x:c>
      <x:c r="I63" s="31" t="n">
        <x:v>51.5754467889</x:v>
      </x:c>
      <x:c r="J63" s="31" t="n">
        <x:v>51.5754467889</x:v>
      </x:c>
      <x:c r="K63" s="31" t="n">
        <x:v>0</x:v>
      </x:c>
      <x:c r="L63" s="31" t="n">
        <x:v>36.7257750682</x:v>
      </x:c>
      <x:c r="M63" s="31" t="n">
        <x:v>14.8496717207</x:v>
      </x:c>
      <x:c r="N63" s="24" t="str">
        <x:v>haemulidae</x:v>
      </x:c>
      <x:c r="O63" s="32" t="n">
        <x:v>3.36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Haemulidae</x:v>
      </x:c>
      <x:c r="T63" s="32" t="n">
        <x:f>IF(O63="","",(1/'Metadata'!$B$5)^(O63-1))</x:f>
        <x:v>229.08676527677724</x:v>
      </x:c>
      <x:c r="U63" s="31" t="n">
        <x:f>IF(T63="","",I63*T63)</x:f>
        <x:v>11815.252272573649</x:v>
      </x:c>
    </x:row>
    <x:row r="64" ht="18" customHeight="1">
      <x:c r="A64" s="24" t="str">
        <x:v>EEZ_684</x:v>
      </x:c>
      <x:c r="B64" s="24" t="str">
        <x:v>Saudi Arabia (Persian Gulf)</x:v>
      </x:c>
      <x:c r="C64" s="24" t="str">
        <x:v>EEZ</x:v>
      </x:c>
      <x:c r="D64" s="30" t="n">
        <x:v>2019</x:v>
      </x:c>
      <x:c r="E64" s="24" t="str">
        <x:v>Acanthopagrus berda</x:v>
      </x:c>
      <x:c r="F64" s="24" t="str">
        <x:v>Goldsilk seabream</x:v>
      </x:c>
      <x:c r="G64" s="24" t="str">
        <x:v>Medium demersals (30 - 89 cm)</x:v>
      </x:c>
      <x:c r="H64" s="24" t="str">
        <x:v>Perch-likes</x:v>
      </x:c>
      <x:c r="I64" s="31" t="n">
        <x:v>51.459758568800005</x:v>
      </x:c>
      <x:c r="J64" s="31" t="n">
        <x:v>51.459758568800005</x:v>
      </x:c>
      <x:c r="K64" s="31" t="n">
        <x:v>0</x:v>
      </x:c>
      <x:c r="L64" s="31" t="n">
        <x:v>44.855257439700004</x:v>
      </x:c>
      <x:c r="M64" s="31" t="n">
        <x:v>6.6045011291</x:v>
      </x:c>
      <x:c r="N64" s="24" t="str">
        <x:v>acanthopagrus berda</x:v>
      </x:c>
      <x:c r="O64" s="32" t="n">
        <x:v>3.48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Acanthopagrus berda</x:v>
      </x:c>
      <x:c r="T64" s="32" t="n">
        <x:f>IF(O64="","",(1/'Metadata'!$B$5)^(O64-1))</x:f>
        <x:v>301.9951720402016</x:v>
      </x:c>
      <x:c r="U64" s="31" t="n">
        <x:f>IF(T64="","",I64*T64)</x:f>
        <x:v>15540.598642131998</x:v>
      </x:c>
    </x:row>
    <x:row r="65" ht="18" customHeight="1">
      <x:c r="A65" s="24" t="str">
        <x:v>EEZ_684</x:v>
      </x:c>
      <x:c r="B65" s="24" t="str">
        <x:v>Saudi Arabia (Persian Gulf)</x:v>
      </x:c>
      <x:c r="C65" s="24" t="str">
        <x:v>EEZ</x:v>
      </x:c>
      <x:c r="D65" s="30" t="n">
        <x:v>2019</x:v>
      </x:c>
      <x:c r="E65" s="24" t="str">
        <x:v>Monotaxis grandoculis</x:v>
      </x:c>
      <x:c r="F65" s="24" t="str">
        <x:v>Humpnose big-eye bream</x:v>
      </x:c>
      <x:c r="G65" s="24" t="str">
        <x:v>Medium reef assoc. fish (30 - 89 cm)</x:v>
      </x:c>
      <x:c r="H65" s="24" t="str">
        <x:v>Perch-likes</x:v>
      </x:c>
      <x:c r="I65" s="31" t="n">
        <x:v>47.7744279474</x:v>
      </x:c>
      <x:c r="J65" s="31" t="n">
        <x:v>47.7744279474</x:v>
      </x:c>
      <x:c r="K65" s="31" t="n">
        <x:v>0</x:v>
      </x:c>
      <x:c r="L65" s="31" t="n">
        <x:v>35.967141856299996</x:v>
      </x:c>
      <x:c r="M65" s="31" t="n">
        <x:v>11.8072860911</x:v>
      </x:c>
      <x:c r="N65" s="24" t="str">
        <x:v>monotaxis grandoculis</x:v>
      </x:c>
      <x:c r="O65" s="32" t="n">
        <x:v>3.37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Monotaxis grandoculis</x:v>
      </x:c>
      <x:c r="T65" s="32" t="n">
        <x:f>IF(O65="","",(1/'Metadata'!$B$5)^(O65-1))</x:f>
        <x:v>234.42288153199226</x:v>
      </x:c>
      <x:c r="U65" s="31" t="n">
        <x:f>IF(T65="","",I65*T65)</x:f>
        <x:v>11199.41906297205</x:v>
      </x:c>
    </x:row>
    <x:row r="66" ht="18" customHeight="1">
      <x:c r="A66" s="24" t="str">
        <x:v>EEZ_684</x:v>
      </x:c>
      <x:c r="B66" s="24" t="str">
        <x:v>Saudi Arabia (Persian Gulf)</x:v>
      </x:c>
      <x:c r="C66" s="24" t="str">
        <x:v>EEZ</x:v>
      </x:c>
      <x:c r="D66" s="30" t="n">
        <x:v>2019</x:v>
      </x:c>
      <x:c r="E66" s="24" t="str">
        <x:v>Clupeidae</x:v>
      </x:c>
      <x:c r="F66" s="24" t="str">
        <x:v>Herrings, sardines, menhadens</x:v>
      </x:c>
      <x:c r="G66" s="24" t="str">
        <x:v>Small pelagics (&lt;30 cm)</x:v>
      </x:c>
      <x:c r="H66" s="24" t="str">
        <x:v>Herring-likes</x:v>
      </x:c>
      <x:c r="I66" s="31" t="n">
        <x:v>47.3490083498</x:v>
      </x:c>
      <x:c r="J66" s="31" t="n">
        <x:v>42.5816461345</x:v>
      </x:c>
      <x:c r="K66" s="31" t="n">
        <x:v>4.7673622153</x:v>
      </x:c>
      <x:c r="L66" s="31" t="n">
        <x:v>0</x:v>
      </x:c>
      <x:c r="M66" s="31" t="n">
        <x:v>47.3490083498</x:v>
      </x:c>
      <x:c r="N66" s="24" t="str">
        <x:v>clupeidae</x:v>
      </x:c>
      <x:c r="O66" s="32" t="n">
        <x:v>3.16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Clupeidae</x:v>
      </x:c>
      <x:c r="T66" s="32" t="n">
        <x:f>IF(O66="","",(1/'Metadata'!$B$5)^(O66-1))</x:f>
        <x:v>144.5439770745928</x:v>
      </x:c>
      <x:c r="U66" s="31" t="n">
        <x:f>IF(T66="","",I66*T66)</x:f>
        <x:v>6844.013977418194</x:v>
      </x:c>
    </x:row>
    <x:row r="67" ht="18" customHeight="1">
      <x:c r="A67" s="24" t="str">
        <x:v>EEZ_684</x:v>
      </x:c>
      <x:c r="B67" s="24" t="str">
        <x:v>Saudi Arabia (Persian Gulf)</x:v>
      </x:c>
      <x:c r="C67" s="24" t="str">
        <x:v>EEZ</x:v>
      </x:c>
      <x:c r="D67" s="30" t="n">
        <x:v>2019</x:v>
      </x:c>
      <x:c r="E67" s="24" t="str">
        <x:v>Pomacanthus maculosus</x:v>
      </x:c>
      <x:c r="F67" s="24" t="str">
        <x:v>Yellowbar angelfish</x:v>
      </x:c>
      <x:c r="G67" s="24" t="str">
        <x:v>Medium reef assoc. fish (30 - 89 cm)</x:v>
      </x:c>
      <x:c r="H67" s="24" t="str">
        <x:v>Perch-likes</x:v>
      </x:c>
      <x:c r="I67" s="31" t="n">
        <x:v>45.7519414479</x:v>
      </x:c>
      <x:c r="J67" s="31" t="n">
        <x:v>45.7519414479</x:v>
      </x:c>
      <x:c r="K67" s="31" t="n">
        <x:v>0</x:v>
      </x:c>
      <x:c r="L67" s="31" t="n">
        <x:v>37.0176132941</x:v>
      </x:c>
      <x:c r="M67" s="31" t="n">
        <x:v>8.7343281538</x:v>
      </x:c>
      <x:c r="N67" s="24" t="str">
        <x:v>pomacanthus maculosus</x:v>
      </x:c>
      <x:c r="O67" s="32" t="n">
        <x:v>2.67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Pomacanthus maculosus</x:v>
      </x:c>
      <x:c r="T67" s="32" t="n">
        <x:f>IF(O67="","",(1/'Metadata'!$B$5)^(O67-1))</x:f>
        <x:v>46.77351412871981</x:v>
      </x:c>
      <x:c r="U67" s="31" t="n">
        <x:f>IF(T67="","",I67*T67)</x:f>
        <x:v>2139.9790797297123</x:v>
      </x:c>
    </x:row>
    <x:row r="68" ht="18" customHeight="1">
      <x:c r="A68" s="24" t="str">
        <x:v>EEZ_684</x:v>
      </x:c>
      <x:c r="B68" s="24" t="str">
        <x:v>Saudi Arabia (Persian Gulf)</x:v>
      </x:c>
      <x:c r="C68" s="24" t="str">
        <x:v>EEZ</x:v>
      </x:c>
      <x:c r="D68" s="30" t="n">
        <x:v>2019</x:v>
      </x:c>
      <x:c r="E68" s="24" t="str">
        <x:v>Rachycentridae</x:v>
      </x:c>
      <x:c r="F68" s="24" t="str">
        <x:v>Cobias</x:v>
      </x:c>
      <x:c r="G68" s="24" t="str">
        <x:v>Large pelagics (&gt;=90 cm)</x:v>
      </x:c>
      <x:c r="H68" s="24" t="str">
        <x:v>Perch-likes</x:v>
      </x:c>
      <x:c r="I68" s="31" t="n">
        <x:v>44.2477973522</x:v>
      </x:c>
      <x:c r="J68" s="31" t="n">
        <x:v>44.2477973522</x:v>
      </x:c>
      <x:c r="K68" s="31" t="n">
        <x:v>0</x:v>
      </x:c>
      <x:c r="L68" s="31" t="n">
        <x:v>0</x:v>
      </x:c>
      <x:c r="M68" s="31" t="n">
        <x:v>44.2477973522</x:v>
      </x:c>
      <x:c r="N68" s="24" t="str">
        <x:v>rachycentridae</x:v>
      </x:c>
      <x:c r="O68" s="32" t="n">
        <x:v>3.96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Rachycentridae</x:v>
      </x:c>
      <x:c r="T68" s="32" t="n">
        <x:f>IF(O68="","",(1/'Metadata'!$B$5)^(O68-1))</x:f>
        <x:v>912.0108393559096</x:v>
      </x:c>
      <x:c r="U68" s="31" t="n">
        <x:f>IF(T68="","",I68*T68)</x:f>
        <x:v>40354.47080283012</x:v>
      </x:c>
    </x:row>
    <x:row r="69" ht="18" customHeight="1">
      <x:c r="A69" s="24" t="str">
        <x:v>EEZ_684</x:v>
      </x:c>
      <x:c r="B69" s="24" t="str">
        <x:v>Saudi Arabia (Persian Gulf)</x:v>
      </x:c>
      <x:c r="C69" s="24" t="str">
        <x:v>EEZ</x:v>
      </x:c>
      <x:c r="D69" s="30" t="n">
        <x:v>2019</x:v>
      </x:c>
      <x:c r="E69" s="24" t="str">
        <x:v>Caranx ignobilis</x:v>
      </x:c>
      <x:c r="F69" s="24" t="str">
        <x:v>Giant trevally</x:v>
      </x:c>
      <x:c r="G69" s="24" t="str">
        <x:v>Large reef assoc. fish (&gt;=90 cm)</x:v>
      </x:c>
      <x:c r="H69" s="24" t="str">
        <x:v>Perch-likes</x:v>
      </x:c>
      <x:c r="I69" s="31" t="n">
        <x:v>43.6952990541</x:v>
      </x:c>
      <x:c r="J69" s="31" t="n">
        <x:v>43.6952990541</x:v>
      </x:c>
      <x:c r="K69" s="31" t="n">
        <x:v>0</x:v>
      </x:c>
      <x:c r="L69" s="31" t="n">
        <x:v>33.1505809135</x:v>
      </x:c>
      <x:c r="M69" s="31" t="n">
        <x:v>10.5447181406</x:v>
      </x:c>
      <x:c r="N69" s="24" t="str">
        <x:v>caranx ignobilis</x:v>
      </x:c>
      <x:c r="O69" s="32" t="n">
        <x:v>4.22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Caranx ignobilis</x:v>
      </x:c>
      <x:c r="T69" s="32" t="n">
        <x:f>IF(O69="","",(1/'Metadata'!$B$5)^(O69-1))</x:f>
        <x:v>1659.5869074375596</x:v>
      </x:c>
      <x:c r="U69" s="31" t="n">
        <x:f>IF(T69="","",I69*T69)</x:f>
        <x:v>72516.14622675313</x:v>
      </x:c>
    </x:row>
    <x:row r="70" ht="18" customHeight="1">
      <x:c r="A70" s="24" t="str">
        <x:v>EEZ_684</x:v>
      </x:c>
      <x:c r="B70" s="24" t="str">
        <x:v>Saudi Arabia (Persian Gulf)</x:v>
      </x:c>
      <x:c r="C70" s="24" t="str">
        <x:v>EEZ</x:v>
      </x:c>
      <x:c r="D70" s="30" t="n">
        <x:v>2019</x:v>
      </x:c>
      <x:c r="E70" s="24" t="str">
        <x:v>Gerres oblongus</x:v>
      </x:c>
      <x:c r="F70" s="24" t="str">
        <x:v>Slender silver-biddy</x:v>
      </x:c>
      <x:c r="G70" s="24" t="str">
        <x:v>Medium reef assoc. fish (30 - 89 cm)</x:v>
      </x:c>
      <x:c r="H70" s="24" t="str">
        <x:v>Perch-likes</x:v>
      </x:c>
      <x:c r="I70" s="31" t="n">
        <x:v>42.7900119767</x:v>
      </x:c>
      <x:c r="J70" s="31" t="n">
        <x:v>42.7900119767</x:v>
      </x:c>
      <x:c r="K70" s="31" t="n">
        <x:v>0</x:v>
      </x:c>
      <x:c r="L70" s="31" t="n">
        <x:v>42.7900119767</x:v>
      </x:c>
      <x:c r="M70" s="31" t="n">
        <x:v>0</x:v>
      </x:c>
      <x:c r="N70" s="24" t="str">
        <x:v>gerres oblongus</x:v>
      </x:c>
      <x:c r="O70" s="32" t="n">
        <x:v>3.5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Gerres oblongus</x:v>
      </x:c>
      <x:c r="T70" s="32" t="n">
        <x:f>IF(O70="","",(1/'Metadata'!$B$5)^(O70-1))</x:f>
        <x:v>316.22776601683796</x:v>
      </x:c>
      <x:c r="U70" s="31" t="n">
        <x:f>IF(T70="","",I70*T70)</x:f>
        <x:v>13531.389895225582</x:v>
      </x:c>
    </x:row>
    <x:row r="71" ht="18" customHeight="1">
      <x:c r="A71" s="24" t="str">
        <x:v>EEZ_684</x:v>
      </x:c>
      <x:c r="B71" s="24" t="str">
        <x:v>Saudi Arabia (Persian Gulf)</x:v>
      </x:c>
      <x:c r="C71" s="24" t="str">
        <x:v>EEZ</x:v>
      </x:c>
      <x:c r="D71" s="30" t="n">
        <x:v>2019</x:v>
      </x:c>
      <x:c r="E71" s="24" t="str">
        <x:v>Lethrinus harak</x:v>
      </x:c>
      <x:c r="F71" s="24" t="str">
        <x:v>Thumbprint emperor</x:v>
      </x:c>
      <x:c r="G71" s="24" t="str">
        <x:v>Medium reef assoc. fish (30 - 89 cm)</x:v>
      </x:c>
      <x:c r="H71" s="24" t="str">
        <x:v>Perch-likes</x:v>
      </x:c>
      <x:c r="I71" s="31" t="n">
        <x:v>39.9559792892</x:v>
      </x:c>
      <x:c r="J71" s="31" t="n">
        <x:v>39.9559792892</x:v>
      </x:c>
      <x:c r="K71" s="31" t="n">
        <x:v>0</x:v>
      </x:c>
      <x:c r="L71" s="31" t="n">
        <x:v>31.5507922709</x:v>
      </x:c>
      <x:c r="M71" s="31" t="n">
        <x:v>8.4051870183</x:v>
      </x:c>
      <x:c r="N71" s="24" t="str">
        <x:v>lethrinus harak</x:v>
      </x:c>
      <x:c r="O71" s="32" t="n">
        <x:v>3.59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Lethrinus harak</x:v>
      </x:c>
      <x:c r="T71" s="32" t="n">
        <x:f>IF(O71="","",(1/'Metadata'!$B$5)^(O71-1))</x:f>
        <x:v>389.04514499428046</x:v>
      </x:c>
      <x:c r="U71" s="31" t="n">
        <x:f>IF(T71="","",I71*T71)</x:f>
        <x:v>15544.679755955282</x:v>
      </x:c>
    </x:row>
    <x:row r="72" ht="18" customHeight="1">
      <x:c r="A72" s="24" t="str">
        <x:v>EEZ_684</x:v>
      </x:c>
      <x:c r="B72" s="24" t="str">
        <x:v>Saudi Arabia (Persian Gulf)</x:v>
      </x:c>
      <x:c r="C72" s="24" t="str">
        <x:v>EEZ</x:v>
      </x:c>
      <x:c r="D72" s="30" t="n">
        <x:v>2019</x:v>
      </x:c>
      <x:c r="E72" s="24" t="str">
        <x:v>Chirocentrus nudus</x:v>
      </x:c>
      <x:c r="F72" s="24" t="str">
        <x:v>Whitefin wolf-herring</x:v>
      </x:c>
      <x:c r="G72" s="24" t="str">
        <x:v>Large pelagics (&gt;=90 cm)</x:v>
      </x:c>
      <x:c r="H72" s="24" t="str">
        <x:v>Herring-likes</x:v>
      </x:c>
      <x:c r="I72" s="31" t="n">
        <x:v>39.511548334299995</x:v>
      </x:c>
      <x:c r="J72" s="31" t="n">
        <x:v>39.511548334299995</x:v>
      </x:c>
      <x:c r="K72" s="31" t="n">
        <x:v>0</x:v>
      </x:c>
      <x:c r="L72" s="31" t="n">
        <x:v>27.026999999999997</x:v>
      </x:c>
      <x:c r="M72" s="31" t="n">
        <x:v>12.4845483343</x:v>
      </x:c>
      <x:c r="N72" s="24" t="str">
        <x:v>chirocentrus nudus</x:v>
      </x:c>
      <x:c r="O72" s="32" t="n">
        <x:v>4.19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Chirocentrus nudus</x:v>
      </x:c>
      <x:c r="T72" s="32" t="n">
        <x:f>IF(O72="","",(1/'Metadata'!$B$5)^(O72-1))</x:f>
        <x:v>1548.8166189124827</x:v>
      </x:c>
      <x:c r="U72" s="31" t="n">
        <x:f>IF(T72="","",I72*T72)</x:f>
        <x:v>61196.14269912765</x:v>
      </x:c>
    </x:row>
    <x:row r="73" ht="18" customHeight="1">
      <x:c r="A73" s="24" t="str">
        <x:v>EEZ_684</x:v>
      </x:c>
      <x:c r="B73" s="24" t="str">
        <x:v>Saudi Arabia (Persian Gulf)</x:v>
      </x:c>
      <x:c r="C73" s="24" t="str">
        <x:v>EEZ</x:v>
      </x:c>
      <x:c r="D73" s="30" t="n">
        <x:v>2019</x:v>
      </x:c>
      <x:c r="E73" s="24" t="str">
        <x:v>Bothus pantherinus</x:v>
      </x:c>
      <x:c r="F73" s="24" t="str">
        <x:v>Leopard flounder</x:v>
      </x:c>
      <x:c r="G73" s="24" t="str">
        <x:v>Small to medium flatfishes (&lt;90 cm)</x:v>
      </x:c>
      <x:c r="H73" s="24" t="str">
        <x:v>Flatfishes</x:v>
      </x:c>
      <x:c r="I73" s="31" t="n">
        <x:v>36.399497483000005</x:v>
      </x:c>
      <x:c r="J73" s="31" t="n">
        <x:v>36.399497483000005</x:v>
      </x:c>
      <x:c r="K73" s="31" t="n">
        <x:v>0</x:v>
      </x:c>
      <x:c r="L73" s="31" t="n">
        <x:v>26.7250900055</x:v>
      </x:c>
      <x:c r="M73" s="31" t="n">
        <x:v>9.674407477499999</x:v>
      </x:c>
      <x:c r="N73" s="24" t="str">
        <x:v>bothus pantherinus</x:v>
      </x:c>
      <x:c r="O73" s="32" t="n">
        <x:v>3.5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Bothus pantherinus</x:v>
      </x:c>
      <x:c r="T73" s="32" t="n">
        <x:f>IF(O73="","",(1/'Metadata'!$B$5)^(O73-1))</x:f>
        <x:v>316.22776601683796</x:v>
      </x:c>
      <x:c r="U73" s="31" t="n">
        <x:f>IF(T73="","",I73*T73)</x:f>
        <x:v>11510.531773184608</x:v>
      </x:c>
    </x:row>
    <x:row r="74" ht="18" customHeight="1">
      <x:c r="A74" s="24" t="str">
        <x:v>EEZ_684</x:v>
      </x:c>
      <x:c r="B74" s="24" t="str">
        <x:v>Saudi Arabia (Persian Gulf)</x:v>
      </x:c>
      <x:c r="C74" s="24" t="str">
        <x:v>EEZ</x:v>
      </x:c>
      <x:c r="D74" s="30" t="n">
        <x:v>2019</x:v>
      </x:c>
      <x:c r="E74" s="24" t="str">
        <x:v>Gerres</x:v>
      </x:c>
      <x:c r="F74" s="24" t="str">
        <x:v>Silver biddies</x:v>
      </x:c>
      <x:c r="G74" s="24" t="str">
        <x:v>Small benthopelagics (&lt;30 cm)</x:v>
      </x:c>
      <x:c r="H74" s="24" t="str">
        <x:v>Perch-likes</x:v>
      </x:c>
      <x:c r="I74" s="31" t="n">
        <x:v>34.2742828975</x:v>
      </x:c>
      <x:c r="J74" s="31" t="n">
        <x:v>15.2048281827</x:v>
      </x:c>
      <x:c r="K74" s="31" t="n">
        <x:v>19.0694547148</x:v>
      </x:c>
      <x:c r="L74" s="31" t="n">
        <x:v>10.997611321299999</x:v>
      </x:c>
      <x:c r="M74" s="31" t="n">
        <x:v>23.2766715762</x:v>
      </x:c>
      <x:c r="N74" s="24" t="str">
        <x:v>gerres</x:v>
      </x:c>
      <x:c r="O74" s="32" t="n">
        <x:v>3.27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Gerres</x:v>
      </x:c>
      <x:c r="T74" s="32" t="n">
        <x:f>IF(O74="","",(1/'Metadata'!$B$5)^(O74-1))</x:f>
        <x:v>186.20871366628674</x:v>
      </x:c>
      <x:c r="U74" s="31" t="n">
        <x:f>IF(T74="","",I74*T74)</x:f>
        <x:v>6382.170130177887</x:v>
      </x:c>
    </x:row>
    <x:row r="75" ht="18" customHeight="1">
      <x:c r="A75" s="24" t="str">
        <x:v>EEZ_684</x:v>
      </x:c>
      <x:c r="B75" s="24" t="str">
        <x:v>Saudi Arabia (Persian Gulf)</x:v>
      </x:c>
      <x:c r="C75" s="24" t="str">
        <x:v>EEZ</x:v>
      </x:c>
      <x:c r="D75" s="30" t="n">
        <x:v>2019</x:v>
      </x:c>
      <x:c r="E75" s="24" t="str">
        <x:v>Epinephelus coioides</x:v>
      </x:c>
      <x:c r="F75" s="24" t="str">
        <x:v>Orange-spotted grouper</x:v>
      </x:c>
      <x:c r="G75" s="24" t="str">
        <x:v>Large reef assoc. fish (&gt;=90 cm)</x:v>
      </x:c>
      <x:c r="H75" s="24" t="str">
        <x:v>Perch-likes</x:v>
      </x:c>
      <x:c r="I75" s="31" t="n">
        <x:v>33.6726884609</x:v>
      </x:c>
      <x:c r="J75" s="31" t="n">
        <x:v>33.6726884609</x:v>
      </x:c>
      <x:c r="K75" s="31" t="n">
        <x:v>0</x:v>
      </x:c>
      <x:c r="L75" s="31" t="n">
        <x:v>33.0078174464</x:v>
      </x:c>
      <x:c r="M75" s="31" t="n">
        <x:v>0.6648710145</x:v>
      </x:c>
      <x:c r="N75" s="24" t="str">
        <x:v>epinephelus coioides</x:v>
      </x:c>
      <x:c r="O75" s="32" t="n">
        <x:v>4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Epinephelus coioides</x:v>
      </x:c>
      <x:c r="T75" s="32" t="n">
        <x:f>IF(O75="","",(1/'Metadata'!$B$5)^(O75-1))</x:f>
        <x:v>1000</x:v>
      </x:c>
      <x:c r="U75" s="31" t="n">
        <x:f>IF(T75="","",I75*T75)</x:f>
        <x:v>33672.6884609</x:v>
      </x:c>
    </x:row>
    <x:row r="76" ht="18" customHeight="1">
      <x:c r="A76" s="24" t="str">
        <x:v>EEZ_684</x:v>
      </x:c>
      <x:c r="B76" s="24" t="str">
        <x:v>Saudi Arabia (Persian Gulf)</x:v>
      </x:c>
      <x:c r="C76" s="24" t="str">
        <x:v>EEZ</x:v>
      </x:c>
      <x:c r="D76" s="30" t="n">
        <x:v>2019</x:v>
      </x:c>
      <x:c r="E76" s="24" t="str">
        <x:v>Epinephelus chlorostigma</x:v>
      </x:c>
      <x:c r="F76" s="24" t="str">
        <x:v>Brownspotted grouper</x:v>
      </x:c>
      <x:c r="G76" s="24" t="str">
        <x:v>Medium reef assoc. fish (30 - 89 cm)</x:v>
      </x:c>
      <x:c r="H76" s="24" t="str">
        <x:v>Perch-likes</x:v>
      </x:c>
      <x:c r="I76" s="31" t="n">
        <x:v>30.833003448899998</x:v>
      </x:c>
      <x:c r="J76" s="31" t="n">
        <x:v>30.833003448899998</x:v>
      </x:c>
      <x:c r="K76" s="31" t="n">
        <x:v>0</x:v>
      </x:c>
      <x:c r="L76" s="31" t="n">
        <x:v>22.8545556305</x:v>
      </x:c>
      <x:c r="M76" s="31" t="n">
        <x:v>7.9784478184</x:v>
      </x:c>
      <x:c r="N76" s="24" t="str">
        <x:v>epinephelus chlorostigma</x:v>
      </x:c>
      <x:c r="O76" s="32" t="n">
        <x:v>3.99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Epinephelus chlorostigma</x:v>
      </x:c>
      <x:c r="T76" s="32" t="n">
        <x:f>IF(O76="","",(1/'Metadata'!$B$5)^(O76-1))</x:f>
        <x:v>977.2372209558112</x:v>
      </x:c>
      <x:c r="U76" s="31" t="n">
        <x:f>IF(T76="","",I76*T76)</x:f>
        <x:v>30131.158604123975</x:v>
      </x:c>
    </x:row>
    <x:row r="77" ht="18" customHeight="1">
      <x:c r="A77" s="24" t="str">
        <x:v>EEZ_684</x:v>
      </x:c>
      <x:c r="B77" s="24" t="str">
        <x:v>Saudi Arabia (Persian Gulf)</x:v>
      </x:c>
      <x:c r="C77" s="24" t="str">
        <x:v>EEZ</x:v>
      </x:c>
      <x:c r="D77" s="30" t="n">
        <x:v>2019</x:v>
      </x:c>
      <x:c r="E77" s="24" t="str">
        <x:v>Lethrinus xanthochilus</x:v>
      </x:c>
      <x:c r="F77" s="24" t="str">
        <x:v>Yellowlip emperor</x:v>
      </x:c>
      <x:c r="G77" s="24" t="str">
        <x:v>Medium reef assoc. fish (30 - 89 cm)</x:v>
      </x:c>
      <x:c r="H77" s="24" t="str">
        <x:v>Perch-likes</x:v>
      </x:c>
      <x:c r="I77" s="31" t="n">
        <x:v>27.1960676951</x:v>
      </x:c>
      <x:c r="J77" s="31" t="n">
        <x:v>27.1960676951</x:v>
      </x:c>
      <x:c r="K77" s="31" t="n">
        <x:v>0</x:v>
      </x:c>
      <x:c r="L77" s="31" t="n">
        <x:v>20.1917447818</x:v>
      </x:c>
      <x:c r="M77" s="31" t="n">
        <x:v>7.0043229133</x:v>
      </x:c>
      <x:c r="N77" s="24" t="str">
        <x:v>lethrinus xanthochilus</x:v>
      </x:c>
      <x:c r="O77" s="32" t="n">
        <x:v>3.78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Lethrinus xanthochilus</x:v>
      </x:c>
      <x:c r="T77" s="32" t="n">
        <x:f>IF(O77="","",(1/'Metadata'!$B$5)^(O77-1))</x:f>
        <x:v>602.5595860743575</x:v>
      </x:c>
      <x:c r="U77" s="31" t="n">
        <x:f>IF(T77="","",I77*T77)</x:f>
        <x:v>16387.251293209665</x:v>
      </x:c>
    </x:row>
    <x:row r="78" ht="18" customHeight="1">
      <x:c r="A78" s="24" t="str">
        <x:v>EEZ_684</x:v>
      </x:c>
      <x:c r="B78" s="24" t="str">
        <x:v>Saudi Arabia (Persian Gulf)</x:v>
      </x:c>
      <x:c r="C78" s="24" t="str">
        <x:v>EEZ</x:v>
      </x:c>
      <x:c r="D78" s="30" t="n">
        <x:v>2019</x:v>
      </x:c>
      <x:c r="E78" s="24" t="str">
        <x:v>Epinephelus fuscoguttatus</x:v>
      </x:c>
      <x:c r="F78" s="24" t="str">
        <x:v>Brown-marbled grouper</x:v>
      </x:c>
      <x:c r="G78" s="24" t="str">
        <x:v>Large reef assoc. fish (&gt;=90 cm)</x:v>
      </x:c>
      <x:c r="H78" s="24" t="str">
        <x:v>Perch-likes</x:v>
      </x:c>
      <x:c r="I78" s="31" t="n">
        <x:v>26.2754027434</x:v>
      </x:c>
      <x:c r="J78" s="31" t="n">
        <x:v>26.2754027434</x:v>
      </x:c>
      <x:c r="K78" s="31" t="n">
        <x:v>0</x:v>
      </x:c>
      <x:c r="L78" s="31" t="n">
        <x:v>19.8926441884</x:v>
      </x:c>
      <x:c r="M78" s="31" t="n">
        <x:v>6.382758555</x:v>
      </x:c>
      <x:c r="N78" s="24" t="str">
        <x:v>epinephelus fuscoguttatus</x:v>
      </x:c>
      <x:c r="O78" s="32" t="n">
        <x:v>4.14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Epinephelus fuscoguttatus</x:v>
      </x:c>
      <x:c r="T78" s="32" t="n">
        <x:f>IF(O78="","",(1/'Metadata'!$B$5)^(O78-1))</x:f>
        <x:v>1380.3842646028838</x:v>
      </x:c>
      <x:c r="U78" s="31" t="n">
        <x:f>IF(T78="","",I78*T78)</x:f>
        <x:v>36270.152493092806</x:v>
      </x:c>
    </x:row>
    <x:row r="79" ht="18" customHeight="1">
      <x:c r="A79" s="24" t="str">
        <x:v>EEZ_684</x:v>
      </x:c>
      <x:c r="B79" s="24" t="str">
        <x:v>Saudi Arabia (Persian Gulf)</x:v>
      </x:c>
      <x:c r="C79" s="24" t="str">
        <x:v>EEZ</x:v>
      </x:c>
      <x:c r="D79" s="30" t="n">
        <x:v>2019</x:v>
      </x:c>
      <x:c r="E79" s="24" t="str">
        <x:v>Caranx melampygus</x:v>
      </x:c>
      <x:c r="F79" s="24" t="str">
        <x:v>Bluefin trevally</x:v>
      </x:c>
      <x:c r="G79" s="24" t="str">
        <x:v>Large reef assoc. fish (&gt;=90 cm)</x:v>
      </x:c>
      <x:c r="H79" s="24" t="str">
        <x:v>Perch-likes</x:v>
      </x:c>
      <x:c r="I79" s="31" t="n">
        <x:v>25.3962174003</x:v>
      </x:c>
      <x:c r="J79" s="31" t="n">
        <x:v>25.3962174003</x:v>
      </x:c>
      <x:c r="K79" s="31" t="n">
        <x:v>0</x:v>
      </x:c>
      <x:c r="L79" s="31" t="n">
        <x:v>19.5889804027</x:v>
      </x:c>
      <x:c r="M79" s="31" t="n">
        <x:v>5.8072369976000004</x:v>
      </x:c>
      <x:c r="N79" s="24" t="str">
        <x:v>caranx melampygus</x:v>
      </x:c>
      <x:c r="O79" s="32" t="n">
        <x:v>4.49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Caranx melampygus</x:v>
      </x:c>
      <x:c r="T79" s="32" t="n">
        <x:f>IF(O79="","",(1/'Metadata'!$B$5)^(O79-1))</x:f>
        <x:v>3090.295432513592</x:v>
      </x:c>
      <x:c r="U79" s="31" t="n">
        <x:f>IF(T79="","",I79*T79)</x:f>
        <x:v>78481.8146352693</x:v>
      </x:c>
    </x:row>
    <x:row r="80" ht="18" customHeight="1">
      <x:c r="A80" s="24" t="str">
        <x:v>EEZ_684</x:v>
      </x:c>
      <x:c r="B80" s="24" t="str">
        <x:v>Saudi Arabia (Persian Gulf)</x:v>
      </x:c>
      <x:c r="C80" s="24" t="str">
        <x:v>EEZ</x:v>
      </x:c>
      <x:c r="D80" s="30" t="n">
        <x:v>2019</x:v>
      </x:c>
      <x:c r="E80" s="24" t="str">
        <x:v>Maculabatis gerrardi</x:v>
      </x:c>
      <x:c r="F80" s="24" t="str">
        <x:v>Sharpnose stingray</x:v>
      </x:c>
      <x:c r="G80" s="24" t="str">
        <x:v>Large rays (&gt;=90 cm)</x:v>
      </x:c>
      <x:c r="H80" s="24" t="str">
        <x:v>Sharks &amp; rays</x:v>
      </x:c>
      <x:c r="I80" s="31" t="n">
        <x:v>23.845204294400002</x:v>
      </x:c>
      <x:c r="J80" s="31" t="n">
        <x:v>23.845204294400002</x:v>
      </x:c>
      <x:c r="K80" s="31" t="n">
        <x:v>0</x:v>
      </x:c>
      <x:c r="L80" s="31" t="n">
        <x:v>23.845204294400002</x:v>
      </x:c>
      <x:c r="M80" s="31" t="n">
        <x:v>0</x:v>
      </x:c>
      <x:c r="N80" s="24" t="str">
        <x:v>maculabatis gerrardi</x:v>
      </x:c>
      <x:c r="O80" s="32" t="n">
        <x:v>3.73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Maculabatis gerrardi</x:v>
      </x:c>
      <x:c r="T80" s="32" t="n">
        <x:f>IF(O80="","",(1/'Metadata'!$B$5)^(O80-1))</x:f>
        <x:v>537.0317963702527</x:v>
      </x:c>
      <x:c r="U80" s="31" t="n">
        <x:f>IF(T80="","",I80*T80)</x:f>
        <x:v>12805.632897037296</x:v>
      </x:c>
    </x:row>
    <x:row r="81" ht="18" customHeight="1">
      <x:c r="A81" s="24" t="str">
        <x:v>EEZ_684</x:v>
      </x:c>
      <x:c r="B81" s="24" t="str">
        <x:v>Saudi Arabia (Persian Gulf)</x:v>
      </x:c>
      <x:c r="C81" s="24" t="str">
        <x:v>EEZ</x:v>
      </x:c>
      <x:c r="D81" s="30" t="n">
        <x:v>2019</x:v>
      </x:c>
      <x:c r="E81" s="24" t="str">
        <x:v>Penaeus</x:v>
      </x:c>
      <x:c r="F81" s="24" t="str">
        <x:v>Tiger prawns</x:v>
      </x:c>
      <x:c r="G81" s="24" t="str">
        <x:v>Shrimps</x:v>
      </x:c>
      <x:c r="H81" s="24" t="str">
        <x:v>Crustaceans</x:v>
      </x:c>
      <x:c r="I81" s="31" t="n">
        <x:v>23.0027860867</x:v>
      </x:c>
      <x:c r="J81" s="31" t="n">
        <x:v>23.0027860867</x:v>
      </x:c>
      <x:c r="K81" s="31" t="n">
        <x:v>0</x:v>
      </x:c>
      <x:c r="L81" s="31" t="n">
        <x:v>23.0027860867</x:v>
      </x:c>
      <x:c r="M81" s="31" t="n">
        <x:v>0</x:v>
      </x:c>
      <x:c r="N81" s="24" t="str">
        <x:v>penaeus</x:v>
      </x:c>
      <x:c r="O81" s="32" t="n">
        <x:v>2.7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Penaeus</x:v>
      </x:c>
      <x:c r="T81" s="32" t="n">
        <x:f>IF(O81="","",(1/'Metadata'!$B$5)^(O81-1))</x:f>
        <x:v>50.11872336272725</x:v>
      </x:c>
      <x:c r="U81" s="31" t="n">
        <x:f>IF(T81="","",I81*T81)</x:f>
        <x:v>1152.8702724513087</x:v>
      </x:c>
    </x:row>
    <x:row r="82" ht="18" customHeight="1">
      <x:c r="A82" s="24" t="str">
        <x:v>EEZ_684</x:v>
      </x:c>
      <x:c r="B82" s="24" t="str">
        <x:v>Saudi Arabia (Persian Gulf)</x:v>
      </x:c>
      <x:c r="C82" s="24" t="str">
        <x:v>EEZ</x:v>
      </x:c>
      <x:c r="D82" s="30" t="n">
        <x:v>2019</x:v>
      </x:c>
      <x:c r="E82" s="24" t="str">
        <x:v>Diagramma pictum</x:v>
      </x:c>
      <x:c r="F82" s="24" t="str">
        <x:v>Painted sweetlips</x:v>
      </x:c>
      <x:c r="G82" s="24" t="str">
        <x:v>Large reef assoc. fish (&gt;=90 cm)</x:v>
      </x:c>
      <x:c r="H82" s="24" t="str">
        <x:v>Perch-likes</x:v>
      </x:c>
      <x:c r="I82" s="31" t="n">
        <x:v>21.933657996999997</x:v>
      </x:c>
      <x:c r="J82" s="31" t="n">
        <x:v>21.933657996999997</x:v>
      </x:c>
      <x:c r="K82" s="31" t="n">
        <x:v>0</x:v>
      </x:c>
      <x:c r="L82" s="31" t="n">
        <x:v>15.595382705699999</x:v>
      </x:c>
      <x:c r="M82" s="31" t="n">
        <x:v>6.3382752913</x:v>
      </x:c>
      <x:c r="N82" s="24" t="str">
        <x:v>diagramma pictum</x:v>
      </x:c>
      <x:c r="O82" s="32" t="n">
        <x:v>3.7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Diagramma pictum</x:v>
      </x:c>
      <x:c r="T82" s="32" t="n">
        <x:f>IF(O82="","",(1/'Metadata'!$B$5)^(O82-1))</x:f>
        <x:v>501.18723362727246</x:v>
      </x:c>
      <x:c r="U82" s="31" t="n">
        <x:f>IF(T82="","",I82*T82)</x:f>
        <x:v>10992.86937484313</x:v>
      </x:c>
    </x:row>
    <x:row r="83" ht="18" customHeight="1">
      <x:c r="A83" s="24" t="str">
        <x:v>EEZ_684</x:v>
      </x:c>
      <x:c r="B83" s="24" t="str">
        <x:v>Saudi Arabia (Persian Gulf)</x:v>
      </x:c>
      <x:c r="C83" s="24" t="str">
        <x:v>EEZ</x:v>
      </x:c>
      <x:c r="D83" s="30" t="n">
        <x:v>2019</x:v>
      </x:c>
      <x:c r="E83" s="24" t="str">
        <x:v>Scomberoides lysan</x:v>
      </x:c>
      <x:c r="F83" s="24" t="str">
        <x:v>Doublespotted queenfish</x:v>
      </x:c>
      <x:c r="G83" s="24" t="str">
        <x:v>Medium reef assoc. fish (30 - 89 cm)</x:v>
      </x:c>
      <x:c r="H83" s="24" t="str">
        <x:v>Perch-likes</x:v>
      </x:c>
      <x:c r="I83" s="31" t="n">
        <x:v>21.3845141036</x:v>
      </x:c>
      <x:c r="J83" s="31" t="n">
        <x:v>21.3845141036</x:v>
      </x:c>
      <x:c r="K83" s="31" t="n">
        <x:v>0</x:v>
      </x:c>
      <x:c r="L83" s="31" t="n">
        <x:v>14.1195620136</x:v>
      </x:c>
      <x:c r="M83" s="31" t="n">
        <x:v>7.26495209</x:v>
      </x:c>
      <x:c r="N83" s="24" t="str">
        <x:v>scomberoides lysan</x:v>
      </x:c>
      <x:c r="O83" s="32" t="n">
        <x:v>4.38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Scomberoides lysan</x:v>
      </x:c>
      <x:c r="T83" s="32" t="n">
        <x:f>IF(O83="","",(1/'Metadata'!$B$5)^(O83-1))</x:f>
        <x:v>2398.83291901949</x:v>
      </x:c>
      <x:c r="U83" s="31" t="n">
        <x:f>IF(T83="","",I83*T83)</x:f>
        <x:v>51297.876388952245</x:v>
      </x:c>
    </x:row>
    <x:row r="84" ht="18" customHeight="1">
      <x:c r="A84" s="24" t="str">
        <x:v>EEZ_684</x:v>
      </x:c>
      <x:c r="B84" s="24" t="str">
        <x:v>Saudi Arabia (Persian Gulf)</x:v>
      </x:c>
      <x:c r="C84" s="24" t="str">
        <x:v>EEZ</x:v>
      </x:c>
      <x:c r="D84" s="30" t="n">
        <x:v>2019</x:v>
      </x:c>
      <x:c r="E84" s="24" t="str">
        <x:v>Trichiuridae</x:v>
      </x:c>
      <x:c r="F84" s="24" t="str">
        <x:v>Cutlassfishes</x:v>
      </x:c>
      <x:c r="G84" s="24" t="str">
        <x:v>Large benthopelagics (&gt;=90 cm)</x:v>
      </x:c>
      <x:c r="H84" s="24" t="str">
        <x:v>Perch-likes</x:v>
      </x:c>
      <x:c r="I84" s="31" t="n">
        <x:v>19.0694547148</x:v>
      </x:c>
      <x:c r="J84" s="31" t="n">
        <x:v>0</x:v>
      </x:c>
      <x:c r="K84" s="31" t="n">
        <x:v>19.0694547148</x:v>
      </x:c>
      <x:c r="L84" s="31" t="n">
        <x:v>0</x:v>
      </x:c>
      <x:c r="M84" s="31" t="n">
        <x:v>19.0694547148</x:v>
      </x:c>
      <x:c r="N84" s="24" t="str">
        <x:v>trichiuridae</x:v>
      </x:c>
      <x:c r="O84" s="32" t="n">
        <x:v>4.15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Trichiuridae</x:v>
      </x:c>
      <x:c r="T84" s="32" t="n">
        <x:f>IF(O84="","",(1/'Metadata'!$B$5)^(O84-1))</x:f>
        <x:v>1412.5375446227554</x:v>
      </x:c>
      <x:c r="U84" s="31" t="n">
        <x:f>IF(T84="","",I84*T84)</x:f>
        <x:v>26936.320740138417</x:v>
      </x:c>
    </x:row>
    <x:row r="85" ht="18" customHeight="1">
      <x:c r="A85" s="24" t="str">
        <x:v>EEZ_684</x:v>
      </x:c>
      <x:c r="B85" s="24" t="str">
        <x:v>Saudi Arabia (Persian Gulf)</x:v>
      </x:c>
      <x:c r="C85" s="24" t="str">
        <x:v>EEZ</x:v>
      </x:c>
      <x:c r="D85" s="30" t="n">
        <x:v>2019</x:v>
      </x:c>
      <x:c r="E85" s="24" t="str">
        <x:v>Thenus orientalis</x:v>
      </x:c>
      <x:c r="F85" s="24" t="str">
        <x:v>Flathead lobster</x:v>
      </x:c>
      <x:c r="G85" s="24" t="str">
        <x:v>Lobsters, crabs</x:v>
      </x:c>
      <x:c r="H85" s="24" t="str">
        <x:v>Crustaceans</x:v>
      </x:c>
      <x:c r="I85" s="31" t="n">
        <x:v>18.6858838251</x:v>
      </x:c>
      <x:c r="J85" s="31" t="n">
        <x:v>18.6858838251</x:v>
      </x:c>
      <x:c r="K85" s="31" t="n">
        <x:v>0</x:v>
      </x:c>
      <x:c r="L85" s="31" t="n">
        <x:v>12.77276</x:v>
      </x:c>
      <x:c r="M85" s="31" t="n">
        <x:v>5.9131238251</x:v>
      </x:c>
      <x:c r="N85" s="24" t="str">
        <x:v>thenus orientalis</x:v>
      </x:c>
      <x:c r="O85" s="32" t="n">
        <x:v>2.5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Thenus orientalis</x:v>
      </x:c>
      <x:c r="T85" s="32" t="n">
        <x:f>IF(O85="","",(1/'Metadata'!$B$5)^(O85-1))</x:f>
        <x:v>31.622776601683793</x:v>
      </x:c>
      <x:c r="U85" s="31" t="n">
        <x:f>IF(T85="","",I85*T85)</x:f>
        <x:v>590.899529806154</x:v>
      </x:c>
    </x:row>
    <x:row r="86" ht="18" customHeight="1">
      <x:c r="A86" s="24" t="str">
        <x:v>EEZ_684</x:v>
      </x:c>
      <x:c r="B86" s="24" t="str">
        <x:v>Saudi Arabia (Persian Gulf)</x:v>
      </x:c>
      <x:c r="C86" s="24" t="str">
        <x:v>EEZ</x:v>
      </x:c>
      <x:c r="D86" s="30" t="n">
        <x:v>2019</x:v>
      </x:c>
      <x:c r="E86" s="24" t="str">
        <x:v>Aethaloperca rogaa</x:v>
      </x:c>
      <x:c r="F86" s="24" t="str">
        <x:v>Redmouth grouper</x:v>
      </x:c>
      <x:c r="G86" s="24" t="str">
        <x:v>Medium reef assoc. fish (30 - 89 cm)</x:v>
      </x:c>
      <x:c r="H86" s="24" t="str">
        <x:v>Perch-likes</x:v>
      </x:c>
      <x:c r="I86" s="31" t="n">
        <x:v>18.3290705858</x:v>
      </x:c>
      <x:c r="J86" s="31" t="n">
        <x:v>18.3290705858</x:v>
      </x:c>
      <x:c r="K86" s="31" t="n">
        <x:v>0</x:v>
      </x:c>
      <x:c r="L86" s="31" t="n">
        <x:v>13.542001598699999</x:v>
      </x:c>
      <x:c r="M86" s="31" t="n">
        <x:v>4.7870689871</x:v>
      </x:c>
      <x:c r="N86" s="24" t="str">
        <x:v>aethaloperca rogaa</x:v>
      </x:c>
      <x:c r="O86" s="32" t="n">
        <x:v>4.2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Aethaloperca rogaa</x:v>
      </x:c>
      <x:c r="T86" s="32" t="n">
        <x:f>IF(O86="","",(1/'Metadata'!$B$5)^(O86-1))</x:f>
        <x:v>1584.893192461114</x:v>
      </x:c>
      <x:c r="U86" s="31" t="n">
        <x:f>IF(T86="","",I86*T86)</x:f>
        <x:v>29049.619195573665</x:v>
      </x:c>
    </x:row>
    <x:row r="87" ht="18" customHeight="1">
      <x:c r="A87" s="24" t="str">
        <x:v>EEZ_684</x:v>
      </x:c>
      <x:c r="B87" s="24" t="str">
        <x:v>Saudi Arabia (Persian Gulf)</x:v>
      </x:c>
      <x:c r="C87" s="24" t="str">
        <x:v>EEZ</x:v>
      </x:c>
      <x:c r="D87" s="30" t="n">
        <x:v>2019</x:v>
      </x:c>
      <x:c r="E87" s="24" t="str">
        <x:v>Sillago sihama</x:v>
      </x:c>
      <x:c r="F87" s="24" t="str">
        <x:v>Silver sillago</x:v>
      </x:c>
      <x:c r="G87" s="24" t="str">
        <x:v>Medium demersals (30 - 89 cm)</x:v>
      </x:c>
      <x:c r="H87" s="24" t="str">
        <x:v>Perch-likes</x:v>
      </x:c>
      <x:c r="I87" s="31" t="n">
        <x:v>14.587288187199999</x:v>
      </x:c>
      <x:c r="J87" s="31" t="n">
        <x:v>14.587288187199999</x:v>
      </x:c>
      <x:c r="K87" s="31" t="n">
        <x:v>0</x:v>
      </x:c>
      <x:c r="L87" s="31" t="n">
        <x:v>13.2917102305</x:v>
      </x:c>
      <x:c r="M87" s="31" t="n">
        <x:v>1.2955779567</x:v>
      </x:c>
      <x:c r="N87" s="24" t="str">
        <x:v>sillago sihama</x:v>
      </x:c>
      <x:c r="O87" s="32" t="n">
        <x:v>3.33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Sillago sihama</x:v>
      </x:c>
      <x:c r="T87" s="32" t="n">
        <x:f>IF(O87="","",(1/'Metadata'!$B$5)^(O87-1))</x:f>
        <x:v>213.79620895022325</x:v>
      </x:c>
      <x:c r="U87" s="31" t="n">
        <x:f>IF(T87="","",I87*T87)</x:f>
        <x:v>3118.706913287734</x:v>
      </x:c>
    </x:row>
    <x:row r="88" ht="18" customHeight="1">
      <x:c r="A88" s="24" t="str">
        <x:v>EEZ_684</x:v>
      </x:c>
      <x:c r="B88" s="24" t="str">
        <x:v>Saudi Arabia (Persian Gulf)</x:v>
      </x:c>
      <x:c r="C88" s="24" t="str">
        <x:v>EEZ</x:v>
      </x:c>
      <x:c r="D88" s="30" t="n">
        <x:v>2019</x:v>
      </x:c>
      <x:c r="E88" s="24" t="str">
        <x:v>Hemiramphidae</x:v>
      </x:c>
      <x:c r="F88" s="24" t="str">
        <x:v>Halfbeaks, garfishes</x:v>
      </x:c>
      <x:c r="G88" s="24" t="str">
        <x:v>Medium pelagics (30 - 89 cm)</x:v>
      </x:c>
      <x:c r="H88" s="24" t="str">
        <x:v>Other fishes &amp; inverts</x:v>
      </x:c>
      <x:c r="I88" s="31" t="n">
        <x:v>14.5259315705</x:v>
      </x:c>
      <x:c r="J88" s="31" t="n">
        <x:v>14.5259315705</x:v>
      </x:c>
      <x:c r="K88" s="31" t="n">
        <x:v>0</x:v>
      </x:c>
      <x:c r="L88" s="31" t="n">
        <x:v>14.5259315705</x:v>
      </x:c>
      <x:c r="M88" s="31" t="n">
        <x:v>0</x:v>
      </x:c>
      <x:c r="N88" s="24" t="str">
        <x:v>hemiramphidae</x:v>
      </x:c>
      <x:c r="O88" s="32" t="n">
        <x:v>2.82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Hemiramphidae</x:v>
      </x:c>
      <x:c r="T88" s="32" t="n">
        <x:f>IF(O88="","",(1/'Metadata'!$B$5)^(O88-1))</x:f>
        <x:v>66.06934480075958</x:v>
      </x:c>
      <x:c r="U88" s="31" t="n">
        <x:f>IF(T88="","",I88*T88)</x:f>
        <x:v>959.7187814836036</x:v>
      </x:c>
    </x:row>
    <x:row r="89" ht="18" customHeight="1">
      <x:c r="A89" s="24" t="str">
        <x:v>EEZ_684</x:v>
      </x:c>
      <x:c r="B89" s="24" t="str">
        <x:v>Saudi Arabia (Persian Gulf)</x:v>
      </x:c>
      <x:c r="C89" s="24" t="str">
        <x:v>EEZ</x:v>
      </x:c>
      <x:c r="D89" s="30" t="n">
        <x:v>2019</x:v>
      </x:c>
      <x:c r="E89" s="24" t="str">
        <x:v>Soleidae</x:v>
      </x:c>
      <x:c r="F89" s="24" t="str">
        <x:v>Soles</x:v>
      </x:c>
      <x:c r="G89" s="24" t="str">
        <x:v>Small to medium flatfishes (&lt;90 cm)</x:v>
      </x:c>
      <x:c r="H89" s="24" t="str">
        <x:v>Flatfishes</x:v>
      </x:c>
      <x:c r="I89" s="31" t="n">
        <x:v>9.5347251916</x:v>
      </x:c>
      <x:c r="J89" s="31" t="n">
        <x:v>0</x:v>
      </x:c>
      <x:c r="K89" s="31" t="n">
        <x:v>9.5347251916</x:v>
      </x:c>
      <x:c r="L89" s="31" t="n">
        <x:v>0</x:v>
      </x:c>
      <x:c r="M89" s="31" t="n">
        <x:v>9.5347251916</x:v>
      </x:c>
      <x:c r="N89" s="24" t="str">
        <x:v>soleidae</x:v>
      </x:c>
      <x:c r="O89" s="32" t="n">
        <x:v>3.15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Soleidae</x:v>
      </x:c>
      <x:c r="T89" s="32" t="n">
        <x:f>IF(O89="","",(1/'Metadata'!$B$5)^(O89-1))</x:f>
        <x:v>141.2537544622754</x:v>
      </x:c>
      <x:c r="U89" s="31" t="n">
        <x:f>IF(T89="","",I89*T89)</x:f>
        <x:v>1346.8157310795382</x:v>
      </x:c>
    </x:row>
    <x:row r="90" ht="18" customHeight="1">
      <x:c r="A90" s="24" t="str">
        <x:v>EEZ_684</x:v>
      </x:c>
      <x:c r="B90" s="24" t="str">
        <x:v>Saudi Arabia (Persian Gulf)</x:v>
      </x:c>
      <x:c r="C90" s="24" t="str">
        <x:v>EEZ</x:v>
      </x:c>
      <x:c r="D90" s="30" t="n">
        <x:v>2019</x:v>
      </x:c>
      <x:c r="E90" s="24" t="str">
        <x:v>Bramidae</x:v>
      </x:c>
      <x:c r="F90" s="24" t="str">
        <x:v>Pomfrets</x:v>
      </x:c>
      <x:c r="G90" s="24" t="str">
        <x:v>Medium pelagics (30 - 89 cm)</x:v>
      </x:c>
      <x:c r="H90" s="24" t="str">
        <x:v>Perch-likes</x:v>
      </x:c>
      <x:c r="I90" s="31" t="n">
        <x:v>9.5347251916</x:v>
      </x:c>
      <x:c r="J90" s="31" t="n">
        <x:v>0</x:v>
      </x:c>
      <x:c r="K90" s="31" t="n">
        <x:v>9.5347251916</x:v>
      </x:c>
      <x:c r="L90" s="31" t="n">
        <x:v>0</x:v>
      </x:c>
      <x:c r="M90" s="31" t="n">
        <x:v>9.5347251916</x:v>
      </x:c>
      <x:c r="N90" s="24" t="str">
        <x:v>bramidae</x:v>
      </x:c>
      <x:c r="O90" s="32" t="n">
        <x:v>4.14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Bramidae</x:v>
      </x:c>
      <x:c r="T90" s="32" t="n">
        <x:f>IF(O90="","",(1/'Metadata'!$B$5)^(O90-1))</x:f>
        <x:v>1380.3842646028838</x:v>
      </x:c>
      <x:c r="U90" s="31" t="n">
        <x:f>IF(T90="","",I90*T90)</x:f>
        <x:v>13161.584621797356</x:v>
      </x:c>
    </x:row>
    <x:row r="91" ht="18" customHeight="1">
      <x:c r="A91" s="24" t="str">
        <x:v>EEZ_684</x:v>
      </x:c>
      <x:c r="B91" s="24" t="str">
        <x:v>Saudi Arabia (Persian Gulf)</x:v>
      </x:c>
      <x:c r="C91" s="24" t="str">
        <x:v>EEZ</x:v>
      </x:c>
      <x:c r="D91" s="30" t="n">
        <x:v>2019</x:v>
      </x:c>
      <x:c r="E91" s="24" t="str">
        <x:v>Platycephalidae</x:v>
      </x:c>
      <x:c r="F91" s="24" t="str">
        <x:v>Flatheads</x:v>
      </x:c>
      <x:c r="G91" s="24" t="str">
        <x:v>Medium demersals (30 - 89 cm)</x:v>
      </x:c>
      <x:c r="H91" s="24" t="str">
        <x:v>Scorpionfishes</x:v>
      </x:c>
      <x:c r="I91" s="31" t="n">
        <x:v>9.5347251916</x:v>
      </x:c>
      <x:c r="J91" s="31" t="n">
        <x:v>0</x:v>
      </x:c>
      <x:c r="K91" s="31" t="n">
        <x:v>9.5347251916</x:v>
      </x:c>
      <x:c r="L91" s="31" t="n">
        <x:v>0</x:v>
      </x:c>
      <x:c r="M91" s="31" t="n">
        <x:v>9.5347251916</x:v>
      </x:c>
      <x:c r="N91" s="24" t="str">
        <x:v>platycephalidae</x:v>
      </x:c>
      <x:c r="O91" s="32" t="n">
        <x:v>3.9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Platycephalidae</x:v>
      </x:c>
      <x:c r="T91" s="32" t="n">
        <x:f>IF(O91="","",(1/'Metadata'!$B$5)^(O91-1))</x:f>
        <x:v>794.3282347242813</x:v>
      </x:c>
      <x:c r="U91" s="31" t="n">
        <x:f>IF(T91="","",I91*T91)</x:f>
        <x:v>7573.701430024763</x:v>
      </x:c>
    </x:row>
    <x:row r="92" ht="18" customHeight="1">
      <x:c r="A92" s="24" t="str">
        <x:v>EEZ_684</x:v>
      </x:c>
      <x:c r="B92" s="24" t="str">
        <x:v>Saudi Arabia (Persian Gulf)</x:v>
      </x:c>
      <x:c r="C92" s="24" t="str">
        <x:v>EEZ</x:v>
      </x:c>
      <x:c r="D92" s="30" t="n">
        <x:v>2019</x:v>
      </x:c>
      <x:c r="E92" s="24" t="str">
        <x:v>Scombridae</x:v>
      </x:c>
      <x:c r="F92" s="24" t="str">
        <x:v>Mackerels, tunas, bonitos</x:v>
      </x:c>
      <x:c r="G92" s="24" t="str">
        <x:v>Medium pelagics (30 - 89 cm)</x:v>
      </x:c>
      <x:c r="H92" s="24" t="str">
        <x:v>Perch-likes</x:v>
      </x:c>
      <x:c r="I92" s="31" t="n">
        <x:v>8.7406641911</x:v>
      </x:c>
      <x:c r="J92" s="31" t="n">
        <x:v>8.7406641911</x:v>
      </x:c>
      <x:c r="K92" s="31" t="n">
        <x:v>0</x:v>
      </x:c>
      <x:c r="L92" s="31" t="n">
        <x:v>0</x:v>
      </x:c>
      <x:c r="M92" s="31" t="n">
        <x:v>8.7406641911</x:v>
      </x:c>
      <x:c r="N92" s="24" t="str">
        <x:v>scombridae</x:v>
      </x:c>
      <x:c r="O92" s="32" t="n">
        <x:v>4.26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Scombridae</x:v>
      </x:c>
      <x:c r="T92" s="32" t="n">
        <x:f>IF(O92="","",(1/'Metadata'!$B$5)^(O92-1))</x:f>
        <x:v>1819.7008586099826</x:v>
      </x:c>
      <x:c r="U92" s="31" t="n">
        <x:f>IF(T92="","",I92*T92)</x:f>
        <x:v>15905.394133366199</x:v>
      </x:c>
    </x:row>
    <x:row r="93" ht="18" customHeight="1">
      <x:c r="A93" s="24" t="str">
        <x:v>EEZ_684</x:v>
      </x:c>
      <x:c r="B93" s="24" t="str">
        <x:v>Saudi Arabia (Persian Gulf)</x:v>
      </x:c>
      <x:c r="C93" s="24" t="str">
        <x:v>EEZ</x:v>
      </x:c>
      <x:c r="D93" s="30" t="n">
        <x:v>2019</x:v>
      </x:c>
      <x:c r="E93" s="24" t="str">
        <x:v>Lutjanus kasmira</x:v>
      </x:c>
      <x:c r="F93" s="24" t="str">
        <x:v>Common bluestripe snapper</x:v>
      </x:c>
      <x:c r="G93" s="24" t="str">
        <x:v>Medium reef assoc. fish (30 - 89 cm)</x:v>
      </x:c>
      <x:c r="H93" s="24" t="str">
        <x:v>Perch-likes</x:v>
      </x:c>
      <x:c r="I93" s="31" t="n">
        <x:v>8.4754542925</x:v>
      </x:c>
      <x:c r="J93" s="31" t="n">
        <x:v>8.4754542925</x:v>
      </x:c>
      <x:c r="K93" s="31" t="n">
        <x:v>0</x:v>
      </x:c>
      <x:c r="L93" s="31" t="n">
        <x:v>6.1464782665</x:v>
      </x:c>
      <x:c r="M93" s="31" t="n">
        <x:v>2.328976026</x:v>
      </x:c>
      <x:c r="N93" s="24" t="str">
        <x:v>lutjanus kasmira</x:v>
      </x:c>
      <x:c r="O93" s="32" t="n">
        <x:v>3.87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Lutjanus kasmira</x:v>
      </x:c>
      <x:c r="T93" s="32" t="n">
        <x:f>IF(O93="","",(1/'Metadata'!$B$5)^(O93-1))</x:f>
        <x:v>741.3102413009177</x:v>
      </x:c>
      <x:c r="U93" s="31" t="n">
        <x:f>IF(T93="","",I93*T93)</x:f>
        <x:v>6282.941066708074</x:v>
      </x:c>
    </x:row>
    <x:row r="94" ht="18" customHeight="1">
      <x:c r="A94" s="24" t="str">
        <x:v>EEZ_684</x:v>
      </x:c>
      <x:c r="B94" s="24" t="str">
        <x:v>Saudi Arabia (Persian Gulf)</x:v>
      </x:c>
      <x:c r="C94" s="24" t="str">
        <x:v>EEZ</x:v>
      </x:c>
      <x:c r="D94" s="30" t="n">
        <x:v>2019</x:v>
      </x:c>
      <x:c r="E94" s="24" t="str">
        <x:v>Istiophorus platypterus</x:v>
      </x:c>
      <x:c r="F94" s="24" t="str">
        <x:v>Indo-Pacific sailfish</x:v>
      </x:c>
      <x:c r="G94" s="24" t="str">
        <x:v>Large pelagics (&gt;=90 cm)</x:v>
      </x:c>
      <x:c r="H94" s="24" t="str">
        <x:v>Tuna &amp; billfishes</x:v>
      </x:c>
      <x:c r="I94" s="31" t="n">
        <x:v>7.2273767074999995</x:v>
      </x:c>
      <x:c r="J94" s="31" t="n">
        <x:v>7.2273767074999995</x:v>
      </x:c>
      <x:c r="K94" s="31" t="n">
        <x:v>0</x:v>
      </x:c>
      <x:c r="L94" s="31" t="n">
        <x:v>4.4664021395999995</x:v>
      </x:c>
      <x:c r="M94" s="31" t="n">
        <x:v>2.7609745679</x:v>
      </x:c>
      <x:c r="N94" s="24" t="str">
        <x:v>istiophorus platypterus</x:v>
      </x:c>
      <x:c r="O94" s="32" t="n">
        <x:v>4.5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Istiophorus platypterus</x:v>
      </x:c>
      <x:c r="T94" s="32" t="n">
        <x:f>IF(O94="","",(1/'Metadata'!$B$5)^(O94-1))</x:f>
        <x:v>3162.2776601683795</x:v>
      </x:c>
      <x:c r="U94" s="31" t="n">
        <x:f>IF(T94="","",I94*T94)</x:f>
        <x:v>22854.971903748545</x:v>
      </x:c>
    </x:row>
    <x:row r="95" ht="18" customHeight="1">
      <x:c r="A95" s="24" t="str">
        <x:v>EEZ_684</x:v>
      </x:c>
      <x:c r="B95" s="24" t="str">
        <x:v>Saudi Arabia (Persian Gulf)</x:v>
      </x:c>
      <x:c r="C95" s="24" t="str">
        <x:v>EEZ</x:v>
      </x:c>
      <x:c r="D95" s="30" t="n">
        <x:v>2019</x:v>
      </x:c>
      <x:c r="E95" s="24" t="str">
        <x:v>Pampus argenteus</x:v>
      </x:c>
      <x:c r="F95" s="24" t="str">
        <x:v>Silver pomfret</x:v>
      </x:c>
      <x:c r="G95" s="24" t="str">
        <x:v>Medium benthopelagics (30 - 89 cm)</x:v>
      </x:c>
      <x:c r="H95" s="24" t="str">
        <x:v>Perch-likes</x:v>
      </x:c>
      <x:c r="I95" s="31" t="n">
        <x:v>7.2063198032</x:v>
      </x:c>
      <x:c r="J95" s="31" t="n">
        <x:v>7.2063198032</x:v>
      </x:c>
      <x:c r="K95" s="31" t="n">
        <x:v>0</x:v>
      </x:c>
      <x:c r="L95" s="31" t="n">
        <x:v>7.007</x:v>
      </x:c>
      <x:c r="M95" s="31" t="n">
        <x:v>0.19931980319999998</x:v>
      </x:c>
      <x:c r="N95" s="24" t="str">
        <x:v>pampus argenteus</x:v>
      </x:c>
      <x:c r="O95" s="32" t="n">
        <x:v>3.3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Pampus argenteus</x:v>
      </x:c>
      <x:c r="T95" s="32" t="n">
        <x:f>IF(O95="","",(1/'Metadata'!$B$5)^(O95-1))</x:f>
        <x:v>199.52623149688787</x:v>
      </x:c>
      <x:c r="U95" s="31" t="n">
        <x:f>IF(T95="","",I95*T95)</x:f>
        <x:v>1437.8498332938907</x:v>
      </x:c>
    </x:row>
    <x:row r="96" ht="18" customHeight="1">
      <x:c r="A96" s="24" t="str">
        <x:v>EEZ_684</x:v>
      </x:c>
      <x:c r="B96" s="24" t="str">
        <x:v>Saudi Arabia (Persian Gulf)</x:v>
      </x:c>
      <x:c r="C96" s="24" t="str">
        <x:v>EEZ</x:v>
      </x:c>
      <x:c r="D96" s="30" t="n">
        <x:v>2019</x:v>
      </x:c>
      <x:c r="E96" s="24" t="str">
        <x:v>Mullidae</x:v>
      </x:c>
      <x:c r="F96" s="24" t="str">
        <x:v>Goatfishes</x:v>
      </x:c>
      <x:c r="G96" s="24" t="str">
        <x:v>Medium reef assoc. fish (30 - 89 cm)</x:v>
      </x:c>
      <x:c r="H96" s="24" t="str">
        <x:v>Perch-likes</x:v>
      </x:c>
      <x:c r="I96" s="31" t="n">
        <x:v>4.7673622153</x:v>
      </x:c>
      <x:c r="J96" s="31" t="n">
        <x:v>0</x:v>
      </x:c>
      <x:c r="K96" s="31" t="n">
        <x:v>4.7673622153</x:v>
      </x:c>
      <x:c r="L96" s="31" t="n">
        <x:v>0</x:v>
      </x:c>
      <x:c r="M96" s="31" t="n">
        <x:v>4.7673622153</x:v>
      </x:c>
      <x:c r="N96" s="24" t="str">
        <x:v>mullidae</x:v>
      </x:c>
      <x:c r="O96" s="32" t="n">
        <x:v>3.46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Mullidae</x:v>
      </x:c>
      <x:c r="T96" s="32" t="n">
        <x:f>IF(O96="","",(1/'Metadata'!$B$5)^(O96-1))</x:f>
        <x:v>288.40315031266056</x:v>
      </x:c>
      <x:c r="U96" s="31" t="n">
        <x:f>IF(T96="","",I96*T96)</x:f>
        <x:v>1374.9222815740645</x:v>
      </x:c>
    </x:row>
    <x:row r="97" ht="18" customHeight="1">
      <x:c r="A97" s="24" t="str">
        <x:v>EEZ_684</x:v>
      </x:c>
      <x:c r="B97" s="24" t="str">
        <x:v>Saudi Arabia (Persian Gulf)</x:v>
      </x:c>
      <x:c r="C97" s="24" t="str">
        <x:v>EEZ</x:v>
      </x:c>
      <x:c r="D97" s="30" t="n">
        <x:v>2019</x:v>
      </x:c>
      <x:c r="E97" s="24" t="str">
        <x:v>Terapon</x:v>
      </x:c>
      <x:c r="F97" s="24" t="str">
        <x:v>Terapons</x:v>
      </x:c>
      <x:c r="G97" s="24" t="str">
        <x:v>Medium demersals (30 - 89 cm)</x:v>
      </x:c>
      <x:c r="H97" s="24" t="str">
        <x:v>Perch-likes</x:v>
      </x:c>
      <x:c r="I97" s="31" t="n">
        <x:v>3.3580535925</x:v>
      </x:c>
      <x:c r="J97" s="31" t="n">
        <x:v>3.3580535925</x:v>
      </x:c>
      <x:c r="K97" s="31" t="n">
        <x:v>0</x:v>
      </x:c>
      <x:c r="L97" s="31" t="n">
        <x:v>3.3580535925</x:v>
      </x:c>
      <x:c r="M97" s="31" t="n">
        <x:v>0</x:v>
      </x:c>
      <x:c r="N97" s="24" t="str">
        <x:v>terapon</x:v>
      </x:c>
      <x:c r="O97" s="32" t="n">
        <x:v>3.5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Terapon</x:v>
      </x:c>
      <x:c r="T97" s="32" t="n">
        <x:f>IF(O97="","",(1/'Metadata'!$B$5)^(O97-1))</x:f>
        <x:v>316.22776601683796</x:v>
      </x:c>
      <x:c r="U97" s="31" t="n">
        <x:f>IF(T97="","",I97*T97)</x:f>
        <x:v>1061.9097857210922</x:v>
      </x:c>
    </x:row>
    <x:row r="98" ht="18" customHeight="1">
      <x:c r="A98" s="24" t="str">
        <x:v>EEZ_684</x:v>
      </x:c>
      <x:c r="B98" s="24" t="str">
        <x:v>Saudi Arabia (Persian Gulf)</x:v>
      </x:c>
      <x:c r="C98" s="24" t="str">
        <x:v>EEZ</x:v>
      </x:c>
      <x:c r="D98" s="30" t="n">
        <x:v>2019</x:v>
      </x:c>
      <x:c r="E98" s="24" t="str">
        <x:v>Penaeidae</x:v>
      </x:c>
      <x:c r="F98" s="24" t="str">
        <x:v>Commercial shrimps and prawns</x:v>
      </x:c>
      <x:c r="G98" s="24" t="str">
        <x:v>Shrimps</x:v>
      </x:c>
      <x:c r="H98" s="24" t="str">
        <x:v>Crustaceans</x:v>
      </x:c>
      <x:c r="I98" s="31" t="n">
        <x:v>3.2310189442999997</x:v>
      </x:c>
      <x:c r="J98" s="31" t="n">
        <x:v>3.2310189442999997</x:v>
      </x:c>
      <x:c r="K98" s="31" t="n">
        <x:v>0</x:v>
      </x:c>
      <x:c r="L98" s="31" t="n">
        <x:v>0</x:v>
      </x:c>
      <x:c r="M98" s="31" t="n">
        <x:v>3.2310189442999997</x:v>
      </x:c>
      <x:c r="N98" s="24" t="str">
        <x:v>penaeidae</x:v>
      </x:c>
      <x:c r="O98" s="32" t="n">
        <x:v>3.31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Penaeidae</x:v>
      </x:c>
      <x:c r="T98" s="32" t="n">
        <x:f>IF(O98="","",(1/'Metadata'!$B$5)^(O98-1))</x:f>
        <x:v>204.17379446695296</x:v>
      </x:c>
      <x:c r="U98" s="31" t="n">
        <x:f>IF(T98="","",I98*T98)</x:f>
        <x:v>659.6893978523394</x:v>
      </x:c>
    </x:row>
    <x:row r="99" ht="18" customHeight="1">
      <x:c r="A99" s="24" t="str">
        <x:v>EEZ_684</x:v>
      </x:c>
      <x:c r="B99" s="24" t="str">
        <x:v>Saudi Arabia (Persian Gulf)</x:v>
      </x:c>
      <x:c r="C99" s="24" t="str">
        <x:v>EEZ</x:v>
      </x:c>
      <x:c r="D99" s="30" t="n">
        <x:v>2019</x:v>
      </x:c>
      <x:c r="E99" s="24" t="str">
        <x:v>Terapon jarbua</x:v>
      </x:c>
      <x:c r="F99" s="24" t="str">
        <x:v>Jarbua terapon</x:v>
      </x:c>
      <x:c r="G99" s="24" t="str">
        <x:v>Medium demersals (30 - 89 cm)</x:v>
      </x:c>
      <x:c r="H99" s="24" t="str">
        <x:v>Perch-likes</x:v>
      </x:c>
      <x:c r="I99" s="31" t="n">
        <x:v>1.3870566539</x:v>
      </x:c>
      <x:c r="J99" s="31" t="n">
        <x:v>1.3870566539</x:v>
      </x:c>
      <x:c r="K99" s="31" t="n">
        <x:v>0</x:v>
      </x:c>
      <x:c r="L99" s="31" t="n">
        <x:v>0</x:v>
      </x:c>
      <x:c r="M99" s="31" t="n">
        <x:v>1.3870566539</x:v>
      </x:c>
      <x:c r="N99" s="24" t="str">
        <x:v>terapon jarbua</x:v>
      </x:c>
      <x:c r="O99" s="32" t="n">
        <x:v>3.93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Terapon jarbua</x:v>
      </x:c>
      <x:c r="T99" s="32" t="n">
        <x:f>IF(O99="","",(1/'Metadata'!$B$5)^(O99-1))</x:f>
        <x:v>851.1380382023768</x:v>
      </x:c>
      <x:c r="U99" s="31" t="n">
        <x:f>IF(T99="","",I99*T99)</x:f>
        <x:v>1180.5766792759991</x:v>
      </x:c>
    </x:row>
    <x:row r="100" ht="18" customHeight="1">
      <x:c r="A100" s="24" t="str">
        <x:v>EEZ_684</x:v>
      </x:c>
      <x:c r="B100" s="24" t="str">
        <x:v>Saudi Arabia (Persian Gulf)</x:v>
      </x:c>
      <x:c r="C100" s="24" t="str">
        <x:v>EEZ</x:v>
      </x:c>
      <x:c r="D100" s="30" t="n">
        <x:v>2019</x:v>
      </x:c>
      <x:c r="E100" s="24" t="str">
        <x:v>Plectorhinchus pictus</x:v>
      </x:c>
      <x:c r="F100" s="24" t="str">
        <x:v>Trout sweetlips</x:v>
      </x:c>
      <x:c r="G100" s="24" t="str">
        <x:v>Medium reef assoc. fish (30 - 89 cm)</x:v>
      </x:c>
      <x:c r="H100" s="24" t="str">
        <x:v>Perch-likes</x:v>
      </x:c>
      <x:c r="I100" s="31" t="n">
        <x:v>1.1855951034</x:v>
      </x:c>
      <x:c r="J100" s="31" t="n">
        <x:v>1.1855951034</x:v>
      </x:c>
      <x:c r="K100" s="31" t="n">
        <x:v>0</x:v>
      </x:c>
      <x:c r="L100" s="31" t="n">
        <x:v>1.0045016468</x:v>
      </x:c>
      <x:c r="M100" s="31" t="n">
        <x:v>0.1810934566</x:v>
      </x:c>
      <x:c r="N100" s="24" t="str">
        <x:v>plectorhinchus pictus</x:v>
      </x:c>
      <x:c r="O100" s="32" t="n">
        <x:v>3.85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Plectorhinchus pictus</x:v>
      </x:c>
      <x:c r="T100" s="32" t="n">
        <x:f>IF(O100="","",(1/'Metadata'!$B$5)^(O100-1))</x:f>
        <x:v>707.945784384138</x:v>
      </x:c>
      <x:c r="U100" s="31" t="n">
        <x:f>IF(T100="","",I100*T100)</x:f>
        <x:v>839.3370554385064</x:v>
      </x:c>
    </x:row>
    <x:row r="101" ht="18" customHeight="1">
      <x:c r="A101" s="24" t="str">
        <x:v>EEZ_684</x:v>
      </x:c>
      <x:c r="B101" s="24" t="str">
        <x:v>Saudi Arabia (Persian Gulf)</x:v>
      </x:c>
      <x:c r="C101" s="24" t="str">
        <x:v>EEZ</x:v>
      </x:c>
      <x:c r="D101" s="30" t="n">
        <x:v>2019</x:v>
      </x:c>
      <x:c r="E101" s="24" t="str">
        <x:v>Hemiramphus</x:v>
      </x:c>
      <x:c r="F101" s="24" t="str">
        <x:v>Halfbeaks</x:v>
      </x:c>
      <x:c r="G101" s="24" t="str">
        <x:v>Medium pelagics (30 - 89 cm)</x:v>
      </x:c>
      <x:c r="H101" s="24" t="str">
        <x:v>Other fishes &amp; inverts</x:v>
      </x:c>
      <x:c r="I101" s="31" t="n">
        <x:v>0.5780266211</x:v>
      </x:c>
      <x:c r="J101" s="31" t="n">
        <x:v>0.5780266211</x:v>
      </x:c>
      <x:c r="K101" s="31" t="n">
        <x:v>0</x:v>
      </x:c>
      <x:c r="L101" s="31" t="n">
        <x:v>0</x:v>
      </x:c>
      <x:c r="M101" s="31" t="n">
        <x:v>0.5780266211</x:v>
      </x:c>
      <x:c r="N101" s="24" t="str">
        <x:v>hemiramphus</x:v>
      </x:c>
      <x:c r="O101" s="32" t="n">
        <x:v>3.05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Hemiramphus</x:v>
      </x:c>
      <x:c r="T101" s="32" t="n">
        <x:f>IF(O101="","",(1/'Metadata'!$B$5)^(O101-1))</x:f>
        <x:v>112.2018454301963</x:v>
      </x:c>
      <x:c r="U101" s="31" t="n">
        <x:f>IF(T101="","",I101*T101)</x:f>
        <x:v>64.85565359520085</x:v>
      </x:c>
    </x:row>
    <x:row r="102" ht="18" customHeight="1">
      <x:c r="A102" s="24" t="str">
        <x:v>EEZ_684</x:v>
      </x:c>
      <x:c r="B102" s="24" t="str">
        <x:v>Saudi Arabia (Persian Gulf)</x:v>
      </x:c>
      <x:c r="C102" s="24" t="str">
        <x:v>EEZ</x:v>
      </x:c>
      <x:c r="D102" s="30" t="n">
        <x:v>2019</x:v>
      </x:c>
      <x:c r="E102" s="24" t="str">
        <x:v>Epinephelus coeruleopunctatus</x:v>
      </x:c>
      <x:c r="F102" s="24" t="str">
        <x:v>Whitespotted grouper</x:v>
      </x:c>
      <x:c r="G102" s="24" t="str">
        <x:v>Medium reef assoc. fish (30 - 89 cm)</x:v>
      </x:c>
      <x:c r="H102" s="24" t="str">
        <x:v>Perch-likes</x:v>
      </x:c>
      <x:c r="I102" s="31" t="n">
        <x:v>0.42209180560000004</x:v>
      </x:c>
      <x:c r="J102" s="31" t="n">
        <x:v>0.42209180560000004</x:v>
      </x:c>
      <x:c r="K102" s="31" t="n">
        <x:v>0</x:v>
      </x:c>
      <x:c r="L102" s="31" t="n">
        <x:v>0.42209180560000004</x:v>
      </x:c>
      <x:c r="M102" s="31" t="n">
        <x:v>0</x:v>
      </x:c>
      <x:c r="N102" s="24" t="str">
        <x:v>epinephelus coeruleopunctatus</x:v>
      </x:c>
      <x:c r="O102" s="32" t="n">
        <x:v>3.72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Epinephelus coeruleopunctatus</x:v>
      </x:c>
      <x:c r="T102" s="32" t="n">
        <x:f>IF(O102="","",(1/'Metadata'!$B$5)^(O102-1))</x:f>
        <x:v>524.8074602497728</x:v>
      </x:c>
      <x:c r="U102" s="31" t="n">
        <x:f>IF(T102="","",I102*T102)</x:f>
        <x:v>221.51692848917685</x:v>
      </x:c>
    </x:row>
  </x:sheetData>
  <x:conditionalFormatting sqref="R2:R102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256530df85dd4bb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Crustaceans</x:v>
      </x:c>
      <x:c r="B2" s="31" t="n">
        <x:v>7291.3700037499</x:v>
      </x:c>
      <x:c r="C2" s="32" t="n">
        <x:v>2.004070226442357</x:v>
      </x:c>
      <x:c r="D2" s="32" t="n">
        <x:f>IF(C2="","",(1/'Metadata'!$B$5)^(C2-1))</x:f>
        <x:v>10.094160978450068</x:v>
      </x:c>
      <x:c r="E2" s="31" t="n">
        <x:f>IF(B2=0,"",B2*D2)</x:f>
        <x:v>73600.26257129357</x:v>
      </x:c>
    </x:row>
    <x:row r="3" ht="18" customHeight="1">
      <x:c r="A3" s="24" t="str">
        <x:v>Flatfishes</x:v>
      </x:c>
      <x:c r="B3" s="31" t="n">
        <x:v>45.93422267460001</x:v>
      </x:c>
      <x:c r="C3" s="32" t="n">
        <x:v>3.4273492916011543</x:v>
      </x:c>
      <x:c r="D3" s="32" t="n">
        <x:f>IF(C3="","",(1/'Metadata'!$B$5)^(C3-1))</x:f>
        <x:v>267.5157101998154</x:v>
      </x:c>
      <x:c r="E3" s="31" t="n">
        <x:f>IF(B3=0,"",B3*D3)</x:f>
        <x:v>12288.126201272084</x:v>
      </x:c>
    </x:row>
    <x:row r="4" ht="18" customHeight="1">
      <x:c r="A4" s="24" t="str">
        <x:v>Herring-likes</x:v>
      </x:c>
      <x:c r="B4" s="31" t="n">
        <x:v>86.8605566841</x:v>
      </x:c>
      <x:c r="C4" s="32" t="n">
        <x:v>3.628531360354252</x:v>
      </x:c>
      <x:c r="D4" s="32" t="n">
        <x:f>IF(C4="","",(1/'Metadata'!$B$5)^(C4-1))</x:f>
        <x:v>425.1394049634533</x:v>
      </x:c>
      <x:c r="E4" s="31" t="n">
        <x:f>IF(B4=0,"",B4*D4)</x:f>
        <x:v>36927.84538347258</x:v>
      </x:c>
    </x:row>
    <x:row r="5" ht="18" customHeight="1">
      <x:c r="A5" s="24" t="str">
        <x:v>Other fishes &amp; inverts</x:v>
      </x:c>
      <x:c r="B5" s="31" t="n">
        <x:v>8596.094244572001</x:v>
      </x:c>
      <x:c r="C5" s="32" t="n">
        <x:v>3.369894364173135</x:v>
      </x:c>
      <x:c r="D5" s="32" t="n">
        <x:f>IF(C5="","",(1/'Metadata'!$B$5)^(C5-1))</x:f>
        <x:v>234.36586850390376</x:v>
      </x:c>
      <x:c r="E5" s="31" t="n">
        <x:f>IF(B5=0,"",B5*D5)</x:f>
        <x:v>2014631.0933705254</x:v>
      </x:c>
    </x:row>
    <x:row r="6" ht="18" customHeight="1">
      <x:c r="A6" s="24" t="str">
        <x:v>Perch-likes</x:v>
      </x:c>
      <x:c r="B6" s="31" t="n">
        <x:v>33918.3487259613</x:v>
      </x:c>
      <x:c r="C6" s="32" t="n">
        <x:v>3.806415562312645</x:v>
      </x:c>
      <x:c r="D6" s="32" t="n">
        <x:f>IF(C6="","",(1/'Metadata'!$B$5)^(C6-1))</x:f>
        <x:v>640.3472699731808</x:v>
      </x:c>
      <x:c r="E6" s="31" t="n">
        <x:f>IF(B6=0,"",B6*D6)</x:f>
        <x:v>21719522.008667637</x:v>
      </x:c>
    </x:row>
    <x:row r="7" ht="18" customHeight="1">
      <x:c r="A7" s="24" t="str">
        <x:v>Scorpionfishes</x:v>
      </x:c>
      <x:c r="B7" s="31" t="n">
        <x:v>62.472979642300004</x:v>
      </x:c>
      <x:c r="C7" s="32" t="n">
        <x:v>3.84915729511817</x:v>
      </x:c>
      <x:c r="D7" s="32" t="n">
        <x:f>IF(C7="","",(1/'Metadata'!$B$5)^(C7-1))</x:f>
        <x:v>706.5734184972</x:v>
      </x:c>
      <x:c r="E7" s="31" t="n">
        <x:f>IF(B7=0,"",B7*D7)</x:f>
        <x:v>44141.7467895659</x:v>
      </x:c>
    </x:row>
    <x:row r="8" ht="18" customHeight="1">
      <x:c r="A8" s="24" t="str">
        <x:v>Sharks &amp; rays</x:v>
      </x:c>
      <x:c r="B8" s="31" t="n">
        <x:v>1037.6190276994</x:v>
      </x:c>
      <x:c r="C8" s="32" t="n">
        <x:v>4.000071861350979</x:v>
      </x:c>
      <x:c r="D8" s="32" t="n">
        <x:f>IF(C8="","",(1/'Metadata'!$B$5)^(C8-1))</x:f>
        <x:v>1000.1654805659256</x:v>
      </x:c>
      <x:c r="E8" s="31" t="n">
        <x:f>IF(B8=0,"",B8*D8)</x:f>
        <x:v>1037790.7334833188</x:v>
      </x:c>
    </x:row>
    <x:row r="9" ht="18" customHeight="1">
      <x:c r="A9" s="24" t="str">
        <x:v>Tuna &amp; billfishes</x:v>
      </x:c>
      <x:c r="B9" s="31" t="n">
        <x:v>964.9425629484999</x:v>
      </x:c>
      <x:c r="C9" s="32" t="n">
        <x:v>4.465579329750156</x:v>
      </x:c>
      <x:c r="D9" s="32" t="n">
        <x:f>IF(C9="","",(1/'Metadata'!$B$5)^(C9-1))</x:f>
        <x:v>2921.3213302529975</x:v>
      </x:c>
      <x:c r="E9" s="31" t="n">
        <x:f>IF(B9=0,"",B9*D9)</x:f>
        <x:v>2818907.2916104486</x:v>
      </x:c>
    </x:row>
  </x:sheetData>
  <x:pageMargins left="0.7" right="0.7" top="0.75" bottom="0.75" header="0.3" footer="0.3"/>
  <x:tableParts count="1">
    <x:tablePart xmlns:r="http://schemas.openxmlformats.org/officeDocument/2006/relationships" r:id="Rf89f62cc7f3242d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1063.0805244016</x:v>
      </x:c>
      <x:c r="C2" s="32" t="n">
        <x:v>3.793215353730878</x:v>
      </x:c>
      <x:c r="D2" s="32" t="n">
        <x:f>IF(C2="","",(1/'Metadata'!$B$5)^(C2-1))</x:f>
        <x:v>621.1769810829302</x:v>
      </x:c>
      <x:c r="E2" s="31" t="n">
        <x:f>IF(B2=0,"",B2*D2)</x:f>
        <x:v>660361.1507958443</x:v>
      </x:c>
    </x:row>
    <x:row r="3" ht="18" customHeight="1">
      <x:c r="A3" s="24" t="str">
        <x:v>Large benthopelagics (&gt;=90 cm)</x:v>
      </x:c>
      <x:c r="B3" s="31" t="n">
        <x:v>19.0694547148</x:v>
      </x:c>
      <x:c r="C3" s="32" t="n">
        <x:v>4.15</x:v>
      </x:c>
      <x:c r="D3" s="32" t="n">
        <x:f>IF(C3="","",(1/'Metadata'!$B$5)^(C3-1))</x:f>
        <x:v>1412.5375446227554</x:v>
      </x:c>
      <x:c r="E3" s="31" t="n">
        <x:f>IF(B3=0,"",B3*D3)</x:f>
        <x:v>26936.320740138417</x:v>
      </x:c>
    </x:row>
    <x:row r="4" ht="18" customHeight="1">
      <x:c r="A4" s="24" t="str">
        <x:v>Large demersals (&gt;=90 cm)</x:v>
      </x:c>
      <x:c r="B4" s="31" t="n">
        <x:v>623.9476994075</x:v>
      </x:c>
      <x:c r="C4" s="32" t="n">
        <x:v>3.54</x:v>
      </x:c>
      <x:c r="D4" s="32" t="n">
        <x:f>IF(C4="","",(1/'Metadata'!$B$5)^(C4-1))</x:f>
        <x:v>346.73685045253166</x:v>
      </x:c>
      <x:c r="E4" s="31" t="n">
        <x:f>IF(B4=0,"",B4*D4)</x:f>
        <x:v>216345.66013965948</x:v>
      </x:c>
    </x:row>
    <x:row r="5" ht="18" customHeight="1">
      <x:c r="A5" s="24" t="str">
        <x:v>Large pelagics (&gt;=90 cm)</x:v>
      </x:c>
      <x:c r="B5" s="31" t="n">
        <x:v>6025.213623966699</x:v>
      </x:c>
      <x:c r="C5" s="32" t="n">
        <x:v>4.4358654101944825</x:v>
      </x:c>
      <x:c r="D5" s="32" t="n">
        <x:f>IF(C5="","",(1/'Metadata'!$B$5)^(C5-1))</x:f>
        <x:v>2728.1321914007785</x:v>
      </x:c>
      <x:c r="E5" s="31" t="n">
        <x:f>IF(B5=0,"",B5*D5)</x:f>
        <x:v>16437579.247610096</x:v>
      </x:c>
    </x:row>
    <x:row r="6" ht="18" customHeight="1">
      <x:c r="A6" s="24" t="str">
        <x:v>Large rays (&gt;=90 cm)</x:v>
      </x:c>
      <x:c r="B6" s="31" t="n">
        <x:v>23.845204294400002</x:v>
      </x:c>
      <x:c r="C6" s="32" t="n">
        <x:v>3.7299999999999995</x:v>
      </x:c>
      <x:c r="D6" s="32" t="n">
        <x:f>IF(C6="","",(1/'Metadata'!$B$5)^(C6-1))</x:f>
        <x:v>537.0317963702522</x:v>
      </x:c>
      <x:c r="E6" s="31" t="n">
        <x:f>IF(B6=0,"",B6*D6)</x:f>
        <x:v>12805.632897037285</x:v>
      </x:c>
    </x:row>
    <x:row r="7" ht="18" customHeight="1">
      <x:c r="A7" s="24" t="str">
        <x:v>Large reef assoc. fish (&gt;=90 cm)</x:v>
      </x:c>
      <x:c r="B7" s="31" t="n">
        <x:v>1609.3766297297</x:v>
      </x:c>
      <x:c r="C7" s="32" t="n">
        <x:v>4.1378459162424726</x:v>
      </x:c>
      <x:c r="D7" s="32" t="n">
        <x:f>IF(C7="","",(1/'Metadata'!$B$5)^(C7-1))</x:f>
        <x:v>1373.5545638064432</x:v>
      </x:c>
      <x:c r="E7" s="31" t="n">
        <x:f>IF(B7=0,"",B7*D7)</x:f>
        <x:v>2210566.6146486616</x:v>
      </x:c>
    </x:row>
    <x:row r="8" ht="18" customHeight="1">
      <x:c r="A8" s="24" t="str">
        <x:v>Large sharks (&gt;=90 cm)</x:v>
      </x:c>
      <x:c r="B8" s="31" t="n">
        <x:v>1013.773823405</x:v>
      </x:c>
      <x:c r="C8" s="32" t="n">
        <x:v>4.006424282926092</x:v>
      </x:c>
      <x:c r="D8" s="32" t="n">
        <x:f>IF(C8="","",(1/'Metadata'!$B$5)^(C8-1))</x:f>
        <x:v>1014.9024079811473</x:v>
      </x:c>
      <x:c r="E8" s="31" t="n">
        <x:f>IF(B8=0,"",B8*D8)</x:f>
        <x:v>1028881.494521989</x:v>
      </x:c>
    </x:row>
    <x:row r="9" ht="18" customHeight="1">
      <x:c r="A9" s="24" t="str">
        <x:v>Lobsters, crabs</x:v>
      </x:c>
      <x:c r="B9" s="31" t="n">
        <x:v>18.6858838251</x:v>
      </x:c>
      <x:c r="C9" s="32" t="n">
        <x:v>2.5</x:v>
      </x:c>
      <x:c r="D9" s="32" t="n">
        <x:f>IF(C9="","",(1/'Metadata'!$B$5)^(C9-1))</x:f>
        <x:v>31.622776601683793</x:v>
      </x:c>
      <x:c r="E9" s="31" t="n">
        <x:f>IF(B9=0,"",B9*D9)</x:f>
        <x:v>590.899529806154</x:v>
      </x:c>
    </x:row>
    <x:row r="10" ht="18" customHeight="1">
      <x:c r="A10" s="24" t="str">
        <x:v>Medium benthopelagics (30 - 89 cm)</x:v>
      </x:c>
      <x:c r="B10" s="31" t="n">
        <x:v>812.0713389155001</x:v>
      </x:c>
      <x:c r="C10" s="32" t="n">
        <x:v>3.309911260015496</x:v>
      </x:c>
      <x:c r="D10" s="32" t="n">
        <x:f>IF(C10="","",(1/'Metadata'!$B$5)^(C10-1))</x:f>
        <x:v>204.13207961870702</x:v>
      </x:c>
      <x:c r="E10" s="31" t="n">
        <x:f>IF(B10=0,"",B10*D10)</x:f>
        <x:v>165769.8112115689</x:v>
      </x:c>
    </x:row>
    <x:row r="11" ht="18" customHeight="1">
      <x:c r="A11" s="24" t="str">
        <x:v>Medium demersals (30 - 89 cm)</x:v>
      </x:c>
      <x:c r="B11" s="31" t="n">
        <x:v>13172.4011518568</x:v>
      </x:c>
      <x:c r="C11" s="32" t="n">
        <x:v>3.6928660328362137</x:v>
      </x:c>
      <x:c r="D11" s="32" t="n">
        <x:f>IF(C11="","",(1/'Metadata'!$B$5)^(C11-1))</x:f>
        <x:v>493.0216977012839</x:v>
      </x:c>
      <x:c r="E11" s="31" t="n">
        <x:f>IF(B11=0,"",B11*D11)</x:f>
        <x:v>6494279.578690788</x:v>
      </x:c>
    </x:row>
    <x:row r="12" ht="18" customHeight="1">
      <x:c r="A12" s="24" t="str">
        <x:v>Medium pelagics (30 - 89 cm)</x:v>
      </x:c>
      <x:c r="B12" s="31" t="n">
        <x:v>2308.6327616415</x:v>
      </x:c>
      <x:c r="C12" s="32" t="n">
        <x:v>4.159338129374888</x:v>
      </x:c>
      <x:c r="D12" s="32" t="n">
        <x:f>IF(C12="","",(1/'Metadata'!$B$5)^(C12-1))</x:f>
        <x:v>1443.2385788650524</x:v>
      </x:c>
      <x:c r="E12" s="31" t="n">
        <x:f>IF(B12=0,"",B12*D12)</x:f>
        <x:v>3331907.86603278</x:v>
      </x:c>
    </x:row>
    <x:row r="13" ht="18" customHeight="1">
      <x:c r="A13" s="24" t="str">
        <x:v>Medium reef assoc. fish (30 - 89 cm)</x:v>
      </x:c>
      <x:c r="B13" s="31" t="n">
        <x:v>15788.0285188926</x:v>
      </x:c>
      <x:c r="C13" s="32" t="n">
        <x:v>3.43581323537718</x:v>
      </x:c>
      <x:c r="D13" s="32" t="n">
        <x:f>IF(C13="","",(1/'Metadata'!$B$5)^(C13-1))</x:f>
        <x:v>272.7804461588861</x:v>
      </x:c>
      <x:c r="E13" s="31" t="n">
        <x:f>IF(B13=0,"",B13*D13)</x:f>
        <x:v>4306665.463352741</x:v>
      </x:c>
    </x:row>
    <x:row r="14" ht="18" customHeight="1">
      <x:c r="A14" s="24" t="str">
        <x:v>Shrimps</x:v>
      </x:c>
      <x:c r="B14" s="31" t="n">
        <x:v>7272.6841199248</x:v>
      </x:c>
      <x:c r="C14" s="32" t="n">
        <x:v>2.0027960220384124</x:v>
      </x:c>
      <x:c r="D14" s="32" t="n">
        <x:f>IF(C14="","",(1/'Metadata'!$B$5)^(C14-1))</x:f>
        <x:v>10.064588476406247</x:v>
      </x:c>
      <x:c r="E14" s="31" t="n">
        <x:f>IF(B14=0,"",B14*D14)</x:f>
        <x:v>73196.57278593785</x:v>
      </x:c>
    </x:row>
    <x:row r="15" ht="18" customHeight="1">
      <x:c r="A15" s="24" t="str">
        <x:v>Small benthopelagics (&lt;30 cm)</x:v>
      </x:c>
      <x:c r="B15" s="31" t="n">
        <x:v>34.2742828975</x:v>
      </x:c>
      <x:c r="C15" s="32" t="n">
        <x:v>3.27</x:v>
      </x:c>
      <x:c r="D15" s="32" t="n">
        <x:f>IF(C15="","",(1/'Metadata'!$B$5)^(C15-1))</x:f>
        <x:v>186.20871366628674</x:v>
      </x:c>
      <x:c r="E15" s="31" t="n">
        <x:f>IF(B15=0,"",B15*D15)</x:f>
        <x:v>6382.170130177887</x:v>
      </x:c>
    </x:row>
    <x:row r="16" ht="18" customHeight="1">
      <x:c r="A16" s="24" t="str">
        <x:v>Small demersals (&lt;30 cm)</x:v>
      </x:c>
      <x:c r="B16" s="31" t="n">
        <x:v>494.0752467898</x:v>
      </x:c>
      <x:c r="C16" s="32" t="n">
        <x:v>3.1166290535149406</x:v>
      </x:c>
      <x:c r="D16" s="32" t="n">
        <x:f>IF(C16="","",(1/'Metadata'!$B$5)^(C16-1))</x:f>
        <x:v>130.80641812086148</x:v>
      </x:c>
      <x:c r="E16" s="31" t="n">
        <x:f>IF(B16=0,"",B16*D16)</x:f>
        <x:v>64628.21331475441</x:v>
      </x:c>
    </x:row>
    <x:row r="17" ht="18" customHeight="1">
      <x:c r="A17" s="24" t="str">
        <x:v>Small pelagics (&lt;30 cm)</x:v>
      </x:c>
      <x:c r="B17" s="31" t="n">
        <x:v>1098.9676717813</x:v>
      </x:c>
      <x:c r="C17" s="32" t="n">
        <x:v>3.9746259508498363</x:v>
      </x:c>
      <x:c r="D17" s="32" t="n">
        <x:f>IF(C17="","",(1/'Metadata'!$B$5)^(C17-1))</x:f>
        <x:v>943.2481255902261</x:v>
      </x:c>
      <x:c r="E17" s="31" t="n">
        <x:f>IF(B17=0,"",B17*D17)</x:f>
        <x:v>1036599.196491966</x:v>
      </x:c>
    </x:row>
    <x:row r="18" ht="18" customHeight="1">
      <x:c r="A18" s="24" t="str">
        <x:v>Small reef assoc. fish (&lt;30 cm)</x:v>
      </x:c>
      <x:c r="B18" s="31" t="n">
        <x:v>579.5801648129</x:v>
      </x:c>
      <x:c r="C18" s="32" t="n">
        <x:v>3.51</x:v>
      </x:c>
      <x:c r="D18" s="32" t="n">
        <x:f>IF(C18="","",(1/'Metadata'!$B$5)^(C18-1))</x:f>
        <x:v>323.5936569296281</x:v>
      </x:c>
      <x:c r="E18" s="31" t="n">
        <x:f>IF(B18=0,"",B18*D18)</x:f>
        <x:v>187548.46501568286</x:v>
      </x:c>
    </x:row>
    <x:row r="19" ht="18" customHeight="1">
      <x:c r="A19" s="24" t="str">
        <x:v>Small to medium flatfishes (&lt;90 cm)</x:v>
      </x:c>
      <x:c r="B19" s="31" t="n">
        <x:v>45.93422267460001</x:v>
      </x:c>
      <x:c r="C19" s="32" t="n">
        <x:v>3.4273492916011543</x:v>
      </x:c>
      <x:c r="D19" s="32" t="n">
        <x:f>IF(C19="","",(1/'Metadata'!$B$5)^(C19-1))</x:f>
        <x:v>267.5157101998154</x:v>
      </x:c>
      <x:c r="E19" s="31" t="n">
        <x:f>IF(B19=0,"",B19*D19)</x:f>
        <x:v>12288.126201272084</x:v>
      </x:c>
    </x:row>
  </x:sheetData>
  <x:pageMargins left="0.7" right="0.7" top="0.75" bottom="0.75" header="0.3" footer="0.3"/>
  <x:tableParts count="1">
    <x:tablePart xmlns:r="http://schemas.openxmlformats.org/officeDocument/2006/relationships" r:id="Rcf309bc169314d3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EEZ_684</x:v>
      </x:c>
      <x:c r="B2" s="24" t="str">
        <x:v>raw_filtered_tonnes</x:v>
      </x:c>
      <x:c r="C2" s="24" t="n">
        <x:v>52003.6423239321</x:v>
      </x:c>
      <x:c r="D2" s="24" t="str">
        <x:v>tonnes</x:v>
      </x:c>
    </x:row>
    <x:row r="3" ht="18" customHeight="1">
      <x:c r="A3" s="24" t="str">
        <x:v>EEZ_684</x:v>
      </x:c>
      <x:c r="B3" s="24" t="str">
        <x:v>species_catch_tonnes</x:v>
      </x:c>
      <x:c r="C3" s="24" t="n">
        <x:v>52003.642323932094</x:v>
      </x:c>
      <x:c r="D3" s="24" t="str">
        <x:v>tonnes</x:v>
      </x:c>
    </x:row>
    <x:row r="4" ht="18" customHeight="1">
      <x:c r="A4" s="24" t="str">
        <x:v>EEZ_684</x:v>
      </x:c>
      <x:c r="B4" s="24" t="str">
        <x:v>catch_difference_tonnes</x:v>
      </x:c>
      <x:c r="C4" s="24" t="n">
        <x:v>-7.275957614183426e-12</x:v>
      </x:c>
      <x:c r="D4" s="24" t="str">
        <x:v>tonnes</x:v>
      </x:c>
    </x:row>
    <x:row r="5" ht="18" customHeight="1">
      <x:c r="A5" s="24" t="str">
        <x:v>EEZ_684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EEZ_684</x:v>
      </x:c>
      <x:c r="B6" s="24" t="str">
        <x:v>matched_catch_tonnes</x:v>
      </x:c>
      <x:c r="C6" s="24" t="n">
        <x:v>52003.642323932094</x:v>
      </x:c>
      <x:c r="D6" s="24" t="str">
        <x:v>tonnes</x:v>
      </x:c>
    </x:row>
    <x:row r="7" ht="18" customHeight="1">
      <x:c r="A7" s="24" t="str">
        <x:v>EEZ_684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EEZ_684</x:v>
      </x:c>
      <x:c r="B8" s="24" t="str">
        <x:v>taxa_count</x:v>
      </x:c>
      <x:c r="C8" s="24" t="n">
        <x:v>101</x:v>
      </x:c>
      <x:c r="D8" s="24" t="str">
        <x:v>count</x:v>
      </x:c>
    </x:row>
    <x:row r="9" ht="18" customHeight="1">
      <x:c r="A9" s="24" t="str">
        <x:v>EEZ_684</x:v>
      </x:c>
      <x:c r="B9" s="24" t="str">
        <x:v>matched_taxa_count</x:v>
      </x:c>
      <x:c r="C9" s="24" t="n">
        <x:v>101</x:v>
      </x:c>
      <x:c r="D9" s="24" t="str">
        <x:v>count</x:v>
      </x:c>
    </x:row>
    <x:row r="10" ht="18" customHeight="1">
      <x:c r="A10" s="24" t="str">
        <x:v>EEZ_684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EEZ_684</x:v>
      </x:c>
      <x:c r="B11" s="24" t="str">
        <x:v>species_ppr</x:v>
      </x:c>
      <x:c r="C11" s="24" t="n">
        <x:v>49497257.93937051</x:v>
      </x:c>
      <x:c r="D11" s="24" t="str">
        <x:v>tonnes_primary_production_equivalent</x:v>
      </x:c>
    </x:row>
    <x:row r="12" ht="18" customHeight="1">
      <x:c r="A12" s="24" t="str">
        <x:v>EEZ_684</x:v>
      </x:c>
      <x:c r="B12" s="24" t="str">
        <x:v>commercial_ppr</x:v>
      </x:c>
      <x:c r="C12" s="24" t="n">
        <x:v>27757809.108077534</x:v>
      </x:c>
      <x:c r="D12" s="24" t="str">
        <x:v>tonnes_primary_production_equivalent</x:v>
      </x:c>
    </x:row>
    <x:row r="13" ht="18" customHeight="1">
      <x:c r="A13" s="24" t="str">
        <x:v>EEZ_684</x:v>
      </x:c>
      <x:c r="B13" s="24" t="str">
        <x:v>functional_ppr</x:v>
      </x:c>
      <x:c r="C13" s="24" t="n">
        <x:v>36273332.4841109</x:v>
      </x:c>
      <x:c r="D13" s="24" t="str">
        <x:v>tonnes_primary_production_equivalent</x:v>
      </x:c>
    </x:row>
    <x:row r="14" ht="18" customHeight="1">
      <x:c r="A14" s="24" t="str">
        <x:v>EEZ_684</x:v>
      </x:c>
      <x:c r="B14" s="24" t="str">
        <x:v>commercial_ppr_difference</x:v>
      </x:c>
      <x:c r="C14" s="24" t="n">
        <x:v>-21739448.83129298</x:v>
      </x:c>
      <x:c r="D14" s="24" t="str">
        <x:v>tonnes_primary_production_equivalent</x:v>
      </x:c>
    </x:row>
    <x:row r="15" ht="18" customHeight="1">
      <x:c r="A15" s="24" t="str">
        <x:v>EEZ_684</x:v>
      </x:c>
      <x:c r="B15" s="24" t="str">
        <x:v>functional_ppr_difference</x:v>
      </x:c>
      <x:c r="C15" s="24" t="n">
        <x:v>-13223925.455259614</x:v>
      </x:c>
      <x:c r="D15" s="24" t="str">
        <x:v>tonnes_primary_production_equivalent</x:v>
      </x:c>
    </x:row>
    <x:row r="16" ht="18" customHeight="1">
      <x:c r="A16" s="24" t="str">
        <x:v>EEZ_684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EEZ_684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250c750a7dbd4d3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EEZ_684 - Saudi Arabia (Persian Gulf)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EEZ_684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raw_data/SAU_downloads/EEZ_684-catch.zip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