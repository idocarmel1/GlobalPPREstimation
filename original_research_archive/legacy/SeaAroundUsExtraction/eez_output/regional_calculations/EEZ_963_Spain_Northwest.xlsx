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95e4a0edbc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374b8770c754bf1"/>
    <x:sheet xmlns:r="http://schemas.openxmlformats.org/officeDocument/2006/relationships" name="Commercial" sheetId="2" r:id="R25b2d1c29f3a43a9"/>
    <x:sheet xmlns:r="http://schemas.openxmlformats.org/officeDocument/2006/relationships" name="Functional" sheetId="3" r:id="Ra2ba4ea977114a7c"/>
    <x:sheet xmlns:r="http://schemas.openxmlformats.org/officeDocument/2006/relationships" name="Missing TL" sheetId="4" r:id="R5eebf818a8874a2b"/>
    <x:sheet xmlns:r="http://schemas.openxmlformats.org/officeDocument/2006/relationships" name="Validation" sheetId="5" r:id="R6062a6ffdebd4887"/>
    <x:sheet xmlns:r="http://schemas.openxmlformats.org/officeDocument/2006/relationships" name="Metadata" sheetId="6" r:id="Rf4bfc06107aa48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f2412aed4b4b1a" /><Relationship Type="http://schemas.openxmlformats.org/officeDocument/2006/relationships/theme" Target="/xl/theme/theme1.xml" Id="R0310fb8902444bb4" /><Relationship Type="http://schemas.microsoft.com/office/2022/11/relationships/FeaturePropertyBag" Target="/xl/featurePropertyBag/featurePropertyBag.xml" Id="R88c1c9a3fe8c40da" /><Relationship Type="http://schemas.openxmlformats.org/officeDocument/2006/relationships/sharedStrings" Target="/xl/sharedStrings.xml" Id="R16cb2c576008455d" /><Relationship Type="http://schemas.openxmlformats.org/officeDocument/2006/relationships/worksheet" Target="/xl/worksheets/sheet1.xml" Id="R4374b8770c754bf1" /><Relationship Type="http://schemas.openxmlformats.org/officeDocument/2006/relationships/worksheet" Target="/xl/worksheets/sheet2.xml" Id="R25b2d1c29f3a43a9" /><Relationship Type="http://schemas.openxmlformats.org/officeDocument/2006/relationships/worksheet" Target="/xl/worksheets/sheet3.xml" Id="Ra2ba4ea977114a7c" /><Relationship Type="http://schemas.openxmlformats.org/officeDocument/2006/relationships/worksheet" Target="/xl/worksheets/sheet4.xml" Id="R5eebf818a8874a2b" /><Relationship Type="http://schemas.openxmlformats.org/officeDocument/2006/relationships/worksheet" Target="/xl/worksheets/sheet5.xml" Id="R6062a6ffdebd4887" /><Relationship Type="http://schemas.openxmlformats.org/officeDocument/2006/relationships/worksheet" Target="/xl/worksheets/sheet6.xml" Id="Rf4bfc06107aa48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63SpeciesTable" displayName="EEZ963SpeciesTable" ref="A1:U313" headerRowCount="1" totalsRowCount="0" totalsRowShown="0">
  <x:autoFilter ref="A1:U31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63CommercialTable" displayName="EEZ963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63FunctionalTable" displayName="EEZ963FunctionalTable" ref="A1:E27" headerRowCount="1" totalsRowCount="0" totalsRowShown="0">
  <x:autoFilter ref="A1:E2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63ValidationTable" displayName="EEZ963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9eeb1865fc4e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a1f0632a9447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21464b0ec1c45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b0860e0bce4f0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EEZ_963</x:v>
      </x:c>
      <x:c r="B2" s="24" t="str">
        <x:v>Spain (Northwest)</x:v>
      </x:c>
      <x:c r="C2" s="24" t="str">
        <x:v>EEZ</x:v>
      </x:c>
      <x:c r="D2" s="30" t="n">
        <x:v>2019</x:v>
      </x:c>
      <x:c r="E2" s="24" t="str">
        <x:v>Merluccius merluccius</x:v>
      </x:c>
      <x:c r="F2" s="24" t="str">
        <x:v>European hake</x:v>
      </x:c>
      <x:c r="G2" s="24" t="str">
        <x:v>Large demersals (&gt;=90 cm)</x:v>
      </x:c>
      <x:c r="H2" s="24" t="str">
        <x:v>Cod-likes</x:v>
      </x:c>
      <x:c r="I2" s="31" t="n">
        <x:v>46100.0395925321</x:v>
      </x:c>
      <x:c r="J2" s="31" t="n">
        <x:v>19528.1788725321</x:v>
      </x:c>
      <x:c r="K2" s="31" t="n">
        <x:v>26571.86072</x:v>
      </x:c>
      <x:c r="L2" s="31" t="n">
        <x:v>14045.8126815321</x:v>
      </x:c>
      <x:c r="M2" s="31" t="n">
        <x:v>32054.226911</x:v>
      </x:c>
      <x:c r="N2" s="24" t="str">
        <x:v>merluccius merluccius</x:v>
      </x:c>
      <x:c r="O2" s="32" t="n">
        <x:v>4.42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Merluccius merluccius</x:v>
      </x:c>
      <x:c r="T2" s="32" t="n">
        <x:f>IF(O2="","",(1/'Metadata'!$B$5)^(O2-1))</x:f>
        <x:v>2630.2679918953813</x:v>
      </x:c>
      <x:c r="U2" s="31" t="n">
        <x:f>IF(T2="","",I2*T2)</x:f>
        <x:v>121255458.56534697</x:v>
      </x:c>
    </x:row>
    <x:row r="3" ht="18" customHeight="1">
      <x:c r="A3" s="24" t="str">
        <x:v>EEZ_963</x:v>
      </x:c>
      <x:c r="B3" s="24" t="str">
        <x:v>Spain (Northwest)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23468.7690546451</x:v>
      </x:c>
      <x:c r="J3" s="31" t="n">
        <x:v>13549.1470734098</x:v>
      </x:c>
      <x:c r="K3" s="31" t="n">
        <x:v>9919.6219812353</x:v>
      </x:c>
      <x:c r="L3" s="31" t="n">
        <x:v>13481.7546486343</x:v>
      </x:c>
      <x:c r="M3" s="31" t="n">
        <x:v>9987.0144060108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4471881.753257767</x:v>
      </x:c>
    </x:row>
    <x:row r="4" ht="18" customHeight="1">
      <x:c r="A4" s="24" t="str">
        <x:v>EEZ_963</x:v>
      </x:c>
      <x:c r="B4" s="24" t="str">
        <x:v>Spain (Northwest)</x:v>
      </x:c>
      <x:c r="C4" s="24" t="str">
        <x:v>EEZ</x:v>
      </x:c>
      <x:c r="D4" s="30" t="n">
        <x:v>2019</x:v>
      </x:c>
      <x:c r="E4" s="24" t="str">
        <x:v>Scomber scombrus</x:v>
      </x:c>
      <x:c r="F4" s="24" t="str">
        <x:v>Atlantic mackerel</x:v>
      </x:c>
      <x:c r="G4" s="24" t="str">
        <x:v>Medium pelagics (30 - 89 cm)</x:v>
      </x:c>
      <x:c r="H4" s="24" t="str">
        <x:v>Perch-likes</x:v>
      </x:c>
      <x:c r="I4" s="31" t="n">
        <x:v>20892.331846058998</x:v>
      </x:c>
      <x:c r="J4" s="31" t="n">
        <x:v>20597.0756439186</x:v>
      </x:c>
      <x:c r="K4" s="31" t="n">
        <x:v>295.2562021404</x:v>
      </x:c>
      <x:c r="L4" s="31" t="n">
        <x:v>15852.4584279584</x:v>
      </x:c>
      <x:c r="M4" s="31" t="n">
        <x:v>5039.8734181006</x:v>
      </x:c>
      <x:c r="N4" s="24" t="str">
        <x:v>scomber scombrus</x:v>
      </x:c>
      <x:c r="O4" s="32" t="n">
        <x:v>3.63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Scomber scombrus</x:v>
      </x:c>
      <x:c r="T4" s="32" t="n">
        <x:f>IF(O4="","",(1/'Metadata'!$B$5)^(O4-1))</x:f>
        <x:v>426.57951880159254</x:v>
      </x:c>
      <x:c r="U4" s="31" t="n">
        <x:f>IF(T4="","",I4*T4)</x:f>
        <x:v>8912240.865535036</x:v>
      </x:c>
    </x:row>
    <x:row r="5" ht="18" customHeight="1">
      <x:c r="A5" s="24" t="str">
        <x:v>EEZ_963</x:v>
      </x:c>
      <x:c r="B5" s="24" t="str">
        <x:v>Spain (Northwest)</x:v>
      </x:c>
      <x:c r="C5" s="24" t="str">
        <x:v>EEZ</x:v>
      </x:c>
      <x:c r="D5" s="30" t="n">
        <x:v>2019</x:v>
      </x:c>
      <x:c r="E5" s="24" t="str">
        <x:v>Micromesistius poutassou</x:v>
      </x:c>
      <x:c r="F5" s="24" t="str">
        <x:v>Blue whiting</x:v>
      </x:c>
      <x:c r="G5" s="24" t="str">
        <x:v>Medium benthopelagics (30 - 89 cm)</x:v>
      </x:c>
      <x:c r="H5" s="24" t="str">
        <x:v>Cod-likes</x:v>
      </x:c>
      <x:c r="I5" s="31" t="n">
        <x:v>13048.611526566401</x:v>
      </x:c>
      <x:c r="J5" s="31" t="n">
        <x:v>13048.611526566401</x:v>
      </x:c>
      <x:c r="K5" s="31" t="n">
        <x:v>0</x:v>
      </x:c>
      <x:c r="L5" s="31" t="n">
        <x:v>9050.8938665664</x:v>
      </x:c>
      <x:c r="M5" s="31" t="n">
        <x:v>3997.7176600000003</x:v>
      </x:c>
      <x:c r="N5" s="24" t="str">
        <x:v>micromesistius poutassou</x:v>
      </x:c>
      <x:c r="O5" s="32" t="n">
        <x:v>4.13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Micromesistius poutassou</x:v>
      </x:c>
      <x:c r="T5" s="32" t="n">
        <x:f>IF(O5="","",(1/'Metadata'!$B$5)^(O5-1))</x:f>
        <x:v>1348.9628825916532</x:v>
      </x:c>
      <x:c r="U5" s="31" t="n">
        <x:f>IF(T5="","",I5*T5)</x:f>
        <x:v>17602092.618695684</x:v>
      </x:c>
    </x:row>
    <x:row r="6" ht="18" customHeight="1">
      <x:c r="A6" s="24" t="str">
        <x:v>EEZ_963</x:v>
      </x:c>
      <x:c r="B6" s="24" t="str">
        <x:v>Spain (Northwest)</x:v>
      </x:c>
      <x:c r="C6" s="24" t="str">
        <x:v>EEZ</x:v>
      </x:c>
      <x:c r="D6" s="30" t="n">
        <x:v>2019</x:v>
      </x:c>
      <x:c r="E6" s="24" t="str">
        <x:v>Engraulis encrasicolus</x:v>
      </x:c>
      <x:c r="F6" s="24" t="str">
        <x:v>European anchovy</x:v>
      </x:c>
      <x:c r="G6" s="24" t="str">
        <x:v>Small pelagics (&lt;30 cm)</x:v>
      </x:c>
      <x:c r="H6" s="24" t="str">
        <x:v>Anchovies</x:v>
      </x:c>
      <x:c r="I6" s="31" t="n">
        <x:v>12442.0459115962</x:v>
      </x:c>
      <x:c r="J6" s="31" t="n">
        <x:v>12442.0459115962</x:v>
      </x:c>
      <x:c r="K6" s="31" t="n">
        <x:v>0</x:v>
      </x:c>
      <x:c r="L6" s="31" t="n">
        <x:v>8544.0414815962</x:v>
      </x:c>
      <x:c r="M6" s="31" t="n">
        <x:v>3898.00443</x:v>
      </x:c>
      <x:c r="N6" s="24" t="str">
        <x:v>engraulis encrasicolus</x:v>
      </x:c>
      <x:c r="O6" s="32" t="n">
        <x:v>3.11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Engraulis encrasicolus</x:v>
      </x:c>
      <x:c r="T6" s="32" t="n">
        <x:f>IF(O6="","",(1/'Metadata'!$B$5)^(O6-1))</x:f>
        <x:v>128.82495516931337</x:v>
      </x:c>
      <x:c r="U6" s="31" t="n">
        <x:f>IF(T6="","",I6*T6)</x:f>
        <x:v>1602846.006775919</x:v>
      </x:c>
    </x:row>
    <x:row r="7" ht="18" customHeight="1">
      <x:c r="A7" s="24" t="str">
        <x:v>EEZ_963</x:v>
      </x:c>
      <x:c r="B7" s="24" t="str">
        <x:v>Spain (Northwest)</x:v>
      </x:c>
      <x:c r="C7" s="24" t="str">
        <x:v>EEZ</x:v>
      </x:c>
      <x:c r="D7" s="30" t="n">
        <x:v>2019</x:v>
      </x:c>
      <x:c r="E7" s="24" t="str">
        <x:v>Scomber colias</x:v>
      </x:c>
      <x:c r="F7" s="24" t="str">
        <x:v>Atlantic chub mackerel</x:v>
      </x:c>
      <x:c r="G7" s="24" t="str">
        <x:v>Medium pelagics (30 - 89 cm)</x:v>
      </x:c>
      <x:c r="H7" s="24" t="str">
        <x:v>Perch-likes</x:v>
      </x:c>
      <x:c r="I7" s="31" t="n">
        <x:v>11787.1955320799</x:v>
      </x:c>
      <x:c r="J7" s="31" t="n">
        <x:v>11787.1955320799</x:v>
      </x:c>
      <x:c r="K7" s="31" t="n">
        <x:v>0</x:v>
      </x:c>
      <x:c r="L7" s="31" t="n">
        <x:v>7218.6309800799</x:v>
      </x:c>
      <x:c r="M7" s="31" t="n">
        <x:v>4568.564552</x:v>
      </x:c>
      <x:c r="N7" s="24" t="str">
        <x:v>scomber colias</x:v>
      </x:c>
      <x:c r="O7" s="32" t="n">
        <x:v>3.91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Scomber colias</x:v>
      </x:c>
      <x:c r="T7" s="32" t="n">
        <x:f>IF(O7="","",(1/'Metadata'!$B$5)^(O7-1))</x:f>
        <x:v>812.8305161640995</x:v>
      </x:c>
      <x:c r="U7" s="31" t="n">
        <x:f>IF(T7="","",I7*T7)</x:f>
        <x:v>9580992.228467673</x:v>
      </x:c>
    </x:row>
    <x:row r="8" ht="18" customHeight="1">
      <x:c r="A8" s="24" t="str">
        <x:v>EEZ_963</x:v>
      </x:c>
      <x:c r="B8" s="24" t="str">
        <x:v>Spain (Northwest)</x:v>
      </x:c>
      <x:c r="C8" s="24" t="str">
        <x:v>EEZ</x:v>
      </x:c>
      <x:c r="D8" s="30" t="n">
        <x:v>2019</x:v>
      </x:c>
      <x:c r="E8" s="24" t="str">
        <x:v>Sardina pilchardus</x:v>
      </x:c>
      <x:c r="F8" s="24" t="str">
        <x:v>European pilchard</x:v>
      </x:c>
      <x:c r="G8" s="24" t="str">
        <x:v>Small pelagics (&lt;30 cm)</x:v>
      </x:c>
      <x:c r="H8" s="24" t="str">
        <x:v>Herring-likes</x:v>
      </x:c>
      <x:c r="I8" s="31" t="n">
        <x:v>7871.0872338340005</x:v>
      </x:c>
      <x:c r="J8" s="31" t="n">
        <x:v>7575.844336934</x:v>
      </x:c>
      <x:c r="K8" s="31" t="n">
        <x:v>295.2428969</x:v>
      </x:c>
      <x:c r="L8" s="31" t="n">
        <x:v>7575.844336934</x:v>
      </x:c>
      <x:c r="M8" s="31" t="n">
        <x:v>295.2428969</x:v>
      </x:c>
      <x:c r="N8" s="24" t="str">
        <x:v>sardina pilchardus</x:v>
      </x:c>
      <x:c r="O8" s="32" t="n">
        <x:v>3.06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Sardina pilchardus</x:v>
      </x:c>
      <x:c r="T8" s="32" t="n">
        <x:f>IF(O8="","",(1/'Metadata'!$B$5)^(O8-1))</x:f>
        <x:v>114.81536214968828</x:v>
      </x:c>
      <x:c r="U8" s="31" t="n">
        <x:f>IF(T8="","",I8*T8)</x:f>
        <x:v>903721.731264439</x:v>
      </x:c>
    </x:row>
    <x:row r="9" ht="18" customHeight="1">
      <x:c r="A9" s="24" t="str">
        <x:v>EEZ_963</x:v>
      </x:c>
      <x:c r="B9" s="24" t="str">
        <x:v>Spain (Northwest)</x:v>
      </x:c>
      <x:c r="C9" s="24" t="str">
        <x:v>EEZ</x:v>
      </x:c>
      <x:c r="D9" s="30" t="n">
        <x:v>2019</x:v>
      </x:c>
      <x:c r="E9" s="24" t="str">
        <x:v>Marine pelagic fishes not identified</x:v>
      </x:c>
      <x:c r="F9" s="24" t="str">
        <x:v>Pelagic fishes</x:v>
      </x:c>
      <x:c r="G9" s="24" t="str">
        <x:v>Medium pelagics (30 - 89 cm)</x:v>
      </x:c>
      <x:c r="H9" s="24" t="str">
        <x:v>Other fishes &amp; inverts</x:v>
      </x:c>
      <x:c r="I9" s="31" t="n">
        <x:v>7013.4576128431</x:v>
      </x:c>
      <x:c r="J9" s="31" t="n">
        <x:v>7013.4576128431</x:v>
      </x:c>
      <x:c r="K9" s="31" t="n">
        <x:v>0</x:v>
      </x:c>
      <x:c r="L9" s="31" t="n">
        <x:v>7013.4576128431</x:v>
      </x:c>
      <x:c r="M9" s="31" t="n">
        <x:v>0</x:v>
      </x:c>
      <x:c r="N9" s="24" t="str">
        <x:v>marine pelagic fishes not identified</x:v>
      </x:c>
      <x:c r="O9" s="32" t="n">
        <x:v>3.35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Marine pelagic fishes not identified</x:v>
      </x:c>
      <x:c r="T9" s="32" t="n">
        <x:f>IF(O9="","",(1/'Metadata'!$B$5)^(O9-1))</x:f>
        <x:v>223.872113856834</x:v>
      </x:c>
      <x:c r="U9" s="31" t="n">
        <x:f>IF(T9="","",I9*T9)</x:f>
        <x:v>1570117.5812324898</x:v>
      </x:c>
    </x:row>
    <x:row r="10" ht="18" customHeight="1">
      <x:c r="A10" s="24" t="str">
        <x:v>EEZ_963</x:v>
      </x:c>
      <x:c r="B10" s="24" t="str">
        <x:v>Spain (Northwest)</x:v>
      </x:c>
      <x:c r="C10" s="24" t="str">
        <x:v>EEZ</x:v>
      </x:c>
      <x:c r="D10" s="30" t="n">
        <x:v>2019</x:v>
      </x:c>
      <x:c r="E10" s="24" t="str">
        <x:v>Boops boops</x:v>
      </x:c>
      <x:c r="F10" s="24" t="str">
        <x:v>Bogue</x:v>
      </x:c>
      <x:c r="G10" s="24" t="str">
        <x:v>Medium demersals (30 - 89 cm)</x:v>
      </x:c>
      <x:c r="H10" s="24" t="str">
        <x:v>Perch-likes</x:v>
      </x:c>
      <x:c r="I10" s="31" t="n">
        <x:v>6759.0578127002</x:v>
      </x:c>
      <x:c r="J10" s="31" t="n">
        <x:v>6463.8149158002</x:v>
      </x:c>
      <x:c r="K10" s="31" t="n">
        <x:v>295.2428969</x:v>
      </x:c>
      <x:c r="L10" s="31" t="n">
        <x:v>3524.5727588002</x:v>
      </x:c>
      <x:c r="M10" s="31" t="n">
        <x:v>3234.4850539000004</x:v>
      </x:c>
      <x:c r="N10" s="24" t="str">
        <x:v>boops boops</x:v>
      </x:c>
      <x:c r="O10" s="32" t="n">
        <x:v>2.79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Boops boops</x:v>
      </x:c>
      <x:c r="T10" s="32" t="n">
        <x:f>IF(O10="","",(1/'Metadata'!$B$5)^(O10-1))</x:f>
        <x:v>61.65950018614822</x:v>
      </x:c>
      <x:c r="U10" s="31" t="n">
        <x:f>IF(T10="","",I10*T10)</x:f>
        <x:v>416760.12646037457</x:v>
      </x:c>
    </x:row>
    <x:row r="11" ht="18" customHeight="1">
      <x:c r="A11" s="24" t="str">
        <x:v>EEZ_963</x:v>
      </x:c>
      <x:c r="B11" s="24" t="str">
        <x:v>Spain (Northwest)</x:v>
      </x:c>
      <x:c r="C11" s="24" t="str">
        <x:v>EEZ</x:v>
      </x:c>
      <x:c r="D11" s="30" t="n">
        <x:v>2019</x:v>
      </x:c>
      <x:c r="E11" s="24" t="str">
        <x:v>Trachurus</x:v>
      </x:c>
      <x:c r="F11" s="24" t="str">
        <x:v>Jacks, horse mackerels</x:v>
      </x:c>
      <x:c r="G11" s="24" t="str">
        <x:v>Medium pelagics (30 - 89 cm)</x:v>
      </x:c>
      <x:c r="H11" s="24" t="str">
        <x:v>Perch-likes</x:v>
      </x:c>
      <x:c r="I11" s="31" t="n">
        <x:v>4956.0752634003</x:v>
      </x:c>
      <x:c r="J11" s="31" t="n">
        <x:v>4956.0752634003</x:v>
      </x:c>
      <x:c r="K11" s="31" t="n">
        <x:v>0</x:v>
      </x:c>
      <x:c r="L11" s="31" t="n">
        <x:v>4164.2019137002</x:v>
      </x:c>
      <x:c r="M11" s="31" t="n">
        <x:v>791.8733497001</x:v>
      </x:c>
      <x:c r="N11" s="24" t="str">
        <x:v>trachurus</x:v>
      </x:c>
      <x:c r="O11" s="32" t="n">
        <x:v>3.69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Trachurus</x:v>
      </x:c>
      <x:c r="T11" s="32" t="n">
        <x:f>IF(O11="","",(1/'Metadata'!$B$5)^(O11-1))</x:f>
        <x:v>489.77881936844614</x:v>
      </x:c>
      <x:c r="U11" s="31" t="n">
        <x:f>IF(T11="","",I11*T11)</x:f>
        <x:v>2427380.6912093596</x:v>
      </x:c>
    </x:row>
    <x:row r="12" ht="18" customHeight="1">
      <x:c r="A12" s="24" t="str">
        <x:v>EEZ_963</x:v>
      </x:c>
      <x:c r="B12" s="24" t="str">
        <x:v>Spain (Northwest)</x:v>
      </x:c>
      <x:c r="C12" s="24" t="str">
        <x:v>EEZ</x:v>
      </x:c>
      <x:c r="D12" s="30" t="n">
        <x:v>2019</x:v>
      </x:c>
      <x:c r="E12" s="24" t="str">
        <x:v>Trachurus trachurus</x:v>
      </x:c>
      <x:c r="F12" s="24" t="str">
        <x:v>Atlantic horse mackerel</x:v>
      </x:c>
      <x:c r="G12" s="24" t="str">
        <x:v>Medium pelagics (30 - 89 cm)</x:v>
      </x:c>
      <x:c r="H12" s="24" t="str">
        <x:v>Perch-likes</x:v>
      </x:c>
      <x:c r="I12" s="31" t="n">
        <x:v>4522.929795339401</x:v>
      </x:c>
      <x:c r="J12" s="31" t="n">
        <x:v>4227.6868984394005</x:v>
      </x:c>
      <x:c r="K12" s="31" t="n">
        <x:v>295.2428969</x:v>
      </x:c>
      <x:c r="L12" s="31" t="n">
        <x:v>4227.6868735725</x:v>
      </x:c>
      <x:c r="M12" s="31" t="n">
        <x:v>295.2429217669</x:v>
      </x:c>
      <x:c r="N12" s="24" t="str">
        <x:v>trachurus trachurus</x:v>
      </x:c>
      <x:c r="O12" s="32" t="n">
        <x:v>3.71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Trachurus trachurus</x:v>
      </x:c>
      <x:c r="T12" s="32" t="n">
        <x:f>IF(O12="","",(1/'Metadata'!$B$5)^(O12-1))</x:f>
        <x:v>512.8613839913648</x:v>
      </x:c>
      <x:c r="U12" s="31" t="n">
        <x:f>IF(T12="","",I12*T12)</x:f>
        <x:v>2319636.0345335454</x:v>
      </x:c>
    </x:row>
    <x:row r="13" ht="18" customHeight="1">
      <x:c r="A13" s="24" t="str">
        <x:v>EEZ_963</x:v>
      </x:c>
      <x:c r="B13" s="24" t="str">
        <x:v>Spain (Northwest)</x:v>
      </x:c>
      <x:c r="C13" s="24" t="str">
        <x:v>EEZ</x:v>
      </x:c>
      <x:c r="D13" s="30" t="n">
        <x:v>2019</x:v>
      </x:c>
      <x:c r="E13" s="24" t="str">
        <x:v>Prionace glauca</x:v>
      </x:c>
      <x:c r="F13" s="24" t="str">
        <x:v>Blue shark</x:v>
      </x:c>
      <x:c r="G13" s="24" t="str">
        <x:v>Large sharks (&gt;=90 cm)</x:v>
      </x:c>
      <x:c r="H13" s="24" t="str">
        <x:v>Sharks &amp; rays</x:v>
      </x:c>
      <x:c r="I13" s="31" t="n">
        <x:v>2580.8423193602</x:v>
      </x:c>
      <x:c r="J13" s="31" t="n">
        <x:v>2580.8423193602</x:v>
      </x:c>
      <x:c r="K13" s="31" t="n">
        <x:v>0</x:v>
      </x:c>
      <x:c r="L13" s="31" t="n">
        <x:v>2348.0008056601</x:v>
      </x:c>
      <x:c r="M13" s="31" t="n">
        <x:v>232.8415137001</x:v>
      </x:c>
      <x:c r="N13" s="24" t="str">
        <x:v>prionace glauca</x:v>
      </x:c>
      <x:c r="O13" s="32" t="n">
        <x:v>4.35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Prionace glauca</x:v>
      </x:c>
      <x:c r="T13" s="32" t="n">
        <x:f>IF(O13="","",(1/'Metadata'!$B$5)^(O13-1))</x:f>
        <x:v>2238.7211385683377</x:v>
      </x:c>
      <x:c r="U13" s="31" t="n">
        <x:f>IF(T13="","",I13*T13)</x:f>
        <x:v>5777786.255663415</x:v>
      </x:c>
    </x:row>
    <x:row r="14" ht="18" customHeight="1">
      <x:c r="A14" s="24" t="str">
        <x:v>EEZ_963</x:v>
      </x:c>
      <x:c r="B14" s="24" t="str">
        <x:v>Spain (Northwest)</x:v>
      </x:c>
      <x:c r="C14" s="24" t="str">
        <x:v>EEZ</x:v>
      </x:c>
      <x:c r="D14" s="30" t="n">
        <x:v>2019</x:v>
      </x:c>
      <x:c r="E14" s="24" t="str">
        <x:v>Perciformes</x:v>
      </x:c>
      <x:c r="F14" s="24" t="str">
        <x:v>Perch-likes</x:v>
      </x:c>
      <x:c r="G14" s="24" t="str">
        <x:v>Medium demersals (30 - 89 cm)</x:v>
      </x:c>
      <x:c r="H14" s="24" t="str">
        <x:v>Perch-likes</x:v>
      </x:c>
      <x:c r="I14" s="31" t="n">
        <x:v>2510.0408557905</x:v>
      </x:c>
      <x:c r="J14" s="31" t="n">
        <x:v>2510.0408557905</x:v>
      </x:c>
      <x:c r="K14" s="31" t="n">
        <x:v>0</x:v>
      </x:c>
      <x:c r="L14" s="31" t="n">
        <x:v>2510.0408557905</x:v>
      </x:c>
      <x:c r="M14" s="31" t="n">
        <x:v>0</x:v>
      </x:c>
      <x:c r="N14" s="24" t="str">
        <x:v>perciformes</x:v>
      </x:c>
      <x:c r="O14" s="32" t="n">
        <x:v>3.53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Perciformes</x:v>
      </x:c>
      <x:c r="T14" s="32" t="n">
        <x:f>IF(O14="","",(1/'Metadata'!$B$5)^(O14-1))</x:f>
        <x:v>338.84415613920237</x:v>
      </x:c>
      <x:c r="U14" s="31" t="n">
        <x:f>IF(T14="","",I14*T14)</x:f>
        <x:v>850512.6756552532</x:v>
      </x:c>
    </x:row>
    <x:row r="15" ht="18" customHeight="1">
      <x:c r="A15" s="24" t="str">
        <x:v>EEZ_963</x:v>
      </x:c>
      <x:c r="B15" s="24" t="str">
        <x:v>Spain (Northwest)</x:v>
      </x:c>
      <x:c r="C15" s="24" t="str">
        <x:v>EEZ</x:v>
      </x:c>
      <x:c r="D15" s="30" t="n">
        <x:v>2019</x:v>
      </x:c>
      <x:c r="E15" s="24" t="str">
        <x:v>Lepidorhombus</x:v>
      </x:c>
      <x:c r="F15" s="24" t="str">
        <x:v>Megrims</x:v>
      </x:c>
      <x:c r="G15" s="24" t="str">
        <x:v>Small to medium flatfishes (&lt;90 cm)</x:v>
      </x:c>
      <x:c r="H15" s="24" t="str">
        <x:v>Flatfishes</x:v>
      </x:c>
      <x:c r="I15" s="31" t="n">
        <x:v>2427.2706894128</x:v>
      </x:c>
      <x:c r="J15" s="31" t="n">
        <x:v>2427.2706894128</x:v>
      </x:c>
      <x:c r="K15" s="31" t="n">
        <x:v>0</x:v>
      </x:c>
      <x:c r="L15" s="31" t="n">
        <x:v>2245.8089052128003</x:v>
      </x:c>
      <x:c r="M15" s="31" t="n">
        <x:v>181.46178419999998</x:v>
      </x:c>
      <x:c r="N15" s="24" t="str">
        <x:v>lepidorhombus</x:v>
      </x:c>
      <x:c r="O15" s="32" t="n">
        <x:v>3.96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Lepidorhombus</x:v>
      </x:c>
      <x:c r="T15" s="32" t="n">
        <x:f>IF(O15="","",(1/'Metadata'!$B$5)^(O15-1))</x:f>
        <x:v>912.0108393559096</x:v>
      </x:c>
      <x:c r="U15" s="31" t="n">
        <x:f>IF(T15="","",I15*T15)</x:f>
        <x:v>2213697.178795365</x:v>
      </x:c>
    </x:row>
    <x:row r="16" ht="18" customHeight="1">
      <x:c r="A16" s="24" t="str">
        <x:v>EEZ_963</x:v>
      </x:c>
      <x:c r="B16" s="24" t="str">
        <x:v>Spain (Northwest)</x:v>
      </x:c>
      <x:c r="C16" s="24" t="str">
        <x:v>EEZ</x:v>
      </x:c>
      <x:c r="D16" s="30" t="n">
        <x:v>2019</x:v>
      </x:c>
      <x:c r="E16" s="24" t="str">
        <x:v>Marine finfishes not identified</x:v>
      </x:c>
      <x:c r="F16" s="24" t="str">
        <x:v>Finfishes</x:v>
      </x:c>
      <x:c r="G16" s="24" t="str">
        <x:v>Medium demersals (30 - 89 cm)</x:v>
      </x:c>
      <x:c r="H16" s="24" t="str">
        <x:v>Other fishes &amp; inverts</x:v>
      </x:c>
      <x:c r="I16" s="31" t="n">
        <x:v>2342.4140837792</x:v>
      </x:c>
      <x:c r="J16" s="31" t="n">
        <x:v>1650.6379642709</x:v>
      </x:c>
      <x:c r="K16" s="31" t="n">
        <x:v>691.7761195083</x:v>
      </x:c>
      <x:c r="L16" s="31" t="n">
        <x:v>1650.6379642709</x:v>
      </x:c>
      <x:c r="M16" s="31" t="n">
        <x:v>691.7761195083</x:v>
      </x:c>
      <x:c r="N16" s="24" t="str">
        <x:v>marine finfishes not identified</x:v>
      </x:c>
      <x:c r="O16" s="32" t="n">
        <x:v>3.23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Marine finfishes not identified</x:v>
      </x:c>
      <x:c r="T16" s="32" t="n">
        <x:f>IF(O16="","",(1/'Metadata'!$B$5)^(O16-1))</x:f>
        <x:v>169.82436524617444</x:v>
      </x:c>
      <x:c r="U16" s="31" t="n">
        <x:f>IF(T16="","",I16*T16)</x:f>
        <x:v>397798.98492150195</x:v>
      </x:c>
    </x:row>
    <x:row r="17" ht="18" customHeight="1">
      <x:c r="A17" s="24" t="str">
        <x:v>EEZ_963</x:v>
      </x:c>
      <x:c r="B17" s="24" t="str">
        <x:v>Spain (Northwest)</x:v>
      </x:c>
      <x:c r="C17" s="24" t="str">
        <x:v>EEZ</x:v>
      </x:c>
      <x:c r="D17" s="30" t="n">
        <x:v>2019</x:v>
      </x:c>
      <x:c r="E17" s="24" t="str">
        <x:v>Lophius</x:v>
      </x:c>
      <x:c r="F17" s="24" t="str">
        <x:v>Frogfishes</x:v>
      </x:c>
      <x:c r="G17" s="24" t="str">
        <x:v>Medium bathydemersals (30 - 89 cm)</x:v>
      </x:c>
      <x:c r="H17" s="24" t="str">
        <x:v>Other fishes &amp; inverts</x:v>
      </x:c>
      <x:c r="I17" s="31" t="n">
        <x:v>1882.3594086559</x:v>
      </x:c>
      <x:c r="J17" s="31" t="n">
        <x:v>1882.3594086559</x:v>
      </x:c>
      <x:c r="K17" s="31" t="n">
        <x:v>0</x:v>
      </x:c>
      <x:c r="L17" s="31" t="n">
        <x:v>1197.2954270559</x:v>
      </x:c>
      <x:c r="M17" s="31" t="n">
        <x:v>685.0639816</x:v>
      </x:c>
      <x:c r="N17" s="24" t="str">
        <x:v>lophius</x:v>
      </x:c>
      <x:c r="O17" s="32" t="n">
        <x:v>4.46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Lophius</x:v>
      </x:c>
      <x:c r="T17" s="32" t="n">
        <x:f>IF(O17="","",(1/'Metadata'!$B$5)^(O17-1))</x:f>
        <x:v>2884.031503126606</x:v>
      </x:c>
      <x:c r="U17" s="31" t="n">
        <x:f>IF(T17="","",I17*T17)</x:f>
        <x:v>5428783.834770384</x:v>
      </x:c>
    </x:row>
    <x:row r="18" ht="18" customHeight="1">
      <x:c r="A18" s="24" t="str">
        <x:v>EEZ_963</x:v>
      </x:c>
      <x:c r="B18" s="24" t="str">
        <x:v>Spain (Northwest)</x:v>
      </x:c>
      <x:c r="C18" s="24" t="str">
        <x:v>EEZ</x:v>
      </x:c>
      <x:c r="D18" s="30" t="n">
        <x:v>2019</x:v>
      </x:c>
      <x:c r="E18" s="24" t="str">
        <x:v>Thunnus alalunga</x:v>
      </x:c>
      <x:c r="F18" s="24" t="str">
        <x:v>Albacore</x:v>
      </x:c>
      <x:c r="G18" s="24" t="str">
        <x:v>Large pelagics (&gt;=90 cm)</x:v>
      </x:c>
      <x:c r="H18" s="24" t="str">
        <x:v>Tuna &amp; billfishes</x:v>
      </x:c>
      <x:c r="I18" s="31" t="n">
        <x:v>1783.2357853848</x:v>
      </x:c>
      <x:c r="J18" s="31" t="n">
        <x:v>1783.2357853848</x:v>
      </x:c>
      <x:c r="K18" s="31" t="n">
        <x:v>0</x:v>
      </x:c>
      <x:c r="L18" s="31" t="n">
        <x:v>1783.2357853848</x:v>
      </x:c>
      <x:c r="M18" s="31" t="n">
        <x:v>0</x:v>
      </x:c>
      <x:c r="N18" s="24" t="str">
        <x:v>thunnus alalunga</x:v>
      </x:c>
      <x:c r="O18" s="32" t="n">
        <x:v>4.3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Thunnus alalunga</x:v>
      </x:c>
      <x:c r="T18" s="32" t="n">
        <x:f>IF(O18="","",(1/'Metadata'!$B$5)^(O18-1))</x:f>
        <x:v>1995.2623149688789</x:v>
      </x:c>
      <x:c r="U18" s="31" t="n">
        <x:f>IF(T18="","",I18*T18)</x:f>
        <x:v>3558023.1612822227</x:v>
      </x:c>
    </x:row>
    <x:row r="19" ht="18" customHeight="1">
      <x:c r="A19" s="24" t="str">
        <x:v>EEZ_963</x:v>
      </x:c>
      <x:c r="B19" s="24" t="str">
        <x:v>Spain (Northwest)</x:v>
      </x:c>
      <x:c r="C19" s="24" t="str">
        <x:v>EEZ</x:v>
      </x:c>
      <x:c r="D19" s="30" t="n">
        <x:v>2019</x:v>
      </x:c>
      <x:c r="E19" s="24" t="str">
        <x:v>Lophiidae</x:v>
      </x:c>
      <x:c r="F19" s="24" t="str">
        <x:v>Goosefishes</x:v>
      </x:c>
      <x:c r="G19" s="24" t="str">
        <x:v>Medium bathydemersals (30 - 89 cm)</x:v>
      </x:c>
      <x:c r="H19" s="24" t="str">
        <x:v>Other fishes &amp; inverts</x:v>
      </x:c>
      <x:c r="I19" s="31" t="n">
        <x:v>1367.7036337234</x:v>
      </x:c>
      <x:c r="J19" s="31" t="n">
        <x:v>1367.7036337234</x:v>
      </x:c>
      <x:c r="K19" s="31" t="n">
        <x:v>0</x:v>
      </x:c>
      <x:c r="L19" s="31" t="n">
        <x:v>1367.7036337234</x:v>
      </x:c>
      <x:c r="M19" s="31" t="n">
        <x:v>0</x:v>
      </x:c>
      <x:c r="N19" s="24" t="str">
        <x:v>lophiidae</x:v>
      </x:c>
      <x:c r="O19" s="32" t="n">
        <x:v>4.46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Lophiidae</x:v>
      </x:c>
      <x:c r="T19" s="32" t="n">
        <x:f>IF(O19="","",(1/'Metadata'!$B$5)^(O19-1))</x:f>
        <x:v>2884.031503126606</x:v>
      </x:c>
      <x:c r="U19" s="31" t="n">
        <x:f>IF(T19="","",I19*T19)</x:f>
        <x:v>3944500.3665990178</x:v>
      </x:c>
    </x:row>
    <x:row r="20" ht="18" customHeight="1">
      <x:c r="A20" s="24" t="str">
        <x:v>EEZ_963</x:v>
      </x:c>
      <x:c r="B20" s="24" t="str">
        <x:v>Spain (Northwest)</x:v>
      </x:c>
      <x:c r="C20" s="24" t="str">
        <x:v>EEZ</x:v>
      </x:c>
      <x:c r="D20" s="30" t="n">
        <x:v>2019</x:v>
      </x:c>
      <x:c r="E20" s="24" t="str">
        <x:v>Petromyzon marinus</x:v>
      </x:c>
      <x:c r="F20" s="24" t="str">
        <x:v>Sea lamprey</x:v>
      </x:c>
      <x:c r="G20" s="24" t="str">
        <x:v>Large demersals (&gt;=90 cm)</x:v>
      </x:c>
      <x:c r="H20" s="24" t="str">
        <x:v>Other fishes &amp; inverts</x:v>
      </x:c>
      <x:c r="I20" s="31" t="n">
        <x:v>1246.6425262</x:v>
      </x:c>
      <x:c r="J20" s="31" t="n">
        <x:v>1246.6425262</x:v>
      </x:c>
      <x:c r="K20" s="31" t="n">
        <x:v>0</x:v>
      </x:c>
      <x:c r="L20" s="31" t="n">
        <x:v>0.0598097</x:v>
      </x:c>
      <x:c r="M20" s="31" t="n">
        <x:v>1246.5827165</x:v>
      </x:c>
      <x:c r="N20" s="24" t="str">
        <x:v>petromyzon marinus</x:v>
      </x:c>
      <x:c r="O20" s="32" t="n">
        <x:v>4.37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Petromyzon marinus</x:v>
      </x:c>
      <x:c r="T20" s="32" t="n">
        <x:f>IF(O20="","",(1/'Metadata'!$B$5)^(O20-1))</x:f>
        <x:v>2344.228815319923</x:v>
      </x:c>
      <x:c r="U20" s="31" t="n">
        <x:f>IF(T20="","",I20*T20)</x:f>
        <x:v>2922415.332321262</x:v>
      </x:c>
    </x:row>
    <x:row r="21" ht="18" customHeight="1">
      <x:c r="A21" s="24" t="str">
        <x:v>EEZ_963</x:v>
      </x:c>
      <x:c r="B21" s="24" t="str">
        <x:v>Spain (Northwest)</x:v>
      </x:c>
      <x:c r="C21" s="24" t="str">
        <x:v>EEZ</x:v>
      </x:c>
      <x:c r="D21" s="30" t="n">
        <x:v>2019</x:v>
      </x:c>
      <x:c r="E21" s="24" t="str">
        <x:v>Conger conger</x:v>
      </x:c>
      <x:c r="F21" s="24" t="str">
        <x:v>European conger</x:v>
      </x:c>
      <x:c r="G21" s="24" t="str">
        <x:v>Large demersals (&gt;=90 cm)</x:v>
      </x:c>
      <x:c r="H21" s="24" t="str">
        <x:v>Other fishes &amp; inverts</x:v>
      </x:c>
      <x:c r="I21" s="31" t="n">
        <x:v>1206.8818216581</x:v>
      </x:c>
      <x:c r="J21" s="31" t="n">
        <x:v>1206.8818216581</x:v>
      </x:c>
      <x:c r="K21" s="31" t="n">
        <x:v>0</x:v>
      </x:c>
      <x:c r="L21" s="31" t="n">
        <x:v>856.3714241881</x:v>
      </x:c>
      <x:c r="M21" s="31" t="n">
        <x:v>350.51039747</x:v>
      </x:c>
      <x:c r="N21" s="24" t="str">
        <x:v>conger conger</x:v>
      </x:c>
      <x:c r="O21" s="32" t="n">
        <x:v>4.31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Conger conger</x:v>
      </x:c>
      <x:c r="T21" s="32" t="n">
        <x:f>IF(O21="","",(1/'Metadata'!$B$5)^(O21-1))</x:f>
        <x:v>2041.7379446695275</x:v>
      </x:c>
      <x:c r="U21" s="31" t="n">
        <x:f>IF(T21="","",I21*T21)</x:f>
        <x:v>2464136.4100112244</x:v>
      </x:c>
    </x:row>
    <x:row r="22" ht="18" customHeight="1">
      <x:c r="A22" s="24" t="str">
        <x:v>EEZ_963</x:v>
      </x:c>
      <x:c r="B22" s="24" t="str">
        <x:v>Spain (Northwest)</x:v>
      </x:c>
      <x:c r="C22" s="24" t="str">
        <x:v>EEZ</x:v>
      </x:c>
      <x:c r="D22" s="30" t="n">
        <x:v>2019</x:v>
      </x:c>
      <x:c r="E22" s="24" t="str">
        <x:v>Octopus vulgaris</x:v>
      </x:c>
      <x:c r="F22" s="24" t="str">
        <x:v>Common octopus</x:v>
      </x:c>
      <x:c r="G22" s="24" t="str">
        <x:v>Cephalopods</x:v>
      </x:c>
      <x:c r="H22" s="24" t="str">
        <x:v>Other fishes &amp; inverts</x:v>
      </x:c>
      <x:c r="I22" s="31" t="n">
        <x:v>1145.950290368</x:v>
      </x:c>
      <x:c r="J22" s="31" t="n">
        <x:v>1145.950290368</x:v>
      </x:c>
      <x:c r="K22" s="31" t="n">
        <x:v>0</x:v>
      </x:c>
      <x:c r="L22" s="31" t="n">
        <x:v>412.1636178679</x:v>
      </x:c>
      <x:c r="M22" s="31" t="n">
        <x:v>733.7866725001</x:v>
      </x:c>
      <x:c r="N22" s="24" t="str">
        <x:v>octopus vulgaris</x:v>
      </x:c>
      <x:c r="O22" s="32" t="n">
        <x:v>3.6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Octopus vulgaris</x:v>
      </x:c>
      <x:c r="T22" s="32" t="n">
        <x:f>IF(O22="","",(1/'Metadata'!$B$5)^(O22-1))</x:f>
        <x:v>398.1071705534973</x:v>
      </x:c>
      <x:c r="U22" s="31" t="n">
        <x:f>IF(T22="","",I22*T22)</x:f>
        <x:v>456211.02769336314</x:v>
      </x:c>
    </x:row>
    <x:row r="23" ht="18" customHeight="1">
      <x:c r="A23" s="24" t="str">
        <x:v>EEZ_963</x:v>
      </x:c>
      <x:c r="B23" s="24" t="str">
        <x:v>Spain (Northwest)</x:v>
      </x:c>
      <x:c r="C23" s="24" t="str">
        <x:v>EEZ</x:v>
      </x:c>
      <x:c r="D23" s="30" t="n">
        <x:v>2019</x:v>
      </x:c>
      <x:c r="E23" s="24" t="str">
        <x:v>Coryphaenoides rupestris</x:v>
      </x:c>
      <x:c r="F23" s="24" t="str">
        <x:v>Roundnose grenadier</x:v>
      </x:c>
      <x:c r="G23" s="24" t="str">
        <x:v>Large bathypelagics (&gt;=90 cm)</x:v>
      </x:c>
      <x:c r="H23" s="24" t="str">
        <x:v>Cod-likes</x:v>
      </x:c>
      <x:c r="I23" s="31" t="n">
        <x:v>929.0060193301</x:v>
      </x:c>
      <x:c r="J23" s="31" t="n">
        <x:v>929.0060193301</x:v>
      </x:c>
      <x:c r="K23" s="31" t="n">
        <x:v>0</x:v>
      </x:c>
      <x:c r="L23" s="31" t="n">
        <x:v>929.0060193301</x:v>
      </x:c>
      <x:c r="M23" s="31" t="n">
        <x:v>0</x:v>
      </x:c>
      <x:c r="N23" s="24" t="str">
        <x:v>coryphaenoides rupestris</x:v>
      </x:c>
      <x:c r="O23" s="32" t="n">
        <x:v>3.54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Coryphaenoides rupestris</x:v>
      </x:c>
      <x:c r="T23" s="32" t="n">
        <x:f>IF(O23="","",(1/'Metadata'!$B$5)^(O23-1))</x:f>
        <x:v>346.73685045253166</x:v>
      </x:c>
      <x:c r="U23" s="31" t="n">
        <x:f>IF(T23="","",I23*T23)</x:f>
        <x:v>322120.62119396264</x:v>
      </x:c>
    </x:row>
    <x:row r="24" ht="18" customHeight="1">
      <x:c r="A24" s="24" t="str">
        <x:v>EEZ_963</x:v>
      </x:c>
      <x:c r="B24" s="24" t="str">
        <x:v>Spain (Northwest)</x:v>
      </x:c>
      <x:c r="C24" s="24" t="str">
        <x:v>EEZ</x:v>
      </x:c>
      <x:c r="D24" s="30" t="n">
        <x:v>2019</x:v>
      </x:c>
      <x:c r="E24" s="24" t="str">
        <x:v>Scomberesox saurus</x:v>
      </x:c>
      <x:c r="F24" s="24" t="str">
        <x:v>Atlantic saury</x:v>
      </x:c>
      <x:c r="G24" s="24" t="str">
        <x:v>Medium pelagics (30 - 89 cm)</x:v>
      </x:c>
      <x:c r="H24" s="24" t="str">
        <x:v>Other fishes &amp; inverts</x:v>
      </x:c>
      <x:c r="I24" s="31" t="n">
        <x:v>780.2963972839</x:v>
      </x:c>
      <x:c r="J24" s="31" t="n">
        <x:v>780.2963972839</x:v>
      </x:c>
      <x:c r="K24" s="31" t="n">
        <x:v>0</x:v>
      </x:c>
      <x:c r="L24" s="31" t="n">
        <x:v>309.94565508389996</x:v>
      </x:c>
      <x:c r="M24" s="31" t="n">
        <x:v>470.3507422</x:v>
      </x:c>
      <x:c r="N24" s="24" t="str">
        <x:v>scomberesox saurus</x:v>
      </x:c>
      <x:c r="O24" s="32" t="n">
        <x:v>3.91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Scomberesox saurus</x:v>
      </x:c>
      <x:c r="T24" s="32" t="n">
        <x:f>IF(O24="","",(1/'Metadata'!$B$5)^(O24-1))</x:f>
        <x:v>812.8305161640995</x:v>
      </x:c>
      <x:c r="U24" s="31" t="n">
        <x:f>IF(T24="","",I24*T24)</x:f>
        <x:v>634248.7233652597</x:v>
      </x:c>
    </x:row>
    <x:row r="25" ht="18" customHeight="1">
      <x:c r="A25" s="24" t="str">
        <x:v>EEZ_963</x:v>
      </x:c>
      <x:c r="B25" s="24" t="str">
        <x:v>Spain (Northwest)</x:v>
      </x:c>
      <x:c r="C25" s="24" t="str">
        <x:v>EEZ</x:v>
      </x:c>
      <x:c r="D25" s="30" t="n">
        <x:v>2019</x:v>
      </x:c>
      <x:c r="E25" s="24" t="str">
        <x:v>Molva molva</x:v>
      </x:c>
      <x:c r="F25" s="24" t="str">
        <x:v>Ling</x:v>
      </x:c>
      <x:c r="G25" s="24" t="str">
        <x:v>Large demersals (&gt;=90 cm)</x:v>
      </x:c>
      <x:c r="H25" s="24" t="str">
        <x:v>Cod-likes</x:v>
      </x:c>
      <x:c r="I25" s="31" t="n">
        <x:v>730.0733076481</x:v>
      </x:c>
      <x:c r="J25" s="31" t="n">
        <x:v>730.0733076481</x:v>
      </x:c>
      <x:c r="K25" s="31" t="n">
        <x:v>0</x:v>
      </x:c>
      <x:c r="L25" s="31" t="n">
        <x:v>724.396241339</x:v>
      </x:c>
      <x:c r="M25" s="31" t="n">
        <x:v>5.6770663091</x:v>
      </x:c>
      <x:c r="N25" s="24" t="str">
        <x:v>molva molva</x:v>
      </x:c>
      <x:c r="O25" s="32" t="n">
        <x:v>4.4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Molva molva</x:v>
      </x:c>
      <x:c r="T25" s="32" t="n">
        <x:f>IF(O25="","",(1/'Metadata'!$B$5)^(O25-1))</x:f>
        <x:v>2511.886431509582</x:v>
      </x:c>
      <x:c r="U25" s="31" t="n">
        <x:f>IF(T25="","",I25*T25)</x:f>
        <x:v>1833861.235488583</x:v>
      </x:c>
    </x:row>
    <x:row r="26" ht="18" customHeight="1">
      <x:c r="A26" s="24" t="str">
        <x:v>EEZ_963</x:v>
      </x:c>
      <x:c r="B26" s="24" t="str">
        <x:v>Spain (Northwest)</x:v>
      </x:c>
      <x:c r="C26" s="24" t="str">
        <x:v>EEZ</x:v>
      </x:c>
      <x:c r="D26" s="30" t="n">
        <x:v>2019</x:v>
      </x:c>
      <x:c r="E26" s="24" t="str">
        <x:v>Trisopterus luscus</x:v>
      </x:c>
      <x:c r="F26" s="24" t="str">
        <x:v>Pouting</x:v>
      </x:c>
      <x:c r="G26" s="24" t="str">
        <x:v>Medium benthopelagics (30 - 89 cm)</x:v>
      </x:c>
      <x:c r="H26" s="24" t="str">
        <x:v>Cod-likes</x:v>
      </x:c>
      <x:c r="I26" s="31" t="n">
        <x:v>596.5379578648</x:v>
      </x:c>
      <x:c r="J26" s="31" t="n">
        <x:v>596.5379578648</x:v>
      </x:c>
      <x:c r="K26" s="31" t="n">
        <x:v>0</x:v>
      </x:c>
      <x:c r="L26" s="31" t="n">
        <x:v>596.5379578648</x:v>
      </x:c>
      <x:c r="M26" s="31" t="n">
        <x:v>0</x:v>
      </x:c>
      <x:c r="N26" s="24" t="str">
        <x:v>trisopterus luscus</x:v>
      </x:c>
      <x:c r="O26" s="32" t="n">
        <x:v>3.73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Trisopterus luscus</x:v>
      </x:c>
      <x:c r="T26" s="32" t="n">
        <x:f>IF(O26="","",(1/'Metadata'!$B$5)^(O26-1))</x:f>
        <x:v>537.0317963702527</x:v>
      </x:c>
      <x:c r="U26" s="31" t="n">
        <x:f>IF(T26="","",I26*T26)</x:f>
        <x:v>320359.85111517564</x:v>
      </x:c>
    </x:row>
    <x:row r="27" ht="18" customHeight="1">
      <x:c r="A27" s="24" t="str">
        <x:v>EEZ_963</x:v>
      </x:c>
      <x:c r="B27" s="24" t="str">
        <x:v>Spain (Northwest)</x:v>
      </x:c>
      <x:c r="C27" s="24" t="str">
        <x:v>EEZ</x:v>
      </x:c>
      <x:c r="D27" s="30" t="n">
        <x:v>2019</x:v>
      </x:c>
      <x:c r="E27" s="24" t="str">
        <x:v>Brama brama</x:v>
      </x:c>
      <x:c r="F27" s="24" t="str">
        <x:v>Atlantic pomfret</x:v>
      </x:c>
      <x:c r="G27" s="24" t="str">
        <x:v>Medium bathypelagics (30 - 89 cm)</x:v>
      </x:c>
      <x:c r="H27" s="24" t="str">
        <x:v>Perch-likes</x:v>
      </x:c>
      <x:c r="I27" s="31" t="n">
        <x:v>592.8078260392</x:v>
      </x:c>
      <x:c r="J27" s="31" t="n">
        <x:v>592.8078260392</x:v>
      </x:c>
      <x:c r="K27" s="31" t="n">
        <x:v>0</x:v>
      </x:c>
      <x:c r="L27" s="31" t="n">
        <x:v>592.8078260392</x:v>
      </x:c>
      <x:c r="M27" s="31" t="n">
        <x:v>0</x:v>
      </x:c>
      <x:c r="N27" s="24" t="str">
        <x:v>brama brama</x:v>
      </x:c>
      <x:c r="O27" s="32" t="n">
        <x:v>4.08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Brama brama</x:v>
      </x:c>
      <x:c r="T27" s="32" t="n">
        <x:f>IF(O27="","",(1/'Metadata'!$B$5)^(O27-1))</x:f>
        <x:v>1202.2644346174131</x:v>
      </x:c>
      <x:c r="U27" s="31" t="n">
        <x:f>IF(T27="","",I27*T27)</x:f>
        <x:v>712711.7658097966</x:v>
      </x:c>
    </x:row>
    <x:row r="28" ht="18" customHeight="1">
      <x:c r="A28" s="24" t="str">
        <x:v>EEZ_963</x:v>
      </x:c>
      <x:c r="B28" s="24" t="str">
        <x:v>Spain (Northwest)</x:v>
      </x:c>
      <x:c r="C28" s="24" t="str">
        <x:v>EEZ</x:v>
      </x:c>
      <x:c r="D28" s="30" t="n">
        <x:v>2019</x:v>
      </x:c>
      <x:c r="E28" s="24" t="str">
        <x:v>Helicolenus dactylopterus</x:v>
      </x:c>
      <x:c r="F28" s="24" t="str">
        <x:v>Blackbelly rosefish</x:v>
      </x:c>
      <x:c r="G28" s="24" t="str">
        <x:v>Medium bathydemersals (30 - 89 cm)</x:v>
      </x:c>
      <x:c r="H28" s="24" t="str">
        <x:v>Scorpionfishes</x:v>
      </x:c>
      <x:c r="I28" s="31" t="n">
        <x:v>538.482646855</x:v>
      </x:c>
      <x:c r="J28" s="31" t="n">
        <x:v>538.482646855</x:v>
      </x:c>
      <x:c r="K28" s="31" t="n">
        <x:v>0</x:v>
      </x:c>
      <x:c r="L28" s="31" t="n">
        <x:v>407.3287222881</x:v>
      </x:c>
      <x:c r="M28" s="31" t="n">
        <x:v>131.1539245669</x:v>
      </x:c>
      <x:c r="N28" s="24" t="str">
        <x:v>helicolenus dactylopterus</x:v>
      </x:c>
      <x:c r="O28" s="32" t="n">
        <x:v>3.54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Helicolenus dactylopterus</x:v>
      </x:c>
      <x:c r="T28" s="32" t="n">
        <x:f>IF(O28="","",(1/'Metadata'!$B$5)^(O28-1))</x:f>
        <x:v>346.73685045253166</x:v>
      </x:c>
      <x:c r="U28" s="31" t="n">
        <x:f>IF(T28="","",I28*T28)</x:f>
        <x:v>186711.77699384553</x:v>
      </x:c>
    </x:row>
    <x:row r="29" ht="18" customHeight="1">
      <x:c r="A29" s="24" t="str">
        <x:v>EEZ_963</x:v>
      </x:c>
      <x:c r="B29" s="24" t="str">
        <x:v>Spain (Northwest)</x:v>
      </x:c>
      <x:c r="C29" s="24" t="str">
        <x:v>EEZ</x:v>
      </x:c>
      <x:c r="D29" s="30" t="n">
        <x:v>2019</x:v>
      </x:c>
      <x:c r="E29" s="24" t="str">
        <x:v>Chondrichthyes</x:v>
      </x:c>
      <x:c r="F29" s="24" t="str">
        <x:v>Sharks, rays, chimaeras</x:v>
      </x:c>
      <x:c r="G29" s="24" t="str">
        <x:v>Large sharks (&gt;=90 cm)</x:v>
      </x:c>
      <x:c r="H29" s="24" t="str">
        <x:v>Sharks &amp; rays</x:v>
      </x:c>
      <x:c r="I29" s="31" t="n">
        <x:v>523.7975567285</x:v>
      </x:c>
      <x:c r="J29" s="31" t="n">
        <x:v>523.7975567285</x:v>
      </x:c>
      <x:c r="K29" s="31" t="n">
        <x:v>0</x:v>
      </x:c>
      <x:c r="L29" s="31" t="n">
        <x:v>252.23875972849999</x:v>
      </x:c>
      <x:c r="M29" s="31" t="n">
        <x:v>271.558797</x:v>
      </x:c>
      <x:c r="N29" s="24" t="str">
        <x:v>chondrichthyes</x:v>
      </x:c>
      <x:c r="O29" s="32" t="n">
        <x:v>4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Chondrichthyes</x:v>
      </x:c>
      <x:c r="T29" s="32" t="n">
        <x:f>IF(O29="","",(1/'Metadata'!$B$5)^(O29-1))</x:f>
        <x:v>1000</x:v>
      </x:c>
      <x:c r="U29" s="31" t="n">
        <x:f>IF(T29="","",I29*T29)</x:f>
        <x:v>523797.5567285</x:v>
      </x:c>
    </x:row>
    <x:row r="30" ht="18" customHeight="1">
      <x:c r="A30" s="24" t="str">
        <x:v>EEZ_963</x:v>
      </x:c>
      <x:c r="B30" s="24" t="str">
        <x:v>Spain (Northwest)</x:v>
      </x:c>
      <x:c r="C30" s="24" t="str">
        <x:v>EEZ</x:v>
      </x:c>
      <x:c r="D30" s="30" t="n">
        <x:v>2019</x:v>
      </x:c>
      <x:c r="E30" s="24" t="str">
        <x:v>Sarda sarda</x:v>
      </x:c>
      <x:c r="F30" s="24" t="str">
        <x:v>Atlantic bonito</x:v>
      </x:c>
      <x:c r="G30" s="24" t="str">
        <x:v>Medium pelagics (30 - 89 cm)</x:v>
      </x:c>
      <x:c r="H30" s="24" t="str">
        <x:v>Tuna &amp; billfishes</x:v>
      </x:c>
      <x:c r="I30" s="31" t="n">
        <x:v>478.1601141598</x:v>
      </x:c>
      <x:c r="J30" s="31" t="n">
        <x:v>478.1601141598</x:v>
      </x:c>
      <x:c r="K30" s="31" t="n">
        <x:v>0</x:v>
      </x:c>
      <x:c r="L30" s="31" t="n">
        <x:v>434.0245729098</x:v>
      </x:c>
      <x:c r="M30" s="31" t="n">
        <x:v>44.13554125</x:v>
      </x:c>
      <x:c r="N30" s="24" t="str">
        <x:v>sarda sarda</x:v>
      </x:c>
      <x:c r="O30" s="32" t="n">
        <x:v>4.5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Sarda sarda</x:v>
      </x:c>
      <x:c r="T30" s="32" t="n">
        <x:f>IF(O30="","",(1/'Metadata'!$B$5)^(O30-1))</x:f>
        <x:v>3162.2776601683795</x:v>
      </x:c>
      <x:c r="U30" s="31" t="n">
        <x:f>IF(T30="","",I30*T30)</x:f>
        <x:v>1512075.0469910975</x:v>
      </x:c>
    </x:row>
    <x:row r="31" ht="18" customHeight="1">
      <x:c r="A31" s="24" t="str">
        <x:v>EEZ_963</x:v>
      </x:c>
      <x:c r="B31" s="24" t="str">
        <x:v>Spain (Northwest)</x:v>
      </x:c>
      <x:c r="C31" s="24" t="str">
        <x:v>EEZ</x:v>
      </x:c>
      <x:c r="D31" s="30" t="n">
        <x:v>2019</x:v>
      </x:c>
      <x:c r="E31" s="24" t="str">
        <x:v>Sarpa salpa</x:v>
      </x:c>
      <x:c r="F31" s="24" t="str">
        <x:v>Salema</x:v>
      </x:c>
      <x:c r="G31" s="24" t="str">
        <x:v>Medium benthopelagics (30 - 89 cm)</x:v>
      </x:c>
      <x:c r="H31" s="24" t="str">
        <x:v>Perch-likes</x:v>
      </x:c>
      <x:c r="I31" s="31" t="n">
        <x:v>414.7080492996</x:v>
      </x:c>
      <x:c r="J31" s="31" t="n">
        <x:v>414.7080492996</x:v>
      </x:c>
      <x:c r="K31" s="31" t="n">
        <x:v>0</x:v>
      </x:c>
      <x:c r="L31" s="31" t="n">
        <x:v>259.2102048996</x:v>
      </x:c>
      <x:c r="M31" s="31" t="n">
        <x:v>155.4978444</x:v>
      </x:c>
      <x:c r="N31" s="24" t="str">
        <x:v>sarpa salpa</x:v>
      </x:c>
      <x:c r="O31" s="32" t="n">
        <x:v>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Sarpa salpa</x:v>
      </x:c>
      <x:c r="T31" s="32" t="n">
        <x:f>IF(O31="","",(1/'Metadata'!$B$5)^(O31-1))</x:f>
        <x:v>10</x:v>
      </x:c>
      <x:c r="U31" s="31" t="n">
        <x:f>IF(T31="","",I31*T31)</x:f>
        <x:v>4147.080492996</x:v>
      </x:c>
    </x:row>
    <x:row r="32" ht="18" customHeight="1">
      <x:c r="A32" s="24" t="str">
        <x:v>EEZ_963</x:v>
      </x:c>
      <x:c r="B32" s="24" t="str">
        <x:v>Spain (Northwest)</x:v>
      </x:c>
      <x:c r="C32" s="24" t="str">
        <x:v>EEZ</x:v>
      </x:c>
      <x:c r="D32" s="30" t="n">
        <x:v>2019</x:v>
      </x:c>
      <x:c r="E32" s="24" t="str">
        <x:v>Phycis blennoides</x:v>
      </x:c>
      <x:c r="F32" s="24" t="str">
        <x:v>Greater forkbeard</x:v>
      </x:c>
      <x:c r="G32" s="24" t="str">
        <x:v>Large benthopelagics (&gt;=90 cm)</x:v>
      </x:c>
      <x:c r="H32" s="24" t="str">
        <x:v>Cod-likes</x:v>
      </x:c>
      <x:c r="I32" s="31" t="n">
        <x:v>383.91379819</x:v>
      </x:c>
      <x:c r="J32" s="31" t="n">
        <x:v>383.91379819</x:v>
      </x:c>
      <x:c r="K32" s="31" t="n">
        <x:v>0</x:v>
      </x:c>
      <x:c r="L32" s="31" t="n">
        <x:v>362.49409540000005</x:v>
      </x:c>
      <x:c r="M32" s="31" t="n">
        <x:v>21.41970279</x:v>
      </x:c>
      <x:c r="N32" s="24" t="str">
        <x:v>phycis blennoides</x:v>
      </x:c>
      <x:c r="O32" s="32" t="n">
        <x:v>3.87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Phycis blennoides</x:v>
      </x:c>
      <x:c r="T32" s="32" t="n">
        <x:f>IF(O32="","",(1/'Metadata'!$B$5)^(O32-1))</x:f>
        <x:v>741.3102413009177</x:v>
      </x:c>
      <x:c r="U32" s="31" t="n">
        <x:f>IF(T32="","",I32*T32)</x:f>
        <x:v>284599.2303749807</x:v>
      </x:c>
    </x:row>
    <x:row r="33" ht="18" customHeight="1">
      <x:c r="A33" s="24" t="str">
        <x:v>EEZ_963</x:v>
      </x:c>
      <x:c r="B33" s="24" t="str">
        <x:v>Spain (Northwest)</x:v>
      </x:c>
      <x:c r="C33" s="24" t="str">
        <x:v>EEZ</x:v>
      </x:c>
      <x:c r="D33" s="30" t="n">
        <x:v>2019</x:v>
      </x:c>
      <x:c r="E33" s="24" t="str">
        <x:v>Salmo salar</x:v>
      </x:c>
      <x:c r="F33" s="24" t="str">
        <x:v>Atlantic salmon</x:v>
      </x:c>
      <x:c r="G33" s="24" t="str">
        <x:v>Large benthopelagics (&gt;=90 cm)</x:v>
      </x:c>
      <x:c r="H33" s="24" t="str">
        <x:v>Salmon, smelts, etc</x:v>
      </x:c>
      <x:c r="I33" s="31" t="n">
        <x:v>381.5246115</x:v>
      </x:c>
      <x:c r="J33" s="31" t="n">
        <x:v>381.5246115</x:v>
      </x:c>
      <x:c r="K33" s="31" t="n">
        <x:v>0</x:v>
      </x:c>
      <x:c r="L33" s="31" t="n">
        <x:v>0.17945619999999998</x:v>
      </x:c>
      <x:c r="M33" s="31" t="n">
        <x:v>381.3451553</x:v>
      </x:c>
      <x:c r="N33" s="24" t="str">
        <x:v>salmo salar</x:v>
      </x:c>
      <x:c r="O33" s="32" t="n">
        <x:v>4.5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Salmo salar</x:v>
      </x:c>
      <x:c r="T33" s="32" t="n">
        <x:f>IF(O33="","",(1/'Metadata'!$B$5)^(O33-1))</x:f>
        <x:v>3162.2776601683795</x:v>
      </x:c>
      <x:c r="U33" s="31" t="n">
        <x:f>IF(T33="","",I33*T33)</x:f>
        <x:v>1206486.75575087</x:v>
      </x:c>
    </x:row>
    <x:row r="34" ht="18" customHeight="1">
      <x:c r="A34" s="24" t="str">
        <x:v>EEZ_963</x:v>
      </x:c>
      <x:c r="B34" s="24" t="str">
        <x:v>Spain (Northwest)</x:v>
      </x:c>
      <x:c r="C34" s="24" t="str">
        <x:v>EEZ</x:v>
      </x:c>
      <x:c r="D34" s="30" t="n">
        <x:v>2019</x:v>
      </x:c>
      <x:c r="E34" s="24" t="str">
        <x:v>Thunnus albacares</x:v>
      </x:c>
      <x:c r="F34" s="24" t="str">
        <x:v>Yellowfin tuna</x:v>
      </x:c>
      <x:c r="G34" s="24" t="str">
        <x:v>Large pelagics (&gt;=90 cm)</x:v>
      </x:c>
      <x:c r="H34" s="24" t="str">
        <x:v>Tuna &amp; billfishes</x:v>
      </x:c>
      <x:c r="I34" s="31" t="n">
        <x:v>368.1820775717</x:v>
      </x:c>
      <x:c r="J34" s="31" t="n">
        <x:v>368.1820775717</x:v>
      </x:c>
      <x:c r="K34" s="31" t="n">
        <x:v>0</x:v>
      </x:c>
      <x:c r="L34" s="31" t="n">
        <x:v>368.1820775717</x:v>
      </x:c>
      <x:c r="M34" s="31" t="n">
        <x:v>0</x:v>
      </x:c>
      <x:c r="N34" s="24" t="str">
        <x:v>thunnus albacares</x:v>
      </x:c>
      <x:c r="O34" s="32" t="n">
        <x:v>4.41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Thunnus albacares</x:v>
      </x:c>
      <x:c r="T34" s="32" t="n">
        <x:f>IF(O34="","",(1/'Metadata'!$B$5)^(O34-1))</x:f>
        <x:v>2570.3957827688646</x:v>
      </x:c>
      <x:c r="U34" s="31" t="n">
        <x:f>IF(T34="","",I34*T34)</x:f>
        <x:v>946373.6594813766</x:v>
      </x:c>
    </x:row>
    <x:row r="35" ht="18" customHeight="1">
      <x:c r="A35" s="24" t="str">
        <x:v>EEZ_963</x:v>
      </x:c>
      <x:c r="B35" s="24" t="str">
        <x:v>Spain (Northwest)</x:v>
      </x:c>
      <x:c r="C35" s="24" t="str">
        <x:v>EEZ</x:v>
      </x:c>
      <x:c r="D35" s="30" t="n">
        <x:v>2019</x:v>
      </x:c>
      <x:c r="E35" s="24" t="str">
        <x:v>Thunnus thynnus</x:v>
      </x:c>
      <x:c r="F35" s="24" t="str">
        <x:v>Atlantic bluefin tuna</x:v>
      </x:c>
      <x:c r="G35" s="24" t="str">
        <x:v>Large pelagics (&gt;=90 cm)</x:v>
      </x:c>
      <x:c r="H35" s="24" t="str">
        <x:v>Tuna &amp; billfishes</x:v>
      </x:c>
      <x:c r="I35" s="31" t="n">
        <x:v>343.4734919209</x:v>
      </x:c>
      <x:c r="J35" s="31" t="n">
        <x:v>343.4734919209</x:v>
      </x:c>
      <x:c r="K35" s="31" t="n">
        <x:v>0</x:v>
      </x:c>
      <x:c r="L35" s="31" t="n">
        <x:v>343.4734919209</x:v>
      </x:c>
      <x:c r="M35" s="31" t="n">
        <x:v>0</x:v>
      </x:c>
      <x:c r="N35" s="24" t="str">
        <x:v>thunnus thynnus</x:v>
      </x:c>
      <x:c r="O35" s="32" t="n">
        <x:v>4.45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Thunnus thynnus</x:v>
      </x:c>
      <x:c r="T35" s="32" t="n">
        <x:f>IF(O35="","",(1/'Metadata'!$B$5)^(O35-1))</x:f>
        <x:v>2818.382931264455</x:v>
      </x:c>
      <x:c r="U35" s="31" t="n">
        <x:f>IF(T35="","",I35*T35)</x:f>
        <x:v>968039.8269716642</x:v>
      </x:c>
    </x:row>
    <x:row r="36" ht="18" customHeight="1">
      <x:c r="A36" s="24" t="str">
        <x:v>EEZ_963</x:v>
      </x:c>
      <x:c r="B36" s="24" t="str">
        <x:v>Spain (Northwest)</x:v>
      </x:c>
      <x:c r="C36" s="24" t="str">
        <x:v>EEZ</x:v>
      </x:c>
      <x:c r="D36" s="30" t="n">
        <x:v>2019</x:v>
      </x:c>
      <x:c r="E36" s="24" t="str">
        <x:v>Triglidae</x:v>
      </x:c>
      <x:c r="F36" s="24" t="str">
        <x:v>Searobins, gurnards</x:v>
      </x:c>
      <x:c r="G36" s="24" t="str">
        <x:v>Medium demersals (30 - 89 cm)</x:v>
      </x:c>
      <x:c r="H36" s="24" t="str">
        <x:v>Scorpionfishes</x:v>
      </x:c>
      <x:c r="I36" s="31" t="n">
        <x:v>324.3685864784</x:v>
      </x:c>
      <x:c r="J36" s="31" t="n">
        <x:v>302.3942043486</x:v>
      </x:c>
      <x:c r="K36" s="31" t="n">
        <x:v>21.9743821298</x:v>
      </x:c>
      <x:c r="L36" s="31" t="n">
        <x:v>302.3942043486</x:v>
      </x:c>
      <x:c r="M36" s="31" t="n">
        <x:v>21.9743821298</x:v>
      </x:c>
      <x:c r="N36" s="24" t="str">
        <x:v>triglidae</x:v>
      </x:c>
      <x:c r="O36" s="32" t="n">
        <x:v>3.74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Triglidae</x:v>
      </x:c>
      <x:c r="T36" s="32" t="n">
        <x:f>IF(O36="","",(1/'Metadata'!$B$5)^(O36-1))</x:f>
        <x:v>549.5408738576248</x:v>
      </x:c>
      <x:c r="U36" s="31" t="n">
        <x:f>IF(T36="","",I36*T36)</x:f>
        <x:v>178253.79646530247</x:v>
      </x:c>
    </x:row>
    <x:row r="37" ht="18" customHeight="1">
      <x:c r="A37" s="24" t="str">
        <x:v>EEZ_963</x:v>
      </x:c>
      <x:c r="B37" s="24" t="str">
        <x:v>Spain (Northwest)</x:v>
      </x:c>
      <x:c r="C37" s="24" t="str">
        <x:v>EEZ</x:v>
      </x:c>
      <x:c r="D37" s="30" t="n">
        <x:v>2019</x:v>
      </x:c>
      <x:c r="E37" s="24" t="str">
        <x:v>Todarodes sagittatus</x:v>
      </x:c>
      <x:c r="F37" s="24" t="str">
        <x:v>European flying squid</x:v>
      </x:c>
      <x:c r="G37" s="24" t="str">
        <x:v>Cephalopods</x:v>
      </x:c>
      <x:c r="H37" s="24" t="str">
        <x:v>Other fishes &amp; inverts</x:v>
      </x:c>
      <x:c r="I37" s="31" t="n">
        <x:v>299.806207121</x:v>
      </x:c>
      <x:c r="J37" s="31" t="n">
        <x:v>299.806207121</x:v>
      </x:c>
      <x:c r="K37" s="31" t="n">
        <x:v>0</x:v>
      </x:c>
      <x:c r="L37" s="31" t="n">
        <x:v>299.806207121</x:v>
      </x:c>
      <x:c r="M37" s="31" t="n">
        <x:v>0</x:v>
      </x:c>
      <x:c r="N37" s="24" t="str">
        <x:v>todarodes sagittatus</x:v>
      </x:c>
      <x:c r="O37" s="32" t="n">
        <x:v>4.01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Todarodes sagittatus</x:v>
      </x:c>
      <x:c r="T37" s="32" t="n">
        <x:f>IF(O37="","",(1/'Metadata'!$B$5)^(O37-1))</x:f>
        <x:v>1023.2929922807537</x:v>
      </x:c>
      <x:c r="U37" s="31" t="n">
        <x:f>IF(T37="","",I37*T37)</x:f>
        <x:v>306789.5907891915</x:v>
      </x:c>
    </x:row>
    <x:row r="38" ht="18" customHeight="1">
      <x:c r="A38" s="24" t="str">
        <x:v>EEZ_963</x:v>
      </x:c>
      <x:c r="B38" s="24" t="str">
        <x:v>Spain (Northwest)</x:v>
      </x:c>
      <x:c r="C38" s="24" t="str">
        <x:v>EEZ</x:v>
      </x:c>
      <x:c r="D38" s="30" t="n">
        <x:v>2019</x:v>
      </x:c>
      <x:c r="E38" s="24" t="str">
        <x:v>Spondyliosoma cantharus</x:v>
      </x:c>
      <x:c r="F38" s="24" t="str">
        <x:v>Black seabream</x:v>
      </x:c>
      <x:c r="G38" s="24" t="str">
        <x:v>Medium benthopelagics (30 - 89 cm)</x:v>
      </x:c>
      <x:c r="H38" s="24" t="str">
        <x:v>Perch-likes</x:v>
      </x:c>
      <x:c r="I38" s="31" t="n">
        <x:v>283.2009404665</x:v>
      </x:c>
      <x:c r="J38" s="31" t="n">
        <x:v>283.2009404665</x:v>
      </x:c>
      <x:c r="K38" s="31" t="n">
        <x:v>0</x:v>
      </x:c>
      <x:c r="L38" s="31" t="n">
        <x:v>154.5011323075</x:v>
      </x:c>
      <x:c r="M38" s="31" t="n">
        <x:v>128.699808159</x:v>
      </x:c>
      <x:c r="N38" s="24" t="str">
        <x:v>spondyliosoma cantharus</x:v>
      </x:c>
      <x:c r="O38" s="32" t="n">
        <x:v>3.34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Spondyliosoma cantharus</x:v>
      </x:c>
      <x:c r="T38" s="32" t="n">
        <x:f>IF(O38="","",(1/'Metadata'!$B$5)^(O38-1))</x:f>
        <x:v>218.77616239495518</x:v>
      </x:c>
      <x:c r="U38" s="31" t="n">
        <x:f>IF(T38="","",I38*T38)</x:f>
        <x:v>61957.61494190304</x:v>
      </x:c>
    </x:row>
    <x:row r="39" ht="18" customHeight="1">
      <x:c r="A39" s="24" t="str">
        <x:v>EEZ_963</x:v>
      </x:c>
      <x:c r="B39" s="24" t="str">
        <x:v>Spain (Northwest)</x:v>
      </x:c>
      <x:c r="C39" s="24" t="str">
        <x:v>EEZ</x:v>
      </x:c>
      <x:c r="D39" s="30" t="n">
        <x:v>2019</x:v>
      </x:c>
      <x:c r="E39" s="24" t="str">
        <x:v>Eledone</x:v>
      </x:c>
      <x:c r="F39" s="24" t="str">
        <x:v>Horned, musky octopuses</x:v>
      </x:c>
      <x:c r="G39" s="24" t="str">
        <x:v>Cephalopods</x:v>
      </x:c>
      <x:c r="H39" s="24" t="str">
        <x:v>Other fishes &amp; inverts</x:v>
      </x:c>
      <x:c r="I39" s="31" t="n">
        <x:v>283.111415555</x:v>
      </x:c>
      <x:c r="J39" s="31" t="n">
        <x:v>283.111415555</x:v>
      </x:c>
      <x:c r="K39" s="31" t="n">
        <x:v>0</x:v>
      </x:c>
      <x:c r="L39" s="31" t="n">
        <x:v>283.111415555</x:v>
      </x:c>
      <x:c r="M39" s="31" t="n">
        <x:v>0</x:v>
      </x:c>
      <x:c r="N39" s="24" t="str">
        <x:v>eledone</x:v>
      </x:c>
      <x:c r="O39" s="32" t="n">
        <x:v>3.67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Eledone</x:v>
      </x:c>
      <x:c r="T39" s="32" t="n">
        <x:f>IF(O39="","",(1/'Metadata'!$B$5)^(O39-1))</x:f>
        <x:v>467.73514128719813</x:v>
      </x:c>
      <x:c r="U39" s="31" t="n">
        <x:f>IF(T39="","",I39*T39)</x:f>
        <x:v>132421.15795463658</x:v>
      </x:c>
    </x:row>
    <x:row r="40" ht="18" customHeight="1">
      <x:c r="A40" s="24" t="str">
        <x:v>EEZ_963</x:v>
      </x:c>
      <x:c r="B40" s="24" t="str">
        <x:v>Spain (Northwest)</x:v>
      </x:c>
      <x:c r="C40" s="24" t="str">
        <x:v>EEZ</x:v>
      </x:c>
      <x:c r="D40" s="30" t="n">
        <x:v>2019</x:v>
      </x:c>
      <x:c r="E40" s="24" t="str">
        <x:v>Raja</x:v>
      </x:c>
      <x:c r="F40" s="24" t="str">
        <x:v>Stingrays, skates</x:v>
      </x:c>
      <x:c r="G40" s="24" t="str">
        <x:v>Small to medium rays (&lt;90 cm)</x:v>
      </x:c>
      <x:c r="H40" s="24" t="str">
        <x:v>Sharks &amp; rays</x:v>
      </x:c>
      <x:c r="I40" s="31" t="n">
        <x:v>281.2237088599</x:v>
      </x:c>
      <x:c r="J40" s="31" t="n">
        <x:v>281.2237088599</x:v>
      </x:c>
      <x:c r="K40" s="31" t="n">
        <x:v>0</x:v>
      </x:c>
      <x:c r="L40" s="31" t="n">
        <x:v>170.0561662599</x:v>
      </x:c>
      <x:c r="M40" s="31" t="n">
        <x:v>111.1675426</x:v>
      </x:c>
      <x:c r="N40" s="24" t="str">
        <x:v>raja</x:v>
      </x:c>
      <x:c r="O40" s="32" t="n">
        <x:v>3.8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Raja</x:v>
      </x:c>
      <x:c r="T40" s="32" t="n">
        <x:f>IF(O40="","",(1/'Metadata'!$B$5)^(O40-1))</x:f>
        <x:v>630.957344480193</x:v>
      </x:c>
      <x:c r="U40" s="31" t="n">
        <x:f>IF(T40="","",I40*T40)</x:f>
        <x:v>177440.16454711344</x:v>
      </x:c>
    </x:row>
    <x:row r="41" ht="18" customHeight="1">
      <x:c r="A41" s="24" t="str">
        <x:v>EEZ_963</x:v>
      </x:c>
      <x:c r="B41" s="24" t="str">
        <x:v>Spain (Northwest)</x:v>
      </x:c>
      <x:c r="C41" s="24" t="str">
        <x:v>EEZ</x:v>
      </x:c>
      <x:c r="D41" s="30" t="n">
        <x:v>2019</x:v>
      </x:c>
      <x:c r="E41" s="24" t="str">
        <x:v>Clupeiformes</x:v>
      </x:c>
      <x:c r="F41" s="24" t="str">
        <x:v>Herrings, shads, anchovies</x:v>
      </x:c>
      <x:c r="G41" s="24" t="str">
        <x:v>Small pelagics (&lt;30 cm)</x:v>
      </x:c>
      <x:c r="H41" s="24" t="str">
        <x:v>Other fishes &amp; inverts</x:v>
      </x:c>
      <x:c r="I41" s="31" t="n">
        <x:v>261.6367608991</x:v>
      </x:c>
      <x:c r="J41" s="31" t="n">
        <x:v>261.6367608991</x:v>
      </x:c>
      <x:c r="K41" s="31" t="n">
        <x:v>0</x:v>
      </x:c>
      <x:c r="L41" s="31" t="n">
        <x:v>127.277270199</x:v>
      </x:c>
      <x:c r="M41" s="31" t="n">
        <x:v>134.3594907001</x:v>
      </x:c>
      <x:c r="N41" s="24" t="str">
        <x:v>clupeiformes</x:v>
      </x:c>
      <x:c r="O41" s="32" t="n">
        <x:v>3.24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Clupeiformes</x:v>
      </x:c>
      <x:c r="T41" s="32" t="n">
        <x:f>IF(O41="","",(1/'Metadata'!$B$5)^(O41-1))</x:f>
        <x:v>173.78008287493762</x:v>
      </x:c>
      <x:c r="U41" s="31" t="n">
        <x:f>IF(T41="","",I41*T41)</x:f>
        <x:v>45467.25799217584</x:v>
      </x:c>
    </x:row>
    <x:row r="42" ht="18" customHeight="1">
      <x:c r="A42" s="24" t="str">
        <x:v>EEZ_963</x:v>
      </x:c>
      <x:c r="B42" s="24" t="str">
        <x:v>Spain (Northwest)</x:v>
      </x:c>
      <x:c r="C42" s="24" t="str">
        <x:v>EEZ</x:v>
      </x:c>
      <x:c r="D42" s="30" t="n">
        <x:v>2019</x:v>
      </x:c>
      <x:c r="E42" s="24" t="str">
        <x:v>Pagellus acarne</x:v>
      </x:c>
      <x:c r="F42" s="24" t="str">
        <x:v>Axillary seabream</x:v>
      </x:c>
      <x:c r="G42" s="24" t="str">
        <x:v>Medium benthopelagics (30 - 89 cm)</x:v>
      </x:c>
      <x:c r="H42" s="24" t="str">
        <x:v>Perch-likes</x:v>
      </x:c>
      <x:c r="I42" s="31" t="n">
        <x:v>256.8072347939</x:v>
      </x:c>
      <x:c r="J42" s="31" t="n">
        <x:v>256.8072347939</x:v>
      </x:c>
      <x:c r="K42" s="31" t="n">
        <x:v>0</x:v>
      </x:c>
      <x:c r="L42" s="31" t="n">
        <x:v>256.8072347939</x:v>
      </x:c>
      <x:c r="M42" s="31" t="n">
        <x:v>0</x:v>
      </x:c>
      <x:c r="N42" s="24" t="str">
        <x:v>pagellus acarne</x:v>
      </x:c>
      <x:c r="O42" s="32" t="n">
        <x:v>3.81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Pagellus acarne</x:v>
      </x:c>
      <x:c r="T42" s="32" t="n">
        <x:f>IF(O42="","",(1/'Metadata'!$B$5)^(O42-1))</x:f>
        <x:v>645.6542290346556</x:v>
      </x:c>
      <x:c r="U42" s="31" t="n">
        <x:f>IF(T42="","",I42*T42)</x:f>
        <x:v>165808.6771913773</x:v>
      </x:c>
    </x:row>
    <x:row r="43" ht="18" customHeight="1">
      <x:c r="A43" s="24" t="str">
        <x:v>EEZ_963</x:v>
      </x:c>
      <x:c r="B43" s="24" t="str">
        <x:v>Spain (Northwest)</x:v>
      </x:c>
      <x:c r="C43" s="24" t="str">
        <x:v>EEZ</x:v>
      </x:c>
      <x:c r="D43" s="30" t="n">
        <x:v>2019</x:v>
      </x:c>
      <x:c r="E43" s="24" t="str">
        <x:v>Lophius piscatorius</x:v>
      </x:c>
      <x:c r="F43" s="24" t="str">
        <x:v>Angler</x:v>
      </x:c>
      <x:c r="G43" s="24" t="str">
        <x:v>Large bathydemersals (&gt;=90 cm)</x:v>
      </x:c>
      <x:c r="H43" s="24" t="str">
        <x:v>Other fishes &amp; inverts</x:v>
      </x:c>
      <x:c r="I43" s="31" t="n">
        <x:v>251.07625993989998</x:v>
      </x:c>
      <x:c r="J43" s="31" t="n">
        <x:v>251.07625993989998</x:v>
      </x:c>
      <x:c r="K43" s="31" t="n">
        <x:v>0</x:v>
      </x:c>
      <x:c r="L43" s="31" t="n">
        <x:v>166.9243616899</x:v>
      </x:c>
      <x:c r="M43" s="31" t="n">
        <x:v>84.15189825</x:v>
      </x:c>
      <x:c r="N43" s="24" t="str">
        <x:v>lophius piscatorius</x:v>
      </x:c>
      <x:c r="O43" s="32" t="n">
        <x:v>4.45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Lophius piscatorius</x:v>
      </x:c>
      <x:c r="T43" s="32" t="n">
        <x:f>IF(O43="","",(1/'Metadata'!$B$5)^(O43-1))</x:f>
        <x:v>2818.382931264455</x:v>
      </x:c>
      <x:c r="U43" s="31" t="n">
        <x:f>IF(T43="","",I43*T43)</x:f>
        <x:v>707629.0454603315</x:v>
      </x:c>
    </x:row>
    <x:row r="44" ht="18" customHeight="1">
      <x:c r="A44" s="24" t="str">
        <x:v>EEZ_963</x:v>
      </x:c>
      <x:c r="B44" s="24" t="str">
        <x:v>Spain (Northwest)</x:v>
      </x:c>
      <x:c r="C44" s="24" t="str">
        <x:v>EEZ</x:v>
      </x:c>
      <x:c r="D44" s="30" t="n">
        <x:v>2019</x:v>
      </x:c>
      <x:c r="E44" s="24" t="str">
        <x:v>Zeus faber</x:v>
      </x:c>
      <x:c r="F44" s="24" t="str">
        <x:v>John dory</x:v>
      </x:c>
      <x:c r="G44" s="24" t="str">
        <x:v>Medium benthopelagics (30 - 89 cm)</x:v>
      </x:c>
      <x:c r="H44" s="24" t="str">
        <x:v>Other fishes &amp; inverts</x:v>
      </x:c>
      <x:c r="I44" s="31" t="n">
        <x:v>244.26172382279998</x:v>
      </x:c>
      <x:c r="J44" s="31" t="n">
        <x:v>244.26172382279998</x:v>
      </x:c>
      <x:c r="K44" s="31" t="n">
        <x:v>0</x:v>
      </x:c>
      <x:c r="L44" s="31" t="n">
        <x:v>216.6165717319</x:v>
      </x:c>
      <x:c r="M44" s="31" t="n">
        <x:v>27.6451520909</x:v>
      </x:c>
      <x:c r="N44" s="24" t="str">
        <x:v>zeus faber</x:v>
      </x:c>
      <x:c r="O44" s="32" t="n">
        <x:v>4.5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Zeus faber</x:v>
      </x:c>
      <x:c r="T44" s="32" t="n">
        <x:f>IF(O44="","",(1/'Metadata'!$B$5)^(O44-1))</x:f>
        <x:v>3162.2776601683795</x:v>
      </x:c>
      <x:c r="U44" s="31" t="n">
        <x:f>IF(T44="","",I44*T44)</x:f>
        <x:v>772423.3924790588</x:v>
      </x:c>
    </x:row>
    <x:row r="45" ht="18" customHeight="1">
      <x:c r="A45" s="24" t="str">
        <x:v>EEZ_963</x:v>
      </x:c>
      <x:c r="B45" s="24" t="str">
        <x:v>Spain (Northwest)</x:v>
      </x:c>
      <x:c r="C45" s="24" t="str">
        <x:v>EEZ</x:v>
      </x:c>
      <x:c r="D45" s="30" t="n">
        <x:v>2019</x:v>
      </x:c>
      <x:c r="E45" s="24" t="str">
        <x:v>Alepocephalus bairdii</x:v>
      </x:c>
      <x:c r="F45" s="24" t="str">
        <x:v>Baird's slickhead</x:v>
      </x:c>
      <x:c r="G45" s="24" t="str">
        <x:v>Large bathydemersals (&gt;=90 cm)</x:v>
      </x:c>
      <x:c r="H45" s="24" t="str">
        <x:v>Salmon, smelts, etc</x:v>
      </x:c>
      <x:c r="I45" s="31" t="n">
        <x:v>224.5546009598</x:v>
      </x:c>
      <x:c r="J45" s="31" t="n">
        <x:v>224.5546009598</x:v>
      </x:c>
      <x:c r="K45" s="31" t="n">
        <x:v>0</x:v>
      </x:c>
      <x:c r="L45" s="31" t="n">
        <x:v>224.5546009598</x:v>
      </x:c>
      <x:c r="M45" s="31" t="n">
        <x:v>0</x:v>
      </x:c>
      <x:c r="N45" s="24" t="str">
        <x:v>alepocephalus bairdii</x:v>
      </x:c>
      <x:c r="O45" s="32" t="n">
        <x:v>3.69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Alepocephalus bairdii</x:v>
      </x:c>
      <x:c r="T45" s="32" t="n">
        <x:f>IF(O45="","",(1/'Metadata'!$B$5)^(O45-1))</x:f>
        <x:v>489.77881936844614</x:v>
      </x:c>
      <x:c r="U45" s="31" t="n">
        <x:f>IF(T45="","",I45*T45)</x:f>
        <x:v>109982.08734184339</x:v>
      </x:c>
    </x:row>
    <x:row r="46" ht="18" customHeight="1">
      <x:c r="A46" s="24" t="str">
        <x:v>EEZ_963</x:v>
      </x:c>
      <x:c r="B46" s="24" t="str">
        <x:v>Spain (Northwest)</x:v>
      </x:c>
      <x:c r="C46" s="24" t="str">
        <x:v>EEZ</x:v>
      </x:c>
      <x:c r="D46" s="30" t="n">
        <x:v>2019</x:v>
      </x:c>
      <x:c r="E46" s="24" t="str">
        <x:v>Diplodus sargus</x:v>
      </x:c>
      <x:c r="F46" s="24" t="str">
        <x:v>White seabream</x:v>
      </x:c>
      <x:c r="G46" s="24" t="str">
        <x:v>Medium demersals (30 - 89 cm)</x:v>
      </x:c>
      <x:c r="H46" s="24" t="str">
        <x:v>Perch-likes</x:v>
      </x:c>
      <x:c r="I46" s="31" t="n">
        <x:v>223.5922241399</x:v>
      </x:c>
      <x:c r="J46" s="31" t="n">
        <x:v>223.5922241399</x:v>
      </x:c>
      <x:c r="K46" s="31" t="n">
        <x:v>0</x:v>
      </x:c>
      <x:c r="L46" s="31" t="n">
        <x:v>147.5309822899</x:v>
      </x:c>
      <x:c r="M46" s="31" t="n">
        <x:v>76.06124185</x:v>
      </x:c>
      <x:c r="N46" s="24" t="str">
        <x:v>diplodus sargus</x:v>
      </x:c>
      <x:c r="O46" s="32" t="n">
        <x:v>3.38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Diplodus sargus</x:v>
      </x:c>
      <x:c r="T46" s="32" t="n">
        <x:f>IF(O46="","",(1/'Metadata'!$B$5)^(O46-1))</x:f>
        <x:v>239.88329190194898</x:v>
      </x:c>
      <x:c r="U46" s="31" t="n">
        <x:f>IF(T46="","",I46*T46)</x:f>
        <x:v>53636.038770357634</x:v>
      </x:c>
    </x:row>
    <x:row r="47" ht="18" customHeight="1">
      <x:c r="A47" s="24" t="str">
        <x:v>EEZ_963</x:v>
      </x:c>
      <x:c r="B47" s="24" t="str">
        <x:v>Spain (Northwest)</x:v>
      </x:c>
      <x:c r="C47" s="24" t="str">
        <x:v>EEZ</x:v>
      </x:c>
      <x:c r="D47" s="30" t="n">
        <x:v>2019</x:v>
      </x:c>
      <x:c r="E47" s="24" t="str">
        <x:v>Dicentrarchus labrax</x:v>
      </x:c>
      <x:c r="F47" s="24" t="str">
        <x:v>European seabass</x:v>
      </x:c>
      <x:c r="G47" s="24" t="str">
        <x:v>Large demersals (&gt;=90 cm)</x:v>
      </x:c>
      <x:c r="H47" s="24" t="str">
        <x:v>Perch-likes</x:v>
      </x:c>
      <x:c r="I47" s="31" t="n">
        <x:v>214.2945228506</x:v>
      </x:c>
      <x:c r="J47" s="31" t="n">
        <x:v>214.2945228506</x:v>
      </x:c>
      <x:c r="K47" s="31" t="n">
        <x:v>0</x:v>
      </x:c>
      <x:c r="L47" s="31" t="n">
        <x:v>182.90582447059998</x:v>
      </x:c>
      <x:c r="M47" s="31" t="n">
        <x:v>31.38869838</x:v>
      </x:c>
      <x:c r="N47" s="24" t="str">
        <x:v>dicentrarchus labrax</x:v>
      </x:c>
      <x:c r="O47" s="32" t="n">
        <x:v>3.79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Dicentrarchus labrax</x:v>
      </x:c>
      <x:c r="T47" s="32" t="n">
        <x:f>IF(O47="","",(1/'Metadata'!$B$5)^(O47-1))</x:f>
        <x:v>616.5950018614822</x:v>
      </x:c>
      <x:c r="U47" s="31" t="n">
        <x:f>IF(T47="","",I47*T47)</x:f>
        <x:v>132132.93171597115</x:v>
      </x:c>
    </x:row>
    <x:row r="48" ht="18" customHeight="1">
      <x:c r="A48" s="24" t="str">
        <x:v>EEZ_963</x:v>
      </x:c>
      <x:c r="B48" s="24" t="str">
        <x:v>Spain (Northwest)</x:v>
      </x:c>
      <x:c r="C48" s="24" t="str">
        <x:v>EEZ</x:v>
      </x:c>
      <x:c r="D48" s="30" t="n">
        <x:v>2019</x:v>
      </x:c>
      <x:c r="E48" s="24" t="str">
        <x:v>Scyliorhinidae</x:v>
      </x:c>
      <x:c r="F48" s="24" t="str">
        <x:v>Cat/swellsharks</x:v>
      </x:c>
      <x:c r="G48" s="24" t="str">
        <x:v>Large sharks (&gt;=90 cm)</x:v>
      </x:c>
      <x:c r="H48" s="24" t="str">
        <x:v>Sharks &amp; rays</x:v>
      </x:c>
      <x:c r="I48" s="31" t="n">
        <x:v>206.154216615</x:v>
      </x:c>
      <x:c r="J48" s="31" t="n">
        <x:v>206.154216615</x:v>
      </x:c>
      <x:c r="K48" s="31" t="n">
        <x:v>0</x:v>
      </x:c>
      <x:c r="L48" s="31" t="n">
        <x:v>202.6689724</x:v>
      </x:c>
      <x:c r="M48" s="31" t="n">
        <x:v>3.4852442150000003</x:v>
      </x:c>
      <x:c r="N48" s="24" t="str">
        <x:v>scyliorhinidae</x:v>
      </x:c>
      <x:c r="O48" s="32" t="n">
        <x:v>3.97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Scyliorhinidae</x:v>
      </x:c>
      <x:c r="T48" s="32" t="n">
        <x:f>IF(O48="","",(1/'Metadata'!$B$5)^(O48-1))</x:f>
        <x:v>933.2543007969915</x:v>
      </x:c>
      <x:c r="U48" s="31" t="n">
        <x:f>IF(T48="","",I48*T48)</x:f>
        <x:v>192394.30928338337</x:v>
      </x:c>
    </x:row>
    <x:row r="49" ht="18" customHeight="1">
      <x:c r="A49" s="24" t="str">
        <x:v>EEZ_963</x:v>
      </x:c>
      <x:c r="B49" s="24" t="str">
        <x:v>Spain (Northwest)</x:v>
      </x:c>
      <x:c r="C49" s="24" t="str">
        <x:v>EEZ</x:v>
      </x:c>
      <x:c r="D49" s="30" t="n">
        <x:v>2019</x:v>
      </x:c>
      <x:c r="E49" s="24" t="str">
        <x:v>Oblada melanurus</x:v>
      </x:c>
      <x:c r="F49" s="24" t="str">
        <x:v>Saddled seabream</x:v>
      </x:c>
      <x:c r="G49" s="24" t="str">
        <x:v>Small benthopelagics (&lt;30 cm)</x:v>
      </x:c>
      <x:c r="H49" s="24" t="str">
        <x:v>Perch-likes</x:v>
      </x:c>
      <x:c r="I49" s="31" t="n">
        <x:v>200.7282744604</x:v>
      </x:c>
      <x:c r="J49" s="31" t="n">
        <x:v>200.7282744604</x:v>
      </x:c>
      <x:c r="K49" s="31" t="n">
        <x:v>0</x:v>
      </x:c>
      <x:c r="L49" s="31" t="n">
        <x:v>148.4455543545</x:v>
      </x:c>
      <x:c r="M49" s="31" t="n">
        <x:v>52.282720105900005</x:v>
      </x:c>
      <x:c r="N49" s="24" t="str">
        <x:v>oblada melanurus</x:v>
      </x:c>
      <x:c r="O49" s="32" t="n">
        <x:v>3.38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Oblada melanurus</x:v>
      </x:c>
      <x:c r="T49" s="32" t="n">
        <x:f>IF(O49="","",(1/'Metadata'!$B$5)^(O49-1))</x:f>
        <x:v>239.88329190194898</x:v>
      </x:c>
      <x:c r="U49" s="31" t="n">
        <x:f>IF(T49="","",I49*T49)</x:f>
        <x:v>48151.359255358664</x:v>
      </x:c>
    </x:row>
    <x:row r="50" ht="18" customHeight="1">
      <x:c r="A50" s="24" t="str">
        <x:v>EEZ_963</x:v>
      </x:c>
      <x:c r="B50" s="24" t="str">
        <x:v>Spain (Northwest)</x:v>
      </x:c>
      <x:c r="C50" s="24" t="str">
        <x:v>EEZ</x:v>
      </x:c>
      <x:c r="D50" s="30" t="n">
        <x:v>2019</x:v>
      </x:c>
      <x:c r="E50" s="24" t="str">
        <x:v>Sepia officinalis</x:v>
      </x:c>
      <x:c r="F50" s="24" t="str">
        <x:v>Common cuttlefish</x:v>
      </x:c>
      <x:c r="G50" s="24" t="str">
        <x:v>Cephalopods</x:v>
      </x:c>
      <x:c r="H50" s="24" t="str">
        <x:v>Other fishes &amp; inverts</x:v>
      </x:c>
      <x:c r="I50" s="31" t="n">
        <x:v>193.3343970176</x:v>
      </x:c>
      <x:c r="J50" s="31" t="n">
        <x:v>193.3343970176</x:v>
      </x:c>
      <x:c r="K50" s="31" t="n">
        <x:v>0</x:v>
      </x:c>
      <x:c r="L50" s="31" t="n">
        <x:v>166.6836571376</x:v>
      </x:c>
      <x:c r="M50" s="31" t="n">
        <x:v>26.65073988</x:v>
      </x:c>
      <x:c r="N50" s="24" t="str">
        <x:v>sepia officinalis</x:v>
      </x:c>
      <x:c r="O50" s="32" t="n">
        <x:v>4.27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Sepia officinalis</x:v>
      </x:c>
      <x:c r="T50" s="32" t="n">
        <x:f>IF(O50="","",(1/'Metadata'!$B$5)^(O50-1))</x:f>
        <x:v>1862.0871366628655</x:v>
      </x:c>
      <x:c r="U50" s="31" t="n">
        <x:f>IF(T50="","",I50*T50)</x:f>
        <x:v>360005.4937609444</x:v>
      </x:c>
    </x:row>
    <x:row r="51" ht="18" customHeight="1">
      <x:c r="A51" s="24" t="str">
        <x:v>EEZ_963</x:v>
      </x:c>
      <x:c r="B51" s="24" t="str">
        <x:v>Spain (Northwest)</x:v>
      </x:c>
      <x:c r="C51" s="24" t="str">
        <x:v>EEZ</x:v>
      </x:c>
      <x:c r="D51" s="30" t="n">
        <x:v>2019</x:v>
      </x:c>
      <x:c r="E51" s="24" t="str">
        <x:v>Scyliorhinus canicula</x:v>
      </x:c>
      <x:c r="F51" s="24" t="str">
        <x:v>Small-spotted catshark</x:v>
      </x:c>
      <x:c r="G51" s="24" t="str">
        <x:v>Small to medium sharks (&lt;90 cm)</x:v>
      </x:c>
      <x:c r="H51" s="24" t="str">
        <x:v>Sharks &amp; rays</x:v>
      </x:c>
      <x:c r="I51" s="31" t="n">
        <x:v>165.9316463353</x:v>
      </x:c>
      <x:c r="J51" s="31" t="n">
        <x:v>165.9316463353</x:v>
      </x:c>
      <x:c r="K51" s="31" t="n">
        <x:v>0</x:v>
      </x:c>
      <x:c r="L51" s="31" t="n">
        <x:v>152.1580208252</x:v>
      </x:c>
      <x:c r="M51" s="31" t="n">
        <x:v>13.7736255101</x:v>
      </x:c>
      <x:c r="N51" s="24" t="str">
        <x:v>scyliorhinus canicula</x:v>
      </x:c>
      <x:c r="O51" s="32" t="n">
        <x:v>3.82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Scyliorhinus canicula</x:v>
      </x:c>
      <x:c r="T51" s="32" t="n">
        <x:f>IF(O51="","",(1/'Metadata'!$B$5)^(O51-1))</x:f>
        <x:v>660.6934480075957</x:v>
      </x:c>
      <x:c r="U51" s="31" t="n">
        <x:f>IF(T51="","",I51*T51)</x:f>
        <x:v>109629.9515508463</x:v>
      </x:c>
    </x:row>
    <x:row r="52" ht="18" customHeight="1">
      <x:c r="A52" s="24" t="str">
        <x:v>EEZ_963</x:v>
      </x:c>
      <x:c r="B52" s="24" t="str">
        <x:v>Spain (Northwest)</x:v>
      </x:c>
      <x:c r="C52" s="24" t="str">
        <x:v>EEZ</x:v>
      </x:c>
      <x:c r="D52" s="30" t="n">
        <x:v>2019</x:v>
      </x:c>
      <x:c r="E52" s="24" t="str">
        <x:v>Pollicipes pollicipes</x:v>
      </x:c>
      <x:c r="F52" s="24" t="str">
        <x:v>Atlantic barnacle</x:v>
      </x:c>
      <x:c r="G52" s="24" t="str">
        <x:v>Other demersal invertebrates</x:v>
      </x:c>
      <x:c r="H52" s="24" t="str">
        <x:v>Crustaceans</x:v>
      </x:c>
      <x:c r="I52" s="31" t="n">
        <x:v>165.8788763441</x:v>
      </x:c>
      <x:c r="J52" s="31" t="n">
        <x:v>165.8788763441</x:v>
      </x:c>
      <x:c r="K52" s="31" t="n">
        <x:v>0</x:v>
      </x:c>
      <x:c r="L52" s="31" t="n">
        <x:v>118.16158578010001</x:v>
      </x:c>
      <x:c r="M52" s="31" t="n">
        <x:v>47.717290564</x:v>
      </x:c>
      <x:c r="N52" s="24" t="str">
        <x:v>pollicipes pollicipes</x:v>
      </x:c>
      <x:c r="O52" s="32" t="n">
        <x:v>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Pollicipes pollicipes</x:v>
      </x:c>
      <x:c r="T52" s="32" t="n">
        <x:f>IF(O52="","",(1/'Metadata'!$B$5)^(O52-1))</x:f>
        <x:v>100</x:v>
      </x:c>
      <x:c r="U52" s="31" t="n">
        <x:f>IF(T52="","",I52*T52)</x:f>
        <x:v>16587.88763441</x:v>
      </x:c>
    </x:row>
    <x:row r="53" ht="18" customHeight="1">
      <x:c r="A53" s="24" t="str">
        <x:v>EEZ_963</x:v>
      </x:c>
      <x:c r="B53" s="24" t="str">
        <x:v>Spain (Northwest)</x:v>
      </x:c>
      <x:c r="C53" s="24" t="str">
        <x:v>EEZ</x:v>
      </x:c>
      <x:c r="D53" s="30" t="n">
        <x:v>2019</x:v>
      </x:c>
      <x:c r="E53" s="24" t="str">
        <x:v>Xiphias gladius</x:v>
      </x:c>
      <x:c r="F53" s="24" t="str">
        <x:v>Swordfish</x:v>
      </x:c>
      <x:c r="G53" s="24" t="str">
        <x:v>Large pelagics (&gt;=90 cm)</x:v>
      </x:c>
      <x:c r="H53" s="24" t="str">
        <x:v>Tuna &amp; billfishes</x:v>
      </x:c>
      <x:c r="I53" s="31" t="n">
        <x:v>163.857116234</x:v>
      </x:c>
      <x:c r="J53" s="31" t="n">
        <x:v>163.857116234</x:v>
      </x:c>
      <x:c r="K53" s="31" t="n">
        <x:v>0</x:v>
      </x:c>
      <x:c r="L53" s="31" t="n">
        <x:v>163.857116234</x:v>
      </x:c>
      <x:c r="M53" s="31" t="n">
        <x:v>0</x:v>
      </x:c>
      <x:c r="N53" s="24" t="str">
        <x:v>xiphias gladius</x:v>
      </x:c>
      <x:c r="O53" s="32" t="n">
        <x:v>4.53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Xiphias gladius</x:v>
      </x:c>
      <x:c r="T53" s="32" t="n">
        <x:f>IF(O53="","",(1/'Metadata'!$B$5)^(O53-1))</x:f>
        <x:v>3388.4415613920273</x:v>
      </x:c>
      <x:c r="U53" s="31" t="n">
        <x:f>IF(T53="","",I53*T53)</x:f>
        <x:v>555220.2627771299</x:v>
      </x:c>
    </x:row>
    <x:row r="54" ht="18" customHeight="1">
      <x:c r="A54" s="24" t="str">
        <x:v>EEZ_963</x:v>
      </x:c>
      <x:c r="B54" s="24" t="str">
        <x:v>Spain (Northwest)</x:v>
      </x:c>
      <x:c r="C54" s="24" t="str">
        <x:v>EEZ</x:v>
      </x:c>
      <x:c r="D54" s="30" t="n">
        <x:v>2019</x:v>
      </x:c>
      <x:c r="E54" s="24" t="str">
        <x:v>Raja clavata</x:v>
      </x:c>
      <x:c r="F54" s="24" t="str">
        <x:v>Thornback ray</x:v>
      </x:c>
      <x:c r="G54" s="24" t="str">
        <x:v>Large rays (&gt;=90 cm)</x:v>
      </x:c>
      <x:c r="H54" s="24" t="str">
        <x:v>Sharks &amp; rays</x:v>
      </x:c>
      <x:c r="I54" s="31" t="n">
        <x:v>156.2932365202</x:v>
      </x:c>
      <x:c r="J54" s="31" t="n">
        <x:v>156.2932365202</x:v>
      </x:c>
      <x:c r="K54" s="31" t="n">
        <x:v>0</x:v>
      </x:c>
      <x:c r="L54" s="31" t="n">
        <x:v>156.2932365202</x:v>
      </x:c>
      <x:c r="M54" s="31" t="n">
        <x:v>0</x:v>
      </x:c>
      <x:c r="N54" s="24" t="str">
        <x:v>raja clavata</x:v>
      </x:c>
      <x:c r="O54" s="32" t="n">
        <x:v>3.84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Raja clavata</x:v>
      </x:c>
      <x:c r="T54" s="32" t="n">
        <x:f>IF(O54="","",(1/'Metadata'!$B$5)^(O54-1))</x:f>
        <x:v>691.8309709189363</x:v>
      </x:c>
      <x:c r="U54" s="31" t="n">
        <x:f>IF(T54="","",I54*T54)</x:f>
        <x:v>108128.50156983291</x:v>
      </x:c>
    </x:row>
    <x:row r="55" ht="18" customHeight="1">
      <x:c r="A55" s="24" t="str">
        <x:v>EEZ_963</x:v>
      </x:c>
      <x:c r="B55" s="24" t="str">
        <x:v>Spain (Northwest)</x:v>
      </x:c>
      <x:c r="C55" s="24" t="str">
        <x:v>EEZ</x:v>
      </x:c>
      <x:c r="D55" s="30" t="n">
        <x:v>2019</x:v>
      </x:c>
      <x:c r="E55" s="24" t="str">
        <x:v>Molva dypterygia</x:v>
      </x:c>
      <x:c r="F55" s="24" t="str">
        <x:v>Blue ling</x:v>
      </x:c>
      <x:c r="G55" s="24" t="str">
        <x:v>Large demersals (&gt;=90 cm)</x:v>
      </x:c>
      <x:c r="H55" s="24" t="str">
        <x:v>Cod-likes</x:v>
      </x:c>
      <x:c r="I55" s="31" t="n">
        <x:v>153.0057997492</x:v>
      </x:c>
      <x:c r="J55" s="31" t="n">
        <x:v>153.0057997492</x:v>
      </x:c>
      <x:c r="K55" s="31" t="n">
        <x:v>0</x:v>
      </x:c>
      <x:c r="L55" s="31" t="n">
        <x:v>148.9009142201</x:v>
      </x:c>
      <x:c r="M55" s="31" t="n">
        <x:v>4.104885529100001</x:v>
      </x:c>
      <x:c r="N55" s="24" t="str">
        <x:v>molva dypterygia</x:v>
      </x:c>
      <x:c r="O55" s="32" t="n">
        <x:v>4.49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Molva dypterygia</x:v>
      </x:c>
      <x:c r="T55" s="32" t="n">
        <x:f>IF(O55="","",(1/'Metadata'!$B$5)^(O55-1))</x:f>
        <x:v>3090.295432513592</x:v>
      </x:c>
      <x:c r="U55" s="31" t="n">
        <x:f>IF(T55="","",I55*T55)</x:f>
        <x:v>472833.1241130421</x:v>
      </x:c>
    </x:row>
    <x:row r="56" ht="18" customHeight="1">
      <x:c r="A56" s="24" t="str">
        <x:v>EEZ_963</x:v>
      </x:c>
      <x:c r="B56" s="24" t="str">
        <x:v>Spain (Northwest)</x:v>
      </x:c>
      <x:c r="C56" s="24" t="str">
        <x:v>EEZ</x:v>
      </x:c>
      <x:c r="D56" s="30" t="n">
        <x:v>2019</x:v>
      </x:c>
      <x:c r="E56" s="24" t="str">
        <x:v>Gadiformes</x:v>
      </x:c>
      <x:c r="F56" s="24" t="str">
        <x:v>Cods</x:v>
      </x:c>
      <x:c r="G56" s="24" t="str">
        <x:v>Medium benthopelagics (30 - 89 cm)</x:v>
      </x:c>
      <x:c r="H56" s="24" t="str">
        <x:v>Cod-likes</x:v>
      </x:c>
      <x:c r="I56" s="31" t="n">
        <x:v>140.8289815543</x:v>
      </x:c>
      <x:c r="J56" s="31" t="n">
        <x:v>129.6902831628</x:v>
      </x:c>
      <x:c r="K56" s="31" t="n">
        <x:v>11.1386983915</x:v>
      </x:c>
      <x:c r="L56" s="31" t="n">
        <x:v>123.0432741218</x:v>
      </x:c>
      <x:c r="M56" s="31" t="n">
        <x:v>17.7857074325</x:v>
      </x:c>
      <x:c r="N56" s="24" t="str">
        <x:v>gadiformes</x:v>
      </x:c>
      <x:c r="O56" s="32" t="n">
        <x:v>3.91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Gadiformes</x:v>
      </x:c>
      <x:c r="T56" s="32" t="n">
        <x:f>IF(O56="","",(1/'Metadata'!$B$5)^(O56-1))</x:f>
        <x:v>812.8305161640995</x:v>
      </x:c>
      <x:c r="U56" s="31" t="n">
        <x:f>IF(T56="","",I56*T56)</x:f>
        <x:v>114470.09376764612</x:v>
      </x:c>
    </x:row>
    <x:row r="57" ht="18" customHeight="1">
      <x:c r="A57" s="24" t="str">
        <x:v>EEZ_963</x:v>
      </x:c>
      <x:c r="B57" s="24" t="str">
        <x:v>Spain (Northwest)</x:v>
      </x:c>
      <x:c r="C57" s="24" t="str">
        <x:v>EEZ</x:v>
      </x:c>
      <x:c r="D57" s="30" t="n">
        <x:v>2019</x:v>
      </x:c>
      <x:c r="E57" s="24" t="str">
        <x:v>Alosa fallax</x:v>
      </x:c>
      <x:c r="F57" s="24" t="str">
        <x:v>Twaite shad</x:v>
      </x:c>
      <x:c r="G57" s="24" t="str">
        <x:v>Medium pelagics (30 - 89 cm)</x:v>
      </x:c>
      <x:c r="H57" s="24" t="str">
        <x:v>Herring-likes</x:v>
      </x:c>
      <x:c r="I57" s="31" t="n">
        <x:v>134.0731189514</x:v>
      </x:c>
      <x:c r="J57" s="31" t="n">
        <x:v>134.0731189514</x:v>
      </x:c>
      <x:c r="K57" s="31" t="n">
        <x:v>0</x:v>
      </x:c>
      <x:c r="L57" s="31" t="n">
        <x:v>100.9668017414</x:v>
      </x:c>
      <x:c r="M57" s="31" t="n">
        <x:v>33.10631721</x:v>
      </x:c>
      <x:c r="N57" s="24" t="str">
        <x:v>alosa fallax</x:v>
      </x:c>
      <x:c r="O57" s="32" t="n">
        <x:v>4.03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Alosa fallax</x:v>
      </x:c>
      <x:c r="T57" s="32" t="n">
        <x:f>IF(O57="","",(1/'Metadata'!$B$5)^(O57-1))</x:f>
        <x:v>1071.519305237607</x:v>
      </x:c>
      <x:c r="U57" s="31" t="n">
        <x:f>IF(T57="","",I57*T57)</x:f>
        <x:v>143661.93526984318</x:v>
      </x:c>
    </x:row>
    <x:row r="58" ht="18" customHeight="1">
      <x:c r="A58" s="24" t="str">
        <x:v>EEZ_963</x:v>
      </x:c>
      <x:c r="B58" s="24" t="str">
        <x:v>Spain (Northwest)</x:v>
      </x:c>
      <x:c r="C58" s="24" t="str">
        <x:v>EEZ</x:v>
      </x:c>
      <x:c r="D58" s="30" t="n">
        <x:v>2019</x:v>
      </x:c>
      <x:c r="E58" s="24" t="str">
        <x:v>Loligo</x:v>
      </x:c>
      <x:c r="F58" s="24" t="str">
        <x:v>Common squids</x:v>
      </x:c>
      <x:c r="G58" s="24" t="str">
        <x:v>Cephalopods</x:v>
      </x:c>
      <x:c r="H58" s="24" t="str">
        <x:v>Other fishes &amp; inverts</x:v>
      </x:c>
      <x:c r="I58" s="31" t="n">
        <x:v>131.9025072</x:v>
      </x:c>
      <x:c r="J58" s="31" t="n">
        <x:v>131.9025072</x:v>
      </x:c>
      <x:c r="K58" s="31" t="n">
        <x:v>0</x:v>
      </x:c>
      <x:c r="L58" s="31" t="n">
        <x:v>131.9025072</x:v>
      </x:c>
      <x:c r="M58" s="31" t="n">
        <x:v>0</x:v>
      </x:c>
      <x:c r="N58" s="24" t="str">
        <x:v>loligo</x:v>
      </x:c>
      <x:c r="O58" s="32" t="n">
        <x:v>3.99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Loligo</x:v>
      </x:c>
      <x:c r="T58" s="32" t="n">
        <x:f>IF(O58="","",(1/'Metadata'!$B$5)^(O58-1))</x:f>
        <x:v>977.2372209558112</x:v>
      </x:c>
      <x:c r="U58" s="31" t="n">
        <x:f>IF(T58="","",I58*T58)</x:f>
        <x:v>128900.03957323187</x:v>
      </x:c>
    </x:row>
    <x:row r="59" ht="18" customHeight="1">
      <x:c r="A59" s="24" t="str">
        <x:v>EEZ_963</x:v>
      </x:c>
      <x:c r="B59" s="24" t="str">
        <x:v>Spain (Northwest)</x:v>
      </x:c>
      <x:c r="C59" s="24" t="str">
        <x:v>EEZ</x:v>
      </x:c>
      <x:c r="D59" s="30" t="n">
        <x:v>2019</x:v>
      </x:c>
      <x:c r="E59" s="24" t="str">
        <x:v>Lepidopus caudatus</x:v>
      </x:c>
      <x:c r="F59" s="24" t="str">
        <x:v>Silver scabbardfish</x:v>
      </x:c>
      <x:c r="G59" s="24" t="str">
        <x:v>Large bathydemersals (&gt;=90 cm)</x:v>
      </x:c>
      <x:c r="H59" s="24" t="str">
        <x:v>Perch-likes</x:v>
      </x:c>
      <x:c r="I59" s="31" t="n">
        <x:v>129.9586387521</x:v>
      </x:c>
      <x:c r="J59" s="31" t="n">
        <x:v>129.9586387521</x:v>
      </x:c>
      <x:c r="K59" s="31" t="n">
        <x:v>0</x:v>
      </x:c>
      <x:c r="L59" s="31" t="n">
        <x:v>128.96624154010001</x:v>
      </x:c>
      <x:c r="M59" s="31" t="n">
        <x:v>0.992397212</x:v>
      </x:c>
      <x:c r="N59" s="24" t="str">
        <x:v>lepidopus caudatus</x:v>
      </x:c>
      <x:c r="O59" s="32" t="n">
        <x:v>3.82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Lepidopus caudatus</x:v>
      </x:c>
      <x:c r="T59" s="32" t="n">
        <x:f>IF(O59="","",(1/'Metadata'!$B$5)^(O59-1))</x:f>
        <x:v>660.6934480075957</x:v>
      </x:c>
      <x:c r="U59" s="31" t="n">
        <x:f>IF(T59="","",I59*T59)</x:f>
        <x:v>85862.8211354985</x:v>
      </x:c>
    </x:row>
    <x:row r="60" ht="18" customHeight="1">
      <x:c r="A60" s="24" t="str">
        <x:v>EEZ_963</x:v>
      </x:c>
      <x:c r="B60" s="24" t="str">
        <x:v>Spain (Northwest)</x:v>
      </x:c>
      <x:c r="C60" s="24" t="str">
        <x:v>EEZ</x:v>
      </x:c>
      <x:c r="D60" s="30" t="n">
        <x:v>2019</x:v>
      </x:c>
      <x:c r="E60" s="24" t="str">
        <x:v>Chelidonichthys cuculus</x:v>
      </x:c>
      <x:c r="F60" s="24" t="str">
        <x:v>Red gurnard</x:v>
      </x:c>
      <x:c r="G60" s="24" t="str">
        <x:v>Medium demersals (30 - 89 cm)</x:v>
      </x:c>
      <x:c r="H60" s="24" t="str">
        <x:v>Scorpionfishes</x:v>
      </x:c>
      <x:c r="I60" s="31" t="n">
        <x:v>125.10915184010001</x:v>
      </x:c>
      <x:c r="J60" s="31" t="n">
        <x:v>125.10915184010001</x:v>
      </x:c>
      <x:c r="K60" s="31" t="n">
        <x:v>0</x:v>
      </x:c>
      <x:c r="L60" s="31" t="n">
        <x:v>125.10915184010001</x:v>
      </x:c>
      <x:c r="M60" s="31" t="n">
        <x:v>0</x:v>
      </x:c>
      <x:c r="N60" s="24" t="str">
        <x:v>chelidonichthys cuculus</x:v>
      </x:c>
      <x:c r="O60" s="32" t="n">
        <x:v>3.81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Chelidonichthys cuculus</x:v>
      </x:c>
      <x:c r="T60" s="32" t="n">
        <x:f>IF(O60="","",(1/'Metadata'!$B$5)^(O60-1))</x:f>
        <x:v>645.6542290346556</x:v>
      </x:c>
      <x:c r="U60" s="31" t="n">
        <x:f>IF(T60="","",I60*T60)</x:f>
        <x:v>80777.25297649944</x:v>
      </x:c>
    </x:row>
    <x:row r="61" ht="18" customHeight="1">
      <x:c r="A61" s="24" t="str">
        <x:v>EEZ_963</x:v>
      </x:c>
      <x:c r="B61" s="24" t="str">
        <x:v>Spain (Northwest)</x:v>
      </x:c>
      <x:c r="C61" s="24" t="str">
        <x:v>EEZ</x:v>
      </x:c>
      <x:c r="D61" s="30" t="n">
        <x:v>2019</x:v>
      </x:c>
      <x:c r="E61" s="24" t="str">
        <x:v>Anguilla anguilla</x:v>
      </x:c>
      <x:c r="F61" s="24" t="str">
        <x:v>European eel</x:v>
      </x:c>
      <x:c r="G61" s="24" t="str">
        <x:v>Large demersals (&gt;=90 cm)</x:v>
      </x:c>
      <x:c r="H61" s="24" t="str">
        <x:v>Other fishes &amp; inverts</x:v>
      </x:c>
      <x:c r="I61" s="31" t="n">
        <x:v>121.93069865669999</x:v>
      </x:c>
      <x:c r="J61" s="31" t="n">
        <x:v>121.93069865669999</x:v>
      </x:c>
      <x:c r="K61" s="31" t="n">
        <x:v>0</x:v>
      </x:c>
      <x:c r="L61" s="31" t="n">
        <x:v>3.5137051167</x:v>
      </x:c>
      <x:c r="M61" s="31" t="n">
        <x:v>118.41699353999999</x:v>
      </x:c>
      <x:c r="N61" s="24" t="str">
        <x:v>anguilla anguilla</x:v>
      </x:c>
      <x:c r="O61" s="32" t="n">
        <x:v>3.55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Anguilla anguilla</x:v>
      </x:c>
      <x:c r="T61" s="32" t="n">
        <x:f>IF(O61="","",(1/'Metadata'!$B$5)^(O61-1))</x:f>
        <x:v>354.8133892335753</x:v>
      </x:c>
      <x:c r="U61" s="31" t="n">
        <x:f>IF(T61="","",I61*T61)</x:f>
        <x:v>43262.644442001474</x:v>
      </x:c>
    </x:row>
    <x:row r="62" ht="18" customHeight="1">
      <x:c r="A62" s="24" t="str">
        <x:v>EEZ_963</x:v>
      </x:c>
      <x:c r="B62" s="24" t="str">
        <x:v>Spain (Northwest)</x:v>
      </x:c>
      <x:c r="C62" s="24" t="str">
        <x:v>EEZ</x:v>
      </x:c>
      <x:c r="D62" s="30" t="n">
        <x:v>2019</x:v>
      </x:c>
      <x:c r="E62" s="24" t="str">
        <x:v>Scombridae</x:v>
      </x:c>
      <x:c r="F62" s="24" t="str">
        <x:v>Mackerels, tunas, bonitos</x:v>
      </x:c>
      <x:c r="G62" s="24" t="str">
        <x:v>Medium pelagics (30 - 89 cm)</x:v>
      </x:c>
      <x:c r="H62" s="24" t="str">
        <x:v>Perch-likes</x:v>
      </x:c>
      <x:c r="I62" s="31" t="n">
        <x:v>120.3566573858</x:v>
      </x:c>
      <x:c r="J62" s="31" t="n">
        <x:v>34.9608911355</x:v>
      </x:c>
      <x:c r="K62" s="31" t="n">
        <x:v>85.3957662503</x:v>
      </x:c>
      <x:c r="L62" s="31" t="n">
        <x:v>34.9608911355</x:v>
      </x:c>
      <x:c r="M62" s="31" t="n">
        <x:v>85.3957662503</x:v>
      </x:c>
      <x:c r="N62" s="24" t="str">
        <x:v>scombridae</x:v>
      </x:c>
      <x:c r="O62" s="32" t="n">
        <x:v>4.26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Scombridae</x:v>
      </x:c>
      <x:c r="T62" s="32" t="n">
        <x:f>IF(O62="","",(1/'Metadata'!$B$5)^(O62-1))</x:f>
        <x:v>1819.7008586099826</x:v>
      </x:c>
      <x:c r="U62" s="31" t="n">
        <x:f>IF(T62="","",I62*T62)</x:f>
        <x:v>219013.11278436778</x:v>
      </x:c>
    </x:row>
    <x:row r="63" ht="18" customHeight="1">
      <x:c r="A63" s="24" t="str">
        <x:v>EEZ_963</x:v>
      </x:c>
      <x:c r="B63" s="24" t="str">
        <x:v>Spain (Northwest)</x:v>
      </x:c>
      <x:c r="C63" s="24" t="str">
        <x:v>EEZ</x:v>
      </x:c>
      <x:c r="D63" s="30" t="n">
        <x:v>2019</x:v>
      </x:c>
      <x:c r="E63" s="24" t="str">
        <x:v>Pollachius pollachius</x:v>
      </x:c>
      <x:c r="F63" s="24" t="str">
        <x:v>Pollack</x:v>
      </x:c>
      <x:c r="G63" s="24" t="str">
        <x:v>Large benthopelagics (&gt;=90 cm)</x:v>
      </x:c>
      <x:c r="H63" s="24" t="str">
        <x:v>Cod-likes</x:v>
      </x:c>
      <x:c r="I63" s="31" t="n">
        <x:v>117.7802172003</x:v>
      </x:c>
      <x:c r="J63" s="31" t="n">
        <x:v>117.7802172003</x:v>
      </x:c>
      <x:c r="K63" s="31" t="n">
        <x:v>0</x:v>
      </x:c>
      <x:c r="L63" s="31" t="n">
        <x:v>101.86249856030001</x:v>
      </x:c>
      <x:c r="M63" s="31" t="n">
        <x:v>15.91771864</x:v>
      </x:c>
      <x:c r="N63" s="24" t="str">
        <x:v>pollachius pollachius</x:v>
      </x:c>
      <x:c r="O63" s="32" t="n">
        <x:v>4.32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Pollachius pollachius</x:v>
      </x:c>
      <x:c r="T63" s="32" t="n">
        <x:f>IF(O63="","",(1/'Metadata'!$B$5)^(O63-1))</x:f>
        <x:v>2089.2961308540407</x:v>
      </x:c>
      <x:c r="U63" s="31" t="n">
        <x:f>IF(T63="","",I63*T63)</x:f>
        <x:v>246077.75208773534</x:v>
      </x:c>
    </x:row>
    <x:row r="64" ht="18" customHeight="1">
      <x:c r="A64" s="24" t="str">
        <x:v>EEZ_963</x:v>
      </x:c>
      <x:c r="B64" s="24" t="str">
        <x:v>Spain (Northwest)</x:v>
      </x:c>
      <x:c r="C64" s="24" t="str">
        <x:v>EEZ</x:v>
      </x:c>
      <x:c r="D64" s="30" t="n">
        <x:v>2019</x:v>
      </x:c>
      <x:c r="E64" s="24" t="str">
        <x:v>Scorpaena</x:v>
      </x:c>
      <x:c r="F64" s="24" t="str">
        <x:v>Scorpionfishes</x:v>
      </x:c>
      <x:c r="G64" s="24" t="str">
        <x:v>Large reef assoc. fish (&gt;=90 cm)</x:v>
      </x:c>
      <x:c r="H64" s="24" t="str">
        <x:v>Scorpionfishes</x:v>
      </x:c>
      <x:c r="I64" s="31" t="n">
        <x:v>117.69581927930001</x:v>
      </x:c>
      <x:c r="J64" s="31" t="n">
        <x:v>117.69581927930001</x:v>
      </x:c>
      <x:c r="K64" s="31" t="n">
        <x:v>0</x:v>
      </x:c>
      <x:c r="L64" s="31" t="n">
        <x:v>115.3280035442</x:v>
      </x:c>
      <x:c r="M64" s="31" t="n">
        <x:v>2.3678157351</x:v>
      </x:c>
      <x:c r="N64" s="24" t="str">
        <x:v>scorpaena</x:v>
      </x:c>
      <x:c r="O64" s="32" t="n">
        <x:v>3.87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Scorpaena</x:v>
      </x:c>
      <x:c r="T64" s="32" t="n">
        <x:f>IF(O64="","",(1/'Metadata'!$B$5)^(O64-1))</x:f>
        <x:v>741.3102413009177</x:v>
      </x:c>
      <x:c r="U64" s="31" t="n">
        <x:f>IF(T64="","",I64*T64)</x:f>
        <x:v>87249.11619004709</x:v>
      </x:c>
    </x:row>
    <x:row r="65" ht="18" customHeight="1">
      <x:c r="A65" s="24" t="str">
        <x:v>EEZ_963</x:v>
      </x:c>
      <x:c r="B65" s="24" t="str">
        <x:v>Spain (Northwest)</x:v>
      </x:c>
      <x:c r="C65" s="24" t="str">
        <x:v>EEZ</x:v>
      </x:c>
      <x:c r="D65" s="30" t="n">
        <x:v>2019</x:v>
      </x:c>
      <x:c r="E65" s="24" t="str">
        <x:v>Scorpaenidae</x:v>
      </x:c>
      <x:c r="F65" s="24" t="str">
        <x:v>Scorpionfishes, rockfishes</x:v>
      </x:c>
      <x:c r="G65" s="24" t="str">
        <x:v>Large reef assoc. fish (&gt;=90 cm)</x:v>
      </x:c>
      <x:c r="H65" s="24" t="str">
        <x:v>Scorpionfishes</x:v>
      </x:c>
      <x:c r="I65" s="31" t="n">
        <x:v>114.6562539251</x:v>
      </x:c>
      <x:c r="J65" s="31" t="n">
        <x:v>114.6562539251</x:v>
      </x:c>
      <x:c r="K65" s="31" t="n">
        <x:v>0</x:v>
      </x:c>
      <x:c r="L65" s="31" t="n">
        <x:v>114.6562539251</x:v>
      </x:c>
      <x:c r="M65" s="31" t="n">
        <x:v>0</x:v>
      </x:c>
      <x:c r="N65" s="24" t="str">
        <x:v>scorpaenidae</x:v>
      </x:c>
      <x:c r="O65" s="32" t="n">
        <x:v>3.92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Scorpaenidae</x:v>
      </x:c>
      <x:c r="T65" s="32" t="n">
        <x:f>IF(O65="","",(1/'Metadata'!$B$5)^(O65-1))</x:f>
        <x:v>831.7637711026708</x:v>
      </x:c>
      <x:c r="U65" s="31" t="n">
        <x:f>IF(T65="","",I65*T65)</x:f>
        <x:v>95366.91814524659</x:v>
      </x:c>
    </x:row>
    <x:row r="66" ht="18" customHeight="1">
      <x:c r="A66" s="24" t="str">
        <x:v>EEZ_963</x:v>
      </x:c>
      <x:c r="B66" s="24" t="str">
        <x:v>Spain (Northwest)</x:v>
      </x:c>
      <x:c r="C66" s="24" t="str">
        <x:v>EEZ</x:v>
      </x:c>
      <x:c r="D66" s="30" t="n">
        <x:v>2019</x:v>
      </x:c>
      <x:c r="E66" s="24" t="str">
        <x:v>Trachurus mediterraneus</x:v>
      </x:c>
      <x:c r="F66" s="24" t="str">
        <x:v>Mediterranean horse mackerel</x:v>
      </x:c>
      <x:c r="G66" s="24" t="str">
        <x:v>Medium pelagics (30 - 89 cm)</x:v>
      </x:c>
      <x:c r="H66" s="24" t="str">
        <x:v>Perch-likes</x:v>
      </x:c>
      <x:c r="I66" s="31" t="n">
        <x:v>114.05474116190001</x:v>
      </x:c>
      <x:c r="J66" s="31" t="n">
        <x:v>114.05474116190001</x:v>
      </x:c>
      <x:c r="K66" s="31" t="n">
        <x:v>0</x:v>
      </x:c>
      <x:c r="L66" s="31" t="n">
        <x:v>82.9172539419</x:v>
      </x:c>
      <x:c r="M66" s="31" t="n">
        <x:v>31.137487219999997</x:v>
      </x:c>
      <x:c r="N66" s="24" t="str">
        <x:v>trachurus mediterraneus</x:v>
      </x:c>
      <x:c r="O66" s="32" t="n">
        <x:v>3.77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Trachurus mediterraneus</x:v>
      </x:c>
      <x:c r="T66" s="32" t="n">
        <x:f>IF(O66="","",(1/'Metadata'!$B$5)^(O66-1))</x:f>
        <x:v>588.843655355589</x:v>
      </x:c>
      <x:c r="U66" s="31" t="n">
        <x:f>IF(T66="","",I66*T66)</x:f>
        <x:v>67160.41069640877</x:v>
      </x:c>
    </x:row>
    <x:row r="67" ht="18" customHeight="1">
      <x:c r="A67" s="24" t="str">
        <x:v>EEZ_963</x:v>
      </x:c>
      <x:c r="B67" s="24" t="str">
        <x:v>Spain (Northwest)</x:v>
      </x:c>
      <x:c r="C67" s="24" t="str">
        <x:v>EEZ</x:v>
      </x:c>
      <x:c r="D67" s="30" t="n">
        <x:v>2019</x:v>
      </x:c>
      <x:c r="E67" s="24" t="str">
        <x:v>Aphanopus carbo</x:v>
      </x:c>
      <x:c r="F67" s="24" t="str">
        <x:v>Black scabbardfish</x:v>
      </x:c>
      <x:c r="G67" s="24" t="str">
        <x:v>Large benthopelagics (&gt;=90 cm)</x:v>
      </x:c>
      <x:c r="H67" s="24" t="str">
        <x:v>Perch-likes</x:v>
      </x:c>
      <x:c r="I67" s="31" t="n">
        <x:v>113.6292303948</x:v>
      </x:c>
      <x:c r="J67" s="31" t="n">
        <x:v>113.6292303948</x:v>
      </x:c>
      <x:c r="K67" s="31" t="n">
        <x:v>0</x:v>
      </x:c>
      <x:c r="L67" s="31" t="n">
        <x:v>113.6292303948</x:v>
      </x:c>
      <x:c r="M67" s="31" t="n">
        <x:v>0</x:v>
      </x:c>
      <x:c r="N67" s="24" t="str">
        <x:v>aphanopus carbo</x:v>
      </x:c>
      <x:c r="O67" s="32" t="n">
        <x:v>4.48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Aphanopus carbo</x:v>
      </x:c>
      <x:c r="T67" s="32" t="n">
        <x:f>IF(O67="","",(1/'Metadata'!$B$5)^(O67-1))</x:f>
        <x:v>3019.951720402019</x:v>
      </x:c>
      <x:c r="U67" s="31" t="n">
        <x:f>IF(T67="","",I67*T67)</x:f>
        <x:v>343154.78981873364</x:v>
      </x:c>
    </x:row>
    <x:row r="68" ht="18" customHeight="1">
      <x:c r="A68" s="24" t="str">
        <x:v>EEZ_963</x:v>
      </x:c>
      <x:c r="B68" s="24" t="str">
        <x:v>Spain (Northwest)</x:v>
      </x:c>
      <x:c r="C68" s="24" t="str">
        <x:v>EEZ</x:v>
      </x:c>
      <x:c r="D68" s="30" t="n">
        <x:v>2019</x:v>
      </x:c>
      <x:c r="E68" s="24" t="str">
        <x:v>Cerastoderma edule</x:v>
      </x:c>
      <x:c r="F68" s="24" t="str">
        <x:v>Common cockle</x:v>
      </x:c>
      <x:c r="G68" s="24" t="str">
        <x:v>Other demersal invertebrates</x:v>
      </x:c>
      <x:c r="H68" s="24" t="str">
        <x:v>Molluscs</x:v>
      </x:c>
      <x:c r="I68" s="31" t="n">
        <x:v>112.2349909213</x:v>
      </x:c>
      <x:c r="J68" s="31" t="n">
        <x:v>112.2349909213</x:v>
      </x:c>
      <x:c r="K68" s="31" t="n">
        <x:v>0</x:v>
      </x:c>
      <x:c r="L68" s="31" t="n">
        <x:v>89.1662330222</x:v>
      </x:c>
      <x:c r="M68" s="31" t="n">
        <x:v>23.0687578991</x:v>
      </x:c>
      <x:c r="N68" s="24" t="str">
        <x:v>cerastoderma edule</x:v>
      </x:c>
      <x:c r="O68" s="32" t="n">
        <x:v>2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Cerastoderma edule</x:v>
      </x:c>
      <x:c r="T68" s="32" t="n">
        <x:f>IF(O68="","",(1/'Metadata'!$B$5)^(O68-1))</x:f>
        <x:v>10</x:v>
      </x:c>
      <x:c r="U68" s="31" t="n">
        <x:f>IF(T68="","",I68*T68)</x:f>
        <x:v>1122.349909213</x:v>
      </x:c>
    </x:row>
    <x:row r="69" ht="18" customHeight="1">
      <x:c r="A69" s="24" t="str">
        <x:v>EEZ_963</x:v>
      </x:c>
      <x:c r="B69" s="24" t="str">
        <x:v>Spain (Northwest)</x:v>
      </x:c>
      <x:c r="C69" s="24" t="str">
        <x:v>EEZ</x:v>
      </x:c>
      <x:c r="D69" s="30" t="n">
        <x:v>2019</x:v>
      </x:c>
      <x:c r="E69" s="24" t="str">
        <x:v>Squalus blainville</x:v>
      </x:c>
      <x:c r="F69" s="24" t="str">
        <x:v>Longnose spurdog</x:v>
      </x:c>
      <x:c r="G69" s="24" t="str">
        <x:v>Small to medium sharks (&lt;90 cm)</x:v>
      </x:c>
      <x:c r="H69" s="24" t="str">
        <x:v>Sharks &amp; rays</x:v>
      </x:c>
      <x:c r="I69" s="31" t="n">
        <x:v>111.29910978</x:v>
      </x:c>
      <x:c r="J69" s="31" t="n">
        <x:v>111.29910978</x:v>
      </x:c>
      <x:c r="K69" s="31" t="n">
        <x:v>0</x:v>
      </x:c>
      <x:c r="L69" s="31" t="n">
        <x:v>65.1234354799</x:v>
      </x:c>
      <x:c r="M69" s="31" t="n">
        <x:v>46.1756743001</x:v>
      </x:c>
      <x:c r="N69" s="24" t="str">
        <x:v>squalus blainville</x:v>
      </x:c>
      <x:c r="O69" s="32" t="n">
        <x:v>3.97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Squalus blainville</x:v>
      </x:c>
      <x:c r="T69" s="32" t="n">
        <x:f>IF(O69="","",(1/'Metadata'!$B$5)^(O69-1))</x:f>
        <x:v>933.2543007969915</x:v>
      </x:c>
      <x:c r="U69" s="31" t="n">
        <x:f>IF(T69="","",I69*T69)</x:f>
        <x:v>103870.3728770615</x:v>
      </x:c>
    </x:row>
    <x:row r="70" ht="18" customHeight="1">
      <x:c r="A70" s="24" t="str">
        <x:v>EEZ_963</x:v>
      </x:c>
      <x:c r="B70" s="24" t="str">
        <x:v>Spain (Northwest)</x:v>
      </x:c>
      <x:c r="C70" s="24" t="str">
        <x:v>EEZ</x:v>
      </x:c>
      <x:c r="D70" s="30" t="n">
        <x:v>2019</x:v>
      </x:c>
      <x:c r="E70" s="24" t="str">
        <x:v>Mullus surmuletus</x:v>
      </x:c>
      <x:c r="F70" s="24" t="str">
        <x:v>Surmullet</x:v>
      </x:c>
      <x:c r="G70" s="24" t="str">
        <x:v>Medium demersals (30 - 89 cm)</x:v>
      </x:c>
      <x:c r="H70" s="24" t="str">
        <x:v>Perch-likes</x:v>
      </x:c>
      <x:c r="I70" s="31" t="n">
        <x:v>111.0698725033</x:v>
      </x:c>
      <x:c r="J70" s="31" t="n">
        <x:v>111.0698725033</x:v>
      </x:c>
      <x:c r="K70" s="31" t="n">
        <x:v>0</x:v>
      </x:c>
      <x:c r="L70" s="31" t="n">
        <x:v>83.2817728533</x:v>
      </x:c>
      <x:c r="M70" s="31" t="n">
        <x:v>27.78809965</x:v>
      </x:c>
      <x:c r="N70" s="24" t="str">
        <x:v>mullus surmuletus</x:v>
      </x:c>
      <x:c r="O70" s="32" t="n">
        <x:v>3.45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Mullus surmuletus</x:v>
      </x:c>
      <x:c r="T70" s="32" t="n">
        <x:f>IF(O70="","",(1/'Metadata'!$B$5)^(O70-1))</x:f>
        <x:v>281.8382931264455</x:v>
      </x:c>
      <x:c r="U70" s="31" t="n">
        <x:f>IF(T70="","",I70*T70)</x:f>
        <x:v>31303.743284101995</x:v>
      </x:c>
    </x:row>
    <x:row r="71" ht="18" customHeight="1">
      <x:c r="A71" s="24" t="str">
        <x:v>EEZ_963</x:v>
      </x:c>
      <x:c r="B71" s="24" t="str">
        <x:v>Spain (Northwest)</x:v>
      </x:c>
      <x:c r="C71" s="24" t="str">
        <x:v>EEZ</x:v>
      </x:c>
      <x:c r="D71" s="30" t="n">
        <x:v>2019</x:v>
      </x:c>
      <x:c r="E71" s="24" t="str">
        <x:v>Mullus barbatus</x:v>
      </x:c>
      <x:c r="F71" s="24" t="str">
        <x:v>Red mullet</x:v>
      </x:c>
      <x:c r="G71" s="24" t="str">
        <x:v>Medium demersals (30 - 89 cm)</x:v>
      </x:c>
      <x:c r="H71" s="24" t="str">
        <x:v>Perch-likes</x:v>
      </x:c>
      <x:c r="I71" s="31" t="n">
        <x:v>105.0487141482</x:v>
      </x:c>
      <x:c r="J71" s="31" t="n">
        <x:v>105.0487141482</x:v>
      </x:c>
      <x:c r="K71" s="31" t="n">
        <x:v>0</x:v>
      </x:c>
      <x:c r="L71" s="31" t="n">
        <x:v>64.591808352</x:v>
      </x:c>
      <x:c r="M71" s="31" t="n">
        <x:v>40.4569057962</x:v>
      </x:c>
      <x:c r="N71" s="24" t="str">
        <x:v>mullus barbatus</x:v>
      </x:c>
      <x:c r="O71" s="32" t="n">
        <x:v>3.14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Mullus barbatus</x:v>
      </x:c>
      <x:c r="T71" s="32" t="n">
        <x:f>IF(O71="","",(1/'Metadata'!$B$5)^(O71-1))</x:f>
        <x:v>138.03842646028852</x:v>
      </x:c>
      <x:c r="U71" s="31" t="n">
        <x:f>IF(T71="","",I71*T71)</x:f>
        <x:v>14500.759202694177</x:v>
      </x:c>
    </x:row>
    <x:row r="72" ht="18" customHeight="1">
      <x:c r="A72" s="24" t="str">
        <x:v>EEZ_963</x:v>
      </x:c>
      <x:c r="B72" s="24" t="str">
        <x:v>Spain (Northwest)</x:v>
      </x:c>
      <x:c r="C72" s="24" t="str">
        <x:v>EEZ</x:v>
      </x:c>
      <x:c r="D72" s="30" t="n">
        <x:v>2019</x:v>
      </x:c>
      <x:c r="E72" s="24" t="str">
        <x:v>Venerupis corrugata</x:v>
      </x:c>
      <x:c r="F72" s="24" t="str">
        <x:v>Corrugated venus</x:v>
      </x:c>
      <x:c r="G72" s="24" t="str">
        <x:v>Other demersal invertebrates</x:v>
      </x:c>
      <x:c r="H72" s="24" t="str">
        <x:v>Molluscs</x:v>
      </x:c>
      <x:c r="I72" s="31" t="n">
        <x:v>102.0945590572</x:v>
      </x:c>
      <x:c r="J72" s="31" t="n">
        <x:v>102.0945590572</x:v>
      </x:c>
      <x:c r="K72" s="31" t="n">
        <x:v>0</x:v>
      </x:c>
      <x:c r="L72" s="31" t="n">
        <x:v>40.9157545311</x:v>
      </x:c>
      <x:c r="M72" s="31" t="n">
        <x:v>61.178804526099995</x:v>
      </x:c>
      <x:c r="N72" s="24" t="str">
        <x:v>venerupis corrugata</x:v>
      </x:c>
      <x:c r="O72" s="32" t="n">
        <x:v>2.1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Venerupis corrugata</x:v>
      </x:c>
      <x:c r="T72" s="32" t="n">
        <x:f>IF(O72="","",(1/'Metadata'!$B$5)^(O72-1))</x:f>
        <x:v>12.589254117941675</x:v>
      </x:c>
      <x:c r="U72" s="31" t="n">
        <x:f>IF(T72="","",I72*T72)</x:f>
        <x:v>1285.2943480302947</x:v>
      </x:c>
    </x:row>
    <x:row r="73" ht="18" customHeight="1">
      <x:c r="A73" s="24" t="str">
        <x:v>EEZ_963</x:v>
      </x:c>
      <x:c r="B73" s="24" t="str">
        <x:v>Spain (Northwest)</x:v>
      </x:c>
      <x:c r="C73" s="24" t="str">
        <x:v>EEZ</x:v>
      </x:c>
      <x:c r="D73" s="30" t="n">
        <x:v>2019</x:v>
      </x:c>
      <x:c r="E73" s="24" t="str">
        <x:v>Osteichthyes</x:v>
      </x:c>
      <x:c r="F73" s="24" t="str">
        <x:v>Bony fishes</x:v>
      </x:c>
      <x:c r="G73" s="24" t="str">
        <x:v>Medium demersals (30 - 89 cm)</x:v>
      </x:c>
      <x:c r="H73" s="24" t="str">
        <x:v>Other fishes &amp; inverts</x:v>
      </x:c>
      <x:c r="I73" s="31" t="n">
        <x:v>96.8867073858</x:v>
      </x:c>
      <x:c r="J73" s="31" t="n">
        <x:v>96.8867073858</x:v>
      </x:c>
      <x:c r="K73" s="31" t="n">
        <x:v>0</x:v>
      </x:c>
      <x:c r="L73" s="31" t="n">
        <x:v>96.8867073858</x:v>
      </x:c>
      <x:c r="M73" s="31" t="n">
        <x:v>0</x:v>
      </x:c>
      <x:c r="N73" s="24" t="str">
        <x:v>osteichthyes</x:v>
      </x:c>
      <x:c r="O73" s="32" t="n">
        <x:v>3.79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Osteichthyes</x:v>
      </x:c>
      <x:c r="T73" s="32" t="n">
        <x:f>IF(O73="","",(1/'Metadata'!$B$5)^(O73-1))</x:f>
        <x:v>616.5950018614822</x:v>
      </x:c>
      <x:c r="U73" s="31" t="n">
        <x:f>IF(T73="","",I73*T73)</x:f>
        <x:v>59739.85952090022</x:v>
      </x:c>
    </x:row>
    <x:row r="74" ht="18" customHeight="1">
      <x:c r="A74" s="24" t="str">
        <x:v>EEZ_963</x:v>
      </x:c>
      <x:c r="B74" s="24" t="str">
        <x:v>Spain (Northwest)</x:v>
      </x:c>
      <x:c r="C74" s="24" t="str">
        <x:v>EEZ</x:v>
      </x:c>
      <x:c r="D74" s="30" t="n">
        <x:v>2019</x:v>
      </x:c>
      <x:c r="E74" s="24" t="str">
        <x:v>Carangidae</x:v>
      </x:c>
      <x:c r="F74" s="24" t="str">
        <x:v>Jacks, pompanos</x:v>
      </x:c>
      <x:c r="G74" s="24" t="str">
        <x:v>Medium pelagics (30 - 89 cm)</x:v>
      </x:c>
      <x:c r="H74" s="24" t="str">
        <x:v>Perch-likes</x:v>
      </x:c>
      <x:c r="I74" s="31" t="n">
        <x:v>95.45667176449999</x:v>
      </x:c>
      <x:c r="J74" s="31" t="n">
        <x:v>60.740113730999994</x:v>
      </x:c>
      <x:c r="K74" s="31" t="n">
        <x:v>34.7165580335</x:v>
      </x:c>
      <x:c r="L74" s="31" t="n">
        <x:v>60.740113730999994</x:v>
      </x:c>
      <x:c r="M74" s="31" t="n">
        <x:v>34.7165580335</x:v>
      </x:c>
      <x:c r="N74" s="24" t="str">
        <x:v>carangidae</x:v>
      </x:c>
      <x:c r="O74" s="32" t="n">
        <x:v>4.05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Carangidae</x:v>
      </x:c>
      <x:c r="T74" s="32" t="n">
        <x:f>IF(O74="","",(1/'Metadata'!$B$5)^(O74-1))</x:f>
        <x:v>1122.018454301963</x:v>
      </x:c>
      <x:c r="U74" s="31" t="n">
        <x:f>IF(T74="","",I74*T74)</x:f>
        <x:v>107104.1473060141</x:v>
      </x:c>
    </x:row>
    <x:row r="75" ht="18" customHeight="1">
      <x:c r="A75" s="24" t="str">
        <x:v>EEZ_963</x:v>
      </x:c>
      <x:c r="B75" s="24" t="str">
        <x:v>Spain (Northwest)</x:v>
      </x:c>
      <x:c r="C75" s="24" t="str">
        <x:v>EEZ</x:v>
      </x:c>
      <x:c r="D75" s="30" t="n">
        <x:v>2019</x:v>
      </x:c>
      <x:c r="E75" s="24" t="str">
        <x:v>Leucoraja naevus</x:v>
      </x:c>
      <x:c r="F75" s="24" t="str">
        <x:v>Cuckoo ray</x:v>
      </x:c>
      <x:c r="G75" s="24" t="str">
        <x:v>Small to medium rays (&lt;90 cm)</x:v>
      </x:c>
      <x:c r="H75" s="24" t="str">
        <x:v>Sharks &amp; rays</x:v>
      </x:c>
      <x:c r="I75" s="31" t="n">
        <x:v>95.12215067209999</x:v>
      </x:c>
      <x:c r="J75" s="31" t="n">
        <x:v>95.12215067209999</x:v>
      </x:c>
      <x:c r="K75" s="31" t="n">
        <x:v>0</x:v>
      </x:c>
      <x:c r="L75" s="31" t="n">
        <x:v>88.33021551009999</x:v>
      </x:c>
      <x:c r="M75" s="31" t="n">
        <x:v>6.791935162</x:v>
      </x:c>
      <x:c r="N75" s="24" t="str">
        <x:v>leucoraja naevus</x:v>
      </x:c>
      <x:c r="O75" s="32" t="n">
        <x:v>4.21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Leucoraja naevus</x:v>
      </x:c>
      <x:c r="T75" s="32" t="n">
        <x:f>IF(O75="","",(1/'Metadata'!$B$5)^(O75-1))</x:f>
        <x:v>1621.8100973589299</x:v>
      </x:c>
      <x:c r="U75" s="31" t="n">
        <x:f>IF(T75="","",I75*T75)</x:f>
        <x:v>154270.0644425093</x:v>
      </x:c>
    </x:row>
    <x:row r="76" ht="18" customHeight="1">
      <x:c r="A76" s="24" t="str">
        <x:v>EEZ_963</x:v>
      </x:c>
      <x:c r="B76" s="24" t="str">
        <x:v>Spain (Northwest)</x:v>
      </x:c>
      <x:c r="C76" s="24" t="str">
        <x:v>EEZ</x:v>
      </x:c>
      <x:c r="D76" s="30" t="n">
        <x:v>2019</x:v>
      </x:c>
      <x:c r="E76" s="24" t="str">
        <x:v>Veneridae</x:v>
      </x:c>
      <x:c r="F76" s="24" t="str">
        <x:v>Venus clams</x:v>
      </x:c>
      <x:c r="G76" s="24" t="str">
        <x:v>Other demersal invertebrates</x:v>
      </x:c>
      <x:c r="H76" s="24" t="str">
        <x:v>Molluscs</x:v>
      </x:c>
      <x:c r="I76" s="31" t="n">
        <x:v>91.25954226420001</x:v>
      </x:c>
      <x:c r="J76" s="31" t="n">
        <x:v>91.25954226420001</x:v>
      </x:c>
      <x:c r="K76" s="31" t="n">
        <x:v>0</x:v>
      </x:c>
      <x:c r="L76" s="31" t="n">
        <x:v>86.01689803000001</x:v>
      </x:c>
      <x:c r="M76" s="31" t="n">
        <x:v>5.2426442342</x:v>
      </x:c>
      <x:c r="N76" s="24" t="str">
        <x:v>veneridae</x:v>
      </x:c>
      <x:c r="O76" s="32" t="n">
        <x:v>2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Veneridae</x:v>
      </x:c>
      <x:c r="T76" s="32" t="n">
        <x:f>IF(O76="","",(1/'Metadata'!$B$5)^(O76-1))</x:f>
        <x:v>10</x:v>
      </x:c>
      <x:c r="U76" s="31" t="n">
        <x:f>IF(T76="","",I76*T76)</x:f>
        <x:v>912.5954226420001</x:v>
      </x:c>
    </x:row>
    <x:row r="77" ht="18" customHeight="1">
      <x:c r="A77" s="24" t="str">
        <x:v>EEZ_963</x:v>
      </x:c>
      <x:c r="B77" s="24" t="str">
        <x:v>Spain (Northwest)</x:v>
      </x:c>
      <x:c r="C77" s="24" t="str">
        <x:v>EEZ</x:v>
      </x:c>
      <x:c r="D77" s="30" t="n">
        <x:v>2019</x:v>
      </x:c>
      <x:c r="E77" s="24" t="str">
        <x:v>Pagellus bogaraveo</x:v>
      </x:c>
      <x:c r="F77" s="24" t="str">
        <x:v>Blackspot seabream</x:v>
      </x:c>
      <x:c r="G77" s="24" t="str">
        <x:v>Medium benthopelagics (30 - 89 cm)</x:v>
      </x:c>
      <x:c r="H77" s="24" t="str">
        <x:v>Perch-likes</x:v>
      </x:c>
      <x:c r="I77" s="31" t="n">
        <x:v>88.6709665111</x:v>
      </x:c>
      <x:c r="J77" s="31" t="n">
        <x:v>88.6709665111</x:v>
      </x:c>
      <x:c r="K77" s="31" t="n">
        <x:v>0</x:v>
      </x:c>
      <x:c r="L77" s="31" t="n">
        <x:v>71.9958898811</x:v>
      </x:c>
      <x:c r="M77" s="31" t="n">
        <x:v>16.67507663</x:v>
      </x:c>
      <x:c r="N77" s="24" t="str">
        <x:v>pagellus bogaraveo</x:v>
      </x:c>
      <x:c r="O77" s="32" t="n">
        <x:v>4.21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Pagellus bogaraveo</x:v>
      </x:c>
      <x:c r="T77" s="32" t="n">
        <x:f>IF(O77="","",(1/'Metadata'!$B$5)^(O77-1))</x:f>
        <x:v>1621.8100973589299</x:v>
      </x:c>
      <x:c r="U77" s="31" t="n">
        <x:f>IF(T77="","",I77*T77)</x:f>
        <x:v>143807.4688302775</x:v>
      </x:c>
    </x:row>
    <x:row r="78" ht="18" customHeight="1">
      <x:c r="A78" s="24" t="str">
        <x:v>EEZ_963</x:v>
      </x:c>
      <x:c r="B78" s="24" t="str">
        <x:v>Spain (Northwest)</x:v>
      </x:c>
      <x:c r="C78" s="24" t="str">
        <x:v>EEZ</x:v>
      </x:c>
      <x:c r="D78" s="30" t="n">
        <x:v>2019</x:v>
      </x:c>
      <x:c r="E78" s="24" t="str">
        <x:v>Solea solea</x:v>
      </x:c>
      <x:c r="F78" s="24" t="str">
        <x:v>Common sole</x:v>
      </x:c>
      <x:c r="G78" s="24" t="str">
        <x:v>Small to medium flatfishes (&lt;90 cm)</x:v>
      </x:c>
      <x:c r="H78" s="24" t="str">
        <x:v>Flatfishes</x:v>
      </x:c>
      <x:c r="I78" s="31" t="n">
        <x:v>88.6055899942</x:v>
      </x:c>
      <x:c r="J78" s="31" t="n">
        <x:v>88.5910894932</x:v>
      </x:c>
      <x:c r="K78" s="31" t="n">
        <x:v>0.014500501</x:v>
      </x:c>
      <x:c r="L78" s="31" t="n">
        <x:v>85.31905407880001</x:v>
      </x:c>
      <x:c r="M78" s="31" t="n">
        <x:v>3.2865359154</x:v>
      </x:c>
      <x:c r="N78" s="24" t="str">
        <x:v>solea solea</x:v>
      </x:c>
      <x:c r="O78" s="32" t="n">
        <x:v>3.21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Solea solea</x:v>
      </x:c>
      <x:c r="T78" s="32" t="n">
        <x:f>IF(O78="","",(1/'Metadata'!$B$5)^(O78-1))</x:f>
        <x:v>162.18100973589299</x:v>
      </x:c>
      <x:c r="U78" s="31" t="n">
        <x:f>IF(T78="","",I78*T78)</x:f>
        <x:v>14370.144053503893</x:v>
      </x:c>
    </x:row>
    <x:row r="79" ht="18" customHeight="1">
      <x:c r="A79" s="24" t="str">
        <x:v>EEZ_963</x:v>
      </x:c>
      <x:c r="B79" s="24" t="str">
        <x:v>Spain (Northwest)</x:v>
      </x:c>
      <x:c r="C79" s="24" t="str">
        <x:v>EEZ</x:v>
      </x:c>
      <x:c r="D79" s="30" t="n">
        <x:v>2019</x:v>
      </x:c>
      <x:c r="E79" s="24" t="str">
        <x:v>Miscellaneous marine crustaceans</x:v>
      </x:c>
      <x:c r="F79" s="24" t="str">
        <x:v>Marine crabs, shrimps, lobsters nei</x:v>
      </x:c>
      <x:c r="G79" s="24" t="str">
        <x:v>Shrimps</x:v>
      </x:c>
      <x:c r="H79" s="24" t="str">
        <x:v>Crustaceans</x:v>
      </x:c>
      <x:c r="I79" s="31" t="n">
        <x:v>81.5840359288</x:v>
      </x:c>
      <x:c r="J79" s="31" t="n">
        <x:v>6.8965792056</x:v>
      </x:c>
      <x:c r="K79" s="31" t="n">
        <x:v>74.6874567232</x:v>
      </x:c>
      <x:c r="L79" s="31" t="n">
        <x:v>4.8098635687</x:v>
      </x:c>
      <x:c r="M79" s="31" t="n">
        <x:v>76.7741723601</x:v>
      </x:c>
      <x:c r="N79" s="24" t="str">
        <x:v>miscellaneous marine crustaceans</x:v>
      </x:c>
      <x:c r="O79" s="32" t="n">
        <x:v>2.7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Miscellaneous marine crustaceans</x:v>
      </x:c>
      <x:c r="T79" s="32" t="n">
        <x:f>IF(O79="","",(1/'Metadata'!$B$5)^(O79-1))</x:f>
        <x:v>50.11872336272725</x:v>
      </x:c>
      <x:c r="U79" s="31" t="n">
        <x:f>IF(T79="","",I79*T79)</x:f>
        <x:v>4088.8877275303284</x:v>
      </x:c>
    </x:row>
    <x:row r="80" ht="18" customHeight="1">
      <x:c r="A80" s="24" t="str">
        <x:v>EEZ_963</x:v>
      </x:c>
      <x:c r="B80" s="24" t="str">
        <x:v>Spain (Northwest)</x:v>
      </x:c>
      <x:c r="C80" s="24" t="str">
        <x:v>EEZ</x:v>
      </x:c>
      <x:c r="D80" s="30" t="n">
        <x:v>2019</x:v>
      </x:c>
      <x:c r="E80" s="24" t="str">
        <x:v>Makaira nigricans</x:v>
      </x:c>
      <x:c r="F80" s="24" t="str">
        <x:v>Blue marlin</x:v>
      </x:c>
      <x:c r="G80" s="24" t="str">
        <x:v>Large pelagics (&gt;=90 cm)</x:v>
      </x:c>
      <x:c r="H80" s="24" t="str">
        <x:v>Tuna &amp; billfishes</x:v>
      </x:c>
      <x:c r="I80" s="31" t="n">
        <x:v>78.2867097886</x:v>
      </x:c>
      <x:c r="J80" s="31" t="n">
        <x:v>78.2867097886</x:v>
      </x:c>
      <x:c r="K80" s="31" t="n">
        <x:v>0</x:v>
      </x:c>
      <x:c r="L80" s="31" t="n">
        <x:v>78.2867097886</x:v>
      </x:c>
      <x:c r="M80" s="31" t="n">
        <x:v>0</x:v>
      </x:c>
      <x:c r="N80" s="24" t="str">
        <x:v>makaira nigricans</x:v>
      </x:c>
      <x:c r="O80" s="32" t="n">
        <x:v>4.49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Makaira nigricans</x:v>
      </x:c>
      <x:c r="T80" s="32" t="n">
        <x:f>IF(O80="","",(1/'Metadata'!$B$5)^(O80-1))</x:f>
        <x:v>3090.295432513592</x:v>
      </x:c>
      <x:c r="U80" s="31" t="n">
        <x:f>IF(T80="","",I80*T80)</x:f>
        <x:v>241929.0616862277</x:v>
      </x:c>
    </x:row>
    <x:row r="81" ht="18" customHeight="1">
      <x:c r="A81" s="24" t="str">
        <x:v>EEZ_963</x:v>
      </x:c>
      <x:c r="B81" s="24" t="str">
        <x:v>Spain (Northwest)</x:v>
      </x:c>
      <x:c r="C81" s="24" t="str">
        <x:v>EEZ</x:v>
      </x:c>
      <x:c r="D81" s="30" t="n">
        <x:v>2019</x:v>
      </x:c>
      <x:c r="E81" s="24" t="str">
        <x:v>Labrus bergylta</x:v>
      </x:c>
      <x:c r="F81" s="24" t="str">
        <x:v>Ballan wrasse</x:v>
      </x:c>
      <x:c r="G81" s="24" t="str">
        <x:v>Medium reef assoc. fish (30 - 89 cm)</x:v>
      </x:c>
      <x:c r="H81" s="24" t="str">
        <x:v>Perch-likes</x:v>
      </x:c>
      <x:c r="I81" s="31" t="n">
        <x:v>76.97716469999999</x:v>
      </x:c>
      <x:c r="J81" s="31" t="n">
        <x:v>76.97716469999999</x:v>
      </x:c>
      <x:c r="K81" s="31" t="n">
        <x:v>0</x:v>
      </x:c>
      <x:c r="L81" s="31" t="n">
        <x:v>44.43653134</x:v>
      </x:c>
      <x:c r="M81" s="31" t="n">
        <x:v>32.540633359999994</x:v>
      </x:c>
      <x:c r="N81" s="24" t="str">
        <x:v>labrus bergylta</x:v>
      </x:c>
      <x:c r="O81" s="32" t="n">
        <x:v>3.2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Labrus bergylta</x:v>
      </x:c>
      <x:c r="T81" s="32" t="n">
        <x:f>IF(O81="","",(1/'Metadata'!$B$5)^(O81-1))</x:f>
        <x:v>158.48931924611142</x:v>
      </x:c>
      <x:c r="U81" s="31" t="n">
        <x:f>IF(T81="","",I81*T81)</x:f>
        <x:v>12200.058430798797</x:v>
      </x:c>
    </x:row>
    <x:row r="82" ht="18" customHeight="1">
      <x:c r="A82" s="24" t="str">
        <x:v>EEZ_963</x:v>
      </x:c>
      <x:c r="B82" s="24" t="str">
        <x:v>Spain (Northwest)</x:v>
      </x:c>
      <x:c r="C82" s="24" t="str">
        <x:v>EEZ</x:v>
      </x:c>
      <x:c r="D82" s="30" t="n">
        <x:v>2019</x:v>
      </x:c>
      <x:c r="E82" s="24" t="str">
        <x:v>Berycidae</x:v>
      </x:c>
      <x:c r="F82" s="24" t="str">
        <x:v>Alfonsinos, redfishes</x:v>
      </x:c>
      <x:c r="G82" s="24" t="str">
        <x:v>Medium benthopelagics (30 - 89 cm)</x:v>
      </x:c>
      <x:c r="H82" s="24" t="str">
        <x:v>Other fishes &amp; inverts</x:v>
      </x:c>
      <x:c r="I82" s="31" t="n">
        <x:v>72.564972181</x:v>
      </x:c>
      <x:c r="J82" s="31" t="n">
        <x:v>72.564972181</x:v>
      </x:c>
      <x:c r="K82" s="31" t="n">
        <x:v>0</x:v>
      </x:c>
      <x:c r="L82" s="31" t="n">
        <x:v>51.554878571</x:v>
      </x:c>
      <x:c r="M82" s="31" t="n">
        <x:v>21.010093610000002</x:v>
      </x:c>
      <x:c r="N82" s="24" t="str">
        <x:v>berycidae</x:v>
      </x:c>
      <x:c r="O82" s="32" t="n">
        <x:v>3.99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Berycidae</x:v>
      </x:c>
      <x:c r="T82" s="32" t="n">
        <x:f>IF(O82="","",(1/'Metadata'!$B$5)^(O82-1))</x:f>
        <x:v>977.2372209558112</x:v>
      </x:c>
      <x:c r="U82" s="31" t="n">
        <x:f>IF(T82="","",I82*T82)</x:f>
        <x:v>70913.1917528962</x:v>
      </x:c>
    </x:row>
    <x:row r="83" ht="18" customHeight="1">
      <x:c r="A83" s="24" t="str">
        <x:v>EEZ_963</x:v>
      </x:c>
      <x:c r="B83" s="24" t="str">
        <x:v>Spain (Northwest)</x:v>
      </x:c>
      <x:c r="C83" s="24" t="str">
        <x:v>EEZ</x:v>
      </x:c>
      <x:c r="D83" s="30" t="n">
        <x:v>2019</x:v>
      </x:c>
      <x:c r="E83" s="24" t="str">
        <x:v>Clupeidae</x:v>
      </x:c>
      <x:c r="F83" s="24" t="str">
        <x:v>Herrings, sardines, menhadens</x:v>
      </x:c>
      <x:c r="G83" s="24" t="str">
        <x:v>Small pelagics (&lt;30 cm)</x:v>
      </x:c>
      <x:c r="H83" s="24" t="str">
        <x:v>Herring-likes</x:v>
      </x:c>
      <x:c r="I83" s="31" t="n">
        <x:v>70.466336197</x:v>
      </x:c>
      <x:c r="J83" s="31" t="n">
        <x:v>16.418491219</x:v>
      </x:c>
      <x:c r="K83" s="31" t="n">
        <x:v>54.047844978</x:v>
      </x:c>
      <x:c r="L83" s="31" t="n">
        <x:v>16.418491219</x:v>
      </x:c>
      <x:c r="M83" s="31" t="n">
        <x:v>54.047844978</x:v>
      </x:c>
      <x:c r="N83" s="24" t="str">
        <x:v>clupeidae</x:v>
      </x:c>
      <x:c r="O83" s="32" t="n">
        <x:v>3.16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Clupeidae</x:v>
      </x:c>
      <x:c r="T83" s="32" t="n">
        <x:f>IF(O83="","",(1/'Metadata'!$B$5)^(O83-1))</x:f>
        <x:v>144.5439770745928</x:v>
      </x:c>
      <x:c r="U83" s="31" t="n">
        <x:f>IF(T83="","",I83*T83)</x:f>
        <x:v>10185.484483789716</x:v>
      </x:c>
    </x:row>
    <x:row r="84" ht="18" customHeight="1">
      <x:c r="A84" s="24" t="str">
        <x:v>EEZ_963</x:v>
      </x:c>
      <x:c r="B84" s="24" t="str">
        <x:v>Spain (Northwest)</x:v>
      </x:c>
      <x:c r="C84" s="24" t="str">
        <x:v>EEZ</x:v>
      </x:c>
      <x:c r="D84" s="30" t="n">
        <x:v>2019</x:v>
      </x:c>
      <x:c r="E84" s="24" t="str">
        <x:v>Paracentrotus lividus</x:v>
      </x:c>
      <x:c r="F84" s="24" t="str">
        <x:v>Stony sea urchin</x:v>
      </x:c>
      <x:c r="G84" s="24" t="str">
        <x:v>Other demersal invertebrates</x:v>
      </x:c>
      <x:c r="H84" s="24" t="str">
        <x:v>Other fishes &amp; inverts</x:v>
      </x:c>
      <x:c r="I84" s="31" t="n">
        <x:v>69.3955843321</x:v>
      </x:c>
      <x:c r="J84" s="31" t="n">
        <x:v>69.3955843321</x:v>
      </x:c>
      <x:c r="K84" s="31" t="n">
        <x:v>0</x:v>
      </x:c>
      <x:c r="L84" s="31" t="n">
        <x:v>69.3955843321</x:v>
      </x:c>
      <x:c r="M84" s="31" t="n">
        <x:v>0</x:v>
      </x:c>
      <x:c r="N84" s="24" t="str">
        <x:v>paracentrotus lividus</x:v>
      </x:c>
      <x:c r="O84" s="32" t="n">
        <x:v>2.3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Paracentrotus lividus</x:v>
      </x:c>
      <x:c r="T84" s="32" t="n">
        <x:f>IF(O84="","",(1/'Metadata'!$B$5)^(O84-1))</x:f>
        <x:v>19.952623149688787</x:v>
      </x:c>
      <x:c r="U84" s="31" t="n">
        <x:f>IF(T84="","",I84*T84)</x:f>
        <x:v>1384.623942430839</x:v>
      </x:c>
    </x:row>
    <x:row r="85" ht="18" customHeight="1">
      <x:c r="A85" s="24" t="str">
        <x:v>EEZ_963</x:v>
      </x:c>
      <x:c r="B85" s="24" t="str">
        <x:v>Spain (Northwest)</x:v>
      </x:c>
      <x:c r="C85" s="24" t="str">
        <x:v>EEZ</x:v>
      </x:c>
      <x:c r="D85" s="30" t="n">
        <x:v>2019</x:v>
      </x:c>
      <x:c r="E85" s="24" t="str">
        <x:v>Elasmobranchii</x:v>
      </x:c>
      <x:c r="F85" s="24" t="str">
        <x:v>Sharks, rays, skates</x:v>
      </x:c>
      <x:c r="G85" s="24" t="str">
        <x:v>Large sharks (&gt;=90 cm)</x:v>
      </x:c>
      <x:c r="H85" s="24" t="str">
        <x:v>Sharks &amp; rays</x:v>
      </x:c>
      <x:c r="I85" s="31" t="n">
        <x:v>69.2943949945</x:v>
      </x:c>
      <x:c r="J85" s="31" t="n">
        <x:v>0.4613467143</x:v>
      </x:c>
      <x:c r="K85" s="31" t="n">
        <x:v>68.8330482802</x:v>
      </x:c>
      <x:c r="L85" s="31" t="n">
        <x:v>0.4613467143</x:v>
      </x:c>
      <x:c r="M85" s="31" t="n">
        <x:v>68.8330482802</x:v>
      </x:c>
      <x:c r="N85" s="24" t="str">
        <x:v>elasmobranchii</x:v>
      </x:c>
      <x:c r="O85" s="32" t="n">
        <x:v>4.05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Elasmobranchii</x:v>
      </x:c>
      <x:c r="T85" s="32" t="n">
        <x:f>IF(O85="","",(1/'Metadata'!$B$5)^(O85-1))</x:f>
        <x:v>1122.018454301963</x:v>
      </x:c>
      <x:c r="U85" s="31" t="n">
        <x:f>IF(T85="","",I85*T85)</x:f>
        <x:v>77749.58996351856</x:v>
      </x:c>
    </x:row>
    <x:row r="86" ht="18" customHeight="1">
      <x:c r="A86" s="24" t="str">
        <x:v>EEZ_963</x:v>
      </x:c>
      <x:c r="B86" s="24" t="str">
        <x:v>Spain (Northwest)</x:v>
      </x:c>
      <x:c r="C86" s="24" t="str">
        <x:v>EEZ</x:v>
      </x:c>
      <x:c r="D86" s="30" t="n">
        <x:v>2019</x:v>
      </x:c>
      <x:c r="E86" s="24" t="str">
        <x:v>Auxis rochei</x:v>
      </x:c>
      <x:c r="F86" s="24" t="str">
        <x:v>Bullet tuna</x:v>
      </x:c>
      <x:c r="G86" s="24" t="str">
        <x:v>Medium pelagics (30 - 89 cm)</x:v>
      </x:c>
      <x:c r="H86" s="24" t="str">
        <x:v>Tuna &amp; billfishes</x:v>
      </x:c>
      <x:c r="I86" s="31" t="n">
        <x:v>67.8944592921</x:v>
      </x:c>
      <x:c r="J86" s="31" t="n">
        <x:v>67.8944592921</x:v>
      </x:c>
      <x:c r="K86" s="31" t="n">
        <x:v>0</x:v>
      </x:c>
      <x:c r="L86" s="31" t="n">
        <x:v>63.016140949</x:v>
      </x:c>
      <x:c r="M86" s="31" t="n">
        <x:v>4.8783183431</x:v>
      </x:c>
      <x:c r="N86" s="24" t="str">
        <x:v>auxis rochei</x:v>
      </x:c>
      <x:c r="O86" s="32" t="n">
        <x:v>4.13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Auxis rochei</x:v>
      </x:c>
      <x:c r="T86" s="32" t="n">
        <x:f>IF(O86="","",(1/'Metadata'!$B$5)^(O86-1))</x:f>
        <x:v>1348.9628825916532</x:v>
      </x:c>
      <x:c r="U86" s="31" t="n">
        <x:f>IF(T86="","",I86*T86)</x:f>
        <x:v>91587.10551867286</x:v>
      </x:c>
    </x:row>
    <x:row r="87" ht="18" customHeight="1">
      <x:c r="A87" s="24" t="str">
        <x:v>EEZ_963</x:v>
      </x:c>
      <x:c r="B87" s="24" t="str">
        <x:v>Spain (Northwest)</x:v>
      </x:c>
      <x:c r="C87" s="24" t="str">
        <x:v>EEZ</x:v>
      </x:c>
      <x:c r="D87" s="30" t="n">
        <x:v>2019</x:v>
      </x:c>
      <x:c r="E87" s="24" t="str">
        <x:v>Ommastrephidae</x:v>
      </x:c>
      <x:c r="F87" s="24" t="str">
        <x:v>Arrow squids</x:v>
      </x:c>
      <x:c r="G87" s="24" t="str">
        <x:v>Cephalopods</x:v>
      </x:c>
      <x:c r="H87" s="24" t="str">
        <x:v>Other fishes &amp; inverts</x:v>
      </x:c>
      <x:c r="I87" s="31" t="n">
        <x:v>67.5662843903</x:v>
      </x:c>
      <x:c r="J87" s="31" t="n">
        <x:v>67.5662843903</x:v>
      </x:c>
      <x:c r="K87" s="31" t="n">
        <x:v>0</x:v>
      </x:c>
      <x:c r="L87" s="31" t="n">
        <x:v>67.5662843903</x:v>
      </x:c>
      <x:c r="M87" s="31" t="n">
        <x:v>0</x:v>
      </x:c>
      <x:c r="N87" s="24" t="str">
        <x:v>ommastrephidae</x:v>
      </x:c>
      <x:c r="O87" s="32" t="n">
        <x:v>4.09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Ommastrephidae</x:v>
      </x:c>
      <x:c r="T87" s="32" t="n">
        <x:f>IF(O87="","",(1/'Metadata'!$B$5)^(O87-1))</x:f>
        <x:v>1230.268770812381</x:v>
      </x:c>
      <x:c r="U87" s="31" t="n">
        <x:f>IF(T87="","",I87*T87)</x:f>
        <x:v>83124.68964521415</x:v>
      </x:c>
    </x:row>
    <x:row r="88" ht="18" customHeight="1">
      <x:c r="A88" s="24" t="str">
        <x:v>EEZ_963</x:v>
      </x:c>
      <x:c r="B88" s="24" t="str">
        <x:v>Spain (Northwest)</x:v>
      </x:c>
      <x:c r="C88" s="24" t="str">
        <x:v>EEZ</x:v>
      </x:c>
      <x:c r="D88" s="30" t="n">
        <x:v>2019</x:v>
      </x:c>
      <x:c r="E88" s="24" t="str">
        <x:v>Magallana gigas</x:v>
      </x:c>
      <x:c r="F88" s="24" t="str">
        <x:v>Pacific cupped oyster</x:v>
      </x:c>
      <x:c r="G88" s="24" t="str">
        <x:v>Other demersal invertebrates</x:v>
      </x:c>
      <x:c r="H88" s="24" t="str">
        <x:v>Molluscs</x:v>
      </x:c>
      <x:c r="I88" s="31" t="n">
        <x:v>65.6468454689</x:v>
      </x:c>
      <x:c r="J88" s="31" t="n">
        <x:v>65.6468454689</x:v>
      </x:c>
      <x:c r="K88" s="31" t="n">
        <x:v>0</x:v>
      </x:c>
      <x:c r="L88" s="31" t="n">
        <x:v>26.355531244999998</x:v>
      </x:c>
      <x:c r="M88" s="31" t="n">
        <x:v>39.291314223899995</x:v>
      </x:c>
      <x:c r="N88" s="24" t="str">
        <x:v>magallana gigas</x:v>
      </x:c>
      <x:c r="O88" s="32" t="n">
        <x:v>2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Magallana gigas</x:v>
      </x:c>
      <x:c r="T88" s="32" t="n">
        <x:f>IF(O88="","",(1/'Metadata'!$B$5)^(O88-1))</x:f>
        <x:v>10</x:v>
      </x:c>
      <x:c r="U88" s="31" t="n">
        <x:f>IF(T88="","",I88*T88)</x:f>
        <x:v>656.4684546889999</x:v>
      </x:c>
    </x:row>
    <x:row r="89" ht="18" customHeight="1">
      <x:c r="A89" s="24" t="str">
        <x:v>EEZ_963</x:v>
      </x:c>
      <x:c r="B89" s="24" t="str">
        <x:v>Spain (Northwest)</x:v>
      </x:c>
      <x:c r="C89" s="24" t="str">
        <x:v>EEZ</x:v>
      </x:c>
      <x:c r="D89" s="30" t="n">
        <x:v>2019</x:v>
      </x:c>
      <x:c r="E89" s="24" t="str">
        <x:v>Melanogrammus aeglefinus</x:v>
      </x:c>
      <x:c r="F89" s="24" t="str">
        <x:v>Haddock</x:v>
      </x:c>
      <x:c r="G89" s="24" t="str">
        <x:v>Medium demersals (30 - 89 cm)</x:v>
      </x:c>
      <x:c r="H89" s="24" t="str">
        <x:v>Cod-likes</x:v>
      </x:c>
      <x:c r="I89" s="31" t="n">
        <x:v>65.50041685000001</x:v>
      </x:c>
      <x:c r="J89" s="31" t="n">
        <x:v>65.50041685000001</x:v>
      </x:c>
      <x:c r="K89" s="31" t="n">
        <x:v>0</x:v>
      </x:c>
      <x:c r="L89" s="31" t="n">
        <x:v>65.50041685000001</x:v>
      </x:c>
      <x:c r="M89" s="31" t="n">
        <x:v>0</x:v>
      </x:c>
      <x:c r="N89" s="24" t="str">
        <x:v>melanogrammus aeglefinus</x:v>
      </x:c>
      <x:c r="O89" s="32" t="n">
        <x:v>4.03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Melanogrammus aeglefinus</x:v>
      </x:c>
      <x:c r="T89" s="32" t="n">
        <x:f>IF(O89="","",(1/'Metadata'!$B$5)^(O89-1))</x:f>
        <x:v>1071.519305237607</x:v>
      </x:c>
      <x:c r="U89" s="31" t="n">
        <x:f>IF(T89="","",I89*T89)</x:f>
        <x:v>70184.96115588566</x:v>
      </x:c>
    </x:row>
    <x:row r="90" ht="18" customHeight="1">
      <x:c r="A90" s="24" t="str">
        <x:v>EEZ_963</x:v>
      </x:c>
      <x:c r="B90" s="24" t="str">
        <x:v>Spain (Northwest)</x:v>
      </x:c>
      <x:c r="C90" s="24" t="str">
        <x:v>EEZ</x:v>
      </x:c>
      <x:c r="D90" s="30" t="n">
        <x:v>2019</x:v>
      </x:c>
      <x:c r="E90" s="24" t="str">
        <x:v>Isurus oxyrinchus</x:v>
      </x:c>
      <x:c r="F90" s="24" t="str">
        <x:v>Shortfin mako</x:v>
      </x:c>
      <x:c r="G90" s="24" t="str">
        <x:v>Large sharks (&gt;=90 cm)</x:v>
      </x:c>
      <x:c r="H90" s="24" t="str">
        <x:v>Sharks &amp; rays</x:v>
      </x:c>
      <x:c r="I90" s="31" t="n">
        <x:v>61.3452819171</x:v>
      </x:c>
      <x:c r="J90" s="31" t="n">
        <x:v>61.3452819171</x:v>
      </x:c>
      <x:c r="K90" s="31" t="n">
        <x:v>0</x:v>
      </x:c>
      <x:c r="L90" s="31" t="n">
        <x:v>61.3452819171</x:v>
      </x:c>
      <x:c r="M90" s="31" t="n">
        <x:v>0</x:v>
      </x:c>
      <x:c r="N90" s="24" t="str">
        <x:v>isurus oxyrinchus</x:v>
      </x:c>
      <x:c r="O90" s="32" t="n">
        <x:v>4.5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Isurus oxyrinchus</x:v>
      </x:c>
      <x:c r="T90" s="32" t="n">
        <x:f>IF(O90="","",(1/'Metadata'!$B$5)^(O90-1))</x:f>
        <x:v>3162.2776601683795</x:v>
      </x:c>
      <x:c r="U90" s="31" t="n">
        <x:f>IF(T90="","",I90*T90)</x:f>
        <x:v>193990.8145631766</x:v>
      </x:c>
    </x:row>
    <x:row r="91" ht="18" customHeight="1">
      <x:c r="A91" s="24" t="str">
        <x:v>EEZ_963</x:v>
      </x:c>
      <x:c r="B91" s="24" t="str">
        <x:v>Spain (Northwest)</x:v>
      </x:c>
      <x:c r="C91" s="24" t="str">
        <x:v>EEZ</x:v>
      </x:c>
      <x:c r="D91" s="30" t="n">
        <x:v>2019</x:v>
      </x:c>
      <x:c r="E91" s="24" t="str">
        <x:v>Nephrops norvegicus</x:v>
      </x:c>
      <x:c r="F91" s="24" t="str">
        <x:v>Norway lobster</x:v>
      </x:c>
      <x:c r="G91" s="24" t="str">
        <x:v>Lobsters, crabs</x:v>
      </x:c>
      <x:c r="H91" s="24" t="str">
        <x:v>Crustaceans</x:v>
      </x:c>
      <x:c r="I91" s="31" t="n">
        <x:v>59.3493981224</x:v>
      </x:c>
      <x:c r="J91" s="31" t="n">
        <x:v>59.3493981224</x:v>
      </x:c>
      <x:c r="K91" s="31" t="n">
        <x:v>0</x:v>
      </x:c>
      <x:c r="L91" s="31" t="n">
        <x:v>59.1287150203</x:v>
      </x:c>
      <x:c r="M91" s="31" t="n">
        <x:v>0.2206831021</x:v>
      </x:c>
      <x:c r="N91" s="24" t="str">
        <x:v>nephrops norvegicus</x:v>
      </x:c>
      <x:c r="O91" s="32" t="n">
        <x:v>2.87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Nephrops norvegicus</x:v>
      </x:c>
      <x:c r="T91" s="32" t="n">
        <x:f>IF(O91="","",(1/'Metadata'!$B$5)^(O91-1))</x:f>
        <x:v>74.13102413009177</x:v>
      </x:c>
      <x:c r="U91" s="31" t="n">
        <x:f>IF(T91="","",I91*T91)</x:f>
        <x:v>4399.631664318057</x:v>
      </x:c>
    </x:row>
    <x:row r="92" ht="18" customHeight="1">
      <x:c r="A92" s="24" t="str">
        <x:v>EEZ_963</x:v>
      </x:c>
      <x:c r="B92" s="24" t="str">
        <x:v>Spain (Northwest)</x:v>
      </x:c>
      <x:c r="C92" s="24" t="str">
        <x:v>EEZ</x:v>
      </x:c>
      <x:c r="D92" s="30" t="n">
        <x:v>2019</x:v>
      </x:c>
      <x:c r="E92" s="24" t="str">
        <x:v>Dipturus oxyrinchus</x:v>
      </x:c>
      <x:c r="F92" s="24" t="str">
        <x:v>Longnosed skate</x:v>
      </x:c>
      <x:c r="G92" s="24" t="str">
        <x:v>Large rays (&gt;=90 cm)</x:v>
      </x:c>
      <x:c r="H92" s="24" t="str">
        <x:v>Sharks &amp; rays</x:v>
      </x:c>
      <x:c r="I92" s="31" t="n">
        <x:v>56.579037321899996</x:v>
      </x:c>
      <x:c r="J92" s="31" t="n">
        <x:v>56.579037321899996</x:v>
      </x:c>
      <x:c r="K92" s="31" t="n">
        <x:v>0</x:v>
      </x:c>
      <x:c r="L92" s="31" t="n">
        <x:v>55.20974125</x:v>
      </x:c>
      <x:c r="M92" s="31" t="n">
        <x:v>1.3692960719</x:v>
      </x:c>
      <x:c r="N92" s="24" t="str">
        <x:v>dipturus oxyrinchus</x:v>
      </x:c>
      <x:c r="O92" s="32" t="n">
        <x:v>3.5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Dipturus oxyrinchus</x:v>
      </x:c>
      <x:c r="T92" s="32" t="n">
        <x:f>IF(O92="","",(1/'Metadata'!$B$5)^(O92-1))</x:f>
        <x:v>316.22776601683796</x:v>
      </x:c>
      <x:c r="U92" s="31" t="n">
        <x:f>IF(T92="","",I92*T92)</x:f>
        <x:v>17891.862575687734</x:v>
      </x:c>
    </x:row>
    <x:row r="93" ht="18" customHeight="1">
      <x:c r="A93" s="24" t="str">
        <x:v>EEZ_963</x:v>
      </x:c>
      <x:c r="B93" s="24" t="str">
        <x:v>Spain (Northwest)</x:v>
      </x:c>
      <x:c r="C93" s="24" t="str">
        <x:v>EEZ</x:v>
      </x:c>
      <x:c r="D93" s="30" t="n">
        <x:v>2019</x:v>
      </x:c>
      <x:c r="E93" s="24" t="str">
        <x:v>Atherinidae</x:v>
      </x:c>
      <x:c r="F93" s="24" t="str">
        <x:v>Silversides</x:v>
      </x:c>
      <x:c r="G93" s="24" t="str">
        <x:v>Small pelagics (&lt;30 cm)</x:v>
      </x:c>
      <x:c r="H93" s="24" t="str">
        <x:v>Other fishes &amp; inverts</x:v>
      </x:c>
      <x:c r="I93" s="31" t="n">
        <x:v>51.5180480977</x:v>
      </x:c>
      <x:c r="J93" s="31" t="n">
        <x:v>51.5180480977</x:v>
      </x:c>
      <x:c r="K93" s="31" t="n">
        <x:v>0</x:v>
      </x:c>
      <x:c r="L93" s="31" t="n">
        <x:v>50.0537157966</x:v>
      </x:c>
      <x:c r="M93" s="31" t="n">
        <x:v>1.4643323011</x:v>
      </x:c>
      <x:c r="N93" s="24" t="str">
        <x:v>atherinidae</x:v>
      </x:c>
      <x:c r="O93" s="32" t="n">
        <x:v>3.2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Atherinidae</x:v>
      </x:c>
      <x:c r="T93" s="32" t="n">
        <x:f>IF(O93="","",(1/'Metadata'!$B$5)^(O93-1))</x:f>
        <x:v>158.48931924611142</x:v>
      </x:c>
      <x:c r="U93" s="31" t="n">
        <x:f>IF(T93="","",I93*T93)</x:f>
        <x:v>8165.060371892899</x:v>
      </x:c>
    </x:row>
    <x:row r="94" ht="18" customHeight="1">
      <x:c r="A94" s="24" t="str">
        <x:v>EEZ_963</x:v>
      </x:c>
      <x:c r="B94" s="24" t="str">
        <x:v>Spain (Northwest)</x:v>
      </x:c>
      <x:c r="C94" s="24" t="str">
        <x:v>EEZ</x:v>
      </x:c>
      <x:c r="D94" s="30" t="n">
        <x:v>2019</x:v>
      </x:c>
      <x:c r="E94" s="24" t="str">
        <x:v>Carcharhinidae</x:v>
      </x:c>
      <x:c r="F94" s="24" t="str">
        <x:v>Requiem sharks</x:v>
      </x:c>
      <x:c r="G94" s="24" t="str">
        <x:v>Large sharks (&gt;=90 cm)</x:v>
      </x:c>
      <x:c r="H94" s="24" t="str">
        <x:v>Sharks &amp; rays</x:v>
      </x:c>
      <x:c r="I94" s="31" t="n">
        <x:v>50.56916946489999</x:v>
      </x:c>
      <x:c r="J94" s="31" t="n">
        <x:v>50.56916946489999</x:v>
      </x:c>
      <x:c r="K94" s="31" t="n">
        <x:v>0</x:v>
      </x:c>
      <x:c r="L94" s="31" t="n">
        <x:v>41.468718593</x:v>
      </x:c>
      <x:c r="M94" s="31" t="n">
        <x:v>9.1004508719</x:v>
      </x:c>
      <x:c r="N94" s="24" t="str">
        <x:v>carcharhinidae</x:v>
      </x:c>
      <x:c r="O94" s="32" t="n">
        <x:v>4.24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Carcharhinidae</x:v>
      </x:c>
      <x:c r="T94" s="32" t="n">
        <x:f>IF(O94="","",(1/'Metadata'!$B$5)^(O94-1))</x:f>
        <x:v>1737.8008287493763</x:v>
      </x:c>
      <x:c r="U94" s="31" t="n">
        <x:f>IF(T94="","",I94*T94)</x:f>
        <x:v>87879.14460527086</x:v>
      </x:c>
    </x:row>
    <x:row r="95" ht="18" customHeight="1">
      <x:c r="A95" s="24" t="str">
        <x:v>EEZ_963</x:v>
      </x:c>
      <x:c r="B95" s="24" t="str">
        <x:v>Spain (Northwest)</x:v>
      </x:c>
      <x:c r="C95" s="24" t="str">
        <x:v>EEZ</x:v>
      </x:c>
      <x:c r="D95" s="30" t="n">
        <x:v>2019</x:v>
      </x:c>
      <x:c r="E95" s="24" t="str">
        <x:v>Scorpaena scrofa</x:v>
      </x:c>
      <x:c r="F95" s="24" t="str">
        <x:v>Red scorpionfish</x:v>
      </x:c>
      <x:c r="G95" s="24" t="str">
        <x:v>Medium demersals (30 - 89 cm)</x:v>
      </x:c>
      <x:c r="H95" s="24" t="str">
        <x:v>Scorpionfishes</x:v>
      </x:c>
      <x:c r="I95" s="31" t="n">
        <x:v>49.1611385201</x:v>
      </x:c>
      <x:c r="J95" s="31" t="n">
        <x:v>49.1611385201</x:v>
      </x:c>
      <x:c r="K95" s="31" t="n">
        <x:v>0</x:v>
      </x:c>
      <x:c r="L95" s="31" t="n">
        <x:v>37.5306841501</x:v>
      </x:c>
      <x:c r="M95" s="31" t="n">
        <x:v>11.63045437</x:v>
      </x:c>
      <x:c r="N95" s="24" t="str">
        <x:v>scorpaena scrofa</x:v>
      </x:c>
      <x:c r="O95" s="32" t="n">
        <x:v>4.25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Scorpaena scrofa</x:v>
      </x:c>
      <x:c r="T95" s="32" t="n">
        <x:f>IF(O95="","",(1/'Metadata'!$B$5)^(O95-1))</x:f>
        <x:v>1778.2794100389228</x:v>
      </x:c>
      <x:c r="U95" s="31" t="n">
        <x:f>IF(T95="","",I95*T95)</x:f>
        <x:v>87422.24040436519</x:v>
      </x:c>
    </x:row>
    <x:row r="96" ht="18" customHeight="1">
      <x:c r="A96" s="24" t="str">
        <x:v>EEZ_963</x:v>
      </x:c>
      <x:c r="B96" s="24" t="str">
        <x:v>Spain (Northwest)</x:v>
      </x:c>
      <x:c r="C96" s="24" t="str">
        <x:v>EEZ</x:v>
      </x:c>
      <x:c r="D96" s="30" t="n">
        <x:v>2019</x:v>
      </x:c>
      <x:c r="E96" s="24" t="str">
        <x:v>Illex coindetii</x:v>
      </x:c>
      <x:c r="F96" s="24" t="str">
        <x:v>Broadtail shortfin squid</x:v>
      </x:c>
      <x:c r="G96" s="24" t="str">
        <x:v>Cephalopods</x:v>
      </x:c>
      <x:c r="H96" s="24" t="str">
        <x:v>Other fishes &amp; inverts</x:v>
      </x:c>
      <x:c r="I96" s="31" t="n">
        <x:v>48.510301228</x:v>
      </x:c>
      <x:c r="J96" s="31" t="n">
        <x:v>48.510301228</x:v>
      </x:c>
      <x:c r="K96" s="31" t="n">
        <x:v>0</x:v>
      </x:c>
      <x:c r="L96" s="31" t="n">
        <x:v>38.217510044</x:v>
      </x:c>
      <x:c r="M96" s="31" t="n">
        <x:v>10.292791184</x:v>
      </x:c>
      <x:c r="N96" s="24" t="str">
        <x:v>illex coindetii</x:v>
      </x:c>
      <x:c r="O96" s="32" t="n">
        <x:v>4.11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Illex coindetii</x:v>
      </x:c>
      <x:c r="T96" s="32" t="n">
        <x:f>IF(O96="","",(1/'Metadata'!$B$5)^(O96-1))</x:f>
        <x:v>1288.249551693135</x:v>
      </x:c>
      <x:c r="U96" s="31" t="n">
        <x:f>IF(T96="","",I96*T96)</x:f>
        <x:v>62493.37380946994</x:v>
      </x:c>
    </x:row>
    <x:row r="97" ht="18" customHeight="1">
      <x:c r="A97" s="24" t="str">
        <x:v>EEZ_963</x:v>
      </x:c>
      <x:c r="B97" s="24" t="str">
        <x:v>Spain (Northwest)</x:v>
      </x:c>
      <x:c r="C97" s="24" t="str">
        <x:v>EEZ</x:v>
      </x:c>
      <x:c r="D97" s="30" t="n">
        <x:v>2019</x:v>
      </x:c>
      <x:c r="E97" s="24" t="str">
        <x:v>Lophius budegassa</x:v>
      </x:c>
      <x:c r="F97" s="24" t="str">
        <x:v>Blackbellied angler</x:v>
      </x:c>
      <x:c r="G97" s="24" t="str">
        <x:v>Large bathydemersals (&gt;=90 cm)</x:v>
      </x:c>
      <x:c r="H97" s="24" t="str">
        <x:v>Other fishes &amp; inverts</x:v>
      </x:c>
      <x:c r="I97" s="31" t="n">
        <x:v>47.9486019188</x:v>
      </x:c>
      <x:c r="J97" s="31" t="n">
        <x:v>47.9486019188</x:v>
      </x:c>
      <x:c r="K97" s="31" t="n">
        <x:v>0</x:v>
      </x:c>
      <x:c r="L97" s="31" t="n">
        <x:v>19.8173778589</x:v>
      </x:c>
      <x:c r="M97" s="31" t="n">
        <x:v>28.1312240599</x:v>
      </x:c>
      <x:c r="N97" s="24" t="str">
        <x:v>lophius budegassa</x:v>
      </x:c>
      <x:c r="O97" s="32" t="n">
        <x:v>4.41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Lophius budegassa</x:v>
      </x:c>
      <x:c r="T97" s="32" t="n">
        <x:f>IF(O97="","",(1/'Metadata'!$B$5)^(O97-1))</x:f>
        <x:v>2570.3957827688646</x:v>
      </x:c>
      <x:c r="U97" s="31" t="n">
        <x:f>IF(T97="","",I97*T97)</x:f>
        <x:v>123246.88416174661</x:v>
      </x:c>
    </x:row>
    <x:row r="98" ht="18" customHeight="1">
      <x:c r="A98" s="24" t="str">
        <x:v>EEZ_963</x:v>
      </x:c>
      <x:c r="B98" s="24" t="str">
        <x:v>Spain (Northwest)</x:v>
      </x:c>
      <x:c r="C98" s="24" t="str">
        <x:v>EEZ</x:v>
      </x:c>
      <x:c r="D98" s="30" t="n">
        <x:v>2019</x:v>
      </x:c>
      <x:c r="E98" s="24" t="str">
        <x:v>Pagellus erythrinus</x:v>
      </x:c>
      <x:c r="F98" s="24" t="str">
        <x:v>Common pandora</x:v>
      </x:c>
      <x:c r="G98" s="24" t="str">
        <x:v>Medium benthopelagics (30 - 89 cm)</x:v>
      </x:c>
      <x:c r="H98" s="24" t="str">
        <x:v>Perch-likes</x:v>
      </x:c>
      <x:c r="I98" s="31" t="n">
        <x:v>47.0916360374</x:v>
      </x:c>
      <x:c r="J98" s="31" t="n">
        <x:v>47.0916360374</x:v>
      </x:c>
      <x:c r="K98" s="31" t="n">
        <x:v>0</x:v>
      </x:c>
      <x:c r="L98" s="31" t="n">
        <x:v>46.8840214095</x:v>
      </x:c>
      <x:c r="M98" s="31" t="n">
        <x:v>0.20761462790000001</x:v>
      </x:c>
      <x:c r="N98" s="24" t="str">
        <x:v>pagellus erythrinus</x:v>
      </x:c>
      <x:c r="O98" s="32" t="n">
        <x:v>3.48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Pagellus erythrinus</x:v>
      </x:c>
      <x:c r="T98" s="32" t="n">
        <x:f>IF(O98="","",(1/'Metadata'!$B$5)^(O98-1))</x:f>
        <x:v>301.9951720402016</x:v>
      </x:c>
      <x:c r="U98" s="31" t="n">
        <x:f>IF(T98="","",I98*T98)</x:f>
        <x:v>14221.446726769173</x:v>
      </x:c>
    </x:row>
    <x:row r="99" ht="18" customHeight="1">
      <x:c r="A99" s="24" t="str">
        <x:v>EEZ_963</x:v>
      </x:c>
      <x:c r="B99" s="24" t="str">
        <x:v>Spain (Northwest)</x:v>
      </x:c>
      <x:c r="C99" s="24" t="str">
        <x:v>EEZ</x:v>
      </x:c>
      <x:c r="D99" s="30" t="n">
        <x:v>2019</x:v>
      </x:c>
      <x:c r="E99" s="24" t="str">
        <x:v>Mullus</x:v>
      </x:c>
      <x:c r="F99" s="24" t="str">
        <x:v>Atlantic goatfishes</x:v>
      </x:c>
      <x:c r="G99" s="24" t="str">
        <x:v>Medium demersals (30 - 89 cm)</x:v>
      </x:c>
      <x:c r="H99" s="24" t="str">
        <x:v>Perch-likes</x:v>
      </x:c>
      <x:c r="I99" s="31" t="n">
        <x:v>46.540279621299995</x:v>
      </x:c>
      <x:c r="J99" s="31" t="n">
        <x:v>46.540279621299995</x:v>
      </x:c>
      <x:c r="K99" s="31" t="n">
        <x:v>0</x:v>
      </x:c>
      <x:c r="L99" s="31" t="n">
        <x:v>46.540279621299995</x:v>
      </x:c>
      <x:c r="M99" s="31" t="n">
        <x:v>0</x:v>
      </x:c>
      <x:c r="N99" s="24" t="str">
        <x:v>mullus</x:v>
      </x:c>
      <x:c r="O99" s="32" t="n">
        <x:v>3.29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Mullus</x:v>
      </x:c>
      <x:c r="T99" s="32" t="n">
        <x:f>IF(O99="","",(1/'Metadata'!$B$5)^(O99-1))</x:f>
        <x:v>194.98445997580455</x:v>
      </x:c>
      <x:c r="U99" s="31" t="n">
        <x:f>IF(T99="","",I99*T99)</x:f>
        <x:v>9074.631289082121</x:v>
      </x:c>
    </x:row>
    <x:row r="100" ht="18" customHeight="1">
      <x:c r="A100" s="24" t="str">
        <x:v>EEZ_963</x:v>
      </x:c>
      <x:c r="B100" s="24" t="str">
        <x:v>Spain (Northwest)</x:v>
      </x:c>
      <x:c r="C100" s="24" t="str">
        <x:v>EEZ</x:v>
      </x:c>
      <x:c r="D100" s="30" t="n">
        <x:v>2019</x:v>
      </x:c>
      <x:c r="E100" s="24" t="str">
        <x:v>Belone belone</x:v>
      </x:c>
      <x:c r="F100" s="24" t="str">
        <x:v>Garfish</x:v>
      </x:c>
      <x:c r="G100" s="24" t="str">
        <x:v>Medium pelagics (30 - 89 cm)</x:v>
      </x:c>
      <x:c r="H100" s="24" t="str">
        <x:v>Other fishes &amp; inverts</x:v>
      </x:c>
      <x:c r="I100" s="31" t="n">
        <x:v>45.8130589151</x:v>
      </x:c>
      <x:c r="J100" s="31" t="n">
        <x:v>45.8130589151</x:v>
      </x:c>
      <x:c r="K100" s="31" t="n">
        <x:v>0</x:v>
      </x:c>
      <x:c r="L100" s="31" t="n">
        <x:v>40.1220485061</x:v>
      </x:c>
      <x:c r="M100" s="31" t="n">
        <x:v>5.6910104089999995</x:v>
      </x:c>
      <x:c r="N100" s="24" t="str">
        <x:v>belone belone</x:v>
      </x:c>
      <x:c r="O100" s="32" t="n">
        <x:v>4.16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Belone belone</x:v>
      </x:c>
      <x:c r="T100" s="32" t="n">
        <x:f>IF(O100="","",(1/'Metadata'!$B$5)^(O100-1))</x:f>
        <x:v>1445.439770745928</x:v>
      </x:c>
      <x:c r="U100" s="31" t="n">
        <x:f>IF(T100="","",I100*T100)</x:f>
        <x:v>66220.01737541183</x:v>
      </x:c>
    </x:row>
    <x:row r="101" ht="18" customHeight="1">
      <x:c r="A101" s="24" t="str">
        <x:v>EEZ_963</x:v>
      </x:c>
      <x:c r="B101" s="24" t="str">
        <x:v>Spain (Northwest)</x:v>
      </x:c>
      <x:c r="C101" s="24" t="str">
        <x:v>EEZ</x:v>
      </x:c>
      <x:c r="D101" s="30" t="n">
        <x:v>2019</x:v>
      </x:c>
      <x:c r="E101" s="24" t="str">
        <x:v>Phycis phycis</x:v>
      </x:c>
      <x:c r="F101" s="24" t="str">
        <x:v>Forkbeard</x:v>
      </x:c>
      <x:c r="G101" s="24" t="str">
        <x:v>Medium benthopelagics (30 - 89 cm)</x:v>
      </x:c>
      <x:c r="H101" s="24" t="str">
        <x:v>Cod-likes</x:v>
      </x:c>
      <x:c r="I101" s="31" t="n">
        <x:v>39.28622825</x:v>
      </x:c>
      <x:c r="J101" s="31" t="n">
        <x:v>39.28622825</x:v>
      </x:c>
      <x:c r="K101" s="31" t="n">
        <x:v>0</x:v>
      </x:c>
      <x:c r="L101" s="31" t="n">
        <x:v>39.28622825</x:v>
      </x:c>
      <x:c r="M101" s="31" t="n">
        <x:v>0</x:v>
      </x:c>
      <x:c r="N101" s="24" t="str">
        <x:v>phycis phycis</x:v>
      </x:c>
      <x:c r="O101" s="32" t="n">
        <x:v>4.25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Phycis phycis</x:v>
      </x:c>
      <x:c r="T101" s="32" t="n">
        <x:f>IF(O101="","",(1/'Metadata'!$B$5)^(O101-1))</x:f>
        <x:v>1778.2794100389228</x:v>
      </x:c>
      <x:c r="U101" s="31" t="n">
        <x:f>IF(T101="","",I101*T101)</x:f>
        <x:v>69861.89079506446</x:v>
      </x:c>
    </x:row>
    <x:row r="102" ht="18" customHeight="1">
      <x:c r="A102" s="24" t="str">
        <x:v>EEZ_963</x:v>
      </x:c>
      <x:c r="B102" s="24" t="str">
        <x:v>Spain (Northwest)</x:v>
      </x:c>
      <x:c r="C102" s="24" t="str">
        <x:v>EEZ</x:v>
      </x:c>
      <x:c r="D102" s="30" t="n">
        <x:v>2019</x:v>
      </x:c>
      <x:c r="E102" s="24" t="str">
        <x:v>Auxis</x:v>
      </x:c>
      <x:c r="F102" s="24" t="str">
        <x:v>Bullet and frigate tunas</x:v>
      </x:c>
      <x:c r="G102" s="24" t="str">
        <x:v>Medium pelagics (30 - 89 cm)</x:v>
      </x:c>
      <x:c r="H102" s="24" t="str">
        <x:v>Tuna &amp; billfishes</x:v>
      </x:c>
      <x:c r="I102" s="31" t="n">
        <x:v>38.7657200399</x:v>
      </x:c>
      <x:c r="J102" s="31" t="n">
        <x:v>38.7657200399</x:v>
      </x:c>
      <x:c r="K102" s="31" t="n">
        <x:v>0</x:v>
      </x:c>
      <x:c r="L102" s="31" t="n">
        <x:v>31.945560363000002</x:v>
      </x:c>
      <x:c r="M102" s="31" t="n">
        <x:v>6.8201596769</x:v>
      </x:c>
      <x:c r="N102" s="24" t="str">
        <x:v>auxis</x:v>
      </x:c>
      <x:c r="O102" s="32" t="n">
        <x:v>4.24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Auxis</x:v>
      </x:c>
      <x:c r="T102" s="32" t="n">
        <x:f>IF(O102="","",(1/'Metadata'!$B$5)^(O102-1))</x:f>
        <x:v>1737.8008287493763</x:v>
      </x:c>
      <x:c r="U102" s="31" t="n">
        <x:f>IF(T102="","",I102*T102)</x:f>
        <x:v>67367.10041240453</x:v>
      </x:c>
    </x:row>
    <x:row r="103" ht="18" customHeight="1">
      <x:c r="A103" s="24" t="str">
        <x:v>EEZ_963</x:v>
      </x:c>
      <x:c r="B103" s="24" t="str">
        <x:v>Spain (Northwest)</x:v>
      </x:c>
      <x:c r="C103" s="24" t="str">
        <x:v>EEZ</x:v>
      </x:c>
      <x:c r="D103" s="30" t="n">
        <x:v>2019</x:v>
      </x:c>
      <x:c r="E103" s="24" t="str">
        <x:v>Trachinus draco</x:v>
      </x:c>
      <x:c r="F103" s="24" t="str">
        <x:v>Greater weever</x:v>
      </x:c>
      <x:c r="G103" s="24" t="str">
        <x:v>Medium demersals (30 - 89 cm)</x:v>
      </x:c>
      <x:c r="H103" s="24" t="str">
        <x:v>Perch-likes</x:v>
      </x:c>
      <x:c r="I103" s="31" t="n">
        <x:v>38.726915856299996</x:v>
      </x:c>
      <x:c r="J103" s="31" t="n">
        <x:v>38.726915856299996</x:v>
      </x:c>
      <x:c r="K103" s="31" t="n">
        <x:v>0</x:v>
      </x:c>
      <x:c r="L103" s="31" t="n">
        <x:v>26.916347502199997</x:v>
      </x:c>
      <x:c r="M103" s="31" t="n">
        <x:v>11.8105683541</x:v>
      </x:c>
      <x:c r="N103" s="24" t="str">
        <x:v>trachinus draco</x:v>
      </x:c>
      <x:c r="O103" s="32" t="n">
        <x:v>4.18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Trachinus draco</x:v>
      </x:c>
      <x:c r="T103" s="32" t="n">
        <x:f>IF(O103="","",(1/'Metadata'!$B$5)^(O103-1))</x:f>
        <x:v>1513.5612484362073</x:v>
      </x:c>
      <x:c r="U103" s="31" t="n">
        <x:f>IF(T103="","",I103*T103)</x:f>
        <x:v>58615.55911154537</x:v>
      </x:c>
    </x:row>
    <x:row r="104" ht="18" customHeight="1">
      <x:c r="A104" s="24" t="str">
        <x:v>EEZ_963</x:v>
      </x:c>
      <x:c r="B104" s="24" t="str">
        <x:v>Spain (Northwest)</x:v>
      </x:c>
      <x:c r="C104" s="24" t="str">
        <x:v>EEZ</x:v>
      </x:c>
      <x:c r="D104" s="30" t="n">
        <x:v>2019</x:v>
      </x:c>
      <x:c r="E104" s="24" t="str">
        <x:v>Ostrea edulis</x:v>
      </x:c>
      <x:c r="F104" s="24" t="str">
        <x:v>European flat oyster</x:v>
      </x:c>
      <x:c r="G104" s="24" t="str">
        <x:v>Other demersal invertebrates</x:v>
      </x:c>
      <x:c r="H104" s="24" t="str">
        <x:v>Molluscs</x:v>
      </x:c>
      <x:c r="I104" s="31" t="n">
        <x:v>38.6754306019</x:v>
      </x:c>
      <x:c r="J104" s="31" t="n">
        <x:v>38.6754306019</x:v>
      </x:c>
      <x:c r="K104" s="31" t="n">
        <x:v>0</x:v>
      </x:c>
      <x:c r="L104" s="31" t="n">
        <x:v>15.3068492329</x:v>
      </x:c>
      <x:c r="M104" s="31" t="n">
        <x:v>23.368581369</x:v>
      </x:c>
      <x:c r="N104" s="24" t="str">
        <x:v>ostrea edulis</x:v>
      </x:c>
      <x:c r="O104" s="32" t="n">
        <x:v>2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Ostrea edulis</x:v>
      </x:c>
      <x:c r="T104" s="32" t="n">
        <x:f>IF(O104="","",(1/'Metadata'!$B$5)^(O104-1))</x:f>
        <x:v>10</x:v>
      </x:c>
      <x:c r="U104" s="31" t="n">
        <x:f>IF(T104="","",I104*T104)</x:f>
        <x:v>386.75430601899996</x:v>
      </x:c>
    </x:row>
    <x:row r="105" ht="18" customHeight="1">
      <x:c r="A105" s="24" t="str">
        <x:v>EEZ_963</x:v>
      </x:c>
      <x:c r="B105" s="24" t="str">
        <x:v>Spain (Northwest)</x:v>
      </x:c>
      <x:c r="C105" s="24" t="str">
        <x:v>EEZ</x:v>
      </x:c>
      <x:c r="D105" s="30" t="n">
        <x:v>2019</x:v>
      </x:c>
      <x:c r="E105" s="24" t="str">
        <x:v>Trigla</x:v>
      </x:c>
      <x:c r="F105" s="24" t="str">
        <x:v>Piper gurnards</x:v>
      </x:c>
      <x:c r="G105" s="24" t="str">
        <x:v>Medium bathydemersals (30 - 89 cm)</x:v>
      </x:c>
      <x:c r="H105" s="24" t="str">
        <x:v>Scorpionfishes</x:v>
      </x:c>
      <x:c r="I105" s="31" t="n">
        <x:v>35.0419915311</x:v>
      </x:c>
      <x:c r="J105" s="31" t="n">
        <x:v>35.0419915311</x:v>
      </x:c>
      <x:c r="K105" s="31" t="n">
        <x:v>0</x:v>
      </x:c>
      <x:c r="L105" s="31" t="n">
        <x:v>15.293951801</x:v>
      </x:c>
      <x:c r="M105" s="31" t="n">
        <x:v>19.7480397301</x:v>
      </x:c>
      <x:c r="N105" s="24" t="str">
        <x:v>trigla</x:v>
      </x:c>
      <x:c r="O105" s="32" t="n">
        <x:v>3.51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Trigla</x:v>
      </x:c>
      <x:c r="T105" s="32" t="n">
        <x:f>IF(O105="","",(1/'Metadata'!$B$5)^(O105-1))</x:f>
        <x:v>323.5936569296281</x:v>
      </x:c>
      <x:c r="U105" s="31" t="n">
        <x:f>IF(T105="","",I105*T105)</x:f>
        <x:v>11339.366185645707</x:v>
      </x:c>
    </x:row>
    <x:row r="106" ht="18" customHeight="1">
      <x:c r="A106" s="24" t="str">
        <x:v>EEZ_963</x:v>
      </x:c>
      <x:c r="B106" s="24" t="str">
        <x:v>Spain (Northwest)</x:v>
      </x:c>
      <x:c r="C106" s="24" t="str">
        <x:v>EEZ</x:v>
      </x:c>
      <x:c r="D106" s="30" t="n">
        <x:v>2019</x:v>
      </x:c>
      <x:c r="E106" s="24" t="str">
        <x:v>Merlangius merlangus</x:v>
      </x:c>
      <x:c r="F106" s="24" t="str">
        <x:v>Whiting</x:v>
      </x:c>
      <x:c r="G106" s="24" t="str">
        <x:v>Medium benthopelagics (30 - 89 cm)</x:v>
      </x:c>
      <x:c r="H106" s="24" t="str">
        <x:v>Cod-likes</x:v>
      </x:c>
      <x:c r="I106" s="31" t="n">
        <x:v>34.7157222774</x:v>
      </x:c>
      <x:c r="J106" s="31" t="n">
        <x:v>34.7157222774</x:v>
      </x:c>
      <x:c r="K106" s="31" t="n">
        <x:v>0</x:v>
      </x:c>
      <x:c r="L106" s="31" t="n">
        <x:v>34.7157222774</x:v>
      </x:c>
      <x:c r="M106" s="31" t="n">
        <x:v>0</x:v>
      </x:c>
      <x:c r="N106" s="24" t="str">
        <x:v>merlangius merlangus</x:v>
      </x:c>
      <x:c r="O106" s="32" t="n">
        <x:v>4.36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Merlangius merlangus</x:v>
      </x:c>
      <x:c r="T106" s="32" t="n">
        <x:f>IF(O106="","",(1/'Metadata'!$B$5)^(O106-1))</x:f>
        <x:v>2290.867652767775</x:v>
      </x:c>
      <x:c r="U106" s="31" t="n">
        <x:f>IF(T106="","",I106*T106)</x:f>
        <x:v>79529.12520776529</x:v>
      </x:c>
    </x:row>
    <x:row r="107" ht="18" customHeight="1">
      <x:c r="A107" s="24" t="str">
        <x:v>EEZ_963</x:v>
      </x:c>
      <x:c r="B107" s="24" t="str">
        <x:v>Spain (Northwest)</x:v>
      </x:c>
      <x:c r="C107" s="24" t="str">
        <x:v>EEZ</x:v>
      </x:c>
      <x:c r="D107" s="30" t="n">
        <x:v>2019</x:v>
      </x:c>
      <x:c r="E107" s="24" t="str">
        <x:v>Cancer pagurus</x:v>
      </x:c>
      <x:c r="F107" s="24" t="str">
        <x:v>Edible crab</x:v>
      </x:c>
      <x:c r="G107" s="24" t="str">
        <x:v>Lobsters, crabs</x:v>
      </x:c>
      <x:c r="H107" s="24" t="str">
        <x:v>Crustaceans</x:v>
      </x:c>
      <x:c r="I107" s="31" t="n">
        <x:v>34.5047489724</x:v>
      </x:c>
      <x:c r="J107" s="31" t="n">
        <x:v>34.5047489724</x:v>
      </x:c>
      <x:c r="K107" s="31" t="n">
        <x:v>0</x:v>
      </x:c>
      <x:c r="L107" s="31" t="n">
        <x:v>32.6155131204</x:v>
      </x:c>
      <x:c r="M107" s="31" t="n">
        <x:v>1.8892358519999999</x:v>
      </x:c>
      <x:c r="N107" s="24" t="str">
        <x:v>cancer pagurus</x:v>
      </x:c>
      <x:c r="O107" s="32" t="n">
        <x:v>3.1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Cancer pagurus</x:v>
      </x:c>
      <x:c r="T107" s="32" t="n">
        <x:f>IF(O107="","",(1/'Metadata'!$B$5)^(O107-1))</x:f>
        <x:v>125.89254117941675</x:v>
      </x:c>
      <x:c r="U107" s="31" t="n">
        <x:f>IF(T107="","",I107*T107)</x:f>
        <x:v>4343.890530893305</x:v>
      </x:c>
    </x:row>
    <x:row r="108" ht="18" customHeight="1">
      <x:c r="A108" s="24" t="str">
        <x:v>EEZ_963</x:v>
      </x:c>
      <x:c r="B108" s="24" t="str">
        <x:v>Spain (Northwest)</x:v>
      </x:c>
      <x:c r="C108" s="24" t="str">
        <x:v>EEZ</x:v>
      </x:c>
      <x:c r="D108" s="30" t="n">
        <x:v>2019</x:v>
      </x:c>
      <x:c r="E108" s="24" t="str">
        <x:v>Argyrosomus regius</x:v>
      </x:c>
      <x:c r="F108" s="24" t="str">
        <x:v>Meagre</x:v>
      </x:c>
      <x:c r="G108" s="24" t="str">
        <x:v>Large benthopelagics (&gt;=90 cm)</x:v>
      </x:c>
      <x:c r="H108" s="24" t="str">
        <x:v>Perch-likes</x:v>
      </x:c>
      <x:c r="I108" s="31" t="n">
        <x:v>33.9622543172</x:v>
      </x:c>
      <x:c r="J108" s="31" t="n">
        <x:v>33.9622543172</x:v>
      </x:c>
      <x:c r="K108" s="31" t="n">
        <x:v>0</x:v>
      </x:c>
      <x:c r="L108" s="31" t="n">
        <x:v>33.9622543172</x:v>
      </x:c>
      <x:c r="M108" s="31" t="n">
        <x:v>0</x:v>
      </x:c>
      <x:c r="N108" s="24" t="str">
        <x:v>argyrosomus regius</x:v>
      </x:c>
      <x:c r="O108" s="32" t="n">
        <x:v>4.29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Argyrosomus regius</x:v>
      </x:c>
      <x:c r="T108" s="32" t="n">
        <x:f>IF(O108="","",(1/'Metadata'!$B$5)^(O108-1))</x:f>
        <x:v>1949.8445997580454</x:v>
      </x:c>
      <x:c r="U108" s="31" t="n">
        <x:f>IF(T108="","",I108*T108)</x:f>
        <x:v>66221.11817600178</x:v>
      </x:c>
    </x:row>
    <x:row r="109" ht="18" customHeight="1">
      <x:c r="A109" s="24" t="str">
        <x:v>EEZ_963</x:v>
      </x:c>
      <x:c r="B109" s="24" t="str">
        <x:v>Spain (Northwest)</x:v>
      </x:c>
      <x:c r="C109" s="24" t="str">
        <x:v>EEZ</x:v>
      </x:c>
      <x:c r="D109" s="30" t="n">
        <x:v>2019</x:v>
      </x:c>
      <x:c r="E109" s="24" t="str">
        <x:v>Squalidae</x:v>
      </x:c>
      <x:c r="F109" s="24" t="str">
        <x:v>Dogfish sharks</x:v>
      </x:c>
      <x:c r="G109" s="24" t="str">
        <x:v>Large sharks (&gt;=90 cm)</x:v>
      </x:c>
      <x:c r="H109" s="24" t="str">
        <x:v>Sharks &amp; rays</x:v>
      </x:c>
      <x:c r="I109" s="31" t="n">
        <x:v>32.4548676056</x:v>
      </x:c>
      <x:c r="J109" s="31" t="n">
        <x:v>22.395188211</x:v>
      </x:c>
      <x:c r="K109" s="31" t="n">
        <x:v>10.0596793946</x:v>
      </x:c>
      <x:c r="L109" s="31" t="n">
        <x:v>1.249725879</x:v>
      </x:c>
      <x:c r="M109" s="31" t="n">
        <x:v>31.2051417266</x:v>
      </x:c>
      <x:c r="N109" s="24" t="str">
        <x:v>squalidae</x:v>
      </x:c>
      <x:c r="O109" s="32" t="n">
        <x:v>4.23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Squalidae</x:v>
      </x:c>
      <x:c r="T109" s="32" t="n">
        <x:f>IF(O109="","",(1/'Metadata'!$B$5)^(O109-1))</x:f>
        <x:v>1698.243652461746</x:v>
      </x:c>
      <x:c r="U109" s="31" t="n">
        <x:f>IF(T109="","",I109*T109)</x:f>
        <x:v>55116.272902696546</x:v>
      </x:c>
    </x:row>
    <x:row r="110" ht="18" customHeight="1">
      <x:c r="A110" s="24" t="str">
        <x:v>EEZ_963</x:v>
      </x:c>
      <x:c r="B110" s="24" t="str">
        <x:v>Spain (Northwest)</x:v>
      </x:c>
      <x:c r="C110" s="24" t="str">
        <x:v>EEZ</x:v>
      </x:c>
      <x:c r="D110" s="30" t="n">
        <x:v>2019</x:v>
      </x:c>
      <x:c r="E110" s="24" t="str">
        <x:v>Raja montagui</x:v>
      </x:c>
      <x:c r="F110" s="24" t="str">
        <x:v>Spotted ray</x:v>
      </x:c>
      <x:c r="G110" s="24" t="str">
        <x:v>Small to medium rays (&lt;90 cm)</x:v>
      </x:c>
      <x:c r="H110" s="24" t="str">
        <x:v>Sharks &amp; rays</x:v>
      </x:c>
      <x:c r="I110" s="31" t="n">
        <x:v>32.239079361099996</x:v>
      </x:c>
      <x:c r="J110" s="31" t="n">
        <x:v>32.239079361099996</x:v>
      </x:c>
      <x:c r="K110" s="31" t="n">
        <x:v>0</x:v>
      </x:c>
      <x:c r="L110" s="31" t="n">
        <x:v>14.6401472912</x:v>
      </x:c>
      <x:c r="M110" s="31" t="n">
        <x:v>17.5989320699</x:v>
      </x:c>
      <x:c r="N110" s="24" t="str">
        <x:v>raja montagui</x:v>
      </x:c>
      <x:c r="O110" s="32" t="n">
        <x:v>3.88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Raja montagui</x:v>
      </x:c>
      <x:c r="T110" s="32" t="n">
        <x:f>IF(O110="","",(1/'Metadata'!$B$5)^(O110-1))</x:f>
        <x:v>758.5775750291835</x:v>
      </x:c>
      <x:c r="U110" s="31" t="n">
        <x:f>IF(T110="","",I110*T110)</x:f>
        <x:v>24455.842642916636</x:v>
      </x:c>
    </x:row>
    <x:row r="111" ht="18" customHeight="1">
      <x:c r="A111" s="24" t="str">
        <x:v>EEZ_963</x:v>
      </x:c>
      <x:c r="B111" s="24" t="str">
        <x:v>Spain (Northwest)</x:v>
      </x:c>
      <x:c r="C111" s="24" t="str">
        <x:v>EEZ</x:v>
      </x:c>
      <x:c r="D111" s="30" t="n">
        <x:v>2019</x:v>
      </x:c>
      <x:c r="E111" s="24" t="str">
        <x:v>Sparus aurata</x:v>
      </x:c>
      <x:c r="F111" s="24" t="str">
        <x:v>Gilthead seabream</x:v>
      </x:c>
      <x:c r="G111" s="24" t="str">
        <x:v>Medium demersals (30 - 89 cm)</x:v>
      </x:c>
      <x:c r="H111" s="24" t="str">
        <x:v>Perch-likes</x:v>
      </x:c>
      <x:c r="I111" s="31" t="n">
        <x:v>31.076746814200003</x:v>
      </x:c>
      <x:c r="J111" s="31" t="n">
        <x:v>31.076746814200003</x:v>
      </x:c>
      <x:c r="K111" s="31" t="n">
        <x:v>0</x:v>
      </x:c>
      <x:c r="L111" s="31" t="n">
        <x:v>28.810345846400004</x:v>
      </x:c>
      <x:c r="M111" s="31" t="n">
        <x:v>2.2664009678</x:v>
      </x:c>
      <x:c r="N111" s="24" t="str">
        <x:v>sparus aurata</x:v>
      </x:c>
      <x:c r="O111" s="32" t="n">
        <x:v>3.7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Sparus aurata</x:v>
      </x:c>
      <x:c r="T111" s="32" t="n">
        <x:f>IF(O111="","",(1/'Metadata'!$B$5)^(O111-1))</x:f>
        <x:v>501.18723362727246</x:v>
      </x:c>
      <x:c r="U111" s="31" t="n">
        <x:f>IF(T111="","",I111*T111)</x:f>
        <x:v>15575.268765944053</x:v>
      </x:c>
    </x:row>
    <x:row r="112" ht="18" customHeight="1">
      <x:c r="A112" s="24" t="str">
        <x:v>EEZ_963</x:v>
      </x:c>
      <x:c r="B112" s="24" t="str">
        <x:v>Spain (Northwest)</x:v>
      </x:c>
      <x:c r="C112" s="24" t="str">
        <x:v>EEZ</x:v>
      </x:c>
      <x:c r="D112" s="30" t="n">
        <x:v>2019</x:v>
      </x:c>
      <x:c r="E112" s="24" t="str">
        <x:v>Galeus</x:v>
      </x:c>
      <x:c r="F112" s="24" t="str">
        <x:v>Sawtail catsharks</x:v>
      </x:c>
      <x:c r="G112" s="24" t="str">
        <x:v>Small to medium sharks (&lt;90 cm)</x:v>
      </x:c>
      <x:c r="H112" s="24" t="str">
        <x:v>Sharks &amp; rays</x:v>
      </x:c>
      <x:c r="I112" s="31" t="n">
        <x:v>29.8723684543</x:v>
      </x:c>
      <x:c r="J112" s="31" t="n">
        <x:v>29.8723684543</x:v>
      </x:c>
      <x:c r="K112" s="31" t="n">
        <x:v>0</x:v>
      </x:c>
      <x:c r="L112" s="31" t="n">
        <x:v>16.1384386543</x:v>
      </x:c>
      <x:c r="M112" s="31" t="n">
        <x:v>13.7339298</x:v>
      </x:c>
      <x:c r="N112" s="24" t="str">
        <x:v>galeus</x:v>
      </x:c>
      <x:c r="O112" s="32" t="n">
        <x:v>4.04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Galeus</x:v>
      </x:c>
      <x:c r="T112" s="32" t="n">
        <x:f>IF(O112="","",(1/'Metadata'!$B$5)^(O112-1))</x:f>
        <x:v>1096.4781961431852</x:v>
      </x:c>
      <x:c r="U112" s="31" t="n">
        <x:f>IF(T112="","",I112*T112)</x:f>
        <x:v>32754.400677295453</x:v>
      </x:c>
    </x:row>
    <x:row r="113" ht="18" customHeight="1">
      <x:c r="A113" s="24" t="str">
        <x:v>EEZ_963</x:v>
      </x:c>
      <x:c r="B113" s="24" t="str">
        <x:v>Spain (Northwest)</x:v>
      </x:c>
      <x:c r="C113" s="24" t="str">
        <x:v>EEZ</x:v>
      </x:c>
      <x:c r="D113" s="30" t="n">
        <x:v>2019</x:v>
      </x:c>
      <x:c r="E113" s="24" t="str">
        <x:v>Microstomus kitt</x:v>
      </x:c>
      <x:c r="F113" s="24" t="str">
        <x:v>Lemon sole</x:v>
      </x:c>
      <x:c r="G113" s="24" t="str">
        <x:v>Small to medium flatfishes (&lt;90 cm)</x:v>
      </x:c>
      <x:c r="H113" s="24" t="str">
        <x:v>Flatfishes</x:v>
      </x:c>
      <x:c r="I113" s="31" t="n">
        <x:v>29.8295584502</x:v>
      </x:c>
      <x:c r="J113" s="31" t="n">
        <x:v>29.8295584502</x:v>
      </x:c>
      <x:c r="K113" s="31" t="n">
        <x:v>0</x:v>
      </x:c>
      <x:c r="L113" s="31" t="n">
        <x:v>29.8295584502</x:v>
      </x:c>
      <x:c r="M113" s="31" t="n">
        <x:v>0</x:v>
      </x:c>
      <x:c r="N113" s="24" t="str">
        <x:v>microstomus kitt</x:v>
      </x:c>
      <x:c r="O113" s="32" t="n">
        <x:v>3.22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Microstomus kitt</x:v>
      </x:c>
      <x:c r="T113" s="32" t="n">
        <x:f>IF(O113="","",(1/'Metadata'!$B$5)^(O113-1))</x:f>
        <x:v>165.95869074375614</x:v>
      </x:c>
      <x:c r="U113" s="31" t="n">
        <x:f>IF(T113="","",I113*T113)</x:f>
        <x:v>4950.474465859539</x:v>
      </x:c>
    </x:row>
    <x:row r="114" ht="18" customHeight="1">
      <x:c r="A114" s="24" t="str">
        <x:v>EEZ_963</x:v>
      </x:c>
      <x:c r="B114" s="24" t="str">
        <x:v>Spain (Northwest)</x:v>
      </x:c>
      <x:c r="C114" s="24" t="str">
        <x:v>EEZ</x:v>
      </x:c>
      <x:c r="D114" s="30" t="n">
        <x:v>2019</x:v>
      </x:c>
      <x:c r="E114" s="24" t="str">
        <x:v>Scophthalmus maximus</x:v>
      </x:c>
      <x:c r="F114" s="24" t="str">
        <x:v>Turbot</x:v>
      </x:c>
      <x:c r="G114" s="24" t="str">
        <x:v>Large flatfishes (&gt;=90 cm)</x:v>
      </x:c>
      <x:c r="H114" s="24" t="str">
        <x:v>Flatfishes</x:v>
      </x:c>
      <x:c r="I114" s="31" t="n">
        <x:v>28.0582104742</x:v>
      </x:c>
      <x:c r="J114" s="31" t="n">
        <x:v>28.0582104742</x:v>
      </x:c>
      <x:c r="K114" s="31" t="n">
        <x:v>0</x:v>
      </x:c>
      <x:c r="L114" s="31" t="n">
        <x:v>17.2063115142</x:v>
      </x:c>
      <x:c r="M114" s="31" t="n">
        <x:v>10.85189896</x:v>
      </x:c>
      <x:c r="N114" s="24" t="str">
        <x:v>scophthalmus maximus</x:v>
      </x:c>
      <x:c r="O114" s="32" t="n">
        <x:v>4.36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Scophthalmus maximus</x:v>
      </x:c>
      <x:c r="T114" s="32" t="n">
        <x:f>IF(O114="","",(1/'Metadata'!$B$5)^(O114-1))</x:f>
        <x:v>2290.867652767775</x:v>
      </x:c>
      <x:c r="U114" s="31" t="n">
        <x:f>IF(T114="","",I114*T114)</x:f>
        <x:v>64277.646769894745</x:v>
      </x:c>
    </x:row>
    <x:row r="115" ht="18" customHeight="1">
      <x:c r="A115" s="24" t="str">
        <x:v>EEZ_963</x:v>
      </x:c>
      <x:c r="B115" s="24" t="str">
        <x:v>Spain (Northwest)</x:v>
      </x:c>
      <x:c r="C115" s="24" t="str">
        <x:v>EEZ</x:v>
      </x:c>
      <x:c r="D115" s="30" t="n">
        <x:v>2019</x:v>
      </x:c>
      <x:c r="E115" s="24" t="str">
        <x:v>Scyliorhinus</x:v>
      </x:c>
      <x:c r="F115" s="24" t="str">
        <x:v>Catsharks</x:v>
      </x:c>
      <x:c r="G115" s="24" t="str">
        <x:v>Small to medium sharks (&lt;90 cm)</x:v>
      </x:c>
      <x:c r="H115" s="24" t="str">
        <x:v>Sharks &amp; rays</x:v>
      </x:c>
      <x:c r="I115" s="31" t="n">
        <x:v>27.3963509455</x:v>
      </x:c>
      <x:c r="J115" s="31" t="n">
        <x:v>27.3963509455</x:v>
      </x:c>
      <x:c r="K115" s="31" t="n">
        <x:v>0</x:v>
      </x:c>
      <x:c r="L115" s="31" t="n">
        <x:v>23.8938097325</x:v>
      </x:c>
      <x:c r="M115" s="31" t="n">
        <x:v>3.502541213</x:v>
      </x:c>
      <x:c r="N115" s="24" t="str">
        <x:v>scyliorhinus</x:v>
      </x:c>
      <x:c r="O115" s="32" t="n">
        <x:v>3.86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Scyliorhinus</x:v>
      </x:c>
      <x:c r="T115" s="32" t="n">
        <x:f>IF(O115="","",(1/'Metadata'!$B$5)^(O115-1))</x:f>
        <x:v>724.4359600749899</x:v>
      </x:c>
      <x:c r="U115" s="31" t="n">
        <x:f>IF(T115="","",I115*T115)</x:f>
        <x:v>19846.90179975465</x:v>
      </x:c>
    </x:row>
    <x:row r="116" ht="18" customHeight="1">
      <x:c r="A116" s="24" t="str">
        <x:v>EEZ_963</x:v>
      </x:c>
      <x:c r="B116" s="24" t="str">
        <x:v>Spain (Northwest)</x:v>
      </x:c>
      <x:c r="C116" s="24" t="str">
        <x:v>EEZ</x:v>
      </x:c>
      <x:c r="D116" s="30" t="n">
        <x:v>2019</x:v>
      </x:c>
      <x:c r="E116" s="24" t="str">
        <x:v>Ruditapes decussatus</x:v>
      </x:c>
      <x:c r="F116" s="24" t="str">
        <x:v>Grooved carpet shell</x:v>
      </x:c>
      <x:c r="G116" s="24" t="str">
        <x:v>Other demersal invertebrates</x:v>
      </x:c>
      <x:c r="H116" s="24" t="str">
        <x:v>Molluscs</x:v>
      </x:c>
      <x:c r="I116" s="31" t="n">
        <x:v>27.170579758800002</x:v>
      </x:c>
      <x:c r="J116" s="31" t="n">
        <x:v>27.170579758800002</x:v>
      </x:c>
      <x:c r="K116" s="31" t="n">
        <x:v>0</x:v>
      </x:c>
      <x:c r="L116" s="31" t="n">
        <x:v>24.4185738299</x:v>
      </x:c>
      <x:c r="M116" s="31" t="n">
        <x:v>2.7520059289</x:v>
      </x:c>
      <x:c r="N116" s="24" t="str">
        <x:v>ruditapes decussatus</x:v>
      </x:c>
      <x:c r="O116" s="32" t="n">
        <x:v>2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Ruditapes decussatus</x:v>
      </x:c>
      <x:c r="T116" s="32" t="n">
        <x:f>IF(O116="","",(1/'Metadata'!$B$5)^(O116-1))</x:f>
        <x:v>10</x:v>
      </x:c>
      <x:c r="U116" s="31" t="n">
        <x:f>IF(T116="","",I116*T116)</x:f>
        <x:v>271.705797588</x:v>
      </x:c>
    </x:row>
    <x:row r="117" ht="18" customHeight="1">
      <x:c r="A117" s="24" t="str">
        <x:v>EEZ_963</x:v>
      </x:c>
      <x:c r="B117" s="24" t="str">
        <x:v>Spain (Northwest)</x:v>
      </x:c>
      <x:c r="C117" s="24" t="str">
        <x:v>EEZ</x:v>
      </x:c>
      <x:c r="D117" s="30" t="n">
        <x:v>2019</x:v>
      </x:c>
      <x:c r="E117" s="24" t="str">
        <x:v>Pagrus pagrus</x:v>
      </x:c>
      <x:c r="F117" s="24" t="str">
        <x:v>Red porgy</x:v>
      </x:c>
      <x:c r="G117" s="24" t="str">
        <x:v>Medium benthopelagics (30 - 89 cm)</x:v>
      </x:c>
      <x:c r="H117" s="24" t="str">
        <x:v>Perch-likes</x:v>
      </x:c>
      <x:c r="I117" s="31" t="n">
        <x:v>25.3277139123</x:v>
      </x:c>
      <x:c r="J117" s="31" t="n">
        <x:v>25.3277139123</x:v>
      </x:c>
      <x:c r="K117" s="31" t="n">
        <x:v>0</x:v>
      </x:c>
      <x:c r="L117" s="31" t="n">
        <x:v>14.5769048424</x:v>
      </x:c>
      <x:c r="M117" s="31" t="n">
        <x:v>10.750809069899999</x:v>
      </x:c>
      <x:c r="N117" s="24" t="str">
        <x:v>pagrus pagrus</x:v>
      </x:c>
      <x:c r="O117" s="32" t="n">
        <x:v>3.86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Pagrus pagrus</x:v>
      </x:c>
      <x:c r="T117" s="32" t="n">
        <x:f>IF(O117="","",(1/'Metadata'!$B$5)^(O117-1))</x:f>
        <x:v>724.4359600749899</x:v>
      </x:c>
      <x:c r="U117" s="31" t="n">
        <x:f>IF(T117="","",I117*T117)</x:f>
        <x:v>18348.306744561727</x:v>
      </x:c>
    </x:row>
    <x:row r="118" ht="18" customHeight="1">
      <x:c r="A118" s="24" t="str">
        <x:v>EEZ_963</x:v>
      </x:c>
      <x:c r="B118" s="24" t="str">
        <x:v>Spain (Northwest)</x:v>
      </x:c>
      <x:c r="C118" s="24" t="str">
        <x:v>EEZ</x:v>
      </x:c>
      <x:c r="D118" s="30" t="n">
        <x:v>2019</x:v>
      </x:c>
      <x:c r="E118" s="24" t="str">
        <x:v>Mugilidae</x:v>
      </x:c>
      <x:c r="F118" s="24" t="str">
        <x:v>Mullets, grey mullets</x:v>
      </x:c>
      <x:c r="G118" s="24" t="str">
        <x:v>Medium reef assoc. fish (30 - 89 cm)</x:v>
      </x:c>
      <x:c r="H118" s="24" t="str">
        <x:v>Perch-likes</x:v>
      </x:c>
      <x:c r="I118" s="31" t="n">
        <x:v>25.2262747463</x:v>
      </x:c>
      <x:c r="J118" s="31" t="n">
        <x:v>25.2262747463</x:v>
      </x:c>
      <x:c r="K118" s="31" t="n">
        <x:v>0</x:v>
      </x:c>
      <x:c r="L118" s="31" t="n">
        <x:v>22.3565877064</x:v>
      </x:c>
      <x:c r="M118" s="31" t="n">
        <x:v>2.8696870399</x:v>
      </x:c>
      <x:c r="N118" s="24" t="str">
        <x:v>mugilidae</x:v>
      </x:c>
      <x:c r="O118" s="32" t="n">
        <x:v>2.53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Mugilidae</x:v>
      </x:c>
      <x:c r="T118" s="32" t="n">
        <x:f>IF(O118="","",(1/'Metadata'!$B$5)^(O118-1))</x:f>
        <x:v>33.88441561392024</x:v>
      </x:c>
      <x:c r="U118" s="31" t="n">
        <x:f>IF(T118="","",I118*T118)</x:f>
        <x:v>854.7775778945695</x:v>
      </x:c>
    </x:row>
    <x:row r="119" ht="18" customHeight="1">
      <x:c r="A119" s="24" t="str">
        <x:v>EEZ_963</x:v>
      </x:c>
      <x:c r="B119" s="24" t="str">
        <x:v>Spain (Northwest)</x:v>
      </x:c>
      <x:c r="C119" s="24" t="str">
        <x:v>EEZ</x:v>
      </x:c>
      <x:c r="D119" s="30" t="n">
        <x:v>2019</x:v>
      </x:c>
      <x:c r="E119" s="24" t="str">
        <x:v>Teuthida</x:v>
      </x:c>
      <x:c r="F119" s="24" t="str">
        <x:v>Squids</x:v>
      </x:c>
      <x:c r="G119" s="24" t="str">
        <x:v>Cephalopods</x:v>
      </x:c>
      <x:c r="H119" s="24" t="str">
        <x:v>Other fishes &amp; inverts</x:v>
      </x:c>
      <x:c r="I119" s="31" t="n">
        <x:v>24.4241485952</x:v>
      </x:c>
      <x:c r="J119" s="31" t="n">
        <x:v>24.4241485952</x:v>
      </x:c>
      <x:c r="K119" s="31" t="n">
        <x:v>0</x:v>
      </x:c>
      <x:c r="L119" s="31" t="n">
        <x:v>23.2309129709</x:v>
      </x:c>
      <x:c r="M119" s="31" t="n">
        <x:v>1.1932356243</x:v>
      </x:c>
      <x:c r="N119" s="24" t="str">
        <x:v>teuthida</x:v>
      </x:c>
      <x:c r="O119" s="32" t="n">
        <x:v>4.13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Teuthida</x:v>
      </x:c>
      <x:c r="T119" s="32" t="n">
        <x:f>IF(O119="","",(1/'Metadata'!$B$5)^(O119-1))</x:f>
        <x:v>1348.9628825916532</x:v>
      </x:c>
      <x:c r="U119" s="31" t="n">
        <x:f>IF(T119="","",I119*T119)</x:f>
        <x:v>32947.26989382786</x:v>
      </x:c>
    </x:row>
    <x:row r="120" ht="18" customHeight="1">
      <x:c r="A120" s="24" t="str">
        <x:v>EEZ_963</x:v>
      </x:c>
      <x:c r="B120" s="24" t="str">
        <x:v>Spain (Northwest)</x:v>
      </x:c>
      <x:c r="C120" s="24" t="str">
        <x:v>EEZ</x:v>
      </x:c>
      <x:c r="D120" s="30" t="n">
        <x:v>2019</x:v>
      </x:c>
      <x:c r="E120" s="24" t="str">
        <x:v>Chimaera monstrosa</x:v>
      </x:c>
      <x:c r="F120" s="24" t="str">
        <x:v>Rabbit fish</x:v>
      </x:c>
      <x:c r="G120" s="24" t="str">
        <x:v>Large rays (&gt;=90 cm)</x:v>
      </x:c>
      <x:c r="H120" s="24" t="str">
        <x:v>Sharks &amp; rays</x:v>
      </x:c>
      <x:c r="I120" s="31" t="n">
        <x:v>24.288374153</x:v>
      </x:c>
      <x:c r="J120" s="31" t="n">
        <x:v>24.288374153</x:v>
      </x:c>
      <x:c r="K120" s="31" t="n">
        <x:v>0</x:v>
      </x:c>
      <x:c r="L120" s="31" t="n">
        <x:v>24.288374153</x:v>
      </x:c>
      <x:c r="M120" s="31" t="n">
        <x:v>0</x:v>
      </x:c>
      <x:c r="N120" s="24" t="str">
        <x:v>chimaera monstrosa</x:v>
      </x:c>
      <x:c r="O120" s="32" t="n">
        <x:v>3.52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Chimaera monstrosa</x:v>
      </x:c>
      <x:c r="T120" s="32" t="n">
        <x:f>IF(O120="","",(1/'Metadata'!$B$5)^(O120-1))</x:f>
        <x:v>331.1311214825911</x:v>
      </x:c>
      <x:c r="U120" s="31" t="n">
        <x:f>IF(T120="","",I120*T120)</x:f>
        <x:v>8042.636572271668</x:v>
      </x:c>
    </x:row>
    <x:row r="121" ht="18" customHeight="1">
      <x:c r="A121" s="24" t="str">
        <x:v>EEZ_963</x:v>
      </x:c>
      <x:c r="B121" s="24" t="str">
        <x:v>Spain (Northwest)</x:v>
      </x:c>
      <x:c r="C121" s="24" t="str">
        <x:v>EEZ</x:v>
      </x:c>
      <x:c r="D121" s="30" t="n">
        <x:v>2019</x:v>
      </x:c>
      <x:c r="E121" s="24" t="str">
        <x:v>Thunnus obesus</x:v>
      </x:c>
      <x:c r="F121" s="24" t="str">
        <x:v>Bigeye tuna</x:v>
      </x:c>
      <x:c r="G121" s="24" t="str">
        <x:v>Large pelagics (&gt;=90 cm)</x:v>
      </x:c>
      <x:c r="H121" s="24" t="str">
        <x:v>Tuna &amp; billfishes</x:v>
      </x:c>
      <x:c r="I121" s="31" t="n">
        <x:v>23.7287045001</x:v>
      </x:c>
      <x:c r="J121" s="31" t="n">
        <x:v>23.7287045001</x:v>
      </x:c>
      <x:c r="K121" s="31" t="n">
        <x:v>0</x:v>
      </x:c>
      <x:c r="L121" s="31" t="n">
        <x:v>23.7287045001</x:v>
      </x:c>
      <x:c r="M121" s="31" t="n">
        <x:v>0</x:v>
      </x:c>
      <x:c r="N121" s="24" t="str">
        <x:v>thunnus obesus</x:v>
      </x:c>
      <x:c r="O121" s="32" t="n">
        <x:v>4.49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Thunnus obesus</x:v>
      </x:c>
      <x:c r="T121" s="32" t="n">
        <x:f>IF(O121="","",(1/'Metadata'!$B$5)^(O121-1))</x:f>
        <x:v>3090.295432513592</x:v>
      </x:c>
      <x:c r="U121" s="31" t="n">
        <x:f>IF(T121="","",I121*T121)</x:f>
        <x:v>73328.70713612375</x:v>
      </x:c>
    </x:row>
    <x:row r="122" ht="18" customHeight="1">
      <x:c r="A122" s="24" t="str">
        <x:v>EEZ_963</x:v>
      </x:c>
      <x:c r="B122" s="24" t="str">
        <x:v>Spain (Northwest)</x:v>
      </x:c>
      <x:c r="C122" s="24" t="str">
        <x:v>EEZ</x:v>
      </x:c>
      <x:c r="D122" s="30" t="n">
        <x:v>2019</x:v>
      </x:c>
      <x:c r="E122" s="24" t="str">
        <x:v>Dicologlossa cuneata</x:v>
      </x:c>
      <x:c r="F122" s="24" t="str">
        <x:v>Wedge sole</x:v>
      </x:c>
      <x:c r="G122" s="24" t="str">
        <x:v>Small to medium flatfishes (&lt;90 cm)</x:v>
      </x:c>
      <x:c r="H122" s="24" t="str">
        <x:v>Flatfishes</x:v>
      </x:c>
      <x:c r="I122" s="31" t="n">
        <x:v>22.734607107200002</x:v>
      </x:c>
      <x:c r="J122" s="31" t="n">
        <x:v>22.734607107200002</x:v>
      </x:c>
      <x:c r="K122" s="31" t="n">
        <x:v>0</x:v>
      </x:c>
      <x:c r="L122" s="31" t="n">
        <x:v>22.734607107200002</x:v>
      </x:c>
      <x:c r="M122" s="31" t="n">
        <x:v>0</x:v>
      </x:c>
      <x:c r="N122" s="24" t="str">
        <x:v>dicologlossa cuneata</x:v>
      </x:c>
      <x:c r="O122" s="32" t="n">
        <x:v>3.32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Dicologlossa cuneata</x:v>
      </x:c>
      <x:c r="T122" s="32" t="n">
        <x:f>IF(O122="","",(1/'Metadata'!$B$5)^(O122-1))</x:f>
        <x:v>208.92961308540387</x:v>
      </x:c>
      <x:c r="U122" s="31" t="n">
        <x:f>IF(T122="","",I122*T122)</x:f>
        <x:v>4749.932666555969</x:v>
      </x:c>
    </x:row>
    <x:row r="123" ht="18" customHeight="1">
      <x:c r="A123" s="24" t="str">
        <x:v>EEZ_963</x:v>
      </x:c>
      <x:c r="B123" s="24" t="str">
        <x:v>Spain (Northwest)</x:v>
      </x:c>
      <x:c r="C123" s="24" t="str">
        <x:v>EEZ</x:v>
      </x:c>
      <x:c r="D123" s="30" t="n">
        <x:v>2019</x:v>
      </x:c>
      <x:c r="E123" s="24" t="str">
        <x:v>Lithognathus mormyrus</x:v>
      </x:c>
      <x:c r="F123" s="24" t="str">
        <x:v>Sand steenbras</x:v>
      </x:c>
      <x:c r="G123" s="24" t="str">
        <x:v>Medium benthopelagics (30 - 89 cm)</x:v>
      </x:c>
      <x:c r="H123" s="24" t="str">
        <x:v>Perch-likes</x:v>
      </x:c>
      <x:c r="I123" s="31" t="n">
        <x:v>22.499864221</x:v>
      </x:c>
      <x:c r="J123" s="31" t="n">
        <x:v>22.499864221</x:v>
      </x:c>
      <x:c r="K123" s="31" t="n">
        <x:v>0</x:v>
      </x:c>
      <x:c r="L123" s="31" t="n">
        <x:v>22.499864221</x:v>
      </x:c>
      <x:c r="M123" s="31" t="n">
        <x:v>0</x:v>
      </x:c>
      <x:c r="N123" s="24" t="str">
        <x:v>lithognathus mormyrus</x:v>
      </x:c>
      <x:c r="O123" s="32" t="n">
        <x:v>3.42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Lithognathus mormyrus</x:v>
      </x:c>
      <x:c r="T123" s="32" t="n">
        <x:f>IF(O123="","",(1/'Metadata'!$B$5)^(O123-1))</x:f>
        <x:v>263.02679918953817</x:v>
      </x:c>
      <x:c r="U123" s="31" t="n">
        <x:f>IF(T123="","",I123*T123)</x:f>
        <x:v>5918.067268248841</x:v>
      </x:c>
    </x:row>
    <x:row r="124" ht="18" customHeight="1">
      <x:c r="A124" s="24" t="str">
        <x:v>EEZ_963</x:v>
      </x:c>
      <x:c r="B124" s="24" t="str">
        <x:v>Spain (Northwest)</x:v>
      </x:c>
      <x:c r="C124" s="24" t="str">
        <x:v>EEZ</x:v>
      </x:c>
      <x:c r="D124" s="30" t="n">
        <x:v>2019</x:v>
      </x:c>
      <x:c r="E124" s="24" t="str">
        <x:v>Bivalvia</x:v>
      </x:c>
      <x:c r="F124" s="24" t="str">
        <x:v>Clams</x:v>
      </x:c>
      <x:c r="G124" s="24" t="str">
        <x:v>Other demersal invertebrates</x:v>
      </x:c>
      <x:c r="H124" s="24" t="str">
        <x:v>Molluscs</x:v>
      </x:c>
      <x:c r="I124" s="31" t="n">
        <x:v>22.1458586223</x:v>
      </x:c>
      <x:c r="J124" s="31" t="n">
        <x:v>0.8298344486</x:v>
      </x:c>
      <x:c r="K124" s="31" t="n">
        <x:v>21.3160241737</x:v>
      </x:c>
      <x:c r="L124" s="31" t="n">
        <x:v>0.6568218229</x:v>
      </x:c>
      <x:c r="M124" s="31" t="n">
        <x:v>21.4890367994</x:v>
      </x:c>
      <x:c r="N124" s="24" t="str">
        <x:v>bivalvia</x:v>
      </x:c>
      <x:c r="O124" s="32" t="n">
        <x:v>2.23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Bivalvia</x:v>
      </x:c>
      <x:c r="T124" s="32" t="n">
        <x:f>IF(O124="","",(1/'Metadata'!$B$5)^(O124-1))</x:f>
        <x:v>16.982436524617444</x:v>
      </x:c>
      <x:c r="U124" s="31" t="n">
        <x:f>IF(T124="","",I124*T124)</x:f>
        <x:v>376.0906383363617</x:v>
      </x:c>
    </x:row>
    <x:row r="125" ht="18" customHeight="1">
      <x:c r="A125" s="24" t="str">
        <x:v>EEZ_963</x:v>
      </x:c>
      <x:c r="B125" s="24" t="str">
        <x:v>Spain (Northwest)</x:v>
      </x:c>
      <x:c r="C125" s="24" t="str">
        <x:v>EEZ</x:v>
      </x:c>
      <x:c r="D125" s="30" t="n">
        <x:v>2019</x:v>
      </x:c>
      <x:c r="E125" s="24" t="str">
        <x:v>Diplodus vulgaris</x:v>
      </x:c>
      <x:c r="F125" s="24" t="str">
        <x:v>Common two-banded seabream</x:v>
      </x:c>
      <x:c r="G125" s="24" t="str">
        <x:v>Medium benthopelagics (30 - 89 cm)</x:v>
      </x:c>
      <x:c r="H125" s="24" t="str">
        <x:v>Perch-likes</x:v>
      </x:c>
      <x:c r="I125" s="31" t="n">
        <x:v>20.7206904855</x:v>
      </x:c>
      <x:c r="J125" s="31" t="n">
        <x:v>20.7206904855</x:v>
      </x:c>
      <x:c r="K125" s="31" t="n">
        <x:v>0</x:v>
      </x:c>
      <x:c r="L125" s="31" t="n">
        <x:v>11.474751080499999</x:v>
      </x:c>
      <x:c r="M125" s="31" t="n">
        <x:v>9.245939405</x:v>
      </x:c>
      <x:c r="N125" s="24" t="str">
        <x:v>diplodus vulgaris</x:v>
      </x:c>
      <x:c r="O125" s="32" t="n">
        <x:v>3.52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Diplodus vulgaris</x:v>
      </x:c>
      <x:c r="T125" s="32" t="n">
        <x:f>IF(O125="","",(1/'Metadata'!$B$5)^(O125-1))</x:f>
        <x:v>331.1311214825911</x:v>
      </x:c>
      <x:c r="U125" s="31" t="n">
        <x:f>IF(T125="","",I125*T125)</x:f>
        <x:v>6861.26547835727</x:v>
      </x:c>
    </x:row>
    <x:row r="126" ht="18" customHeight="1">
      <x:c r="A126" s="24" t="str">
        <x:v>EEZ_963</x:v>
      </x:c>
      <x:c r="B126" s="24" t="str">
        <x:v>Spain (Northwest)</x:v>
      </x:c>
      <x:c r="C126" s="24" t="str">
        <x:v>EEZ</x:v>
      </x:c>
      <x:c r="D126" s="30" t="n">
        <x:v>2019</x:v>
      </x:c>
      <x:c r="E126" s="24" t="str">
        <x:v>Venus verrucosa</x:v>
      </x:c>
      <x:c r="F126" s="24" t="str">
        <x:v>Warty venus</x:v>
      </x:c>
      <x:c r="G126" s="24" t="str">
        <x:v>Other demersal invertebrates</x:v>
      </x:c>
      <x:c r="H126" s="24" t="str">
        <x:v>Molluscs</x:v>
      </x:c>
      <x:c r="I126" s="31" t="n">
        <x:v>20.4906095958</x:v>
      </x:c>
      <x:c r="J126" s="31" t="n">
        <x:v>20.4906095958</x:v>
      </x:c>
      <x:c r="K126" s="31" t="n">
        <x:v>0</x:v>
      </x:c>
      <x:c r="L126" s="31" t="n">
        <x:v>20.4906095958</x:v>
      </x:c>
      <x:c r="M126" s="31" t="n">
        <x:v>0</x:v>
      </x:c>
      <x:c r="N126" s="24" t="str">
        <x:v>venus verrucosa</x:v>
      </x:c>
      <x:c r="O126" s="32" t="n">
        <x:v>2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Venus verrucosa</x:v>
      </x:c>
      <x:c r="T126" s="32" t="n">
        <x:f>IF(O126="","",(1/'Metadata'!$B$5)^(O126-1))</x:f>
        <x:v>10</x:v>
      </x:c>
      <x:c r="U126" s="31" t="n">
        <x:f>IF(T126="","",I126*T126)</x:f>
        <x:v>204.90609595799998</x:v>
      </x:c>
    </x:row>
    <x:row r="127" ht="18" customHeight="1">
      <x:c r="A127" s="24" t="str">
        <x:v>EEZ_963</x:v>
      </x:c>
      <x:c r="B127" s="24" t="str">
        <x:v>Spain (Northwest)</x:v>
      </x:c>
      <x:c r="C127" s="24" t="str">
        <x:v>EEZ</x:v>
      </x:c>
      <x:c r="D127" s="30" t="n">
        <x:v>2019</x:v>
      </x:c>
      <x:c r="E127" s="24" t="str">
        <x:v>Pecten maximus</x:v>
      </x:c>
      <x:c r="F127" s="24" t="str">
        <x:v>Great Atlantic scallop</x:v>
      </x:c>
      <x:c r="G127" s="24" t="str">
        <x:v>Other demersal invertebrates</x:v>
      </x:c>
      <x:c r="H127" s="24" t="str">
        <x:v>Molluscs</x:v>
      </x:c>
      <x:c r="I127" s="31" t="n">
        <x:v>19.784548534600003</x:v>
      </x:c>
      <x:c r="J127" s="31" t="n">
        <x:v>19.784548534600003</x:v>
      </x:c>
      <x:c r="K127" s="31" t="n">
        <x:v>0</x:v>
      </x:c>
      <x:c r="L127" s="31" t="n">
        <x:v>14.792141281600001</x:v>
      </x:c>
      <x:c r="M127" s="31" t="n">
        <x:v>4.992407253</x:v>
      </x:c>
      <x:c r="N127" s="24" t="str">
        <x:v>pecten maximus</x:v>
      </x:c>
      <x:c r="O127" s="32" t="n">
        <x:v>2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Pecten maximus</x:v>
      </x:c>
      <x:c r="T127" s="32" t="n">
        <x:f>IF(O127="","",(1/'Metadata'!$B$5)^(O127-1))</x:f>
        <x:v>10</x:v>
      </x:c>
      <x:c r="U127" s="31" t="n">
        <x:f>IF(T127="","",I127*T127)</x:f>
        <x:v>197.84548534600003</x:v>
      </x:c>
    </x:row>
    <x:row r="128" ht="18" customHeight="1">
      <x:c r="A128" s="24" t="str">
        <x:v>EEZ_963</x:v>
      </x:c>
      <x:c r="B128" s="24" t="str">
        <x:v>Spain (Northwest)</x:v>
      </x:c>
      <x:c r="C128" s="24" t="str">
        <x:v>EEZ</x:v>
      </x:c>
      <x:c r="D128" s="30" t="n">
        <x:v>2019</x:v>
      </x:c>
      <x:c r="E128" s="24" t="str">
        <x:v>Polyprion americanus</x:v>
      </x:c>
      <x:c r="F128" s="24" t="str">
        <x:v>Wreckfish</x:v>
      </x:c>
      <x:c r="G128" s="24" t="str">
        <x:v>Large bathydemersals (&gt;=90 cm)</x:v>
      </x:c>
      <x:c r="H128" s="24" t="str">
        <x:v>Perch-likes</x:v>
      </x:c>
      <x:c r="I128" s="31" t="n">
        <x:v>19.3384748662</x:v>
      </x:c>
      <x:c r="J128" s="31" t="n">
        <x:v>19.3384748662</x:v>
      </x:c>
      <x:c r="K128" s="31" t="n">
        <x:v>0</x:v>
      </x:c>
      <x:c r="L128" s="31" t="n">
        <x:v>19.3384748662</x:v>
      </x:c>
      <x:c r="M128" s="31" t="n">
        <x:v>0</x:v>
      </x:c>
      <x:c r="N128" s="24" t="str">
        <x:v>polyprion americanus</x:v>
      </x:c>
      <x:c r="O128" s="32" t="n">
        <x:v>4.14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Polyprion americanus</x:v>
      </x:c>
      <x:c r="T128" s="32" t="n">
        <x:f>IF(O128="","",(1/'Metadata'!$B$5)^(O128-1))</x:f>
        <x:v>1380.3842646028838</x:v>
      </x:c>
      <x:c r="U128" s="31" t="n">
        <x:f>IF(T128="","",I128*T128)</x:f>
        <x:v>26694.526406720837</x:v>
      </x:c>
    </x:row>
    <x:row r="129" ht="18" customHeight="1">
      <x:c r="A129" s="24" t="str">
        <x:v>EEZ_963</x:v>
      </x:c>
      <x:c r="B129" s="24" t="str">
        <x:v>Spain (Northwest)</x:v>
      </x:c>
      <x:c r="C129" s="24" t="str">
        <x:v>EEZ</x:v>
      </x:c>
      <x:c r="D129" s="30" t="n">
        <x:v>2019</x:v>
      </x:c>
      <x:c r="E129" s="24" t="str">
        <x:v>Holothuroidea</x:v>
      </x:c>
      <x:c r="F129" s="24" t="str">
        <x:v>Sea cucumbers</x:v>
      </x:c>
      <x:c r="G129" s="24" t="str">
        <x:v>Other demersal invertebrates</x:v>
      </x:c>
      <x:c r="H129" s="24" t="str">
        <x:v>Other fishes &amp; inverts</x:v>
      </x:c>
      <x:c r="I129" s="31" t="n">
        <x:v>19.3272476592</x:v>
      </x:c>
      <x:c r="J129" s="31" t="n">
        <x:v>19.3272476592</x:v>
      </x:c>
      <x:c r="K129" s="31" t="n">
        <x:v>0</x:v>
      </x:c>
      <x:c r="L129" s="31" t="n">
        <x:v>9.0475082362</x:v>
      </x:c>
      <x:c r="M129" s="31" t="n">
        <x:v>10.279739422999999</x:v>
      </x:c>
      <x:c r="N129" s="24" t="str">
        <x:v>holothuroidea</x:v>
      </x:c>
      <x:c r="O129" s="32" t="n">
        <x:v>2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Holothuroidea</x:v>
      </x:c>
      <x:c r="T129" s="32" t="n">
        <x:f>IF(O129="","",(1/'Metadata'!$B$5)^(O129-1))</x:f>
        <x:v>10</x:v>
      </x:c>
      <x:c r="U129" s="31" t="n">
        <x:f>IF(T129="","",I129*T129)</x:f>
        <x:v>193.272476592</x:v>
      </x:c>
    </x:row>
    <x:row r="130" ht="18" customHeight="1">
      <x:c r="A130" s="24" t="str">
        <x:v>EEZ_963</x:v>
      </x:c>
      <x:c r="B130" s="24" t="str">
        <x:v>Spain (Northwest)</x:v>
      </x:c>
      <x:c r="C130" s="24" t="str">
        <x:v>EEZ</x:v>
      </x:c>
      <x:c r="D130" s="30" t="n">
        <x:v>2019</x:v>
      </x:c>
      <x:c r="E130" s="24" t="str">
        <x:v>Rajiformes</x:v>
      </x:c>
      <x:c r="F130" s="24" t="str">
        <x:v>Skates and rays</x:v>
      </x:c>
      <x:c r="G130" s="24" t="str">
        <x:v>Large rays (&gt;=90 cm)</x:v>
      </x:c>
      <x:c r="H130" s="24" t="str">
        <x:v>Sharks &amp; rays</x:v>
      </x:c>
      <x:c r="I130" s="31" t="n">
        <x:v>19.089069189900002</x:v>
      </x:c>
      <x:c r="J130" s="31" t="n">
        <x:v>18.9317440772</x:v>
      </x:c>
      <x:c r="K130" s="31" t="n">
        <x:v>0.1573251127</x:v>
      </x:c>
      <x:c r="L130" s="31" t="n">
        <x:v>18.9317440772</x:v>
      </x:c>
      <x:c r="M130" s="31" t="n">
        <x:v>0.1573251127</x:v>
      </x:c>
      <x:c r="N130" s="24" t="str">
        <x:v>rajiformes</x:v>
      </x:c>
      <x:c r="O130" s="32" t="n">
        <x:v>3.61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Rajiformes</x:v>
      </x:c>
      <x:c r="T130" s="32" t="n">
        <x:f>IF(O130="","",(1/'Metadata'!$B$5)^(O130-1))</x:f>
        <x:v>407.3802778041126</x:v>
      </x:c>
      <x:c r="U130" s="31" t="n">
        <x:f>IF(T130="","",I130*T130)</x:f>
        <x:v>7776.51030960339</x:v>
      </x:c>
    </x:row>
    <x:row r="131" ht="18" customHeight="1">
      <x:c r="A131" s="24" t="str">
        <x:v>EEZ_963</x:v>
      </x:c>
      <x:c r="B131" s="24" t="str">
        <x:v>Spain (Northwest)</x:v>
      </x:c>
      <x:c r="C131" s="24" t="str">
        <x:v>EEZ</x:v>
      </x:c>
      <x:c r="D131" s="30" t="n">
        <x:v>2019</x:v>
      </x:c>
      <x:c r="E131" s="24" t="str">
        <x:v>Necora puber</x:v>
      </x:c>
      <x:c r="F131" s="24" t="str">
        <x:v>Velvet swimcrab</x:v>
      </x:c>
      <x:c r="G131" s="24" t="str">
        <x:v>Lobsters, crabs</x:v>
      </x:c>
      <x:c r="H131" s="24" t="str">
        <x:v>Crustaceans</x:v>
      </x:c>
      <x:c r="I131" s="31" t="n">
        <x:v>18.0724061868</x:v>
      </x:c>
      <x:c r="J131" s="31" t="n">
        <x:v>18.0724061868</x:v>
      </x:c>
      <x:c r="K131" s="31" t="n">
        <x:v>0</x:v>
      </x:c>
      <x:c r="L131" s="31" t="n">
        <x:v>18.0724061868</x:v>
      </x:c>
      <x:c r="M131" s="31" t="n">
        <x:v>0</x:v>
      </x:c>
      <x:c r="N131" s="24" t="str">
        <x:v>necora puber</x:v>
      </x:c>
      <x:c r="O131" s="32" t="n">
        <x:v>2.6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Necora puber</x:v>
      </x:c>
      <x:c r="T131" s="32" t="n">
        <x:f>IF(O131="","",(1/'Metadata'!$B$5)^(O131-1))</x:f>
        <x:v>39.810717055349734</x:v>
      </x:c>
      <x:c r="U131" s="31" t="n">
        <x:f>IF(T131="","",I131*T131)</x:f>
        <x:v>719.4754492120468</x:v>
      </x:c>
    </x:row>
    <x:row r="132" ht="18" customHeight="1">
      <x:c r="A132" s="24" t="str">
        <x:v>EEZ_963</x:v>
      </x:c>
      <x:c r="B132" s="24" t="str">
        <x:v>Spain (Northwest)</x:v>
      </x:c>
      <x:c r="C132" s="24" t="str">
        <x:v>EEZ</x:v>
      </x:c>
      <x:c r="D132" s="30" t="n">
        <x:v>2019</x:v>
      </x:c>
      <x:c r="E132" s="24" t="str">
        <x:v>Trachinidae</x:v>
      </x:c>
      <x:c r="F132" s="24" t="str">
        <x:v>Weeverfishes</x:v>
      </x:c>
      <x:c r="G132" s="24" t="str">
        <x:v>Medium demersals (30 - 89 cm)</x:v>
      </x:c>
      <x:c r="H132" s="24" t="str">
        <x:v>Perch-likes</x:v>
      </x:c>
      <x:c r="I132" s="31" t="n">
        <x:v>18.020468039</x:v>
      </x:c>
      <x:c r="J132" s="31" t="n">
        <x:v>18.020468039</x:v>
      </x:c>
      <x:c r="K132" s="31" t="n">
        <x:v>0</x:v>
      </x:c>
      <x:c r="L132" s="31" t="n">
        <x:v>16.3832241229</x:v>
      </x:c>
      <x:c r="M132" s="31" t="n">
        <x:v>1.6372439161</x:v>
      </x:c>
      <x:c r="N132" s="24" t="str">
        <x:v>trachinidae</x:v>
      </x:c>
      <x:c r="O132" s="32" t="n">
        <x:v>3.95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Trachinidae</x:v>
      </x:c>
      <x:c r="T132" s="32" t="n">
        <x:f>IF(O132="","",(1/'Metadata'!$B$5)^(O132-1))</x:f>
        <x:v>891.2509381337459</x:v>
      </x:c>
      <x:c r="U132" s="31" t="n">
        <x:f>IF(T132="","",I132*T132)</x:f>
        <x:v>16060.759045367935</x:v>
      </x:c>
    </x:row>
    <x:row r="133" ht="18" customHeight="1">
      <x:c r="A133" s="24" t="str">
        <x:v>EEZ_963</x:v>
      </x:c>
      <x:c r="B133" s="24" t="str">
        <x:v>Spain (Northwest)</x:v>
      </x:c>
      <x:c r="C133" s="24" t="str">
        <x:v>EEZ</x:v>
      </x:c>
      <x:c r="D133" s="30" t="n">
        <x:v>2019</x:v>
      </x:c>
      <x:c r="E133" s="24" t="str">
        <x:v>Crangonidae</x:v>
      </x:c>
      <x:c r="F133" s="24" t="str">
        <x:v>Brown shrimps</x:v>
      </x:c>
      <x:c r="G133" s="24" t="str">
        <x:v>Shrimps</x:v>
      </x:c>
      <x:c r="H133" s="24" t="str">
        <x:v>Crustaceans</x:v>
      </x:c>
      <x:c r="I133" s="31" t="n">
        <x:v>16.583780173</x:v>
      </x:c>
      <x:c r="J133" s="31" t="n">
        <x:v>0</x:v>
      </x:c>
      <x:c r="K133" s="31" t="n">
        <x:v>16.583780173</x:v>
      </x:c>
      <x:c r="L133" s="31" t="n">
        <x:v>0</x:v>
      </x:c>
      <x:c r="M133" s="31" t="n">
        <x:v>16.583780173</x:v>
      </x:c>
      <x:c r="N133" s="24" t="str">
        <x:v>crangonidae</x:v>
      </x:c>
      <x:c r="O133" s="32" t="n">
        <x:v>3.19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Crangonidae</x:v>
      </x:c>
      <x:c r="T133" s="32" t="n">
        <x:f>IF(O133="","",(1/'Metadata'!$B$5)^(O133-1))</x:f>
        <x:v>154.88166189124811</x:v>
      </x:c>
      <x:c r="U133" s="31" t="n">
        <x:f>IF(T133="","",I133*T133)</x:f>
        <x:v>2568.52343363337</x:v>
      </x:c>
    </x:row>
    <x:row r="134" ht="18" customHeight="1">
      <x:c r="A134" s="24" t="str">
        <x:v>EEZ_963</x:v>
      </x:c>
      <x:c r="B134" s="24" t="str">
        <x:v>Spain (Northwest)</x:v>
      </x:c>
      <x:c r="C134" s="24" t="str">
        <x:v>EEZ</x:v>
      </x:c>
      <x:c r="D134" s="30" t="n">
        <x:v>2019</x:v>
      </x:c>
      <x:c r="E134" s="24" t="str">
        <x:v>Dentex dentex</x:v>
      </x:c>
      <x:c r="F134" s="24" t="str">
        <x:v>Common dentex</x:v>
      </x:c>
      <x:c r="G134" s="24" t="str">
        <x:v>Large benthopelagics (&gt;=90 cm)</x:v>
      </x:c>
      <x:c r="H134" s="24" t="str">
        <x:v>Perch-likes</x:v>
      </x:c>
      <x:c r="I134" s="31" t="n">
        <x:v>16.3528068865</x:v>
      </x:c>
      <x:c r="J134" s="31" t="n">
        <x:v>16.3528068865</x:v>
      </x:c>
      <x:c r="K134" s="31" t="n">
        <x:v>0</x:v>
      </x:c>
      <x:c r="L134" s="31" t="n">
        <x:v>14.5890955095</x:v>
      </x:c>
      <x:c r="M134" s="31" t="n">
        <x:v>1.763711377</x:v>
      </x:c>
      <x:c r="N134" s="24" t="str">
        <x:v>dentex dentex</x:v>
      </x:c>
      <x:c r="O134" s="32" t="n">
        <x:v>4.53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Dentex dentex</x:v>
      </x:c>
      <x:c r="T134" s="32" t="n">
        <x:f>IF(O134="","",(1/'Metadata'!$B$5)^(O134-1))</x:f>
        <x:v>3388.4415613920273</x:v>
      </x:c>
      <x:c r="U134" s="31" t="n">
        <x:f>IF(T134="","",I134*T134)</x:f>
        <x:v>55410.53049963436</x:v>
      </x:c>
    </x:row>
    <x:row r="135" ht="18" customHeight="1">
      <x:c r="A135" s="24" t="str">
        <x:v>EEZ_963</x:v>
      </x:c>
      <x:c r="B135" s="24" t="str">
        <x:v>Spain (Northwest)</x:v>
      </x:c>
      <x:c r="C135" s="24" t="str">
        <x:v>EEZ</x:v>
      </x:c>
      <x:c r="D135" s="30" t="n">
        <x:v>2019</x:v>
      </x:c>
      <x:c r="E135" s="24" t="str">
        <x:v>Palaemon serratus</x:v>
      </x:c>
      <x:c r="F135" s="24" t="str">
        <x:v>Common prawn</x:v>
      </x:c>
      <x:c r="G135" s="24" t="str">
        <x:v>Shrimps</x:v>
      </x:c>
      <x:c r="H135" s="24" t="str">
        <x:v>Crustaceans</x:v>
      </x:c>
      <x:c r="I135" s="31" t="n">
        <x:v>15.515728643000001</x:v>
      </x:c>
      <x:c r="J135" s="31" t="n">
        <x:v>15.515728643000001</x:v>
      </x:c>
      <x:c r="K135" s="31" t="n">
        <x:v>0</x:v>
      </x:c>
      <x:c r="L135" s="31" t="n">
        <x:v>9.1746368051</x:v>
      </x:c>
      <x:c r="M135" s="31" t="n">
        <x:v>6.3410918379000005</x:v>
      </x:c>
      <x:c r="N135" s="24" t="str">
        <x:v>palaemon serratus</x:v>
      </x:c>
      <x:c r="O135" s="32" t="n">
        <x:v>2.69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Palaemon serratus</x:v>
      </x:c>
      <x:c r="T135" s="32" t="n">
        <x:f>IF(O135="","",(1/'Metadata'!$B$5)^(O135-1))</x:f>
        <x:v>48.97788193684461</x:v>
      </x:c>
      <x:c r="U135" s="31" t="n">
        <x:f>IF(T135="","",I135*T135)</x:f>
        <x:v>759.9275256409722</x:v>
      </x:c>
    </x:row>
    <x:row r="136" ht="18" customHeight="1">
      <x:c r="A136" s="24" t="str">
        <x:v>EEZ_963</x:v>
      </x:c>
      <x:c r="B136" s="24" t="str">
        <x:v>Spain (Northwest)</x:v>
      </x:c>
      <x:c r="C136" s="24" t="str">
        <x:v>EEZ</x:v>
      </x:c>
      <x:c r="D136" s="30" t="n">
        <x:v>2019</x:v>
      </x:c>
      <x:c r="E136" s="24" t="str">
        <x:v>Auxis thazard</x:v>
      </x:c>
      <x:c r="F136" s="24" t="str">
        <x:v>Frigate tuna</x:v>
      </x:c>
      <x:c r="G136" s="24" t="str">
        <x:v>Medium pelagics (30 - 89 cm)</x:v>
      </x:c>
      <x:c r="H136" s="24" t="str">
        <x:v>Tuna &amp; billfishes</x:v>
      </x:c>
      <x:c r="I136" s="31" t="n">
        <x:v>15.323909395700001</x:v>
      </x:c>
      <x:c r="J136" s="31" t="n">
        <x:v>15.323909395700001</x:v>
      </x:c>
      <x:c r="K136" s="31" t="n">
        <x:v>0</x:v>
      </x:c>
      <x:c r="L136" s="31" t="n">
        <x:v>14.1287527917</x:v>
      </x:c>
      <x:c r="M136" s="31" t="n">
        <x:v>1.195156604</x:v>
      </x:c>
      <x:c r="N136" s="24" t="str">
        <x:v>auxis thazard</x:v>
      </x:c>
      <x:c r="O136" s="32" t="n">
        <x:v>4.37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Auxis thazard</x:v>
      </x:c>
      <x:c r="T136" s="32" t="n">
        <x:f>IF(O136="","",(1/'Metadata'!$B$5)^(O136-1))</x:f>
        <x:v>2344.228815319923</x:v>
      </x:c>
      <x:c r="U136" s="31" t="n">
        <x:f>IF(T136="","",I136*T136)</x:f>
        <x:v>35922.74996875165</x:v>
      </x:c>
    </x:row>
    <x:row r="137" ht="18" customHeight="1">
      <x:c r="A137" s="24" t="str">
        <x:v>EEZ_963</x:v>
      </x:c>
      <x:c r="B137" s="24" t="str">
        <x:v>Spain (Northwest)</x:v>
      </x:c>
      <x:c r="C137" s="24" t="str">
        <x:v>EEZ</x:v>
      </x:c>
      <x:c r="D137" s="30" t="n">
        <x:v>2019</x:v>
      </x:c>
      <x:c r="E137" s="24" t="str">
        <x:v>Mytilus galloprovincialis</x:v>
      </x:c>
      <x:c r="F137" s="24" t="str">
        <x:v>Mediterranean mussel</x:v>
      </x:c>
      <x:c r="G137" s="24" t="str">
        <x:v>Other demersal invertebrates</x:v>
      </x:c>
      <x:c r="H137" s="24" t="str">
        <x:v>Molluscs</x:v>
      </x:c>
      <x:c r="I137" s="31" t="n">
        <x:v>15.1998529617</x:v>
      </x:c>
      <x:c r="J137" s="31" t="n">
        <x:v>15.1998529617</x:v>
      </x:c>
      <x:c r="K137" s="31" t="n">
        <x:v>0</x:v>
      </x:c>
      <x:c r="L137" s="31" t="n">
        <x:v>10.5063910299</x:v>
      </x:c>
      <x:c r="M137" s="31" t="n">
        <x:v>4.6934619318</x:v>
      </x:c>
      <x:c r="N137" s="24" t="str">
        <x:v>mytilus galloprovincialis</x:v>
      </x:c>
      <x:c r="O137" s="32" t="n">
        <x:v>2.69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Mytilus galloprovincialis</x:v>
      </x:c>
      <x:c r="T137" s="32" t="n">
        <x:f>IF(O137="","",(1/'Metadata'!$B$5)^(O137-1))</x:f>
        <x:v>48.97788193684461</x:v>
      </x:c>
      <x:c r="U137" s="31" t="n">
        <x:f>IF(T137="","",I137*T137)</x:f>
        <x:v>744.4566038155405</x:v>
      </x:c>
    </x:row>
    <x:row r="138" ht="18" customHeight="1">
      <x:c r="A138" s="24" t="str">
        <x:v>EEZ_963</x:v>
      </x:c>
      <x:c r="B138" s="24" t="str">
        <x:v>Spain (Northwest)</x:v>
      </x:c>
      <x:c r="C138" s="24" t="str">
        <x:v>EEZ</x:v>
      </x:c>
      <x:c r="D138" s="30" t="n">
        <x:v>2019</x:v>
      </x:c>
      <x:c r="E138" s="24" t="str">
        <x:v>Sparidae</x:v>
      </x:c>
      <x:c r="F138" s="24" t="str">
        <x:v>Porgies, seabreams</x:v>
      </x:c>
      <x:c r="G138" s="24" t="str">
        <x:v>Medium benthopelagics (30 - 89 cm)</x:v>
      </x:c>
      <x:c r="H138" s="24" t="str">
        <x:v>Perch-likes</x:v>
      </x:c>
      <x:c r="I138" s="31" t="n">
        <x:v>15.158191366499999</x:v>
      </x:c>
      <x:c r="J138" s="31" t="n">
        <x:v>15.158191366499999</x:v>
      </x:c>
      <x:c r="K138" s="31" t="n">
        <x:v>0</x:v>
      </x:c>
      <x:c r="L138" s="31" t="n">
        <x:v>12.218921351799999</x:v>
      </x:c>
      <x:c r="M138" s="31" t="n">
        <x:v>2.9392700147</x:v>
      </x:c>
      <x:c r="N138" s="24" t="str">
        <x:v>sparidae</x:v>
      </x:c>
      <x:c r="O138" s="32" t="n">
        <x:v>3.31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Sparidae</x:v>
      </x:c>
      <x:c r="T138" s="32" t="n">
        <x:f>IF(O138="","",(1/'Metadata'!$B$5)^(O138-1))</x:f>
        <x:v>204.17379446695296</x:v>
      </x:c>
      <x:c r="U138" s="31" t="n">
        <x:f>IF(T138="","",I138*T138)</x:f>
        <x:v>3094.9054485545116</x:v>
      </x:c>
    </x:row>
    <x:row r="139" ht="18" customHeight="1">
      <x:c r="A139" s="24" t="str">
        <x:v>EEZ_963</x:v>
      </x:c>
      <x:c r="B139" s="24" t="str">
        <x:v>Spain (Northwest)</x:v>
      </x:c>
      <x:c r="C139" s="24" t="str">
        <x:v>EEZ</x:v>
      </x:c>
      <x:c r="D139" s="30" t="n">
        <x:v>2019</x:v>
      </x:c>
      <x:c r="E139" s="24" t="str">
        <x:v>Mora moro</x:v>
      </x:c>
      <x:c r="F139" s="24" t="str">
        <x:v>Common mora</x:v>
      </x:c>
      <x:c r="G139" s="24" t="str">
        <x:v>Medium bathypelagics (30 - 89 cm)</x:v>
      </x:c>
      <x:c r="H139" s="24" t="str">
        <x:v>Cod-likes</x:v>
      </x:c>
      <x:c r="I139" s="31" t="n">
        <x:v>15.021406215699999</x:v>
      </x:c>
      <x:c r="J139" s="31" t="n">
        <x:v>15.021406215699999</x:v>
      </x:c>
      <x:c r="K139" s="31" t="n">
        <x:v>0</x:v>
      </x:c>
      <x:c r="L139" s="31" t="n">
        <x:v>15.021406215699999</x:v>
      </x:c>
      <x:c r="M139" s="31" t="n">
        <x:v>0</x:v>
      </x:c>
      <x:c r="N139" s="24" t="str">
        <x:v>mora moro</x:v>
      </x:c>
      <x:c r="O139" s="32" t="n">
        <x:v>3.75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Mora moro</x:v>
      </x:c>
      <x:c r="T139" s="32" t="n">
        <x:f>IF(O139="","",(1/'Metadata'!$B$5)^(O139-1))</x:f>
        <x:v>562.341325190349</x:v>
      </x:c>
      <x:c r="U139" s="31" t="n">
        <x:f>IF(T139="","",I139*T139)</x:f>
        <x:v>8447.157477559284</x:v>
      </x:c>
    </x:row>
    <x:row r="140" ht="18" customHeight="1">
      <x:c r="A140" s="24" t="str">
        <x:v>EEZ_963</x:v>
      </x:c>
      <x:c r="B140" s="24" t="str">
        <x:v>Spain (Northwest)</x:v>
      </x:c>
      <x:c r="C140" s="24" t="str">
        <x:v>EEZ</x:v>
      </x:c>
      <x:c r="D140" s="30" t="n">
        <x:v>2019</x:v>
      </x:c>
      <x:c r="E140" s="24" t="str">
        <x:v>Gadidae</x:v>
      </x:c>
      <x:c r="F140" s="24" t="str">
        <x:v>Cods, haddocks</x:v>
      </x:c>
      <x:c r="G140" s="24" t="str">
        <x:v>Medium demersals (30 - 89 cm)</x:v>
      </x:c>
      <x:c r="H140" s="24" t="str">
        <x:v>Cod-likes</x:v>
      </x:c>
      <x:c r="I140" s="31" t="n">
        <x:v>14.828240358599999</x:v>
      </x:c>
      <x:c r="J140" s="31" t="n">
        <x:v>0</x:v>
      </x:c>
      <x:c r="K140" s="31" t="n">
        <x:v>14.828240358599999</x:v>
      </x:c>
      <x:c r="L140" s="31" t="n">
        <x:v>0</x:v>
      </x:c>
      <x:c r="M140" s="31" t="n">
        <x:v>14.828240358599999</x:v>
      </x:c>
      <x:c r="N140" s="24" t="str">
        <x:v>gadidae</x:v>
      </x:c>
      <x:c r="O140" s="32" t="n">
        <x:v>3.84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Gadidae</x:v>
      </x:c>
      <x:c r="T140" s="32" t="n">
        <x:f>IF(O140="","",(1/'Metadata'!$B$5)^(O140-1))</x:f>
        <x:v>691.8309709189363</x:v>
      </x:c>
      <x:c r="U140" s="31" t="n">
        <x:f>IF(T140="","",I140*T140)</x:f>
        <x:v>10258.635924309592</x:v>
      </x:c>
    </x:row>
    <x:row r="141" ht="18" customHeight="1">
      <x:c r="A141" s="24" t="str">
        <x:v>EEZ_963</x:v>
      </x:c>
      <x:c r="B141" s="24" t="str">
        <x:v>Spain (Northwest)</x:v>
      </x:c>
      <x:c r="C141" s="24" t="str">
        <x:v>EEZ</x:v>
      </x:c>
      <x:c r="D141" s="30" t="n">
        <x:v>2019</x:v>
      </x:c>
      <x:c r="E141" s="24" t="str">
        <x:v>Trachurus picturatus</x:v>
      </x:c>
      <x:c r="F141" s="24" t="str">
        <x:v>Blue jack mackerel</x:v>
      </x:c>
      <x:c r="G141" s="24" t="str">
        <x:v>Medium benthopelagics (30 - 89 cm)</x:v>
      </x:c>
      <x:c r="H141" s="24" t="str">
        <x:v>Perch-likes</x:v>
      </x:c>
      <x:c r="I141" s="31" t="n">
        <x:v>14.684866210000001</x:v>
      </x:c>
      <x:c r="J141" s="31" t="n">
        <x:v>14.684866210000001</x:v>
      </x:c>
      <x:c r="K141" s="31" t="n">
        <x:v>0</x:v>
      </x:c>
      <x:c r="L141" s="31" t="n">
        <x:v>13.77413163</x:v>
      </x:c>
      <x:c r="M141" s="31" t="n">
        <x:v>0.9107345800000001</x:v>
      </x:c>
      <x:c r="N141" s="24" t="str">
        <x:v>trachurus picturatus</x:v>
      </x:c>
      <x:c r="O141" s="32" t="n">
        <x:v>3.32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Trachurus picturatus</x:v>
      </x:c>
      <x:c r="T141" s="32" t="n">
        <x:f>IF(O141="","",(1/'Metadata'!$B$5)^(O141-1))</x:f>
        <x:v>208.92961308540387</x:v>
      </x:c>
      <x:c r="U141" s="31" t="n">
        <x:f>IF(T141="","",I141*T141)</x:f>
        <x:v>3068.1034154662216</x:v>
      </x:c>
    </x:row>
    <x:row r="142" ht="18" customHeight="1">
      <x:c r="A142" s="24" t="str">
        <x:v>EEZ_963</x:v>
      </x:c>
      <x:c r="B142" s="24" t="str">
        <x:v>Spain (Northwest)</x:v>
      </x:c>
      <x:c r="C142" s="24" t="str">
        <x:v>EEZ</x:v>
      </x:c>
      <x:c r="D142" s="30" t="n">
        <x:v>2019</x:v>
      </x:c>
      <x:c r="E142" s="24" t="str">
        <x:v>Polititapes rhomboides</x:v>
      </x:c>
      <x:c r="F142" s="24" t="str">
        <x:v>Banded carpet shell</x:v>
      </x:c>
      <x:c r="G142" s="24" t="str">
        <x:v>Other demersal invertebrates</x:v>
      </x:c>
      <x:c r="H142" s="24" t="str">
        <x:v>Molluscs</x:v>
      </x:c>
      <x:c r="I142" s="31" t="n">
        <x:v>13.7227657076</x:v>
      </x:c>
      <x:c r="J142" s="31" t="n">
        <x:v>13.7227657076</x:v>
      </x:c>
      <x:c r="K142" s="31" t="n">
        <x:v>0</x:v>
      </x:c>
      <x:c r="L142" s="31" t="n">
        <x:v>7.340489537800001</x:v>
      </x:c>
      <x:c r="M142" s="31" t="n">
        <x:v>6.3822761698</x:v>
      </x:c>
      <x:c r="N142" s="24" t="str">
        <x:v>polititapes rhomboides</x:v>
      </x:c>
      <x:c r="O142" s="32" t="n">
        <x:v>2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Polititapes rhomboides</x:v>
      </x:c>
      <x:c r="T142" s="32" t="n">
        <x:f>IF(O142="","",(1/'Metadata'!$B$5)^(O142-1))</x:f>
        <x:v>10</x:v>
      </x:c>
      <x:c r="U142" s="31" t="n">
        <x:f>IF(T142="","",I142*T142)</x:f>
        <x:v>137.227657076</x:v>
      </x:c>
    </x:row>
    <x:row r="143" ht="18" customHeight="1">
      <x:c r="A143" s="24" t="str">
        <x:v>EEZ_963</x:v>
      </x:c>
      <x:c r="B143" s="24" t="str">
        <x:v>Spain (Northwest)</x:v>
      </x:c>
      <x:c r="C143" s="24" t="str">
        <x:v>EEZ</x:v>
      </x:c>
      <x:c r="D143" s="30" t="n">
        <x:v>2019</x:v>
      </x:c>
      <x:c r="E143" s="24" t="str">
        <x:v>Soleidae</x:v>
      </x:c>
      <x:c r="F143" s="24" t="str">
        <x:v>Soles</x:v>
      </x:c>
      <x:c r="G143" s="24" t="str">
        <x:v>Small to medium flatfishes (&lt;90 cm)</x:v>
      </x:c>
      <x:c r="H143" s="24" t="str">
        <x:v>Flatfishes</x:v>
      </x:c>
      <x:c r="I143" s="31" t="n">
        <x:v>13.6046422137</x:v>
      </x:c>
      <x:c r="J143" s="31" t="n">
        <x:v>5.8109583768999995</x:v>
      </x:c>
      <x:c r="K143" s="31" t="n">
        <x:v>7.7936838368</x:v>
      </x:c>
      <x:c r="L143" s="31" t="n">
        <x:v>5.809727723</x:v>
      </x:c>
      <x:c r="M143" s="31" t="n">
        <x:v>7.794914490699999</x:v>
      </x:c>
      <x:c r="N143" s="24" t="str">
        <x:v>soleidae</x:v>
      </x:c>
      <x:c r="O143" s="32" t="n">
        <x:v>3.15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Soleidae</x:v>
      </x:c>
      <x:c r="T143" s="32" t="n">
        <x:f>IF(O143="","",(1/'Metadata'!$B$5)^(O143-1))</x:f>
        <x:v>141.2537544622754</x:v>
      </x:c>
      <x:c r="U143" s="31" t="n">
        <x:f>IF(T143="","",I143*T143)</x:f>
        <x:v>1921.7067908010865</x:v>
      </x:c>
    </x:row>
    <x:row r="144" ht="18" customHeight="1">
      <x:c r="A144" s="24" t="str">
        <x:v>EEZ_963</x:v>
      </x:c>
      <x:c r="B144" s="24" t="str">
        <x:v>Spain (Northwest)</x:v>
      </x:c>
      <x:c r="C144" s="24" t="str">
        <x:v>EEZ</x:v>
      </x:c>
      <x:c r="D144" s="30" t="n">
        <x:v>2019</x:v>
      </x:c>
      <x:c r="E144" s="24" t="str">
        <x:v>Illex</x:v>
      </x:c>
      <x:c r="F144" s="24" t="str">
        <x:v>Shortfin squid</x:v>
      </x:c>
      <x:c r="G144" s="24" t="str">
        <x:v>Cephalopods</x:v>
      </x:c>
      <x:c r="H144" s="24" t="str">
        <x:v>Other fishes &amp; inverts</x:v>
      </x:c>
      <x:c r="I144" s="31" t="n">
        <x:v>13.473317965200001</x:v>
      </x:c>
      <x:c r="J144" s="31" t="n">
        <x:v>13.473317965200001</x:v>
      </x:c>
      <x:c r="K144" s="31" t="n">
        <x:v>0</x:v>
      </x:c>
      <x:c r="L144" s="31" t="n">
        <x:v>13.473317965200001</x:v>
      </x:c>
      <x:c r="M144" s="31" t="n">
        <x:v>0</x:v>
      </x:c>
      <x:c r="N144" s="24" t="str">
        <x:v>illex</x:v>
      </x:c>
      <x:c r="O144" s="32" t="n">
        <x:v>3.98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Illex</x:v>
      </x:c>
      <x:c r="T144" s="32" t="n">
        <x:f>IF(O144="","",(1/'Metadata'!$B$5)^(O144-1))</x:f>
        <x:v>954.992586021436</x:v>
      </x:c>
      <x:c r="U144" s="31" t="n">
        <x:f>IF(T144="","",I144*T144)</x:f>
        <x:v>12866.918765875422</x:v>
      </x:c>
    </x:row>
    <x:row r="145" ht="18" customHeight="1">
      <x:c r="A145" s="24" t="str">
        <x:v>EEZ_963</x:v>
      </x:c>
      <x:c r="B145" s="24" t="str">
        <x:v>Spain (Northwest)</x:v>
      </x:c>
      <x:c r="C145" s="24" t="str">
        <x:v>EEZ</x:v>
      </x:c>
      <x:c r="D145" s="30" t="n">
        <x:v>2019</x:v>
      </x:c>
      <x:c r="E145" s="24" t="str">
        <x:v>Cephalopoda</x:v>
      </x:c>
      <x:c r="F145" s="24" t="str">
        <x:v>Squids, cuttlefishes, octopuses</x:v>
      </x:c>
      <x:c r="G145" s="24" t="str">
        <x:v>Cephalopods</x:v>
      </x:c>
      <x:c r="H145" s="24" t="str">
        <x:v>Other fishes &amp; inverts</x:v>
      </x:c>
      <x:c r="I145" s="31" t="n">
        <x:v>13.3035844085</x:v>
      </x:c>
      <x:c r="J145" s="31" t="n">
        <x:v>0</x:v>
      </x:c>
      <x:c r="K145" s="31" t="n">
        <x:v>13.3035844085</x:v>
      </x:c>
      <x:c r="L145" s="31" t="n">
        <x:v>0</x:v>
      </x:c>
      <x:c r="M145" s="31" t="n">
        <x:v>13.3035844085</x:v>
      </x:c>
      <x:c r="N145" s="24" t="str">
        <x:v>cephalopoda</x:v>
      </x:c>
      <x:c r="O145" s="32" t="n">
        <x:v>3.81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Cephalopoda</x:v>
      </x:c>
      <x:c r="T145" s="32" t="n">
        <x:f>IF(O145="","",(1/'Metadata'!$B$5)^(O145-1))</x:f>
        <x:v>645.6542290346556</x:v>
      </x:c>
      <x:c r="U145" s="31" t="n">
        <x:f>IF(T145="","",I145*T145)</x:f>
        <x:v>8589.515534667533</x:v>
      </x:c>
    </x:row>
    <x:row r="146" ht="18" customHeight="1">
      <x:c r="A146" s="24" t="str">
        <x:v>EEZ_963</x:v>
      </x:c>
      <x:c r="B146" s="24" t="str">
        <x:v>Spain (Northwest)</x:v>
      </x:c>
      <x:c r="C146" s="24" t="str">
        <x:v>EEZ</x:v>
      </x:c>
      <x:c r="D146" s="30" t="n">
        <x:v>2019</x:v>
      </x:c>
      <x:c r="E146" s="24" t="str">
        <x:v>Argentina</x:v>
      </x:c>
      <x:c r="F146" s="24" t="str">
        <x:v>Argentines</x:v>
      </x:c>
      <x:c r="G146" s="24" t="str">
        <x:v>Medium bathydemersals (30 - 89 cm)</x:v>
      </x:c>
      <x:c r="H146" s="24" t="str">
        <x:v>Salmon, smelts, etc</x:v>
      </x:c>
      <x:c r="I146" s="31" t="n">
        <x:v>13.127154383</x:v>
      </x:c>
      <x:c r="J146" s="31" t="n">
        <x:v>13.127154383</x:v>
      </x:c>
      <x:c r="K146" s="31" t="n">
        <x:v>0</x:v>
      </x:c>
      <x:c r="L146" s="31" t="n">
        <x:v>13.127154383</x:v>
      </x:c>
      <x:c r="M146" s="31" t="n">
        <x:v>0</x:v>
      </x:c>
      <x:c r="N146" s="24" t="str">
        <x:v>argentina</x:v>
      </x:c>
      <x:c r="O146" s="32" t="n">
        <x:v>3.35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Argentina</x:v>
      </x:c>
      <x:c r="T146" s="32" t="n">
        <x:f>IF(O146="","",(1/'Metadata'!$B$5)^(O146-1))</x:f>
        <x:v>223.872113856834</x:v>
      </x:c>
      <x:c r="U146" s="31" t="n">
        <x:f>IF(T146="","",I146*T146)</x:f>
        <x:v>2938.803800647214</x:v>
      </x:c>
    </x:row>
    <x:row r="147" ht="18" customHeight="1">
      <x:c r="A147" s="24" t="str">
        <x:v>EEZ_963</x:v>
      </x:c>
      <x:c r="B147" s="24" t="str">
        <x:v>Spain (Northwest)</x:v>
      </x:c>
      <x:c r="C147" s="24" t="str">
        <x:v>EEZ</x:v>
      </x:c>
      <x:c r="D147" s="30" t="n">
        <x:v>2019</x:v>
      </x:c>
      <x:c r="E147" s="24" t="str">
        <x:v>Alopias vulpinus</x:v>
      </x:c>
      <x:c r="F147" s="24" t="str">
        <x:v>Thresher</x:v>
      </x:c>
      <x:c r="G147" s="24" t="str">
        <x:v>Large sharks (&gt;=90 cm)</x:v>
      </x:c>
      <x:c r="H147" s="24" t="str">
        <x:v>Sharks &amp; rays</x:v>
      </x:c>
      <x:c r="I147" s="31" t="n">
        <x:v>13.0082254634</x:v>
      </x:c>
      <x:c r="J147" s="31" t="n">
        <x:v>13.0082254634</x:v>
      </x:c>
      <x:c r="K147" s="31" t="n">
        <x:v>0</x:v>
      </x:c>
      <x:c r="L147" s="31" t="n">
        <x:v>13.0082254634</x:v>
      </x:c>
      <x:c r="M147" s="31" t="n">
        <x:v>0</x:v>
      </x:c>
      <x:c r="N147" s="24" t="str">
        <x:v>alopias vulpinus</x:v>
      </x:c>
      <x:c r="O147" s="32" t="n">
        <x:v>4.5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Alopias vulpinus</x:v>
      </x:c>
      <x:c r="T147" s="32" t="n">
        <x:f>IF(O147="","",(1/'Metadata'!$B$5)^(O147-1))</x:f>
        <x:v>3162.2776601683795</x:v>
      </x:c>
      <x:c r="U147" s="31" t="n">
        <x:f>IF(T147="","",I147*T147)</x:f>
        <x:v>41135.620781343285</x:v>
      </x:c>
    </x:row>
    <x:row r="148" ht="18" customHeight="1">
      <x:c r="A148" s="24" t="str">
        <x:v>EEZ_963</x:v>
      </x:c>
      <x:c r="B148" s="24" t="str">
        <x:v>Spain (Northwest)</x:v>
      </x:c>
      <x:c r="C148" s="24" t="str">
        <x:v>EEZ</x:v>
      </x:c>
      <x:c r="D148" s="30" t="n">
        <x:v>2019</x:v>
      </x:c>
      <x:c r="E148" s="24" t="str">
        <x:v>Serranus cabrilla</x:v>
      </x:c>
      <x:c r="F148" s="24" t="str">
        <x:v>Comber</x:v>
      </x:c>
      <x:c r="G148" s="24" t="str">
        <x:v>Medium bathydemersals (30 - 89 cm)</x:v>
      </x:c>
      <x:c r="H148" s="24" t="str">
        <x:v>Perch-likes</x:v>
      </x:c>
      <x:c r="I148" s="31" t="n">
        <x:v>12.9516269311</x:v>
      </x:c>
      <x:c r="J148" s="31" t="n">
        <x:v>12.9516269311</x:v>
      </x:c>
      <x:c r="K148" s="31" t="n">
        <x:v>0</x:v>
      </x:c>
      <x:c r="L148" s="31" t="n">
        <x:v>12.9516269311</x:v>
      </x:c>
      <x:c r="M148" s="31" t="n">
        <x:v>0</x:v>
      </x:c>
      <x:c r="N148" s="24" t="str">
        <x:v>serranus cabrilla</x:v>
      </x:c>
      <x:c r="O148" s="32" t="n">
        <x:v>3.35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Serranus cabrilla</x:v>
      </x:c>
      <x:c r="T148" s="32" t="n">
        <x:f>IF(O148="","",(1/'Metadata'!$B$5)^(O148-1))</x:f>
        <x:v>223.872113856834</x:v>
      </x:c>
      <x:c r="U148" s="31" t="n">
        <x:f>IF(T148="","",I148*T148)</x:f>
        <x:v>2899.5080989504568</x:v>
      </x:c>
    </x:row>
    <x:row r="149" ht="18" customHeight="1">
      <x:c r="A149" s="24" t="str">
        <x:v>EEZ_963</x:v>
      </x:c>
      <x:c r="B149" s="24" t="str">
        <x:v>Spain (Northwest)</x:v>
      </x:c>
      <x:c r="C149" s="24" t="str">
        <x:v>EEZ</x:v>
      </x:c>
      <x:c r="D149" s="30" t="n">
        <x:v>2019</x:v>
      </x:c>
      <x:c r="E149" s="24" t="str">
        <x:v>Katsuwonus pelamis</x:v>
      </x:c>
      <x:c r="F149" s="24" t="str">
        <x:v>Skipjack tuna</x:v>
      </x:c>
      <x:c r="G149" s="24" t="str">
        <x:v>Large pelagics (&gt;=90 cm)</x:v>
      </x:c>
      <x:c r="H149" s="24" t="str">
        <x:v>Tuna &amp; billfishes</x:v>
      </x:c>
      <x:c r="I149" s="31" t="n">
        <x:v>12.1190061057</x:v>
      </x:c>
      <x:c r="J149" s="31" t="n">
        <x:v>12.1190061057</x:v>
      </x:c>
      <x:c r="K149" s="31" t="n">
        <x:v>0</x:v>
      </x:c>
      <x:c r="L149" s="31" t="n">
        <x:v>12.1190061057</x:v>
      </x:c>
      <x:c r="M149" s="31" t="n">
        <x:v>0</x:v>
      </x:c>
      <x:c r="N149" s="24" t="str">
        <x:v>katsuwonus pelamis</x:v>
      </x:c>
      <x:c r="O149" s="32" t="n">
        <x:v>4.43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Katsuwonus pelamis</x:v>
      </x:c>
      <x:c r="T149" s="32" t="n">
        <x:f>IF(O149="","",(1/'Metadata'!$B$5)^(O149-1))</x:f>
        <x:v>2691.534803926914</x:v>
      </x:c>
      <x:c r="U149" s="31" t="n">
        <x:f>IF(T149="","",I149*T149)</x:f>
        <x:v>32618.72672249432</x:v>
      </x:c>
    </x:row>
    <x:row r="150" ht="18" customHeight="1">
      <x:c r="A150" s="24" t="str">
        <x:v>EEZ_963</x:v>
      </x:c>
      <x:c r="B150" s="24" t="str">
        <x:v>Spain (Northwest)</x:v>
      </x:c>
      <x:c r="C150" s="24" t="str">
        <x:v>EEZ</x:v>
      </x:c>
      <x:c r="D150" s="30" t="n">
        <x:v>2019</x:v>
      </x:c>
      <x:c r="E150" s="24" t="str">
        <x:v>Scorpaena porcus</x:v>
      </x:c>
      <x:c r="F150" s="24" t="str">
        <x:v>Black scorpionfish</x:v>
      </x:c>
      <x:c r="G150" s="24" t="str">
        <x:v>Small demersals (&lt;30 cm)</x:v>
      </x:c>
      <x:c r="H150" s="24" t="str">
        <x:v>Scorpionfishes</x:v>
      </x:c>
      <x:c r="I150" s="31" t="n">
        <x:v>12.0892315221</x:v>
      </x:c>
      <x:c r="J150" s="31" t="n">
        <x:v>12.0892315221</x:v>
      </x:c>
      <x:c r="K150" s="31" t="n">
        <x:v>0</x:v>
      </x:c>
      <x:c r="L150" s="31" t="n">
        <x:v>5.34815662</x:v>
      </x:c>
      <x:c r="M150" s="31" t="n">
        <x:v>6.7410749021</x:v>
      </x:c>
      <x:c r="N150" s="24" t="str">
        <x:v>scorpaena porcus</x:v>
      </x:c>
      <x:c r="O150" s="32" t="n">
        <x:v>3.92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Scorpaena porcus</x:v>
      </x:c>
      <x:c r="T150" s="32" t="n">
        <x:f>IF(O150="","",(1/'Metadata'!$B$5)^(O150-1))</x:f>
        <x:v>831.7637711026708</x:v>
      </x:c>
      <x:c r="U150" s="31" t="n">
        <x:f>IF(T150="","",I150*T150)</x:f>
        <x:v>10055.384800555177</x:v>
      </x:c>
    </x:row>
    <x:row r="151" ht="18" customHeight="1">
      <x:c r="A151" s="24" t="str">
        <x:v>EEZ_963</x:v>
      </x:c>
      <x:c r="B151" s="24" t="str">
        <x:v>Spain (Northwest)</x:v>
      </x:c>
      <x:c r="C151" s="24" t="str">
        <x:v>EEZ</x:v>
      </x:c>
      <x:c r="D151" s="30" t="n">
        <x:v>2019</x:v>
      </x:c>
      <x:c r="E151" s="24" t="str">
        <x:v>Scomber</x:v>
      </x:c>
      <x:c r="F151" s="24" t="str">
        <x:v>Chub mackerels</x:v>
      </x:c>
      <x:c r="G151" s="24" t="str">
        <x:v>Medium pelagics (30 - 89 cm)</x:v>
      </x:c>
      <x:c r="H151" s="24" t="str">
        <x:v>Perch-likes</x:v>
      </x:c>
      <x:c r="I151" s="31" t="n">
        <x:v>11.649000565</x:v>
      </x:c>
      <x:c r="J151" s="31" t="n">
        <x:v>11.649000565</x:v>
      </x:c>
      <x:c r="K151" s="31" t="n">
        <x:v>0</x:v>
      </x:c>
      <x:c r="L151" s="31" t="n">
        <x:v>10.7932334629</x:v>
      </x:c>
      <x:c r="M151" s="31" t="n">
        <x:v>0.8557671021000001</x:v>
      </x:c>
      <x:c r="N151" s="24" t="str">
        <x:v>scomber</x:v>
      </x:c>
      <x:c r="O151" s="32" t="n">
        <x:v>3.65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Scomber</x:v>
      </x:c>
      <x:c r="T151" s="32" t="n">
        <x:f>IF(O151="","",(1/'Metadata'!$B$5)^(O151-1))</x:f>
        <x:v>446.683592150963</x:v>
      </x:c>
      <x:c r="U151" s="31" t="n">
        <x:f>IF(T151="","",I151*T151)</x:f>
        <x:v>5203.417417342797</x:v>
      </x:c>
    </x:row>
    <x:row r="152" ht="18" customHeight="1">
      <x:c r="A152" s="24" t="str">
        <x:v>EEZ_963</x:v>
      </x:c>
      <x:c r="B152" s="24" t="str">
        <x:v>Spain (Northwest)</x:v>
      </x:c>
      <x:c r="C152" s="24" t="str">
        <x:v>EEZ</x:v>
      </x:c>
      <x:c r="D152" s="30" t="n">
        <x:v>2019</x:v>
      </x:c>
      <x:c r="E152" s="24" t="str">
        <x:v>Beryx decadactylus</x:v>
      </x:c>
      <x:c r="F152" s="24" t="str">
        <x:v>Alfonsino</x:v>
      </x:c>
      <x:c r="G152" s="24" t="str">
        <x:v>Medium bathydemersals (30 - 89 cm)</x:v>
      </x:c>
      <x:c r="H152" s="24" t="str">
        <x:v>Other fishes &amp; inverts</x:v>
      </x:c>
      <x:c r="I152" s="31" t="n">
        <x:v>11.5192409121</x:v>
      </x:c>
      <x:c r="J152" s="31" t="n">
        <x:v>11.5192409121</x:v>
      </x:c>
      <x:c r="K152" s="31" t="n">
        <x:v>0</x:v>
      </x:c>
      <x:c r="L152" s="31" t="n">
        <x:v>9.189066011</x:v>
      </x:c>
      <x:c r="M152" s="31" t="n">
        <x:v>2.3301749011</x:v>
      </x:c>
      <x:c r="N152" s="24" t="str">
        <x:v>beryx decadactylus</x:v>
      </x:c>
      <x:c r="O152" s="32" t="n">
        <x:v>4.13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Beryx decadactylus</x:v>
      </x:c>
      <x:c r="T152" s="32" t="n">
        <x:f>IF(O152="","",(1/'Metadata'!$B$5)^(O152-1))</x:f>
        <x:v>1348.9628825916532</x:v>
      </x:c>
      <x:c r="U152" s="31" t="n">
        <x:f>IF(T152="","",I152*T152)</x:f>
        <x:v>15539.028426054121</x:v>
      </x:c>
    </x:row>
    <x:row r="153" ht="18" customHeight="1">
      <x:c r="A153" s="24" t="str">
        <x:v>EEZ_963</x:v>
      </x:c>
      <x:c r="B153" s="24" t="str">
        <x:v>Spain (Northwest)</x:v>
      </x:c>
      <x:c r="C153" s="24" t="str">
        <x:v>EEZ</x:v>
      </x:c>
      <x:c r="D153" s="30" t="n">
        <x:v>2019</x:v>
      </x:c>
      <x:c r="E153" s="24" t="str">
        <x:v>Phycis</x:v>
      </x:c>
      <x:c r="F153" s="24" t="str">
        <x:v>Gunnels, forkbeards</x:v>
      </x:c>
      <x:c r="G153" s="24" t="str">
        <x:v>Medium benthopelagics (30 - 89 cm)</x:v>
      </x:c>
      <x:c r="H153" s="24" t="str">
        <x:v>Cod-likes</x:v>
      </x:c>
      <x:c r="I153" s="31" t="n">
        <x:v>11.082169231</x:v>
      </x:c>
      <x:c r="J153" s="31" t="n">
        <x:v>11.082169231</x:v>
      </x:c>
      <x:c r="K153" s="31" t="n">
        <x:v>0</x:v>
      </x:c>
      <x:c r="L153" s="31" t="n">
        <x:v>5.7791168938999995</x:v>
      </x:c>
      <x:c r="M153" s="31" t="n">
        <x:v>5.3030523371000005</x:v>
      </x:c>
      <x:c r="N153" s="24" t="str">
        <x:v>phycis</x:v>
      </x:c>
      <x:c r="O153" s="32" t="n">
        <x:v>3.99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Phycis</x:v>
      </x:c>
      <x:c r="T153" s="32" t="n">
        <x:f>IF(O153="","",(1/'Metadata'!$B$5)^(O153-1))</x:f>
        <x:v>977.2372209558112</x:v>
      </x:c>
      <x:c r="U153" s="31" t="n">
        <x:f>IF(T153="","",I153*T153)</x:f>
        <x:v>10829.90826146444</x:v>
      </x:c>
    </x:row>
    <x:row r="154" ht="18" customHeight="1">
      <x:c r="A154" s="24" t="str">
        <x:v>EEZ_963</x:v>
      </x:c>
      <x:c r="B154" s="24" t="str">
        <x:v>Spain (Northwest)</x:v>
      </x:c>
      <x:c r="C154" s="24" t="str">
        <x:v>EEZ</x:v>
      </x:c>
      <x:c r="D154" s="30" t="n">
        <x:v>2019</x:v>
      </x:c>
      <x:c r="E154" s="24" t="str">
        <x:v>Pleuronectidae</x:v>
      </x:c>
      <x:c r="F154" s="24" t="str">
        <x:v>Righteye flounders</x:v>
      </x:c>
      <x:c r="G154" s="24" t="str">
        <x:v>Small to medium flatfishes (&lt;90 cm)</x:v>
      </x:c>
      <x:c r="H154" s="24" t="str">
        <x:v>Flatfishes</x:v>
      </x:c>
      <x:c r="I154" s="31" t="n">
        <x:v>10.7350772915</x:v>
      </x:c>
      <x:c r="J154" s="31" t="n">
        <x:v>0.2328079171</x:v>
      </x:c>
      <x:c r="K154" s="31" t="n">
        <x:v>10.5022693744</x:v>
      </x:c>
      <x:c r="L154" s="31" t="n">
        <x:v>0.2328079171</x:v>
      </x:c>
      <x:c r="M154" s="31" t="n">
        <x:v>10.5022693744</x:v>
      </x:c>
      <x:c r="N154" s="24" t="str">
        <x:v>pleuronectidae</x:v>
      </x:c>
      <x:c r="O154" s="32" t="n">
        <x:v>3.49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Pleuronectidae</x:v>
      </x:c>
      <x:c r="T154" s="32" t="n">
        <x:f>IF(O154="","",(1/'Metadata'!$B$5)^(O154-1))</x:f>
        <x:v>309.0295432513592</x:v>
      </x:c>
      <x:c r="U154" s="31" t="n">
        <x:f>IF(T154="","",I154*T154)</x:f>
        <x:v>3317.456032160283</x:v>
      </x:c>
    </x:row>
    <x:row r="155" ht="18" customHeight="1">
      <x:c r="A155" s="24" t="str">
        <x:v>EEZ_963</x:v>
      </x:c>
      <x:c r="B155" s="24" t="str">
        <x:v>Spain (Northwest)</x:v>
      </x:c>
      <x:c r="C155" s="24" t="str">
        <x:v>EEZ</x:v>
      </x:c>
      <x:c r="D155" s="30" t="n">
        <x:v>2019</x:v>
      </x:c>
      <x:c r="E155" s="24" t="str">
        <x:v>Labridae</x:v>
      </x:c>
      <x:c r="F155" s="24" t="str">
        <x:v>Wrasses, gropers, tuskfishes</x:v>
      </x:c>
      <x:c r="G155" s="24" t="str">
        <x:v>Medium reef assoc. fish (30 - 89 cm)</x:v>
      </x:c>
      <x:c r="H155" s="24" t="str">
        <x:v>Perch-likes</x:v>
      </x:c>
      <x:c r="I155" s="31" t="n">
        <x:v>10.4921761391</x:v>
      </x:c>
      <x:c r="J155" s="31" t="n">
        <x:v>10.4921761391</x:v>
      </x:c>
      <x:c r="K155" s="31" t="n">
        <x:v>0</x:v>
      </x:c>
      <x:c r="L155" s="31" t="n">
        <x:v>7.1057715131</x:v>
      </x:c>
      <x:c r="M155" s="31" t="n">
        <x:v>3.386404626</x:v>
      </x:c>
      <x:c r="N155" s="24" t="str">
        <x:v>labridae</x:v>
      </x:c>
      <x:c r="O155" s="32" t="n">
        <x:v>3.46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Labridae</x:v>
      </x:c>
      <x:c r="T155" s="32" t="n">
        <x:f>IF(O155="","",(1/'Metadata'!$B$5)^(O155-1))</x:f>
        <x:v>288.40315031266056</x:v>
      </x:c>
      <x:c r="U155" s="31" t="n">
        <x:f>IF(T155="","",I155*T155)</x:f>
        <x:v>3025.9766521517677</x:v>
      </x:c>
    </x:row>
    <x:row r="156" ht="18" customHeight="1">
      <x:c r="A156" s="24" t="str">
        <x:v>EEZ_963</x:v>
      </x:c>
      <x:c r="B156" s="24" t="str">
        <x:v>Spain (Northwest)</x:v>
      </x:c>
      <x:c r="C156" s="24" t="str">
        <x:v>EEZ</x:v>
      </x:c>
      <x:c r="D156" s="30" t="n">
        <x:v>2019</x:v>
      </x:c>
      <x:c r="E156" s="24" t="str">
        <x:v>Pagellus</x:v>
      </x:c>
      <x:c r="F156" s="24" t="str">
        <x:v>Pandoras</x:v>
      </x:c>
      <x:c r="G156" s="24" t="str">
        <x:v>Medium benthopelagics (30 - 89 cm)</x:v>
      </x:c>
      <x:c r="H156" s="24" t="str">
        <x:v>Perch-likes</x:v>
      </x:c>
      <x:c r="I156" s="31" t="n">
        <x:v>10.3767764681</x:v>
      </x:c>
      <x:c r="J156" s="31" t="n">
        <x:v>10.3767764681</x:v>
      </x:c>
      <x:c r="K156" s="31" t="n">
        <x:v>0</x:v>
      </x:c>
      <x:c r="L156" s="31" t="n">
        <x:v>1.7913441300000001</x:v>
      </x:c>
      <x:c r="M156" s="31" t="n">
        <x:v>8.585432338099999</x:v>
      </x:c>
      <x:c r="N156" s="24" t="str">
        <x:v>pagellus</x:v>
      </x:c>
      <x:c r="O156" s="32" t="n">
        <x:v>3.44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Pagellus</x:v>
      </x:c>
      <x:c r="T156" s="32" t="n">
        <x:f>IF(O156="","",(1/'Metadata'!$B$5)^(O156-1))</x:f>
        <x:v>275.4228703338166</x:v>
      </x:c>
      <x:c r="U156" s="31" t="n">
        <x:f>IF(T156="","",I156*T156)</x:f>
        <x:v>2858.0015596565054</x:v>
      </x:c>
    </x:row>
    <x:row r="157" ht="18" customHeight="1">
      <x:c r="A157" s="24" t="str">
        <x:v>EEZ_963</x:v>
      </x:c>
      <x:c r="B157" s="24" t="str">
        <x:v>Spain (Northwest)</x:v>
      </x:c>
      <x:c r="C157" s="24" t="str">
        <x:v>EEZ</x:v>
      </x:c>
      <x:c r="D157" s="30" t="n">
        <x:v>2019</x:v>
      </x:c>
      <x:c r="E157" s="24" t="str">
        <x:v>Lepidorhombus whiffiagonis</x:v>
      </x:c>
      <x:c r="F157" s="24" t="str">
        <x:v>Megrim</x:v>
      </x:c>
      <x:c r="G157" s="24" t="str">
        <x:v>Small to medium flatfishes (&lt;90 cm)</x:v>
      </x:c>
      <x:c r="H157" s="24" t="str">
        <x:v>Flatfishes</x:v>
      </x:c>
      <x:c r="I157" s="31" t="n">
        <x:v>10.103300867</x:v>
      </x:c>
      <x:c r="J157" s="31" t="n">
        <x:v>10.103300867</x:v>
      </x:c>
      <x:c r="K157" s="31" t="n">
        <x:v>0</x:v>
      </x:c>
      <x:c r="L157" s="31" t="n">
        <x:v>4.3319052319999996</x:v>
      </x:c>
      <x:c r="M157" s="31" t="n">
        <x:v>5.771395635</x:v>
      </x:c>
      <x:c r="N157" s="24" t="str">
        <x:v>lepidorhombus whiffiagonis</x:v>
      </x:c>
      <x:c r="O157" s="32" t="n">
        <x:v>4.34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Lepidorhombus whiffiagonis</x:v>
      </x:c>
      <x:c r="T157" s="32" t="n">
        <x:f>IF(O157="","",(1/'Metadata'!$B$5)^(O157-1))</x:f>
        <x:v>2187.761623949552</x:v>
      </x:c>
      <x:c r="U157" s="31" t="n">
        <x:f>IF(T157="","",I157*T157)</x:f>
        <x:v>22103.613912038836</x:v>
      </x:c>
    </x:row>
    <x:row r="158" ht="18" customHeight="1">
      <x:c r="A158" s="24" t="str">
        <x:v>EEZ_963</x:v>
      </x:c>
      <x:c r="B158" s="24" t="str">
        <x:v>Spain (Northwest)</x:v>
      </x:c>
      <x:c r="C158" s="24" t="str">
        <x:v>EEZ</x:v>
      </x:c>
      <x:c r="D158" s="30" t="n">
        <x:v>2019</x:v>
      </x:c>
      <x:c r="E158" s="24" t="str">
        <x:v>Squaliformes</x:v>
      </x:c>
      <x:c r="F158" s="24" t="str">
        <x:v>Bramble, sleeper, dogfish sharks</x:v>
      </x:c>
      <x:c r="G158" s="24" t="str">
        <x:v>Large sharks (&gt;=90 cm)</x:v>
      </x:c>
      <x:c r="H158" s="24" t="str">
        <x:v>Sharks &amp; rays</x:v>
      </x:c>
      <x:c r="I158" s="31" t="n">
        <x:v>10.087317410099999</x:v>
      </x:c>
      <x:c r="J158" s="31" t="n">
        <x:v>0</x:v>
      </x:c>
      <x:c r="K158" s="31" t="n">
        <x:v>10.087317410099999</x:v>
      </x:c>
      <x:c r="L158" s="31" t="n">
        <x:v>0</x:v>
      </x:c>
      <x:c r="M158" s="31" t="n">
        <x:v>10.087317410099999</x:v>
      </x:c>
      <x:c r="N158" s="24" t="str">
        <x:v>squaliformes</x:v>
      </x:c>
      <x:c r="O158" s="32" t="n">
        <x:v>4.19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Squaliformes</x:v>
      </x:c>
      <x:c r="T158" s="32" t="n">
        <x:f>IF(O158="","",(1/'Metadata'!$B$5)^(O158-1))</x:f>
        <x:v>1548.8166189124827</x:v>
      </x:c>
      <x:c r="U158" s="31" t="n">
        <x:f>IF(T158="","",I158*T158)</x:f>
        <x:v>15623.404845008103</x:v>
      </x:c>
    </x:row>
    <x:row r="159" ht="18" customHeight="1">
      <x:c r="A159" s="24" t="str">
        <x:v>EEZ_963</x:v>
      </x:c>
      <x:c r="B159" s="24" t="str">
        <x:v>Spain (Northwest)</x:v>
      </x:c>
      <x:c r="C159" s="24" t="str">
        <x:v>EEZ</x:v>
      </x:c>
      <x:c r="D159" s="30" t="n">
        <x:v>2019</x:v>
      </x:c>
      <x:c r="E159" s="24" t="str">
        <x:v>Trigla lyra</x:v>
      </x:c>
      <x:c r="F159" s="24" t="str">
        <x:v>Piper gurnard</x:v>
      </x:c>
      <x:c r="G159" s="24" t="str">
        <x:v>Medium bathydemersals (30 - 89 cm)</x:v>
      </x:c>
      <x:c r="H159" s="24" t="str">
        <x:v>Scorpionfishes</x:v>
      </x:c>
      <x:c r="I159" s="31" t="n">
        <x:v>10.0495920134</x:v>
      </x:c>
      <x:c r="J159" s="31" t="n">
        <x:v>10.0495920134</x:v>
      </x:c>
      <x:c r="K159" s="31" t="n">
        <x:v>0</x:v>
      </x:c>
      <x:c r="L159" s="31" t="n">
        <x:v>7.1223011884</x:v>
      </x:c>
      <x:c r="M159" s="31" t="n">
        <x:v>2.927290825</x:v>
      </x:c>
      <x:c r="N159" s="24" t="str">
        <x:v>trigla lyra</x:v>
      </x:c>
      <x:c r="O159" s="32" t="n">
        <x:v>3.65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Trigla lyra</x:v>
      </x:c>
      <x:c r="T159" s="32" t="n">
        <x:f>IF(O159="","",(1/'Metadata'!$B$5)^(O159-1))</x:f>
        <x:v>446.683592150963</x:v>
      </x:c>
      <x:c r="U159" s="31" t="n">
        <x:f>IF(T159="","",I159*T159)</x:f>
        <x:v>4488.98786019714</x:v>
      </x:c>
    </x:row>
    <x:row r="160" ht="18" customHeight="1">
      <x:c r="A160" s="24" t="str">
        <x:v>EEZ_963</x:v>
      </x:c>
      <x:c r="B160" s="24" t="str">
        <x:v>Spain (Northwest)</x:v>
      </x:c>
      <x:c r="C160" s="24" t="str">
        <x:v>EEZ</x:v>
      </x:c>
      <x:c r="D160" s="30" t="n">
        <x:v>2019</x:v>
      </x:c>
      <x:c r="E160" s="24" t="str">
        <x:v>Mustelus asterias</x:v>
      </x:c>
      <x:c r="F160" s="24" t="str">
        <x:v>Starry smooth-hound</x:v>
      </x:c>
      <x:c r="G160" s="24" t="str">
        <x:v>Large sharks (&gt;=90 cm)</x:v>
      </x:c>
      <x:c r="H160" s="24" t="str">
        <x:v>Sharks &amp; rays</x:v>
      </x:c>
      <x:c r="I160" s="31" t="n">
        <x:v>9.6398405001</x:v>
      </x:c>
      <x:c r="J160" s="31" t="n">
        <x:v>9.6398405001</x:v>
      </x:c>
      <x:c r="K160" s="31" t="n">
        <x:v>0</x:v>
      </x:c>
      <x:c r="L160" s="31" t="n">
        <x:v>9.6398405001</x:v>
      </x:c>
      <x:c r="M160" s="31" t="n">
        <x:v>0</x:v>
      </x:c>
      <x:c r="N160" s="24" t="str">
        <x:v>mustelus asterias</x:v>
      </x:c>
      <x:c r="O160" s="32" t="n">
        <x:v>3.62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Mustelus asterias</x:v>
      </x:c>
      <x:c r="T160" s="32" t="n">
        <x:f>IF(O160="","",(1/'Metadata'!$B$5)^(O160-1))</x:f>
        <x:v>416.8693834703355</x:v>
      </x:c>
      <x:c r="U160" s="31" t="n">
        <x:f>IF(T160="","",I160*T160)</x:f>
        <x:v>4018.5543660290577</x:v>
      </x:c>
    </x:row>
    <x:row r="161" ht="18" customHeight="1">
      <x:c r="A161" s="24" t="str">
        <x:v>EEZ_963</x:v>
      </x:c>
      <x:c r="B161" s="24" t="str">
        <x:v>Spain (Northwest)</x:v>
      </x:c>
      <x:c r="C161" s="24" t="str">
        <x:v>EEZ</x:v>
      </x:c>
      <x:c r="D161" s="30" t="n">
        <x:v>2019</x:v>
      </x:c>
      <x:c r="E161" s="24" t="str">
        <x:v>Scomberesocidae</x:v>
      </x:c>
      <x:c r="F161" s="24" t="str">
        <x:v>Sauries</x:v>
      </x:c>
      <x:c r="G161" s="24" t="str">
        <x:v>Medium pelagics (30 - 89 cm)</x:v>
      </x:c>
      <x:c r="H161" s="24" t="str">
        <x:v>Other fishes &amp; inverts</x:v>
      </x:c>
      <x:c r="I161" s="31" t="n">
        <x:v>9.6338019461</x:v>
      </x:c>
      <x:c r="J161" s="31" t="n">
        <x:v>9.6338019461</x:v>
      </x:c>
      <x:c r="K161" s="31" t="n">
        <x:v>0</x:v>
      </x:c>
      <x:c r="L161" s="31" t="n">
        <x:v>9.485453822</x:v>
      </x:c>
      <x:c r="M161" s="31" t="n">
        <x:v>0.1483481241</x:v>
      </x:c>
      <x:c r="N161" s="24" t="str">
        <x:v>scomberesocidae</x:v>
      </x:c>
      <x:c r="O161" s="32" t="n">
        <x:v>4.01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Scomberesocidae</x:v>
      </x:c>
      <x:c r="T161" s="32" t="n">
        <x:f>IF(O161="","",(1/'Metadata'!$B$5)^(O161-1))</x:f>
        <x:v>1023.2929922807537</x:v>
      </x:c>
      <x:c r="U161" s="31" t="n">
        <x:f>IF(T161="","",I161*T161)</x:f>
        <x:v>9858.202020464816</x:v>
      </x:c>
    </x:row>
    <x:row r="162" ht="18" customHeight="1">
      <x:c r="A162" s="24" t="str">
        <x:v>EEZ_963</x:v>
      </x:c>
      <x:c r="B162" s="24" t="str">
        <x:v>Spain (Northwest)</x:v>
      </x:c>
      <x:c r="C162" s="24" t="str">
        <x:v>EEZ</x:v>
      </x:c>
      <x:c r="D162" s="30" t="n">
        <x:v>2019</x:v>
      </x:c>
      <x:c r="E162" s="24" t="str">
        <x:v>Caranx hippos</x:v>
      </x:c>
      <x:c r="F162" s="24" t="str">
        <x:v>Crevalle jack</x:v>
      </x:c>
      <x:c r="G162" s="24" t="str">
        <x:v>Large reef assoc. fish (&gt;=90 cm)</x:v>
      </x:c>
      <x:c r="H162" s="24" t="str">
        <x:v>Perch-likes</x:v>
      </x:c>
      <x:c r="I162" s="31" t="n">
        <x:v>9.1240398171</x:v>
      </x:c>
      <x:c r="J162" s="31" t="n">
        <x:v>9.1240398171</x:v>
      </x:c>
      <x:c r="K162" s="31" t="n">
        <x:v>0</x:v>
      </x:c>
      <x:c r="L162" s="31" t="n">
        <x:v>9.1240398171</x:v>
      </x:c>
      <x:c r="M162" s="31" t="n">
        <x:v>0</x:v>
      </x:c>
      <x:c r="N162" s="24" t="str">
        <x:v>caranx hippos</x:v>
      </x:c>
      <x:c r="O162" s="32" t="n">
        <x:v>3.56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Caranx hippos</x:v>
      </x:c>
      <x:c r="T162" s="32" t="n">
        <x:f>IF(O162="","",(1/'Metadata'!$B$5)^(O162-1))</x:f>
        <x:v>363.0780547701014</x:v>
      </x:c>
      <x:c r="U162" s="31" t="n">
        <x:f>IF(T162="","",I162*T162)</x:f>
        <x:v>3312.73862843762</x:v>
      </x:c>
    </x:row>
    <x:row r="163" ht="18" customHeight="1">
      <x:c r="A163" s="24" t="str">
        <x:v>EEZ_963</x:v>
      </x:c>
      <x:c r="B163" s="24" t="str">
        <x:v>Spain (Northwest)</x:v>
      </x:c>
      <x:c r="C163" s="24" t="str">
        <x:v>EEZ</x:v>
      </x:c>
      <x:c r="D163" s="30" t="n">
        <x:v>2019</x:v>
      </x:c>
      <x:c r="E163" s="24" t="str">
        <x:v>Merlucciidae</x:v>
      </x:c>
      <x:c r="F163" s="24" t="str">
        <x:v>Merluccid hakes</x:v>
      </x:c>
      <x:c r="G163" s="24" t="str">
        <x:v>Large bathydemersals (&gt;=90 cm)</x:v>
      </x:c>
      <x:c r="H163" s="24" t="str">
        <x:v>Cod-likes</x:v>
      </x:c>
      <x:c r="I163" s="31" t="n">
        <x:v>9.0481577528</x:v>
      </x:c>
      <x:c r="J163" s="31" t="n">
        <x:v>0</x:v>
      </x:c>
      <x:c r="K163" s="31" t="n">
        <x:v>9.0481577528</x:v>
      </x:c>
      <x:c r="L163" s="31" t="n">
        <x:v>0</x:v>
      </x:c>
      <x:c r="M163" s="31" t="n">
        <x:v>9.0481577528</x:v>
      </x:c>
      <x:c r="N163" s="24" t="str">
        <x:v>merlucciidae</x:v>
      </x:c>
      <x:c r="O163" s="32" t="n">
        <x:v>4.35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Merlucciidae</x:v>
      </x:c>
      <x:c r="T163" s="32" t="n">
        <x:f>IF(O163="","",(1/'Metadata'!$B$5)^(O163-1))</x:f>
        <x:v>2238.7211385683377</x:v>
      </x:c>
      <x:c r="U163" s="31" t="n">
        <x:f>IF(T163="","",I163*T163)</x:f>
        <x:v>20256.302026294346</x:v>
      </x:c>
    </x:row>
    <x:row r="164" ht="18" customHeight="1">
      <x:c r="A164" s="24" t="str">
        <x:v>EEZ_963</x:v>
      </x:c>
      <x:c r="B164" s="24" t="str">
        <x:v>Spain (Northwest)</x:v>
      </x:c>
      <x:c r="C164" s="24" t="str">
        <x:v>EEZ</x:v>
      </x:c>
      <x:c r="D164" s="30" t="n">
        <x:v>2019</x:v>
      </x:c>
      <x:c r="E164" s="24" t="str">
        <x:v>Gastropoda</x:v>
      </x:c>
      <x:c r="F164" s="24" t="str">
        <x:v>Sea snails</x:v>
      </x:c>
      <x:c r="G164" s="24" t="str">
        <x:v>Other demersal invertebrates</x:v>
      </x:c>
      <x:c r="H164" s="24" t="str">
        <x:v>Molluscs</x:v>
      </x:c>
      <x:c r="I164" s="31" t="n">
        <x:v>9.041819008600001</x:v>
      </x:c>
      <x:c r="J164" s="31" t="n">
        <x:v>6.7481854353</x:v>
      </x:c>
      <x:c r="K164" s="31" t="n">
        <x:v>2.2936335733</x:v>
      </x:c>
      <x:c r="L164" s="31" t="n">
        <x:v>4.626443501100001</x:v>
      </x:c>
      <x:c r="M164" s="31" t="n">
        <x:v>4.4153755075</x:v>
      </x:c>
      <x:c r="N164" s="24" t="str">
        <x:v>gastropoda</x:v>
      </x:c>
      <x:c r="O164" s="32" t="n">
        <x:v>3.06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Gastropoda</x:v>
      </x:c>
      <x:c r="T164" s="32" t="n">
        <x:f>IF(O164="","",(1/'Metadata'!$B$5)^(O164-1))</x:f>
        <x:v>114.81536214968828</x:v>
      </x:c>
      <x:c r="U164" s="31" t="n">
        <x:f>IF(T164="","",I164*T164)</x:f>
        <x:v>1038.1397239643445</x:v>
      </x:c>
    </x:row>
    <x:row r="165" ht="18" customHeight="1">
      <x:c r="A165" s="24" t="str">
        <x:v>EEZ_963</x:v>
      </x:c>
      <x:c r="B165" s="24" t="str">
        <x:v>Spain (Northwest)</x:v>
      </x:c>
      <x:c r="C165" s="24" t="str">
        <x:v>EEZ</x:v>
      </x:c>
      <x:c r="D165" s="30" t="n">
        <x:v>2019</x:v>
      </x:c>
      <x:c r="E165" s="24" t="str">
        <x:v>Trisopterus minutus</x:v>
      </x:c>
      <x:c r="F165" s="24" t="str">
        <x:v>Poor cod</x:v>
      </x:c>
      <x:c r="G165" s="24" t="str">
        <x:v>Medium benthopelagics (30 - 89 cm)</x:v>
      </x:c>
      <x:c r="H165" s="24" t="str">
        <x:v>Cod-likes</x:v>
      </x:c>
      <x:c r="I165" s="31" t="n">
        <x:v>9.0033201459</x:v>
      </x:c>
      <x:c r="J165" s="31" t="n">
        <x:v>9.0033201459</x:v>
      </x:c>
      <x:c r="K165" s="31" t="n">
        <x:v>0</x:v>
      </x:c>
      <x:c r="L165" s="31" t="n">
        <x:v>5.761828649</x:v>
      </x:c>
      <x:c r="M165" s="31" t="n">
        <x:v>3.2414914968999997</x:v>
      </x:c>
      <x:c r="N165" s="24" t="str">
        <x:v>trisopterus minutus</x:v>
      </x:c>
      <x:c r="O165" s="32" t="n">
        <x:v>3.73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Trisopterus minutus</x:v>
      </x:c>
      <x:c r="T165" s="32" t="n">
        <x:f>IF(O165="","",(1/'Metadata'!$B$5)^(O165-1))</x:f>
        <x:v>537.0317963702527</x:v>
      </x:c>
      <x:c r="U165" s="31" t="n">
        <x:f>IF(T165="","",I165*T165)</x:f>
        <x:v>4835.069191249162</x:v>
      </x:c>
    </x:row>
    <x:row r="166" ht="18" customHeight="1">
      <x:c r="A166" s="24" t="str">
        <x:v>EEZ_963</x:v>
      </x:c>
      <x:c r="B166" s="24" t="str">
        <x:v>Spain (Northwest)</x:v>
      </x:c>
      <x:c r="C166" s="24" t="str">
        <x:v>EEZ</x:v>
      </x:c>
      <x:c r="D166" s="30" t="n">
        <x:v>2019</x:v>
      </x:c>
      <x:c r="E166" s="24" t="str">
        <x:v>Beryx</x:v>
      </x:c>
      <x:c r="F166" s="24" t="str">
        <x:v>Alfonsinos</x:v>
      </x:c>
      <x:c r="G166" s="24" t="str">
        <x:v>Medium benthopelagics (30 - 89 cm)</x:v>
      </x:c>
      <x:c r="H166" s="24" t="str">
        <x:v>Other fishes &amp; inverts</x:v>
      </x:c>
      <x:c r="I166" s="31" t="n">
        <x:v>8.827296861</x:v>
      </x:c>
      <x:c r="J166" s="31" t="n">
        <x:v>8.827296861</x:v>
      </x:c>
      <x:c r="K166" s="31" t="n">
        <x:v>0</x:v>
      </x:c>
      <x:c r="L166" s="31" t="n">
        <x:v>8.827296861</x:v>
      </x:c>
      <x:c r="M166" s="31" t="n">
        <x:v>0</x:v>
      </x:c>
      <x:c r="N166" s="24" t="str">
        <x:v>beryx</x:v>
      </x:c>
      <x:c r="O166" s="32" t="n">
        <x:v>3.97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Beryx</x:v>
      </x:c>
      <x:c r="T166" s="32" t="n">
        <x:f>IF(O166="","",(1/'Metadata'!$B$5)^(O166-1))</x:f>
        <x:v>933.2543007969915</x:v>
      </x:c>
      <x:c r="U166" s="31" t="n">
        <x:f>IF(T166="","",I166*T166)</x:f>
        <x:v>8238.112759940033</x:v>
      </x:c>
    </x:row>
    <x:row r="167" ht="18" customHeight="1">
      <x:c r="A167" s="24" t="str">
        <x:v>EEZ_963</x:v>
      </x:c>
      <x:c r="B167" s="24" t="str">
        <x:v>Spain (Northwest)</x:v>
      </x:c>
      <x:c r="C167" s="24" t="str">
        <x:v>EEZ</x:v>
      </x:c>
      <x:c r="D167" s="30" t="n">
        <x:v>2019</x:v>
      </x:c>
      <x:c r="E167" s="24" t="str">
        <x:v>Chelidonichthys lucerna</x:v>
      </x:c>
      <x:c r="F167" s="24" t="str">
        <x:v>Tub gurnard</x:v>
      </x:c>
      <x:c r="G167" s="24" t="str">
        <x:v>Medium demersals (30 - 89 cm)</x:v>
      </x:c>
      <x:c r="H167" s="24" t="str">
        <x:v>Scorpionfishes</x:v>
      </x:c>
      <x:c r="I167" s="31" t="n">
        <x:v>8.6077603648</x:v>
      </x:c>
      <x:c r="J167" s="31" t="n">
        <x:v>8.6077603648</x:v>
      </x:c>
      <x:c r="K167" s="31" t="n">
        <x:v>0</x:v>
      </x:c>
      <x:c r="L167" s="31" t="n">
        <x:v>8.6077603648</x:v>
      </x:c>
      <x:c r="M167" s="31" t="n">
        <x:v>0</x:v>
      </x:c>
      <x:c r="N167" s="24" t="str">
        <x:v>chelidonichthys lucerna</x:v>
      </x:c>
      <x:c r="O167" s="32" t="n">
        <x:v>3.98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Chelidonichthys lucerna</x:v>
      </x:c>
      <x:c r="T167" s="32" t="n">
        <x:f>IF(O167="","",(1/'Metadata'!$B$5)^(O167-1))</x:f>
        <x:v>954.992586021436</x:v>
      </x:c>
      <x:c r="U167" s="31" t="n">
        <x:f>IF(T167="","",I167*T167)</x:f>
        <x:v>8220.347330633173</x:v>
      </x:c>
    </x:row>
    <x:row r="168" ht="18" customHeight="1">
      <x:c r="A168" s="24" t="str">
        <x:v>EEZ_963</x:v>
      </x:c>
      <x:c r="B168" s="24" t="str">
        <x:v>Spain (Northwest)</x:v>
      </x:c>
      <x:c r="C168" s="24" t="str">
        <x:v>EEZ</x:v>
      </x:c>
      <x:c r="D168" s="30" t="n">
        <x:v>2019</x:v>
      </x:c>
      <x:c r="E168" s="24" t="str">
        <x:v>Lepidocybium flavobrunneum</x:v>
      </x:c>
      <x:c r="F168" s="24" t="str">
        <x:v>Escolar</x:v>
      </x:c>
      <x:c r="G168" s="24" t="str">
        <x:v>Large bathypelagics (&gt;=90 cm)</x:v>
      </x:c>
      <x:c r="H168" s="24" t="str">
        <x:v>Perch-likes</x:v>
      </x:c>
      <x:c r="I168" s="31" t="n">
        <x:v>8.3947571163</x:v>
      </x:c>
      <x:c r="J168" s="31" t="n">
        <x:v>8.3947571163</x:v>
      </x:c>
      <x:c r="K168" s="31" t="n">
        <x:v>0</x:v>
      </x:c>
      <x:c r="L168" s="31" t="n">
        <x:v>8.3947571163</x:v>
      </x:c>
      <x:c r="M168" s="31" t="n">
        <x:v>0</x:v>
      </x:c>
      <x:c r="N168" s="24" t="str">
        <x:v>lepidocybium flavobrunneum</x:v>
      </x:c>
      <x:c r="O168" s="32" t="n">
        <x:v>4.34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Lepidocybium flavobrunneum</x:v>
      </x:c>
      <x:c r="T168" s="32" t="n">
        <x:f>IF(O168="","",(1/'Metadata'!$B$5)^(O168-1))</x:f>
        <x:v>2187.761623949552</x:v>
      </x:c>
      <x:c r="U168" s="31" t="n">
        <x:f>IF(T168="","",I168*T168)</x:f>
        <x:v>18365.727461418544</x:v>
      </x:c>
    </x:row>
    <x:row r="169" ht="18" customHeight="1">
      <x:c r="A169" s="24" t="str">
        <x:v>EEZ_963</x:v>
      </x:c>
      <x:c r="B169" s="24" t="str">
        <x:v>Spain (Northwest)</x:v>
      </x:c>
      <x:c r="C169" s="24" t="str">
        <x:v>EEZ</x:v>
      </x:c>
      <x:c r="D169" s="30" t="n">
        <x:v>2019</x:v>
      </x:c>
      <x:c r="E169" s="24" t="str">
        <x:v>Rajidae</x:v>
      </x:c>
      <x:c r="F169" s="24" t="str">
        <x:v>Stingrays</x:v>
      </x:c>
      <x:c r="G169" s="24" t="str">
        <x:v>Large rays (&gt;=90 cm)</x:v>
      </x:c>
      <x:c r="H169" s="24" t="str">
        <x:v>Sharks &amp; rays</x:v>
      </x:c>
      <x:c r="I169" s="31" t="n">
        <x:v>7.9721733235</x:v>
      </x:c>
      <x:c r="J169" s="31" t="n">
        <x:v>7.9721733235</x:v>
      </x:c>
      <x:c r="K169" s="31" t="n">
        <x:v>0</x:v>
      </x:c>
      <x:c r="L169" s="31" t="n">
        <x:v>3.1063642425999998</x:v>
      </x:c>
      <x:c r="M169" s="31" t="n">
        <x:v>4.8658090809</x:v>
      </x:c>
      <x:c r="N169" s="24" t="str">
        <x:v>rajidae</x:v>
      </x:c>
      <x:c r="O169" s="32" t="n">
        <x:v>3.82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Rajidae</x:v>
      </x:c>
      <x:c r="T169" s="32" t="n">
        <x:f>IF(O169="","",(1/'Metadata'!$B$5)^(O169-1))</x:f>
        <x:v>660.6934480075957</x:v>
      </x:c>
      <x:c r="U169" s="31" t="n">
        <x:f>IF(T169="","",I169*T169)</x:f>
        <x:v>5267.162681217389</x:v>
      </x:c>
    </x:row>
    <x:row r="170" ht="18" customHeight="1">
      <x:c r="A170" s="24" t="str">
        <x:v>EEZ_963</x:v>
      </x:c>
      <x:c r="B170" s="24" t="str">
        <x:v>Spain (Northwest)</x:v>
      </x:c>
      <x:c r="C170" s="24" t="str">
        <x:v>EEZ</x:v>
      </x:c>
      <x:c r="D170" s="30" t="n">
        <x:v>2019</x:v>
      </x:c>
      <x:c r="E170" s="24" t="str">
        <x:v>Trachichthyidae</x:v>
      </x:c>
      <x:c r="F170" s="24" t="str">
        <x:v>Slimeheads</x:v>
      </x:c>
      <x:c r="G170" s="24" t="str">
        <x:v>Medium bathypelagics (30 - 89 cm)</x:v>
      </x:c>
      <x:c r="H170" s="24" t="str">
        <x:v>Other fishes &amp; inverts</x:v>
      </x:c>
      <x:c r="I170" s="31" t="n">
        <x:v>7.849676974</x:v>
      </x:c>
      <x:c r="J170" s="31" t="n">
        <x:v>7.849676974</x:v>
      </x:c>
      <x:c r="K170" s="31" t="n">
        <x:v>0</x:v>
      </x:c>
      <x:c r="L170" s="31" t="n">
        <x:v>1.501082208</x:v>
      </x:c>
      <x:c r="M170" s="31" t="n">
        <x:v>6.348594766000001</x:v>
      </x:c>
      <x:c r="N170" s="24" t="str">
        <x:v>trachichthyidae</x:v>
      </x:c>
      <x:c r="O170" s="32" t="n">
        <x:v>3.72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Trachichthyidae</x:v>
      </x:c>
      <x:c r="T170" s="32" t="n">
        <x:f>IF(O170="","",(1/'Metadata'!$B$5)^(O170-1))</x:f>
        <x:v>524.8074602497728</x:v>
      </x:c>
      <x:c r="U170" s="31" t="n">
        <x:f>IF(T170="","",I170*T170)</x:f>
        <x:v>4119.569036506062</x:v>
      </x:c>
    </x:row>
    <x:row r="171" ht="18" customHeight="1">
      <x:c r="A171" s="24" t="str">
        <x:v>EEZ_963</x:v>
      </x:c>
      <x:c r="B171" s="24" t="str">
        <x:v>Spain (Northwest)</x:v>
      </x:c>
      <x:c r="C171" s="24" t="str">
        <x:v>EEZ</x:v>
      </x:c>
      <x:c r="D171" s="30" t="n">
        <x:v>2019</x:v>
      </x:c>
      <x:c r="E171" s="24" t="str">
        <x:v>Loliginidae</x:v>
      </x:c>
      <x:c r="F171" s="24" t="str">
        <x:v>Common pencil squids</x:v>
      </x:c>
      <x:c r="G171" s="24" t="str">
        <x:v>Cephalopods</x:v>
      </x:c>
      <x:c r="H171" s="24" t="str">
        <x:v>Other fishes &amp; inverts</x:v>
      </x:c>
      <x:c r="I171" s="31" t="n">
        <x:v>7.5907291873</x:v>
      </x:c>
      <x:c r="J171" s="31" t="n">
        <x:v>7.5907291873</x:v>
      </x:c>
      <x:c r="K171" s="31" t="n">
        <x:v>0</x:v>
      </x:c>
      <x:c r="L171" s="31" t="n">
        <x:v>7.446392712300001</x:v>
      </x:c>
      <x:c r="M171" s="31" t="n">
        <x:v>0.144336475</x:v>
      </x:c>
      <x:c r="N171" s="24" t="str">
        <x:v>loliginidae</x:v>
      </x:c>
      <x:c r="O171" s="32" t="n">
        <x:v>3.9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Loliginidae</x:v>
      </x:c>
      <x:c r="T171" s="32" t="n">
        <x:f>IF(O171="","",(1/'Metadata'!$B$5)^(O171-1))</x:f>
        <x:v>794.3282347242813</x:v>
      </x:c>
      <x:c r="U171" s="31" t="n">
        <x:f>IF(T171="","",I171*T171)</x:f>
        <x:v>6029.5305156180875</x:v>
      </x:c>
    </x:row>
    <x:row r="172" ht="18" customHeight="1">
      <x:c r="A172" s="24" t="str">
        <x:v>EEZ_963</x:v>
      </x:c>
      <x:c r="B172" s="24" t="str">
        <x:v>Spain (Northwest)</x:v>
      </x:c>
      <x:c r="C172" s="24" t="str">
        <x:v>EEZ</x:v>
      </x:c>
      <x:c r="D172" s="30" t="n">
        <x:v>2019</x:v>
      </x:c>
      <x:c r="E172" s="24" t="str">
        <x:v>Anarhichadidae</x:v>
      </x:c>
      <x:c r="F172" s="24" t="str">
        <x:v>Wolffishes, wolfeels</x:v>
      </x:c>
      <x:c r="G172" s="24" t="str">
        <x:v>Large demersals (&gt;=90 cm)</x:v>
      </x:c>
      <x:c r="H172" s="24" t="str">
        <x:v>Perch-likes</x:v>
      </x:c>
      <x:c r="I172" s="31" t="n">
        <x:v>7.579971958100001</x:v>
      </x:c>
      <x:c r="J172" s="31" t="n">
        <x:v>7.579971958100001</x:v>
      </x:c>
      <x:c r="K172" s="31" t="n">
        <x:v>0</x:v>
      </x:c>
      <x:c r="L172" s="31" t="n">
        <x:v>7.579971958100001</x:v>
      </x:c>
      <x:c r="M172" s="31" t="n">
        <x:v>0</x:v>
      </x:c>
      <x:c r="N172" s="24" t="str">
        <x:v>anarhichadidae</x:v>
      </x:c>
      <x:c r="O172" s="32" t="n">
        <x:v>3.47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Anarhichadidae</x:v>
      </x:c>
      <x:c r="T172" s="32" t="n">
        <x:f>IF(O172="","",(1/'Metadata'!$B$5)^(O172-1))</x:f>
        <x:v>295.1209226666387</x:v>
      </x:c>
      <x:c r="U172" s="31" t="n">
        <x:f>IF(T172="","",I172*T172)</x:f>
        <x:v>2237.0083180617203</x:v>
      </x:c>
    </x:row>
    <x:row r="173" ht="18" customHeight="1">
      <x:c r="A173" s="24" t="str">
        <x:v>EEZ_963</x:v>
      </x:c>
      <x:c r="B173" s="24" t="str">
        <x:v>Spain (Northwest)</x:v>
      </x:c>
      <x:c r="C173" s="24" t="str">
        <x:v>EEZ</x:v>
      </x:c>
      <x:c r="D173" s="30" t="n">
        <x:v>2019</x:v>
      </x:c>
      <x:c r="E173" s="24" t="str">
        <x:v>Sciaenidae</x:v>
      </x:c>
      <x:c r="F173" s="24" t="str">
        <x:v>Drums, croakers</x:v>
      </x:c>
      <x:c r="G173" s="24" t="str">
        <x:v>Medium demersals (30 - 89 cm)</x:v>
      </x:c>
      <x:c r="H173" s="24" t="str">
        <x:v>Perch-likes</x:v>
      </x:c>
      <x:c r="I173" s="31" t="n">
        <x:v>7.557522017199999</x:v>
      </x:c>
      <x:c r="J173" s="31" t="n">
        <x:v>3.2315510329999997</x:v>
      </x:c>
      <x:c r="K173" s="31" t="n">
        <x:v>4.3259709842</x:v>
      </x:c>
      <x:c r="L173" s="31" t="n">
        <x:v>1.8526948399999998</x:v>
      </x:c>
      <x:c r="M173" s="31" t="n">
        <x:v>5.704827177199999</x:v>
      </x:c>
      <x:c r="N173" s="24" t="str">
        <x:v>sciaenidae</x:v>
      </x:c>
      <x:c r="O173" s="32" t="n">
        <x:v>3.76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Sciaenidae</x:v>
      </x:c>
      <x:c r="T173" s="32" t="n">
        <x:f>IF(O173="","",(1/'Metadata'!$B$5)^(O173-1))</x:f>
        <x:v>575.4399373371566</x:v>
      </x:c>
      <x:c r="U173" s="31" t="n">
        <x:f>IF(T173="","",I173*T173)</x:f>
        <x:v>4348.899996001749</x:v>
      </x:c>
    </x:row>
    <x:row r="174" ht="18" customHeight="1">
      <x:c r="A174" s="24" t="str">
        <x:v>EEZ_963</x:v>
      </x:c>
      <x:c r="B174" s="24" t="str">
        <x:v>Spain (Northwest)</x:v>
      </x:c>
      <x:c r="C174" s="24" t="str">
        <x:v>EEZ</x:v>
      </x:c>
      <x:c r="D174" s="30" t="n">
        <x:v>2019</x:v>
      </x:c>
      <x:c r="E174" s="24" t="str">
        <x:v>Mollusca</x:v>
      </x:c>
      <x:c r="F174" s="24" t="str">
        <x:v>Clams, seasnails, squids, octopuses</x:v>
      </x:c>
      <x:c r="G174" s="24" t="str">
        <x:v>Other demersal invertebrates</x:v>
      </x:c>
      <x:c r="H174" s="24" t="str">
        <x:v>Molluscs</x:v>
      </x:c>
      <x:c r="I174" s="31" t="n">
        <x:v>7.307971788</x:v>
      </x:c>
      <x:c r="J174" s="31" t="n">
        <x:v>7.307971788</x:v>
      </x:c>
      <x:c r="K174" s="31" t="n">
        <x:v>0</x:v>
      </x:c>
      <x:c r="L174" s="31" t="n">
        <x:v>7.2264664901</x:v>
      </x:c>
      <x:c r="M174" s="31" t="n">
        <x:v>0.0815052979</x:v>
      </x:c>
      <x:c r="N174" s="24" t="str">
        <x:v>mollusca</x:v>
      </x:c>
      <x:c r="O174" s="32" t="n">
        <x:v>2.1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Mollusca</x:v>
      </x:c>
      <x:c r="T174" s="32" t="n">
        <x:f>IF(O174="","",(1/'Metadata'!$B$5)^(O174-1))</x:f>
        <x:v>12.589254117941675</x:v>
      </x:c>
      <x:c r="U174" s="31" t="n">
        <x:f>IF(T174="","",I174*T174)</x:f>
        <x:v>92.00191392588057</x:v>
      </x:c>
    </x:row>
    <x:row r="175" ht="18" customHeight="1">
      <x:c r="A175" s="24" t="str">
        <x:v>EEZ_963</x:v>
      </x:c>
      <x:c r="B175" s="24" t="str">
        <x:v>Spain (Northwest)</x:v>
      </x:c>
      <x:c r="C175" s="24" t="str">
        <x:v>EEZ</x:v>
      </x:c>
      <x:c r="D175" s="30" t="n">
        <x:v>2019</x:v>
      </x:c>
      <x:c r="E175" s="24" t="str">
        <x:v>Solea</x:v>
      </x:c>
      <x:c r="F175" s="24" t="str">
        <x:v>Soles</x:v>
      </x:c>
      <x:c r="G175" s="24" t="str">
        <x:v>Small to medium flatfishes (&lt;90 cm)</x:v>
      </x:c>
      <x:c r="H175" s="24" t="str">
        <x:v>Flatfishes</x:v>
      </x:c>
      <x:c r="I175" s="31" t="n">
        <x:v>7.300611884099999</x:v>
      </x:c>
      <x:c r="J175" s="31" t="n">
        <x:v>7.300611884099999</x:v>
      </x:c>
      <x:c r="K175" s="31" t="n">
        <x:v>0</x:v>
      </x:c>
      <x:c r="L175" s="31" t="n">
        <x:v>5.284379775</x:v>
      </x:c>
      <x:c r="M175" s="31" t="n">
        <x:v>2.0162321090999997</x:v>
      </x:c>
      <x:c r="N175" s="24" t="str">
        <x:v>solea</x:v>
      </x:c>
      <x:c r="O175" s="32" t="n">
        <x:v>3.13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Solea</x:v>
      </x:c>
      <x:c r="T175" s="32" t="n">
        <x:f>IF(O175="","",(1/'Metadata'!$B$5)^(O175-1))</x:f>
        <x:v>134.89628825916532</x:v>
      </x:c>
      <x:c r="U175" s="31" t="n">
        <x:f>IF(T175="","",I175*T175)</x:f>
        <x:v>984.8254451858415</x:v>
      </x:c>
    </x:row>
    <x:row r="176" ht="18" customHeight="1">
      <x:c r="A176" s="24" t="str">
        <x:v>EEZ_963</x:v>
      </x:c>
      <x:c r="B176" s="24" t="str">
        <x:v>Spain (Northwest)</x:v>
      </x:c>
      <x:c r="C176" s="24" t="str">
        <x:v>EEZ</x:v>
      </x:c>
      <x:c r="D176" s="30" t="n">
        <x:v>2019</x:v>
      </x:c>
      <x:c r="E176" s="24" t="str">
        <x:v>Anarhichas</x:v>
      </x:c>
      <x:c r="F176" s="24" t="str">
        <x:v>Wolffishes</x:v>
      </x:c>
      <x:c r="G176" s="24" t="str">
        <x:v>Large demersals (&gt;=90 cm)</x:v>
      </x:c>
      <x:c r="H176" s="24" t="str">
        <x:v>Perch-likes</x:v>
      </x:c>
      <x:c r="I176" s="31" t="n">
        <x:v>7.107957045</x:v>
      </x:c>
      <x:c r="J176" s="31" t="n">
        <x:v>7.107957045</x:v>
      </x:c>
      <x:c r="K176" s="31" t="n">
        <x:v>0</x:v>
      </x:c>
      <x:c r="L176" s="31" t="n">
        <x:v>7.107957045</x:v>
      </x:c>
      <x:c r="M176" s="31" t="n">
        <x:v>0</x:v>
      </x:c>
      <x:c r="N176" s="24" t="str">
        <x:v>anarhichas</x:v>
      </x:c>
      <x:c r="O176" s="32" t="n">
        <x:v>3.35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Anarhichas</x:v>
      </x:c>
      <x:c r="T176" s="32" t="n">
        <x:f>IF(O176="","",(1/'Metadata'!$B$5)^(O176-1))</x:f>
        <x:v>223.872113856834</x:v>
      </x:c>
      <x:c r="U176" s="31" t="n">
        <x:f>IF(T176="","",I176*T176)</x:f>
        <x:v>1591.2733688677254</x:v>
      </x:c>
    </x:row>
    <x:row r="177" ht="18" customHeight="1">
      <x:c r="A177" s="24" t="str">
        <x:v>EEZ_963</x:v>
      </x:c>
      <x:c r="B177" s="24" t="str">
        <x:v>Spain (Northwest)</x:v>
      </x:c>
      <x:c r="C177" s="24" t="str">
        <x:v>EEZ</x:v>
      </x:c>
      <x:c r="D177" s="30" t="n">
        <x:v>2019</x:v>
      </x:c>
      <x:c r="E177" s="24" t="str">
        <x:v>Octopodidae</x:v>
      </x:c>
      <x:c r="F177" s="24" t="str">
        <x:v>Octopuses</x:v>
      </x:c>
      <x:c r="G177" s="24" t="str">
        <x:v>Cephalopods</x:v>
      </x:c>
      <x:c r="H177" s="24" t="str">
        <x:v>Other fishes &amp; inverts</x:v>
      </x:c>
      <x:c r="I177" s="31" t="n">
        <x:v>6.6253791032</x:v>
      </x:c>
      <x:c r="J177" s="31" t="n">
        <x:v>6.6253791032</x:v>
      </x:c>
      <x:c r="K177" s="31" t="n">
        <x:v>0</x:v>
      </x:c>
      <x:c r="L177" s="31" t="n">
        <x:v>6.0152099921</x:v>
      </x:c>
      <x:c r="M177" s="31" t="n">
        <x:v>0.6101691110999999</x:v>
      </x:c>
      <x:c r="N177" s="24" t="str">
        <x:v>octopodidae</x:v>
      </x:c>
      <x:c r="O177" s="32" t="n">
        <x:v>3.59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Octopodidae</x:v>
      </x:c>
      <x:c r="T177" s="32" t="n">
        <x:f>IF(O177="","",(1/'Metadata'!$B$5)^(O177-1))</x:f>
        <x:v>389.04514499428046</x:v>
      </x:c>
      <x:c r="U177" s="31" t="n">
        <x:f>IF(T177="","",I177*T177)</x:f>
        <x:v>2577.57157384652</x:v>
      </x:c>
    </x:row>
    <x:row r="178" ht="18" customHeight="1">
      <x:c r="A178" s="24" t="str">
        <x:v>EEZ_963</x:v>
      </x:c>
      <x:c r="B178" s="24" t="str">
        <x:v>Spain (Northwest)</x:v>
      </x:c>
      <x:c r="C178" s="24" t="str">
        <x:v>EEZ</x:v>
      </x:c>
      <x:c r="D178" s="30" t="n">
        <x:v>2019</x:v>
      </x:c>
      <x:c r="E178" s="24" t="str">
        <x:v>Ensis ensis</x:v>
      </x:c>
      <x:c r="F178" s="24" t="str">
        <x:v>Pod razor</x:v>
      </x:c>
      <x:c r="G178" s="24" t="str">
        <x:v>Other demersal invertebrates</x:v>
      </x:c>
      <x:c r="H178" s="24" t="str">
        <x:v>Molluscs</x:v>
      </x:c>
      <x:c r="I178" s="31" t="n">
        <x:v>6.5890838543</x:v>
      </x:c>
      <x:c r="J178" s="31" t="n">
        <x:v>6.5890838543</x:v>
      </x:c>
      <x:c r="K178" s="31" t="n">
        <x:v>0</x:v>
      </x:c>
      <x:c r="L178" s="31" t="n">
        <x:v>6.5890838543</x:v>
      </x:c>
      <x:c r="M178" s="31" t="n">
        <x:v>0</x:v>
      </x:c>
      <x:c r="N178" s="24" t="str">
        <x:v>ensis ensis</x:v>
      </x:c>
      <x:c r="O178" s="32" t="n">
        <x:v>2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Ensis ensis</x:v>
      </x:c>
      <x:c r="T178" s="32" t="n">
        <x:f>IF(O178="","",(1/'Metadata'!$B$5)^(O178-1))</x:f>
        <x:v>10</x:v>
      </x:c>
      <x:c r="U178" s="31" t="n">
        <x:f>IF(T178="","",I178*T178)</x:f>
        <x:v>65.890838543</x:v>
      </x:c>
    </x:row>
    <x:row r="179" ht="18" customHeight="1">
      <x:c r="A179" s="24" t="str">
        <x:v>EEZ_963</x:v>
      </x:c>
      <x:c r="B179" s="24" t="str">
        <x:v>Spain (Northwest)</x:v>
      </x:c>
      <x:c r="C179" s="24" t="str">
        <x:v>EEZ</x:v>
      </x:c>
      <x:c r="D179" s="30" t="n">
        <x:v>2019</x:v>
      </x:c>
      <x:c r="E179" s="24" t="str">
        <x:v>Mugil cephalus</x:v>
      </x:c>
      <x:c r="F179" s="24" t="str">
        <x:v>Flathead grey mullet</x:v>
      </x:c>
      <x:c r="G179" s="24" t="str">
        <x:v>Large benthopelagics (&gt;=90 cm)</x:v>
      </x:c>
      <x:c r="H179" s="24" t="str">
        <x:v>Perch-likes</x:v>
      </x:c>
      <x:c r="I179" s="31" t="n">
        <x:v>6.3601693852</x:v>
      </x:c>
      <x:c r="J179" s="31" t="n">
        <x:v>6.3601693852</x:v>
      </x:c>
      <x:c r="K179" s="31" t="n">
        <x:v>0</x:v>
      </x:c>
      <x:c r="L179" s="31" t="n">
        <x:v>4.0731046032</x:v>
      </x:c>
      <x:c r="M179" s="31" t="n">
        <x:v>2.2870647820000003</x:v>
      </x:c>
      <x:c r="N179" s="24" t="str">
        <x:v>mugil cephalus</x:v>
      </x:c>
      <x:c r="O179" s="32" t="n">
        <x:v>2.14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Mugil cephalus</x:v>
      </x:c>
      <x:c r="T179" s="32" t="n">
        <x:f>IF(O179="","",(1/'Metadata'!$B$5)^(O179-1))</x:f>
        <x:v>13.803842646028853</x:v>
      </x:c>
      <x:c r="U179" s="31" t="n">
        <x:f>IF(T179="","",I179*T179)</x:f>
        <x:v>87.79477739539087</x:v>
      </x:c>
    </x:row>
    <x:row r="180" ht="18" customHeight="1">
      <x:c r="A180" s="24" t="str">
        <x:v>EEZ_963</x:v>
      </x:c>
      <x:c r="B180" s="24" t="str">
        <x:v>Spain (Northwest)</x:v>
      </x:c>
      <x:c r="C180" s="24" t="str">
        <x:v>EEZ</x:v>
      </x:c>
      <x:c r="D180" s="30" t="n">
        <x:v>2019</x:v>
      </x:c>
      <x:c r="E180" s="24" t="str">
        <x:v>Trichiurus lepturus</x:v>
      </x:c>
      <x:c r="F180" s="24" t="str">
        <x:v>Largehead hairtail</x:v>
      </x:c>
      <x:c r="G180" s="24" t="str">
        <x:v>Large benthopelagics (&gt;=90 cm)</x:v>
      </x:c>
      <x:c r="H180" s="24" t="str">
        <x:v>Perch-likes</x:v>
      </x:c>
      <x:c r="I180" s="31" t="n">
        <x:v>6.325643238</x:v>
      </x:c>
      <x:c r="J180" s="31" t="n">
        <x:v>6.325643238</x:v>
      </x:c>
      <x:c r="K180" s="31" t="n">
        <x:v>0</x:v>
      </x:c>
      <x:c r="L180" s="31" t="n">
        <x:v>6.325643238</x:v>
      </x:c>
      <x:c r="M180" s="31" t="n">
        <x:v>0</x:v>
      </x:c>
      <x:c r="N180" s="24" t="str">
        <x:v>trichiurus lepturus</x:v>
      </x:c>
      <x:c r="O180" s="32" t="n">
        <x:v>4.42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Trichiurus lepturus</x:v>
      </x:c>
      <x:c r="T180" s="32" t="n">
        <x:f>IF(O180="","",(1/'Metadata'!$B$5)^(O180-1))</x:f>
        <x:v>2630.2679918953813</x:v>
      </x:c>
      <x:c r="U180" s="31" t="n">
        <x:f>IF(T180="","",I180*T180)</x:f>
        <x:v>16638.136937060855</x:v>
      </x:c>
    </x:row>
    <x:row r="181" ht="18" customHeight="1">
      <x:c r="A181" s="24" t="str">
        <x:v>EEZ_963</x:v>
      </x:c>
      <x:c r="B181" s="24" t="str">
        <x:v>Spain (Northwest)</x:v>
      </x:c>
      <x:c r="C181" s="24" t="str">
        <x:v>EEZ</x:v>
      </x:c>
      <x:c r="D181" s="30" t="n">
        <x:v>2019</x:v>
      </x:c>
      <x:c r="E181" s="24" t="str">
        <x:v>Diplodus</x:v>
      </x:c>
      <x:c r="F181" s="24" t="str">
        <x:v>Two-toothed seabreams</x:v>
      </x:c>
      <x:c r="G181" s="24" t="str">
        <x:v>Medium benthopelagics (30 - 89 cm)</x:v>
      </x:c>
      <x:c r="H181" s="24" t="str">
        <x:v>Perch-likes</x:v>
      </x:c>
      <x:c r="I181" s="31" t="n">
        <x:v>6.2644809564</x:v>
      </x:c>
      <x:c r="J181" s="31" t="n">
        <x:v>6.2644809564</x:v>
      </x:c>
      <x:c r="K181" s="31" t="n">
        <x:v>0</x:v>
      </x:c>
      <x:c r="L181" s="31" t="n">
        <x:v>4.2740000533</x:v>
      </x:c>
      <x:c r="M181" s="31" t="n">
        <x:v>1.9904809031</x:v>
      </x:c>
      <x:c r="N181" s="24" t="str">
        <x:v>diplodus</x:v>
      </x:c>
      <x:c r="O181" s="32" t="n">
        <x:v>2.97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Diplodus</x:v>
      </x:c>
      <x:c r="T181" s="32" t="n">
        <x:f>IF(O181="","",(1/'Metadata'!$B$5)^(O181-1))</x:f>
        <x:v>93.32543007969915</x:v>
      </x:c>
      <x:c r="U181" s="31" t="n">
        <x:f>IF(T181="","",I181*T181)</x:f>
        <x:v>584.635379482115</x:v>
      </x:c>
    </x:row>
    <x:row r="182" ht="18" customHeight="1">
      <x:c r="A182" s="24" t="str">
        <x:v>EEZ_963</x:v>
      </x:c>
      <x:c r="B182" s="24" t="str">
        <x:v>Spain (Northwest)</x:v>
      </x:c>
      <x:c r="C182" s="24" t="str">
        <x:v>EEZ</x:v>
      </x:c>
      <x:c r="D182" s="30" t="n">
        <x:v>2019</x:v>
      </x:c>
      <x:c r="E182" s="24" t="str">
        <x:v>Raja undulata</x:v>
      </x:c>
      <x:c r="F182" s="24" t="str">
        <x:v>Undulate ray</x:v>
      </x:c>
      <x:c r="G182" s="24" t="str">
        <x:v>Small to medium rays (&lt;90 cm)</x:v>
      </x:c>
      <x:c r="H182" s="24" t="str">
        <x:v>Sharks &amp; rays</x:v>
      </x:c>
      <x:c r="I182" s="31" t="n">
        <x:v>6.220228659899999</x:v>
      </x:c>
      <x:c r="J182" s="31" t="n">
        <x:v>6.220228659899999</x:v>
      </x:c>
      <x:c r="K182" s="31" t="n">
        <x:v>0</x:v>
      </x:c>
      <x:c r="L182" s="31" t="n">
        <x:v>1.7898668859</x:v>
      </x:c>
      <x:c r="M182" s="31" t="n">
        <x:v>4.430361774</x:v>
      </x:c>
      <x:c r="N182" s="24" t="str">
        <x:v>raja undulata</x:v>
      </x:c>
      <x:c r="O182" s="32" t="n">
        <x:v>3.5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Raja undulata</x:v>
      </x:c>
      <x:c r="T182" s="32" t="n">
        <x:f>IF(O182="","",(1/'Metadata'!$B$5)^(O182-1))</x:f>
        <x:v>316.22776601683796</x:v>
      </x:c>
      <x:c r="U182" s="31" t="n">
        <x:f>IF(T182="","",I182*T182)</x:f>
        <x:v>1967.0090132340865</x:v>
      </x:c>
    </x:row>
    <x:row r="183" ht="18" customHeight="1">
      <x:c r="A183" s="24" t="str">
        <x:v>EEZ_963</x:v>
      </x:c>
      <x:c r="B183" s="24" t="str">
        <x:v>Spain (Northwest)</x:v>
      </x:c>
      <x:c r="C183" s="24" t="str">
        <x:v>EEZ</x:v>
      </x:c>
      <x:c r="D183" s="30" t="n">
        <x:v>2019</x:v>
      </x:c>
      <x:c r="E183" s="24" t="str">
        <x:v>Congridae</x:v>
      </x:c>
      <x:c r="F183" s="24" t="str">
        <x:v>Conger, garden eels</x:v>
      </x:c>
      <x:c r="G183" s="24" t="str">
        <x:v>Large demersals (&gt;=90 cm)</x:v>
      </x:c>
      <x:c r="H183" s="24" t="str">
        <x:v>Other fishes &amp; inverts</x:v>
      </x:c>
      <x:c r="I183" s="31" t="n">
        <x:v>5.9560548645999996</x:v>
      </x:c>
      <x:c r="J183" s="31" t="n">
        <x:v>0.4560046011</x:v>
      </x:c>
      <x:c r="K183" s="31" t="n">
        <x:v>5.5000502634999995</x:v>
      </x:c>
      <x:c r="L183" s="31" t="n">
        <x:v>0.2189132261</x:v>
      </x:c>
      <x:c r="M183" s="31" t="n">
        <x:v>5.7371416385</x:v>
      </x:c>
      <x:c r="N183" s="24" t="str">
        <x:v>congridae</x:v>
      </x:c>
      <x:c r="O183" s="32" t="n">
        <x:v>4.18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Congridae</x:v>
      </x:c>
      <x:c r="T183" s="32" t="n">
        <x:f>IF(O183="","",(1/'Metadata'!$B$5)^(O183-1))</x:f>
        <x:v>1513.5612484362073</x:v>
      </x:c>
      <x:c r="U183" s="31" t="n">
        <x:f>IF(T183="","",I183*T183)</x:f>
        <x:v>9014.85383661852</x:v>
      </x:c>
    </x:row>
    <x:row r="184" ht="18" customHeight="1">
      <x:c r="A184" s="24" t="str">
        <x:v>EEZ_963</x:v>
      </x:c>
      <x:c r="B184" s="24" t="str">
        <x:v>Spain (Northwest)</x:v>
      </x:c>
      <x:c r="C184" s="24" t="str">
        <x:v>EEZ</x:v>
      </x:c>
      <x:c r="D184" s="30" t="n">
        <x:v>2019</x:v>
      </x:c>
      <x:c r="E184" s="24" t="str">
        <x:v>Homarus gammarus</x:v>
      </x:c>
      <x:c r="F184" s="24" t="str">
        <x:v>European lobster</x:v>
      </x:c>
      <x:c r="G184" s="24" t="str">
        <x:v>Lobsters, crabs</x:v>
      </x:c>
      <x:c r="H184" s="24" t="str">
        <x:v>Crustaceans</x:v>
      </x:c>
      <x:c r="I184" s="31" t="n">
        <x:v>5.9097346473</x:v>
      </x:c>
      <x:c r="J184" s="31" t="n">
        <x:v>5.9097346473</x:v>
      </x:c>
      <x:c r="K184" s="31" t="n">
        <x:v>0</x:v>
      </x:c>
      <x:c r="L184" s="31" t="n">
        <x:v>3.2153470882999997</x:v>
      </x:c>
      <x:c r="M184" s="31" t="n">
        <x:v>2.694387559</x:v>
      </x:c>
      <x:c r="N184" s="24" t="str">
        <x:v>homarus gammarus</x:v>
      </x:c>
      <x:c r="O184" s="32" t="n">
        <x:v>3.7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Homarus gammarus</x:v>
      </x:c>
      <x:c r="T184" s="32" t="n">
        <x:f>IF(O184="","",(1/'Metadata'!$B$5)^(O184-1))</x:f>
        <x:v>501.18723362727246</x:v>
      </x:c>
      <x:c r="U184" s="31" t="n">
        <x:f>IF(T184="","",I184*T184)</x:f>
        <x:v>2961.8835593515314</x:v>
      </x:c>
    </x:row>
    <x:row r="185" ht="18" customHeight="1">
      <x:c r="A185" s="24" t="str">
        <x:v>EEZ_963</x:v>
      </x:c>
      <x:c r="B185" s="24" t="str">
        <x:v>Spain (Northwest)</x:v>
      </x:c>
      <x:c r="C185" s="24" t="str">
        <x:v>EEZ</x:v>
      </x:c>
      <x:c r="D185" s="30" t="n">
        <x:v>2019</x:v>
      </x:c>
      <x:c r="E185" s="24" t="str">
        <x:v>Argentina sphyraena</x:v>
      </x:c>
      <x:c r="F185" s="24" t="str">
        <x:v>European argentine</x:v>
      </x:c>
      <x:c r="G185" s="24" t="str">
        <x:v>Medium pelagics (30 - 89 cm)</x:v>
      </x:c>
      <x:c r="H185" s="24" t="str">
        <x:v>Salmon, smelts, etc</x:v>
      </x:c>
      <x:c r="I185" s="31" t="n">
        <x:v>5.8428018570999996</x:v>
      </x:c>
      <x:c r="J185" s="31" t="n">
        <x:v>5.8428018570999996</x:v>
      </x:c>
      <x:c r="K185" s="31" t="n">
        <x:v>0</x:v>
      </x:c>
      <x:c r="L185" s="31" t="n">
        <x:v>4.397143944</x:v>
      </x:c>
      <x:c r="M185" s="31" t="n">
        <x:v>1.4456579131</x:v>
      </x:c>
      <x:c r="N185" s="24" t="str">
        <x:v>argentina sphyraena</x:v>
      </x:c>
      <x:c r="O185" s="32" t="n">
        <x:v>3.62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Argentina sphyraena</x:v>
      </x:c>
      <x:c r="T185" s="32" t="n">
        <x:f>IF(O185="","",(1/'Metadata'!$B$5)^(O185-1))</x:f>
        <x:v>416.8693834703355</x:v>
      </x:c>
      <x:c r="U185" s="31" t="n">
        <x:f>IF(T185="","",I185*T185)</x:f>
        <x:v>2435.685207908608</x:v>
      </x:c>
    </x:row>
    <x:row r="186" ht="18" customHeight="1">
      <x:c r="A186" s="24" t="str">
        <x:v>EEZ_963</x:v>
      </x:c>
      <x:c r="B186" s="24" t="str">
        <x:v>Spain (Northwest)</x:v>
      </x:c>
      <x:c r="C186" s="24" t="str">
        <x:v>EEZ</x:v>
      </x:c>
      <x:c r="D186" s="30" t="n">
        <x:v>2019</x:v>
      </x:c>
      <x:c r="E186" s="24" t="str">
        <x:v>Microchirus</x:v>
      </x:c>
      <x:c r="F186" s="24" t="str">
        <x:v>Soles</x:v>
      </x:c>
      <x:c r="G186" s="24" t="str">
        <x:v>Small to medium flatfishes (&lt;90 cm)</x:v>
      </x:c>
      <x:c r="H186" s="24" t="str">
        <x:v>Flatfishes</x:v>
      </x:c>
      <x:c r="I186" s="31" t="n">
        <x:v>5.5101542919</x:v>
      </x:c>
      <x:c r="J186" s="31" t="n">
        <x:v>5.5101542919</x:v>
      </x:c>
      <x:c r="K186" s="31" t="n">
        <x:v>0</x:v>
      </x:c>
      <x:c r="L186" s="31" t="n">
        <x:v>5.5101542919</x:v>
      </x:c>
      <x:c r="M186" s="31" t="n">
        <x:v>0</x:v>
      </x:c>
      <x:c r="N186" s="24" t="str">
        <x:v>microchirus</x:v>
      </x:c>
      <x:c r="O186" s="32" t="n">
        <x:v>3.28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Microchirus</x:v>
      </x:c>
      <x:c r="T186" s="32" t="n">
        <x:f>IF(O186="","",(1/'Metadata'!$B$5)^(O186-1))</x:f>
        <x:v>190.54607179632464</x:v>
      </x:c>
      <x:c r="U186" s="31" t="n">
        <x:f>IF(T186="","",I186*T186)</x:f>
        <x:v>1049.9382553132039</x:v>
      </x:c>
    </x:row>
    <x:row r="187" ht="18" customHeight="1">
      <x:c r="A187" s="24" t="str">
        <x:v>EEZ_963</x:v>
      </x:c>
      <x:c r="B187" s="24" t="str">
        <x:v>Spain (Northwest)</x:v>
      </x:c>
      <x:c r="C187" s="24" t="str">
        <x:v>EEZ</x:v>
      </x:c>
      <x:c r="D187" s="30" t="n">
        <x:v>2019</x:v>
      </x:c>
      <x:c r="E187" s="24" t="str">
        <x:v>Anarhichas lupus</x:v>
      </x:c>
      <x:c r="F187" s="24" t="str">
        <x:v>Atlantic wolffish</x:v>
      </x:c>
      <x:c r="G187" s="24" t="str">
        <x:v>Large demersals (&gt;=90 cm)</x:v>
      </x:c>
      <x:c r="H187" s="24" t="str">
        <x:v>Perch-likes</x:v>
      </x:c>
      <x:c r="I187" s="31" t="n">
        <x:v>5.4911166419</x:v>
      </x:c>
      <x:c r="J187" s="31" t="n">
        <x:v>5.4911166419</x:v>
      </x:c>
      <x:c r="K187" s="31" t="n">
        <x:v>0</x:v>
      </x:c>
      <x:c r="L187" s="31" t="n">
        <x:v>5.4911166419</x:v>
      </x:c>
      <x:c r="M187" s="31" t="n">
        <x:v>0</x:v>
      </x:c>
      <x:c r="N187" s="24" t="str">
        <x:v>anarhichas lupus</x:v>
      </x:c>
      <x:c r="O187" s="32" t="n">
        <x:v>3.55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Anarhichas lupus</x:v>
      </x:c>
      <x:c r="T187" s="32" t="n">
        <x:f>IF(O187="","",(1/'Metadata'!$B$5)^(O187-1))</x:f>
        <x:v>354.8133892335753</x:v>
      </x:c>
      <x:c r="U187" s="31" t="n">
        <x:f>IF(T187="","",I187*T187)</x:f>
        <x:v>1948.3217063894276</x:v>
      </x:c>
    </x:row>
    <x:row r="188" ht="18" customHeight="1">
      <x:c r="A188" s="24" t="str">
        <x:v>EEZ_963</x:v>
      </x:c>
      <x:c r="B188" s="24" t="str">
        <x:v>Spain (Northwest)</x:v>
      </x:c>
      <x:c r="C188" s="24" t="str">
        <x:v>EEZ</x:v>
      </x:c>
      <x:c r="D188" s="30" t="n">
        <x:v>2019</x:v>
      </x:c>
      <x:c r="E188" s="24" t="str">
        <x:v>Scophthalmus rhombus</x:v>
      </x:c>
      <x:c r="F188" s="24" t="str">
        <x:v>Brill</x:v>
      </x:c>
      <x:c r="G188" s="24" t="str">
        <x:v>Small to medium flatfishes (&lt;90 cm)</x:v>
      </x:c>
      <x:c r="H188" s="24" t="str">
        <x:v>Flatfishes</x:v>
      </x:c>
      <x:c r="I188" s="31" t="n">
        <x:v>5.36756702</x:v>
      </x:c>
      <x:c r="J188" s="31" t="n">
        <x:v>5.36756702</x:v>
      </x:c>
      <x:c r="K188" s="31" t="n">
        <x:v>0</x:v>
      </x:c>
      <x:c r="L188" s="31" t="n">
        <x:v>3.6434631211</x:v>
      </x:c>
      <x:c r="M188" s="31" t="n">
        <x:v>1.7241038989</x:v>
      </x:c>
      <x:c r="N188" s="24" t="str">
        <x:v>scophthalmus rhombus</x:v>
      </x:c>
      <x:c r="O188" s="32" t="n">
        <x:v>4.42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Scophthalmus rhombus</x:v>
      </x:c>
      <x:c r="T188" s="32" t="n">
        <x:f>IF(O188="","",(1/'Metadata'!$B$5)^(O188-1))</x:f>
        <x:v>2630.2679918953813</x:v>
      </x:c>
      <x:c r="U188" s="31" t="n">
        <x:f>IF(T188="","",I188*T188)</x:f>
        <x:v>14118.139727059277</x:v>
      </x:c>
    </x:row>
    <x:row r="189" ht="18" customHeight="1">
      <x:c r="A189" s="24" t="str">
        <x:v>EEZ_963</x:v>
      </x:c>
      <x:c r="B189" s="24" t="str">
        <x:v>Spain (Northwest)</x:v>
      </x:c>
      <x:c r="C189" s="24" t="str">
        <x:v>EEZ</x:v>
      </x:c>
      <x:c r="D189" s="30" t="n">
        <x:v>2019</x:v>
      </x:c>
      <x:c r="E189" s="24" t="str">
        <x:v>Macrouridae</x:v>
      </x:c>
      <x:c r="F189" s="24" t="str">
        <x:v>Grenadiers, rattails</x:v>
      </x:c>
      <x:c r="G189" s="24" t="str">
        <x:v>Medium benthopelagics (30 - 89 cm)</x:v>
      </x:c>
      <x:c r="H189" s="24" t="str">
        <x:v>Cod-likes</x:v>
      </x:c>
      <x:c r="I189" s="31" t="n">
        <x:v>4.7221867686</x:v>
      </x:c>
      <x:c r="J189" s="31" t="n">
        <x:v>0</x:v>
      </x:c>
      <x:c r="K189" s="31" t="n">
        <x:v>4.7221867686</x:v>
      </x:c>
      <x:c r="L189" s="31" t="n">
        <x:v>0</x:v>
      </x:c>
      <x:c r="M189" s="31" t="n">
        <x:v>4.7221867686</x:v>
      </x:c>
      <x:c r="N189" s="24" t="str">
        <x:v>macrouridae</x:v>
      </x:c>
      <x:c r="O189" s="32" t="n">
        <x:v>3.88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Macrouridae</x:v>
      </x:c>
      <x:c r="T189" s="32" t="n">
        <x:f>IF(O189="","",(1/'Metadata'!$B$5)^(O189-1))</x:f>
        <x:v>758.5775750291835</x:v>
      </x:c>
      <x:c r="U189" s="31" t="n">
        <x:f>IF(T189="","",I189*T189)</x:f>
        <x:v>3582.1449877594846</x:v>
      </x:c>
    </x:row>
    <x:row r="190" ht="18" customHeight="1">
      <x:c r="A190" s="24" t="str">
        <x:v>EEZ_963</x:v>
      </x:c>
      <x:c r="B190" s="24" t="str">
        <x:v>Spain (Northwest)</x:v>
      </x:c>
      <x:c r="C190" s="24" t="str">
        <x:v>EEZ</x:v>
      </x:c>
      <x:c r="D190" s="30" t="n">
        <x:v>2019</x:v>
      </x:c>
      <x:c r="E190" s="24" t="str">
        <x:v>Scophthalmidae</x:v>
      </x:c>
      <x:c r="F190" s="24" t="str">
        <x:v>Turbots</x:v>
      </x:c>
      <x:c r="G190" s="24" t="str">
        <x:v>Small to medium flatfishes (&lt;90 cm)</x:v>
      </x:c>
      <x:c r="H190" s="24" t="str">
        <x:v>Flatfishes</x:v>
      </x:c>
      <x:c r="I190" s="31" t="n">
        <x:v>4.468796122300001</x:v>
      </x:c>
      <x:c r="J190" s="31" t="n">
        <x:v>1.0010832697</x:v>
      </x:c>
      <x:c r="K190" s="31" t="n">
        <x:v>3.4677128526</x:v>
      </x:c>
      <x:c r="L190" s="31" t="n">
        <x:v>0.5580645196</x:v>
      </x:c>
      <x:c r="M190" s="31" t="n">
        <x:v>3.9107316027</x:v>
      </x:c>
      <x:c r="N190" s="24" t="str">
        <x:v>scophthalmidae</x:v>
      </x:c>
      <x:c r="O190" s="32" t="n">
        <x:v>3.71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Scophthalmidae</x:v>
      </x:c>
      <x:c r="T190" s="32" t="n">
        <x:f>IF(O190="","",(1/'Metadata'!$B$5)^(O190-1))</x:f>
        <x:v>512.8613839913648</x:v>
      </x:c>
      <x:c r="U190" s="31" t="n">
        <x:f>IF(T190="","",I190*T190)</x:f>
        <x:v>2291.8729640580227</x:v>
      </x:c>
    </x:row>
    <x:row r="191" ht="18" customHeight="1">
      <x:c r="A191" s="24" t="str">
        <x:v>EEZ_963</x:v>
      </x:c>
      <x:c r="B191" s="24" t="str">
        <x:v>Spain (Northwest)</x:v>
      </x:c>
      <x:c r="C191" s="24" t="str">
        <x:v>EEZ</x:v>
      </x:c>
      <x:c r="D191" s="30" t="n">
        <x:v>2019</x:v>
      </x:c>
      <x:c r="E191" s="24" t="str">
        <x:v>Scorpaena notata</x:v>
      </x:c>
      <x:c r="F191" s="24" t="str">
        <x:v>Small red scorpionfish</x:v>
      </x:c>
      <x:c r="G191" s="24" t="str">
        <x:v>Large reef assoc. fish (&gt;=90 cm)</x:v>
      </x:c>
      <x:c r="H191" s="24" t="str">
        <x:v>Scorpionfishes</x:v>
      </x:c>
      <x:c r="I191" s="31" t="n">
        <x:v>4.11919085</x:v>
      </x:c>
      <x:c r="J191" s="31" t="n">
        <x:v>4.11919085</x:v>
      </x:c>
      <x:c r="K191" s="31" t="n">
        <x:v>0</x:v>
      </x:c>
      <x:c r="L191" s="31" t="n">
        <x:v>4.11919085</x:v>
      </x:c>
      <x:c r="M191" s="31" t="n">
        <x:v>0</x:v>
      </x:c>
      <x:c r="N191" s="24" t="str">
        <x:v>scorpaena notata</x:v>
      </x:c>
      <x:c r="O191" s="32" t="n">
        <x:v>3.7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Scorpaena notata</x:v>
      </x:c>
      <x:c r="T191" s="32" t="n">
        <x:f>IF(O191="","",(1/'Metadata'!$B$5)^(O191-1))</x:f>
        <x:v>501.18723362727246</x:v>
      </x:c>
      <x:c r="U191" s="31" t="n">
        <x:f>IF(T191="","",I191*T191)</x:f>
        <x:v>2064.485866894273</x:v>
      </x:c>
    </x:row>
    <x:row r="192" ht="18" customHeight="1">
      <x:c r="A192" s="24" t="str">
        <x:v>EEZ_963</x:v>
      </x:c>
      <x:c r="B192" s="24" t="str">
        <x:v>Spain (Northwest)</x:v>
      </x:c>
      <x:c r="C192" s="24" t="str">
        <x:v>EEZ</x:v>
      </x:c>
      <x:c r="D192" s="30" t="n">
        <x:v>2019</x:v>
      </x:c>
      <x:c r="E192" s="24" t="str">
        <x:v>Mytilus edulis</x:v>
      </x:c>
      <x:c r="F192" s="24" t="str">
        <x:v>Blue mussel</x:v>
      </x:c>
      <x:c r="G192" s="24" t="str">
        <x:v>Other demersal invertebrates</x:v>
      </x:c>
      <x:c r="H192" s="24" t="str">
        <x:v>Molluscs</x:v>
      </x:c>
      <x:c r="I192" s="31" t="n">
        <x:v>4.0908698460999995</x:v>
      </x:c>
      <x:c r="J192" s="31" t="n">
        <x:v>4.0908698460999995</x:v>
      </x:c>
      <x:c r="K192" s="31" t="n">
        <x:v>0</x:v>
      </x:c>
      <x:c r="L192" s="31" t="n">
        <x:v>3.7983020489999997</x:v>
      </x:c>
      <x:c r="M192" s="31" t="n">
        <x:v>0.2925677971</x:v>
      </x:c>
      <x:c r="N192" s="24" t="str">
        <x:v>mytilus edulis</x:v>
      </x:c>
      <x:c r="O192" s="32" t="n">
        <x:v>2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Mytilus edulis</x:v>
      </x:c>
      <x:c r="T192" s="32" t="n">
        <x:f>IF(O192="","",(1/'Metadata'!$B$5)^(O192-1))</x:f>
        <x:v>10</x:v>
      </x:c>
      <x:c r="U192" s="31" t="n">
        <x:f>IF(T192="","",I192*T192)</x:f>
        <x:v>40.90869846099999</x:v>
      </x:c>
    </x:row>
    <x:row r="193" ht="18" customHeight="1">
      <x:c r="A193" s="24" t="str">
        <x:v>EEZ_963</x:v>
      </x:c>
      <x:c r="B193" s="24" t="str">
        <x:v>Spain (Northwest)</x:v>
      </x:c>
      <x:c r="C193" s="24" t="str">
        <x:v>EEZ</x:v>
      </x:c>
      <x:c r="D193" s="30" t="n">
        <x:v>2019</x:v>
      </x:c>
      <x:c r="E193" s="24" t="str">
        <x:v>Coryphaena hippurus</x:v>
      </x:c>
      <x:c r="F193" s="24" t="str">
        <x:v>Common dolphinfish</x:v>
      </x:c>
      <x:c r="G193" s="24" t="str">
        <x:v>Large pelagics (&gt;=90 cm)</x:v>
      </x:c>
      <x:c r="H193" s="24" t="str">
        <x:v>Perch-likes</x:v>
      </x:c>
      <x:c r="I193" s="31" t="n">
        <x:v>3.9688316751</x:v>
      </x:c>
      <x:c r="J193" s="31" t="n">
        <x:v>3.9688316751</x:v>
      </x:c>
      <x:c r="K193" s="31" t="n">
        <x:v>0</x:v>
      </x:c>
      <x:c r="L193" s="31" t="n">
        <x:v>3.9688316751</x:v>
      </x:c>
      <x:c r="M193" s="31" t="n">
        <x:v>0</x:v>
      </x:c>
      <x:c r="N193" s="24" t="str">
        <x:v>coryphaena hippurus</x:v>
      </x:c>
      <x:c r="O193" s="32" t="n">
        <x:v>4.37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Coryphaena hippurus</x:v>
      </x:c>
      <x:c r="T193" s="32" t="n">
        <x:f>IF(O193="","",(1/'Metadata'!$B$5)^(O193-1))</x:f>
        <x:v>2344.228815319923</x:v>
      </x:c>
      <x:c r="U193" s="31" t="n">
        <x:f>IF(T193="","",I193*T193)</x:f>
        <x:v>9303.849575923858</x:v>
      </x:c>
    </x:row>
    <x:row r="194" ht="18" customHeight="1">
      <x:c r="A194" s="24" t="str">
        <x:v>EEZ_963</x:v>
      </x:c>
      <x:c r="B194" s="24" t="str">
        <x:v>Spain (Northwest)</x:v>
      </x:c>
      <x:c r="C194" s="24" t="str">
        <x:v>EEZ</x:v>
      </x:c>
      <x:c r="D194" s="30" t="n">
        <x:v>2019</x:v>
      </x:c>
      <x:c r="E194" s="24" t="str">
        <x:v>Gempylidae</x:v>
      </x:c>
      <x:c r="F194" s="24" t="str">
        <x:v>Snake mackerels</x:v>
      </x:c>
      <x:c r="G194" s="24" t="str">
        <x:v>Large benthopelagics (&gt;=90 cm)</x:v>
      </x:c>
      <x:c r="H194" s="24" t="str">
        <x:v>Perch-likes</x:v>
      </x:c>
      <x:c r="I194" s="31" t="n">
        <x:v>3.8754918731</x:v>
      </x:c>
      <x:c r="J194" s="31" t="n">
        <x:v>3.8754918731</x:v>
      </x:c>
      <x:c r="K194" s="31" t="n">
        <x:v>0</x:v>
      </x:c>
      <x:c r="L194" s="31" t="n">
        <x:v>3.7858706072</x:v>
      </x:c>
      <x:c r="M194" s="31" t="n">
        <x:v>0.0896212659</x:v>
      </x:c>
      <x:c r="N194" s="24" t="str">
        <x:v>gempylidae</x:v>
      </x:c>
      <x:c r="O194" s="32" t="n">
        <x:v>4.21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Gempylidae</x:v>
      </x:c>
      <x:c r="T194" s="32" t="n">
        <x:f>IF(O194="","",(1/'Metadata'!$B$5)^(O194-1))</x:f>
        <x:v>1621.8100973589299</x:v>
      </x:c>
      <x:c r="U194" s="31" t="n">
        <x:f>IF(T194="","",I194*T194)</x:f>
        <x:v>6285.311852026052</x:v>
      </x:c>
    </x:row>
    <x:row r="195" ht="18" customHeight="1">
      <x:c r="A195" s="24" t="str">
        <x:v>EEZ_963</x:v>
      </x:c>
      <x:c r="B195" s="24" t="str">
        <x:v>Spain (Northwest)</x:v>
      </x:c>
      <x:c r="C195" s="24" t="str">
        <x:v>EEZ</x:v>
      </x:c>
      <x:c r="D195" s="30" t="n">
        <x:v>2019</x:v>
      </x:c>
      <x:c r="E195" s="24" t="str">
        <x:v>Chelon labrosus</x:v>
      </x:c>
      <x:c r="F195" s="24" t="str">
        <x:v>Thicklip grey mullet</x:v>
      </x:c>
      <x:c r="G195" s="24" t="str">
        <x:v>Medium demersals (30 - 89 cm)</x:v>
      </x:c>
      <x:c r="H195" s="24" t="str">
        <x:v>Perch-likes</x:v>
      </x:c>
      <x:c r="I195" s="31" t="n">
        <x:v>3.8017121016999997</x:v>
      </x:c>
      <x:c r="J195" s="31" t="n">
        <x:v>3.8017121016999997</x:v>
      </x:c>
      <x:c r="K195" s="31" t="n">
        <x:v>0</x:v>
      </x:c>
      <x:c r="L195" s="31" t="n">
        <x:v>3.8017121016999997</x:v>
      </x:c>
      <x:c r="M195" s="31" t="n">
        <x:v>0</x:v>
      </x:c>
      <x:c r="N195" s="24" t="str">
        <x:v>chelon labrosus</x:v>
      </x:c>
      <x:c r="O195" s="32" t="n">
        <x:v>2.59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Chelon labrosus</x:v>
      </x:c>
      <x:c r="T195" s="32" t="n">
        <x:f>IF(O195="","",(1/'Metadata'!$B$5)^(O195-1))</x:f>
        <x:v>38.904514499428046</x:v>
      </x:c>
      <x:c r="U195" s="31" t="n">
        <x:f>IF(T195="","",I195*T195)</x:f>
        <x:v>147.9037635832387</x:v>
      </x:c>
    </x:row>
    <x:row r="196" ht="18" customHeight="1">
      <x:c r="A196" s="24" t="str">
        <x:v>EEZ_963</x:v>
      </x:c>
      <x:c r="B196" s="24" t="str">
        <x:v>Spain (Northwest)</x:v>
      </x:c>
      <x:c r="C196" s="24" t="str">
        <x:v>EEZ</x:v>
      </x:c>
      <x:c r="D196" s="30" t="n">
        <x:v>2019</x:v>
      </x:c>
      <x:c r="E196" s="24" t="str">
        <x:v>Leucoraja fullonica</x:v>
      </x:c>
      <x:c r="F196" s="24" t="str">
        <x:v>Shagreen ray</x:v>
      </x:c>
      <x:c r="G196" s="24" t="str">
        <x:v>Large rays (&gt;=90 cm)</x:v>
      </x:c>
      <x:c r="H196" s="24" t="str">
        <x:v>Sharks &amp; rays</x:v>
      </x:c>
      <x:c r="I196" s="31" t="n">
        <x:v>3.7895776719</x:v>
      </x:c>
      <x:c r="J196" s="31" t="n">
        <x:v>3.7895776719</x:v>
      </x:c>
      <x:c r="K196" s="31" t="n">
        <x:v>0</x:v>
      </x:c>
      <x:c r="L196" s="31" t="n">
        <x:v>3.7895776719</x:v>
      </x:c>
      <x:c r="M196" s="31" t="n">
        <x:v>0</x:v>
      </x:c>
      <x:c r="N196" s="24" t="str">
        <x:v>leucoraja fullonica</x:v>
      </x:c>
      <x:c r="O196" s="32" t="n">
        <x:v>3.5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Leucoraja fullonica</x:v>
      </x:c>
      <x:c r="T196" s="32" t="n">
        <x:f>IF(O196="","",(1/'Metadata'!$B$5)^(O196-1))</x:f>
        <x:v>316.22776601683796</x:v>
      </x:c>
      <x:c r="U196" s="31" t="n">
        <x:f>IF(T196="","",I196*T196)</x:f>
        <x:v>1198.3696813322267</x:v>
      </x:c>
    </x:row>
    <x:row r="197" ht="18" customHeight="1">
      <x:c r="A197" s="24" t="str">
        <x:v>EEZ_963</x:v>
      </x:c>
      <x:c r="B197" s="24" t="str">
        <x:v>Spain (Northwest)</x:v>
      </x:c>
      <x:c r="C197" s="24" t="str">
        <x:v>EEZ</x:v>
      </x:c>
      <x:c r="D197" s="30" t="n">
        <x:v>2019</x:v>
      </x:c>
      <x:c r="E197" s="24" t="str">
        <x:v>Galeus melastomus</x:v>
      </x:c>
      <x:c r="F197" s="24" t="str">
        <x:v>Blackmouth catshark</x:v>
      </x:c>
      <x:c r="G197" s="24" t="str">
        <x:v>Small to medium sharks (&lt;90 cm)</x:v>
      </x:c>
      <x:c r="H197" s="24" t="str">
        <x:v>Sharks &amp; rays</x:v>
      </x:c>
      <x:c r="I197" s="31" t="n">
        <x:v>3.7658756894</x:v>
      </x:c>
      <x:c r="J197" s="31" t="n">
        <x:v>3.7658756894</x:v>
      </x:c>
      <x:c r="K197" s="31" t="n">
        <x:v>0</x:v>
      </x:c>
      <x:c r="L197" s="31" t="n">
        <x:v>1.3208224564</x:v>
      </x:c>
      <x:c r="M197" s="31" t="n">
        <x:v>2.4450532330000003</x:v>
      </x:c>
      <x:c r="N197" s="24" t="str">
        <x:v>galeus melastomus</x:v>
      </x:c>
      <x:c r="O197" s="32" t="n">
        <x:v>4.17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Galeus melastomus</x:v>
      </x:c>
      <x:c r="T197" s="32" t="n">
        <x:f>IF(O197="","",(1/'Metadata'!$B$5)^(O197-1))</x:f>
        <x:v>1479.1083881682073</x:v>
      </x:c>
      <x:c r="U197" s="31" t="n">
        <x:f>IF(T197="","",I197*T197)</x:f>
        <x:v>5570.138320990271</x:v>
      </x:c>
    </x:row>
    <x:row r="198" ht="18" customHeight="1">
      <x:c r="A198" s="24" t="str">
        <x:v>EEZ_963</x:v>
      </x:c>
      <x:c r="B198" s="24" t="str">
        <x:v>Spain (Northwest)</x:v>
      </x:c>
      <x:c r="C198" s="24" t="str">
        <x:v>EEZ</x:v>
      </x:c>
      <x:c r="D198" s="30" t="n">
        <x:v>2019</x:v>
      </x:c>
      <x:c r="E198" s="24" t="str">
        <x:v>Mugil</x:v>
      </x:c>
      <x:c r="F198" s="24" t="str">
        <x:v>Grey mullets</x:v>
      </x:c>
      <x:c r="G198" s="24" t="str">
        <x:v>Medium demersals (30 - 89 cm)</x:v>
      </x:c>
      <x:c r="H198" s="24" t="str">
        <x:v>Perch-likes</x:v>
      </x:c>
      <x:c r="I198" s="31" t="n">
        <x:v>3.4264001941</x:v>
      </x:c>
      <x:c r="J198" s="31" t="n">
        <x:v>3.4264001941</x:v>
      </x:c>
      <x:c r="K198" s="31" t="n">
        <x:v>0</x:v>
      </x:c>
      <x:c r="L198" s="31" t="n">
        <x:v>1.952210247</x:v>
      </x:c>
      <x:c r="M198" s="31" t="n">
        <x:v>1.4741899471</x:v>
      </x:c>
      <x:c r="N198" s="24" t="str">
        <x:v>mugil</x:v>
      </x:c>
      <x:c r="O198" s="32" t="n">
        <x:v>2.26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Mugil</x:v>
      </x:c>
      <x:c r="T198" s="32" t="n">
        <x:f>IF(O198="","",(1/'Metadata'!$B$5)^(O198-1))</x:f>
        <x:v>18.197008586099827</x:v>
      </x:c>
      <x:c r="U198" s="31" t="n">
        <x:f>IF(T198="","",I198*T198)</x:f>
        <x:v>62.35023375145182</x:v>
      </x:c>
    </x:row>
    <x:row r="199" ht="18" customHeight="1">
      <x:c r="A199" s="24" t="str">
        <x:v>EEZ_963</x:v>
      </x:c>
      <x:c r="B199" s="24" t="str">
        <x:v>Spain (Northwest)</x:v>
      </x:c>
      <x:c r="C199" s="24" t="str">
        <x:v>EEZ</x:v>
      </x:c>
      <x:c r="D199" s="30" t="n">
        <x:v>2019</x:v>
      </x:c>
      <x:c r="E199" s="24" t="str">
        <x:v>Beryx splendens</x:v>
      </x:c>
      <x:c r="F199" s="24" t="str">
        <x:v>Splendid alfonsino</x:v>
      </x:c>
      <x:c r="G199" s="24" t="str">
        <x:v>Medium benthopelagics (30 - 89 cm)</x:v>
      </x:c>
      <x:c r="H199" s="24" t="str">
        <x:v>Other fishes &amp; inverts</x:v>
      </x:c>
      <x:c r="I199" s="31" t="n">
        <x:v>3.267524602</x:v>
      </x:c>
      <x:c r="J199" s="31" t="n">
        <x:v>3.267524602</x:v>
      </x:c>
      <x:c r="K199" s="31" t="n">
        <x:v>0</x:v>
      </x:c>
      <x:c r="L199" s="31" t="n">
        <x:v>3.1450014579</x:v>
      </x:c>
      <x:c r="M199" s="31" t="n">
        <x:v>0.12252314410000001</x:v>
      </x:c>
      <x:c r="N199" s="24" t="str">
        <x:v>beryx splendens</x:v>
      </x:c>
      <x:c r="O199" s="32" t="n">
        <x:v>4.27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Beryx splendens</x:v>
      </x:c>
      <x:c r="T199" s="32" t="n">
        <x:f>IF(O199="","",(1/'Metadata'!$B$5)^(O199-1))</x:f>
        <x:v>1862.0871366628655</x:v>
      </x:c>
      <x:c r="U199" s="31" t="n">
        <x:f>IF(T199="","",I199*T199)</x:f>
        <x:v>6084.415530113649</x:v>
      </x:c>
    </x:row>
    <x:row r="200" ht="18" customHeight="1">
      <x:c r="A200" s="24" t="str">
        <x:v>EEZ_963</x:v>
      </x:c>
      <x:c r="B200" s="24" t="str">
        <x:v>Spain (Northwest)</x:v>
      </x:c>
      <x:c r="C200" s="24" t="str">
        <x:v>EEZ</x:v>
      </x:c>
      <x:c r="D200" s="30" t="n">
        <x:v>2019</x:v>
      </x:c>
      <x:c r="E200" s="24" t="str">
        <x:v>Galeorhinus galeus</x:v>
      </x:c>
      <x:c r="F200" s="24" t="str">
        <x:v>Tope shark</x:v>
      </x:c>
      <x:c r="G200" s="24" t="str">
        <x:v>Large sharks (&gt;=90 cm)</x:v>
      </x:c>
      <x:c r="H200" s="24" t="str">
        <x:v>Sharks &amp; rays</x:v>
      </x:c>
      <x:c r="I200" s="31" t="n">
        <x:v>3.2203119921</x:v>
      </x:c>
      <x:c r="J200" s="31" t="n">
        <x:v>3.2203119921</x:v>
      </x:c>
      <x:c r="K200" s="31" t="n">
        <x:v>0</x:v>
      </x:c>
      <x:c r="L200" s="31" t="n">
        <x:v>2.5835575441</x:v>
      </x:c>
      <x:c r="M200" s="31" t="n">
        <x:v>0.636754448</x:v>
      </x:c>
      <x:c r="N200" s="24" t="str">
        <x:v>galeorhinus galeus</x:v>
      </x:c>
      <x:c r="O200" s="32" t="n">
        <x:v>4.34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Galeorhinus galeus</x:v>
      </x:c>
      <x:c r="T200" s="32" t="n">
        <x:f>IF(O200="","",(1/'Metadata'!$B$5)^(O200-1))</x:f>
        <x:v>2187.761623949552</x:v>
      </x:c>
      <x:c r="U200" s="31" t="n">
        <x:f>IF(T200="","",I200*T200)</x:f>
        <x:v>7045.274993460913</x:v>
      </x:c>
    </x:row>
    <x:row r="201" ht="18" customHeight="1">
      <x:c r="A201" s="24" t="str">
        <x:v>EEZ_963</x:v>
      </x:c>
      <x:c r="B201" s="24" t="str">
        <x:v>Spain (Northwest)</x:v>
      </x:c>
      <x:c r="C201" s="24" t="str">
        <x:v>EEZ</x:v>
      </x:c>
      <x:c r="D201" s="30" t="n">
        <x:v>2019</x:v>
      </x:c>
      <x:c r="E201" s="24" t="str">
        <x:v>Mullidae</x:v>
      </x:c>
      <x:c r="F201" s="24" t="str">
        <x:v>Goatfishes</x:v>
      </x:c>
      <x:c r="G201" s="24" t="str">
        <x:v>Medium reef assoc. fish (30 - 89 cm)</x:v>
      </x:c>
      <x:c r="H201" s="24" t="str">
        <x:v>Perch-likes</x:v>
      </x:c>
      <x:c r="I201" s="31" t="n">
        <x:v>3.2148845372999997</x:v>
      </x:c>
      <x:c r="J201" s="31" t="n">
        <x:v>2.0408052580000002</x:v>
      </x:c>
      <x:c r="K201" s="31" t="n">
        <x:v>1.1740792793</x:v>
      </x:c>
      <x:c r="L201" s="31" t="n">
        <x:v>0.707119633</x:v>
      </x:c>
      <x:c r="M201" s="31" t="n">
        <x:v>2.5077649043</x:v>
      </x:c>
      <x:c r="N201" s="24" t="str">
        <x:v>mullidae</x:v>
      </x:c>
      <x:c r="O201" s="32" t="n">
        <x:v>3.46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Mullidae</x:v>
      </x:c>
      <x:c r="T201" s="32" t="n">
        <x:f>IF(O201="","",(1/'Metadata'!$B$5)^(O201-1))</x:f>
        <x:v>288.40315031266056</x:v>
      </x:c>
      <x:c r="U201" s="31" t="n">
        <x:f>IF(T201="","",I201*T201)</x:f>
        <x:v>927.18282844878</x:v>
      </x:c>
    </x:row>
    <x:row r="202" ht="18" customHeight="1">
      <x:c r="A202" s="24" t="str">
        <x:v>EEZ_963</x:v>
      </x:c>
      <x:c r="B202" s="24" t="str">
        <x:v>Spain (Northwest)</x:v>
      </x:c>
      <x:c r="C202" s="24" t="str">
        <x:v>EEZ</x:v>
      </x:c>
      <x:c r="D202" s="30" t="n">
        <x:v>2019</x:v>
      </x:c>
      <x:c r="E202" s="24" t="str">
        <x:v>Pleuronectes platessa</x:v>
      </x:c>
      <x:c r="F202" s="24" t="str">
        <x:v>European plaice</x:v>
      </x:c>
      <x:c r="G202" s="24" t="str">
        <x:v>Large flatfishes (&gt;=90 cm)</x:v>
      </x:c>
      <x:c r="H202" s="24" t="str">
        <x:v>Flatfishes</x:v>
      </x:c>
      <x:c r="I202" s="31" t="n">
        <x:v>3.1875463372</x:v>
      </x:c>
      <x:c r="J202" s="31" t="n">
        <x:v>2.8687856401</x:v>
      </x:c>
      <x:c r="K202" s="31" t="n">
        <x:v>0.3187606971</x:v>
      </x:c>
      <x:c r="L202" s="31" t="n">
        <x:v>2.3319563087</x:v>
      </x:c>
      <x:c r="M202" s="31" t="n">
        <x:v>0.8555900285000001</x:v>
      </x:c>
      <x:c r="N202" s="24" t="str">
        <x:v>pleuronectes platessa</x:v>
      </x:c>
      <x:c r="O202" s="32" t="n">
        <x:v>3.26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Pleuronectes platessa</x:v>
      </x:c>
      <x:c r="T202" s="32" t="n">
        <x:f>IF(O202="","",(1/'Metadata'!$B$5)^(O202-1))</x:f>
        <x:v>181.97008586099827</x:v>
      </x:c>
      <x:c r="U202" s="31" t="n">
        <x:f>IF(T202="","",I202*T202)</x:f>
        <x:v>580.0380806661946</x:v>
      </x:c>
    </x:row>
    <x:row r="203" ht="18" customHeight="1">
      <x:c r="A203" s="24" t="str">
        <x:v>EEZ_963</x:v>
      </x:c>
      <x:c r="B203" s="24" t="str">
        <x:v>Spain (Northwest)</x:v>
      </x:c>
      <x:c r="C203" s="24" t="str">
        <x:v>EEZ</x:v>
      </x:c>
      <x:c r="D203" s="30" t="n">
        <x:v>2019</x:v>
      </x:c>
      <x:c r="E203" s="24" t="str">
        <x:v>Ensis siliqua</x:v>
      </x:c>
      <x:c r="F203" s="24" t="str">
        <x:v>Sword razor shell</x:v>
      </x:c>
      <x:c r="G203" s="24" t="str">
        <x:v>Other demersal invertebrates</x:v>
      </x:c>
      <x:c r="H203" s="24" t="str">
        <x:v>Molluscs</x:v>
      </x:c>
      <x:c r="I203" s="31" t="n">
        <x:v>3.1557144551</x:v>
      </x:c>
      <x:c r="J203" s="31" t="n">
        <x:v>3.1557144551</x:v>
      </x:c>
      <x:c r="K203" s="31" t="n">
        <x:v>0</x:v>
      </x:c>
      <x:c r="L203" s="31" t="n">
        <x:v>3.1557144551</x:v>
      </x:c>
      <x:c r="M203" s="31" t="n">
        <x:v>0</x:v>
      </x:c>
      <x:c r="N203" s="24" t="str">
        <x:v>ensis siliqua</x:v>
      </x:c>
      <x:c r="O203" s="32" t="n">
        <x:v>2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Ensis siliqua</x:v>
      </x:c>
      <x:c r="T203" s="32" t="n">
        <x:f>IF(O203="","",(1/'Metadata'!$B$5)^(O203-1))</x:f>
        <x:v>10</x:v>
      </x:c>
      <x:c r="U203" s="31" t="n">
        <x:f>IF(T203="","",I203*T203)</x:f>
        <x:v>31.557144551</x:v>
      </x:c>
    </x:row>
    <x:row r="204" ht="18" customHeight="1">
      <x:c r="A204" s="24" t="str">
        <x:v>EEZ_963</x:v>
      </x:c>
      <x:c r="B204" s="24" t="str">
        <x:v>Spain (Northwest)</x:v>
      </x:c>
      <x:c r="C204" s="24" t="str">
        <x:v>EEZ</x:v>
      </x:c>
      <x:c r="D204" s="30" t="n">
        <x:v>2019</x:v>
      </x:c>
      <x:c r="E204" s="24" t="str">
        <x:v>Dentex</x:v>
      </x:c>
      <x:c r="F204" s="24" t="str">
        <x:v>Toothed seabreams</x:v>
      </x:c>
      <x:c r="G204" s="24" t="str">
        <x:v>Large benthopelagics (&gt;=90 cm)</x:v>
      </x:c>
      <x:c r="H204" s="24" t="str">
        <x:v>Perch-likes</x:v>
      </x:c>
      <x:c r="I204" s="31" t="n">
        <x:v>3.115508214</x:v>
      </x:c>
      <x:c r="J204" s="31" t="n">
        <x:v>3.115508214</x:v>
      </x:c>
      <x:c r="K204" s="31" t="n">
        <x:v>0</x:v>
      </x:c>
      <x:c r="L204" s="31" t="n">
        <x:v>2.1777987171</x:v>
      </x:c>
      <x:c r="M204" s="31" t="n">
        <x:v>0.9377094969</x:v>
      </x:c>
      <x:c r="N204" s="24" t="str">
        <x:v>dentex</x:v>
      </x:c>
      <x:c r="O204" s="32" t="n">
        <x:v>3.96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Dentex</x:v>
      </x:c>
      <x:c r="T204" s="32" t="n">
        <x:f>IF(O204="","",(1/'Metadata'!$B$5)^(O204-1))</x:f>
        <x:v>912.0108393559096</x:v>
      </x:c>
      <x:c r="U204" s="31" t="n">
        <x:f>IF(T204="","",I204*T204)</x:f>
        <x:v>2841.377261270371</x:v>
      </x:c>
    </x:row>
    <x:row r="205" ht="18" customHeight="1">
      <x:c r="A205" s="24" t="str">
        <x:v>EEZ_963</x:v>
      </x:c>
      <x:c r="B205" s="24" t="str">
        <x:v>Spain (Northwest)</x:v>
      </x:c>
      <x:c r="C205" s="24" t="str">
        <x:v>EEZ</x:v>
      </x:c>
      <x:c r="D205" s="30" t="n">
        <x:v>2019</x:v>
      </x:c>
      <x:c r="E205" s="24" t="str">
        <x:v>Aristeidae</x:v>
      </x:c>
      <x:c r="F205" s="24" t="str">
        <x:v>Aristeid shrimps</x:v>
      </x:c>
      <x:c r="G205" s="24" t="str">
        <x:v>Shrimps</x:v>
      </x:c>
      <x:c r="H205" s="24" t="str">
        <x:v>Crustaceans</x:v>
      </x:c>
      <x:c r="I205" s="31" t="n">
        <x:v>3.0841971441</x:v>
      </x:c>
      <x:c r="J205" s="31" t="n">
        <x:v>3.0841971441</x:v>
      </x:c>
      <x:c r="K205" s="31" t="n">
        <x:v>0</x:v>
      </x:c>
      <x:c r="L205" s="31" t="n">
        <x:v>2.7115333081</x:v>
      </x:c>
      <x:c r="M205" s="31" t="n">
        <x:v>0.372663836</x:v>
      </x:c>
      <x:c r="N205" s="24" t="str">
        <x:v>aristeidae</x:v>
      </x:c>
      <x:c r="O205" s="32" t="n">
        <x:v>3.47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Aristeidae</x:v>
      </x:c>
      <x:c r="T205" s="32" t="n">
        <x:f>IF(O205="","",(1/'Metadata'!$B$5)^(O205-1))</x:f>
        <x:v>295.1209226666387</x:v>
      </x:c>
      <x:c r="U205" s="31" t="n">
        <x:f>IF(T205="","",I205*T205)</x:f>
        <x:v>910.2111068526041</x:v>
      </x:c>
    </x:row>
    <x:row r="206" ht="18" customHeight="1">
      <x:c r="A206" s="24" t="str">
        <x:v>EEZ_963</x:v>
      </x:c>
      <x:c r="B206" s="24" t="str">
        <x:v>Spain (Northwest)</x:v>
      </x:c>
      <x:c r="C206" s="24" t="str">
        <x:v>EEZ</x:v>
      </x:c>
      <x:c r="D206" s="30" t="n">
        <x:v>2019</x:v>
      </x:c>
      <x:c r="E206" s="24" t="str">
        <x:v>Mustelus</x:v>
      </x:c>
      <x:c r="F206" s="24" t="str">
        <x:v>Smoothhounds</x:v>
      </x:c>
      <x:c r="G206" s="24" t="str">
        <x:v>Large sharks (&gt;=90 cm)</x:v>
      </x:c>
      <x:c r="H206" s="24" t="str">
        <x:v>Sharks &amp; rays</x:v>
      </x:c>
      <x:c r="I206" s="31" t="n">
        <x:v>2.7744608609</x:v>
      </x:c>
      <x:c r="J206" s="31" t="n">
        <x:v>2.7744608609</x:v>
      </x:c>
      <x:c r="K206" s="31" t="n">
        <x:v>0</x:v>
      </x:c>
      <x:c r="L206" s="31" t="n">
        <x:v>2.7744608609</x:v>
      </x:c>
      <x:c r="M206" s="31" t="n">
        <x:v>0</x:v>
      </x:c>
      <x:c r="N206" s="24" t="str">
        <x:v>mustelus</x:v>
      </x:c>
      <x:c r="O206" s="32" t="n">
        <x:v>3.73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Mustelus</x:v>
      </x:c>
      <x:c r="T206" s="32" t="n">
        <x:f>IF(O206="","",(1/'Metadata'!$B$5)^(O206-1))</x:f>
        <x:v>537.0317963702527</x:v>
      </x:c>
      <x:c r="U206" s="31" t="n">
        <x:f>IF(T206="","",I206*T206)</x:f>
        <x:v>1489.9737000880848</x:v>
      </x:c>
    </x:row>
    <x:row r="207" ht="18" customHeight="1">
      <x:c r="A207" s="24" t="str">
        <x:v>EEZ_963</x:v>
      </x:c>
      <x:c r="B207" s="24" t="str">
        <x:v>Spain (Northwest)</x:v>
      </x:c>
      <x:c r="C207" s="24" t="str">
        <x:v>EEZ</x:v>
      </x:c>
      <x:c r="D207" s="30" t="n">
        <x:v>2019</x:v>
      </x:c>
      <x:c r="E207" s="24" t="str">
        <x:v>Serranidae</x:v>
      </x:c>
      <x:c r="F207" s="24" t="str">
        <x:v>Basses, groupers, hinds</x:v>
      </x:c>
      <x:c r="G207" s="24" t="str">
        <x:v>Medium reef assoc. fish (30 - 89 cm)</x:v>
      </x:c>
      <x:c r="H207" s="24" t="str">
        <x:v>Perch-likes</x:v>
      </x:c>
      <x:c r="I207" s="31" t="n">
        <x:v>2.6830462899</x:v>
      </x:c>
      <x:c r="J207" s="31" t="n">
        <x:v>2.6830462899</x:v>
      </x:c>
      <x:c r="K207" s="31" t="n">
        <x:v>0</x:v>
      </x:c>
      <x:c r="L207" s="31" t="n">
        <x:v>2.6830462899</x:v>
      </x:c>
      <x:c r="M207" s="31" t="n">
        <x:v>0</x:v>
      </x:c>
      <x:c r="N207" s="24" t="str">
        <x:v>serranidae</x:v>
      </x:c>
      <x:c r="O207" s="32" t="n">
        <x:v>3.98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Serranidae</x:v>
      </x:c>
      <x:c r="T207" s="32" t="n">
        <x:f>IF(O207="","",(1/'Metadata'!$B$5)^(O207-1))</x:f>
        <x:v>954.992586021436</x:v>
      </x:c>
      <x:c r="U207" s="31" t="n">
        <x:f>IF(T207="","",I207*T207)</x:f>
        <x:v>2562.2893148068206</x:v>
      </x:c>
    </x:row>
    <x:row r="208" ht="18" customHeight="1">
      <x:c r="A208" s="24" t="str">
        <x:v>EEZ_963</x:v>
      </x:c>
      <x:c r="B208" s="24" t="str">
        <x:v>Spain (Northwest)</x:v>
      </x:c>
      <x:c r="C208" s="24" t="str">
        <x:v>EEZ</x:v>
      </x:c>
      <x:c r="D208" s="30" t="n">
        <x:v>2019</x:v>
      </x:c>
      <x:c r="E208" s="24" t="str">
        <x:v>Epinephelus marginatus</x:v>
      </x:c>
      <x:c r="F208" s="24" t="str">
        <x:v>Dusky grouper</x:v>
      </x:c>
      <x:c r="G208" s="24" t="str">
        <x:v>Large reef assoc. fish (&gt;=90 cm)</x:v>
      </x:c>
      <x:c r="H208" s="24" t="str">
        <x:v>Perch-likes</x:v>
      </x:c>
      <x:c r="I208" s="31" t="n">
        <x:v>2.5118883751</x:v>
      </x:c>
      <x:c r="J208" s="31" t="n">
        <x:v>2.5118883751</x:v>
      </x:c>
      <x:c r="K208" s="31" t="n">
        <x:v>0</x:v>
      </x:c>
      <x:c r="L208" s="31" t="n">
        <x:v>1.3832325661</x:v>
      </x:c>
      <x:c r="M208" s="31" t="n">
        <x:v>1.128655809</x:v>
      </x:c>
      <x:c r="N208" s="24" t="str">
        <x:v>epinephelus marginatus</x:v>
      </x:c>
      <x:c r="O208" s="32" t="n">
        <x:v>4.43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Epinephelus marginatus</x:v>
      </x:c>
      <x:c r="T208" s="32" t="n">
        <x:f>IF(O208="","",(1/'Metadata'!$B$5)^(O208-1))</x:f>
        <x:v>2691.534803926914</x:v>
      </x:c>
      <x:c r="U208" s="31" t="n">
        <x:f>IF(T208="","",I208*T208)</x:f>
        <x:v>6760.834985161072</x:v>
      </x:c>
    </x:row>
    <x:row r="209" ht="18" customHeight="1">
      <x:c r="A209" s="24" t="str">
        <x:v>EEZ_963</x:v>
      </x:c>
      <x:c r="B209" s="24" t="str">
        <x:v>Spain (Northwest)</x:v>
      </x:c>
      <x:c r="C209" s="24" t="str">
        <x:v>EEZ</x:v>
      </x:c>
      <x:c r="D209" s="30" t="n">
        <x:v>2019</x:v>
      </x:c>
      <x:c r="E209" s="24" t="str">
        <x:v>Raja brachyura</x:v>
      </x:c>
      <x:c r="F209" s="24" t="str">
        <x:v>Blonde ray</x:v>
      </x:c>
      <x:c r="G209" s="24" t="str">
        <x:v>Large rays (&gt;=90 cm)</x:v>
      </x:c>
      <x:c r="H209" s="24" t="str">
        <x:v>Sharks &amp; rays</x:v>
      </x:c>
      <x:c r="I209" s="31" t="n">
        <x:v>2.4875953521</x:v>
      </x:c>
      <x:c r="J209" s="31" t="n">
        <x:v>2.4875953521</x:v>
      </x:c>
      <x:c r="K209" s="31" t="n">
        <x:v>0</x:v>
      </x:c>
      <x:c r="L209" s="31" t="n">
        <x:v>0.6999629021</x:v>
      </x:c>
      <x:c r="M209" s="31" t="n">
        <x:v>1.7876324499999998</x:v>
      </x:c>
      <x:c r="N209" s="24" t="str">
        <x:v>raja brachyura</x:v>
      </x:c>
      <x:c r="O209" s="32" t="n">
        <x:v>3.89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Raja brachyura</x:v>
      </x:c>
      <x:c r="T209" s="32" t="n">
        <x:f>IF(O209="","",(1/'Metadata'!$B$5)^(O209-1))</x:f>
        <x:v>776.247116628692</x:v>
      </x:c>
      <x:c r="U209" s="31" t="n">
        <x:f>IF(T209="","",I209*T209)</x:f>
        <x:v>1930.988719406561</x:v>
      </x:c>
    </x:row>
    <x:row r="210" ht="18" customHeight="1">
      <x:c r="A210" s="24" t="str">
        <x:v>EEZ_963</x:v>
      </x:c>
      <x:c r="B210" s="24" t="str">
        <x:v>Spain (Northwest)</x:v>
      </x:c>
      <x:c r="C210" s="24" t="str">
        <x:v>EEZ</x:v>
      </x:c>
      <x:c r="D210" s="30" t="n">
        <x:v>2019</x:v>
      </x:c>
      <x:c r="E210" s="24" t="str">
        <x:v>Cepola macrophthalma</x:v>
      </x:c>
      <x:c r="F210" s="24" t="str">
        <x:v>Red bandfish</x:v>
      </x:c>
      <x:c r="G210" s="24" t="str">
        <x:v>Medium demersals (30 - 89 cm)</x:v>
      </x:c>
      <x:c r="H210" s="24" t="str">
        <x:v>Perch-likes</x:v>
      </x:c>
      <x:c r="I210" s="31" t="n">
        <x:v>2.4729690789</x:v>
      </x:c>
      <x:c r="J210" s="31" t="n">
        <x:v>2.4729690789</x:v>
      </x:c>
      <x:c r="K210" s="31" t="n">
        <x:v>0</x:v>
      </x:c>
      <x:c r="L210" s="31" t="n">
        <x:v>2.4729690789</x:v>
      </x:c>
      <x:c r="M210" s="31" t="n">
        <x:v>0</x:v>
      </x:c>
      <x:c r="N210" s="24" t="str">
        <x:v>cepola macrophthalma</x:v>
      </x:c>
      <x:c r="O210" s="32" t="n">
        <x:v>3.13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Cepola macrophthalma</x:v>
      </x:c>
      <x:c r="T210" s="32" t="n">
        <x:f>IF(O210="","",(1/'Metadata'!$B$5)^(O210-1))</x:f>
        <x:v>134.89628825916532</x:v>
      </x:c>
      <x:c r="U210" s="31" t="n">
        <x:f>IF(T210="","",I210*T210)</x:f>
        <x:v>333.59434972329694</x:v>
      </x:c>
    </x:row>
    <x:row r="211" ht="18" customHeight="1">
      <x:c r="A211" s="24" t="str">
        <x:v>EEZ_963</x:v>
      </x:c>
      <x:c r="B211" s="24" t="str">
        <x:v>Spain (Northwest)</x:v>
      </x:c>
      <x:c r="C211" s="24" t="str">
        <x:v>EEZ</x:v>
      </x:c>
      <x:c r="D211" s="30" t="n">
        <x:v>2019</x:v>
      </x:c>
      <x:c r="E211" s="24" t="str">
        <x:v>Mustelus mustelus</x:v>
      </x:c>
      <x:c r="F211" s="24" t="str">
        <x:v>Smooth-hound</x:v>
      </x:c>
      <x:c r="G211" s="24" t="str">
        <x:v>Large sharks (&gt;=90 cm)</x:v>
      </x:c>
      <x:c r="H211" s="24" t="str">
        <x:v>Sharks &amp; rays</x:v>
      </x:c>
      <x:c r="I211" s="31" t="n">
        <x:v>2.4638448895</x:v>
      </x:c>
      <x:c r="J211" s="31" t="n">
        <x:v>2.4638448895</x:v>
      </x:c>
      <x:c r="K211" s="31" t="n">
        <x:v>0</x:v>
      </x:c>
      <x:c r="L211" s="31" t="n">
        <x:v>1.5823391025</x:v>
      </x:c>
      <x:c r="M211" s="31" t="n">
        <x:v>0.881505787</x:v>
      </x:c>
      <x:c r="N211" s="24" t="str">
        <x:v>mustelus mustelus</x:v>
      </x:c>
      <x:c r="O211" s="32" t="n">
        <x:v>3.75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Mustelus mustelus</x:v>
      </x:c>
      <x:c r="T211" s="32" t="n">
        <x:f>IF(O211="","",(1/'Metadata'!$B$5)^(O211-1))</x:f>
        <x:v>562.341325190349</x:v>
      </x:c>
      <x:c r="U211" s="31" t="n">
        <x:f>IF(T211="","",I211*T211)</x:f>
        <x:v>1385.521800224899</x:v>
      </x:c>
    </x:row>
    <x:row r="212" ht="18" customHeight="1">
      <x:c r="A212" s="24" t="str">
        <x:v>EEZ_963</x:v>
      </x:c>
      <x:c r="B212" s="24" t="str">
        <x:v>Spain (Northwest)</x:v>
      </x:c>
      <x:c r="C212" s="24" t="str">
        <x:v>EEZ</x:v>
      </x:c>
      <x:c r="D212" s="30" t="n">
        <x:v>2019</x:v>
      </x:c>
      <x:c r="E212" s="24" t="str">
        <x:v>Donax</x:v>
      </x:c>
      <x:c r="F212" s="24" t="str">
        <x:v>Bean clams</x:v>
      </x:c>
      <x:c r="G212" s="24" t="str">
        <x:v>Other demersal invertebrates</x:v>
      </x:c>
      <x:c r="H212" s="24" t="str">
        <x:v>Molluscs</x:v>
      </x:c>
      <x:c r="I212" s="31" t="n">
        <x:v>2.3148356929</x:v>
      </x:c>
      <x:c r="J212" s="31" t="n">
        <x:v>2.3148356929</x:v>
      </x:c>
      <x:c r="K212" s="31" t="n">
        <x:v>0</x:v>
      </x:c>
      <x:c r="L212" s="31" t="n">
        <x:v>2.3148356929</x:v>
      </x:c>
      <x:c r="M212" s="31" t="n">
        <x:v>0</x:v>
      </x:c>
      <x:c r="N212" s="24" t="str">
        <x:v>donax</x:v>
      </x:c>
      <x:c r="O212" s="32" t="n">
        <x:v>2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Donax</x:v>
      </x:c>
      <x:c r="T212" s="32" t="n">
        <x:f>IF(O212="","",(1/'Metadata'!$B$5)^(O212-1))</x:f>
        <x:v>10</x:v>
      </x:c>
      <x:c r="U212" s="31" t="n">
        <x:f>IF(T212="","",I212*T212)</x:f>
        <x:v>23.148356929000002</x:v>
      </x:c>
    </x:row>
    <x:row r="213" ht="18" customHeight="1">
      <x:c r="A213" s="24" t="str">
        <x:v>EEZ_963</x:v>
      </x:c>
      <x:c r="B213" s="24" t="str">
        <x:v>Spain (Northwest)</x:v>
      </x:c>
      <x:c r="C213" s="24" t="str">
        <x:v>EEZ</x:v>
      </x:c>
      <x:c r="D213" s="30" t="n">
        <x:v>2019</x:v>
      </x:c>
      <x:c r="E213" s="24" t="str">
        <x:v>Sebastidae</x:v>
      </x:c>
      <x:c r="F213" s="24" t="str">
        <x:v>Rockfishes, rockcods, thornyheads</x:v>
      </x:c>
      <x:c r="G213" s="24" t="str">
        <x:v>Medium demersals (30 - 89 cm)</x:v>
      </x:c>
      <x:c r="H213" s="24" t="str">
        <x:v>Scorpionfishes</x:v>
      </x:c>
      <x:c r="I213" s="31" t="n">
        <x:v>2.2936335733</x:v>
      </x:c>
      <x:c r="J213" s="31" t="n">
        <x:v>0</x:v>
      </x:c>
      <x:c r="K213" s="31" t="n">
        <x:v>2.2936335733</x:v>
      </x:c>
      <x:c r="L213" s="31" t="n">
        <x:v>0</x:v>
      </x:c>
      <x:c r="M213" s="31" t="n">
        <x:v>2.2936335733</x:v>
      </x:c>
      <x:c r="N213" s="24" t="str">
        <x:v>sebastidae</x:v>
      </x:c>
      <x:c r="O213" s="32" t="n">
        <x:v>3.74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Sebastidae</x:v>
      </x:c>
      <x:c r="T213" s="32" t="n">
        <x:f>IF(O213="","",(1/'Metadata'!$B$5)^(O213-1))</x:f>
        <x:v>549.5408738576248</x:v>
      </x:c>
      <x:c r="U213" s="31" t="n">
        <x:f>IF(T213="","",I213*T213)</x:f>
        <x:v>1260.4453981804686</x:v>
      </x:c>
    </x:row>
    <x:row r="214" ht="18" customHeight="1">
      <x:c r="A214" s="24" t="str">
        <x:v>EEZ_963</x:v>
      </x:c>
      <x:c r="B214" s="24" t="str">
        <x:v>Spain (Northwest)</x:v>
      </x:c>
      <x:c r="C214" s="24" t="str">
        <x:v>EEZ</x:v>
      </x:c>
      <x:c r="D214" s="30" t="n">
        <x:v>2019</x:v>
      </x:c>
      <x:c r="E214" s="24" t="str">
        <x:v>Anomura</x:v>
      </x:c>
      <x:c r="F214" s="24" t="str">
        <x:v>Craylets, squat lobsters, hermits</x:v>
      </x:c>
      <x:c r="G214" s="24" t="str">
        <x:v>Lobsters, crabs</x:v>
      </x:c>
      <x:c r="H214" s="24" t="str">
        <x:v>Crustaceans</x:v>
      </x:c>
      <x:c r="I214" s="31" t="n">
        <x:v>2.2741660503000003</x:v>
      </x:c>
      <x:c r="J214" s="31" t="n">
        <x:v>2.2741660503000003</x:v>
      </x:c>
      <x:c r="K214" s="31" t="n">
        <x:v>0</x:v>
      </x:c>
      <x:c r="L214" s="31" t="n">
        <x:v>2.2741660503000003</x:v>
      </x:c>
      <x:c r="M214" s="31" t="n">
        <x:v>0</x:v>
      </x:c>
      <x:c r="N214" s="24" t="str">
        <x:v>anomura</x:v>
      </x:c>
      <x:c r="O214" s="32" t="n">
        <x:v>3.1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Anomura</x:v>
      </x:c>
      <x:c r="T214" s="32" t="n">
        <x:f>IF(O214="","",(1/'Metadata'!$B$5)^(O214-1))</x:f>
        <x:v>125.89254117941675</x:v>
      </x:c>
      <x:c r="U214" s="31" t="n">
        <x:f>IF(T214="","",I214*T214)</x:f>
        <x:v>286.30054313622435</x:v>
      </x:c>
    </x:row>
    <x:row r="215" ht="18" customHeight="1">
      <x:c r="A215" s="24" t="str">
        <x:v>EEZ_963</x:v>
      </x:c>
      <x:c r="B215" s="24" t="str">
        <x:v>Spain (Northwest)</x:v>
      </x:c>
      <x:c r="C215" s="24" t="str">
        <x:v>EEZ</x:v>
      </x:c>
      <x:c r="D215" s="30" t="n">
        <x:v>2019</x:v>
      </x:c>
      <x:c r="E215" s="24" t="str">
        <x:v>Gaidropsarus</x:v>
      </x:c>
      <x:c r="F215" s="24" t="str">
        <x:v>Rocklings</x:v>
      </x:c>
      <x:c r="G215" s="24" t="str">
        <x:v>Medium benthopelagics (30 - 89 cm)</x:v>
      </x:c>
      <x:c r="H215" s="24" t="str">
        <x:v>Cod-likes</x:v>
      </x:c>
      <x:c r="I215" s="31" t="n">
        <x:v>2.2134988949000003</x:v>
      </x:c>
      <x:c r="J215" s="31" t="n">
        <x:v>2.2134988949000003</x:v>
      </x:c>
      <x:c r="K215" s="31" t="n">
        <x:v>0</x:v>
      </x:c>
      <x:c r="L215" s="31" t="n">
        <x:v>2.2134988949000003</x:v>
      </x:c>
      <x:c r="M215" s="31" t="n">
        <x:v>0</x:v>
      </x:c>
      <x:c r="N215" s="24" t="str">
        <x:v>gaidropsarus</x:v>
      </x:c>
      <x:c r="O215" s="32" t="n">
        <x:v>3.4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Gaidropsarus</x:v>
      </x:c>
      <x:c r="T215" s="32" t="n">
        <x:f>IF(O215="","",(1/'Metadata'!$B$5)^(O215-1))</x:f>
        <x:v>251.18864315095797</x:v>
      </x:c>
      <x:c r="U215" s="31" t="n">
        <x:f>IF(T215="","",I215*T215)</x:f>
        <x:v>556.005784026076</x:v>
      </x:c>
    </x:row>
    <x:row r="216" ht="18" customHeight="1">
      <x:c r="A216" s="24" t="str">
        <x:v>EEZ_963</x:v>
      </x:c>
      <x:c r="B216" s="24" t="str">
        <x:v>Spain (Northwest)</x:v>
      </x:c>
      <x:c r="C216" s="24" t="str">
        <x:v>EEZ</x:v>
      </x:c>
      <x:c r="D216" s="30" t="n">
        <x:v>2019</x:v>
      </x:c>
      <x:c r="E216" s="24" t="str">
        <x:v>Dicentrarchus punctatus</x:v>
      </x:c>
      <x:c r="F216" s="24" t="str">
        <x:v>Spotted seabass</x:v>
      </x:c>
      <x:c r="G216" s="24" t="str">
        <x:v>Medium pelagics (30 - 89 cm)</x:v>
      </x:c>
      <x:c r="H216" s="24" t="str">
        <x:v>Perch-likes</x:v>
      </x:c>
      <x:c r="I216" s="31" t="n">
        <x:v>2.1849443578</x:v>
      </x:c>
      <x:c r="J216" s="31" t="n">
        <x:v>2.1849443578</x:v>
      </x:c>
      <x:c r="K216" s="31" t="n">
        <x:v>0</x:v>
      </x:c>
      <x:c r="L216" s="31" t="n">
        <x:v>2.1849443578</x:v>
      </x:c>
      <x:c r="M216" s="31" t="n">
        <x:v>0</x:v>
      </x:c>
      <x:c r="N216" s="24" t="str">
        <x:v>dicentrarchus punctatus</x:v>
      </x:c>
      <x:c r="O216" s="32" t="n">
        <x:v>3.94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Dicentrarchus punctatus</x:v>
      </x:c>
      <x:c r="T216" s="32" t="n">
        <x:f>IF(O216="","",(1/'Metadata'!$B$5)^(O216-1))</x:f>
        <x:v>870.9635899560806</x:v>
      </x:c>
      <x:c r="U216" s="31" t="n">
        <x:f>IF(T216="","",I216*T216)</x:f>
        <x:v>1903.006981723771</x:v>
      </x:c>
    </x:row>
    <x:row r="217" ht="18" customHeight="1">
      <x:c r="A217" s="24" t="str">
        <x:v>EEZ_963</x:v>
      </x:c>
      <x:c r="B217" s="24" t="str">
        <x:v>Spain (Northwest)</x:v>
      </x:c>
      <x:c r="C217" s="24" t="str">
        <x:v>EEZ</x:v>
      </x:c>
      <x:c r="D217" s="30" t="n">
        <x:v>2019</x:v>
      </x:c>
      <x:c r="E217" s="24" t="str">
        <x:v>Sepiida</x:v>
      </x:c>
      <x:c r="F217" s="24" t="str">
        <x:v>Cuttlefishes, bobtail squids</x:v>
      </x:c>
      <x:c r="G217" s="24" t="str">
        <x:v>Cephalopods</x:v>
      </x:c>
      <x:c r="H217" s="24" t="str">
        <x:v>Other fishes &amp; inverts</x:v>
      </x:c>
      <x:c r="I217" s="31" t="n">
        <x:v>2.0833517678</x:v>
      </x:c>
      <x:c r="J217" s="31" t="n">
        <x:v>2.0833517678</x:v>
      </x:c>
      <x:c r="K217" s="31" t="n">
        <x:v>0</x:v>
      </x:c>
      <x:c r="L217" s="31" t="n">
        <x:v>0.9725862988999999</x:v>
      </x:c>
      <x:c r="M217" s="31" t="n">
        <x:v>1.1107654689</x:v>
      </x:c>
      <x:c r="N217" s="24" t="str">
        <x:v>sepiida</x:v>
      </x:c>
      <x:c r="O217" s="32" t="n">
        <x:v>3.7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Sepiida</x:v>
      </x:c>
      <x:c r="T217" s="32" t="n">
        <x:f>IF(O217="","",(1/'Metadata'!$B$5)^(O217-1))</x:f>
        <x:v>501.18723362727246</x:v>
      </x:c>
      <x:c r="U217" s="31" t="n">
        <x:f>IF(T217="","",I217*T217)</x:f>
        <x:v>1044.1493091761697</x:v>
      </x:c>
    </x:row>
    <x:row r="218" ht="18" customHeight="1">
      <x:c r="A218" s="24" t="str">
        <x:v>EEZ_963</x:v>
      </x:c>
      <x:c r="B218" s="24" t="str">
        <x:v>Spain (Northwest)</x:v>
      </x:c>
      <x:c r="C218" s="24" t="str">
        <x:v>EEZ</x:v>
      </x:c>
      <x:c r="D218" s="30" t="n">
        <x:v>2019</x:v>
      </x:c>
      <x:c r="E218" s="24" t="str">
        <x:v>Alosa</x:v>
      </x:c>
      <x:c r="F218" s="24" t="str">
        <x:v>Shads</x:v>
      </x:c>
      <x:c r="G218" s="24" t="str">
        <x:v>Medium pelagics (30 - 89 cm)</x:v>
      </x:c>
      <x:c r="H218" s="24" t="str">
        <x:v>Herring-likes</x:v>
      </x:c>
      <x:c r="I218" s="31" t="n">
        <x:v>2.0179712226</x:v>
      </x:c>
      <x:c r="J218" s="31" t="n">
        <x:v>2.0179712226</x:v>
      </x:c>
      <x:c r="K218" s="31" t="n">
        <x:v>0</x:v>
      </x:c>
      <x:c r="L218" s="31" t="n">
        <x:v>1.3693955826</x:v>
      </x:c>
      <x:c r="M218" s="31" t="n">
        <x:v>0.64857564</x:v>
      </x:c>
      <x:c r="N218" s="24" t="str">
        <x:v>alosa</x:v>
      </x:c>
      <x:c r="O218" s="32" t="n">
        <x:v>3.89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Alosa</x:v>
      </x:c>
      <x:c r="T218" s="32" t="n">
        <x:f>IF(O218="","",(1/'Metadata'!$B$5)^(O218-1))</x:f>
        <x:v>776.247116628692</x:v>
      </x:c>
      <x:c r="U218" s="31" t="n">
        <x:f>IF(T218="","",I218*T218)</x:f>
        <x:v>1566.4443429829262</x:v>
      </x:c>
    </x:row>
    <x:row r="219" ht="18" customHeight="1">
      <x:c r="A219" s="24" t="str">
        <x:v>EEZ_963</x:v>
      </x:c>
      <x:c r="B219" s="24" t="str">
        <x:v>Spain (Northwest)</x:v>
      </x:c>
      <x:c r="C219" s="24" t="str">
        <x:v>EEZ</x:v>
      </x:c>
      <x:c r="D219" s="30" t="n">
        <x:v>2019</x:v>
      </x:c>
      <x:c r="E219" s="24" t="str">
        <x:v>Portunidae</x:v>
      </x:c>
      <x:c r="F219" s="24" t="str">
        <x:v>Swimming crabs</x:v>
      </x:c>
      <x:c r="G219" s="24" t="str">
        <x:v>Lobsters, crabs</x:v>
      </x:c>
      <x:c r="H219" s="24" t="str">
        <x:v>Crustaceans</x:v>
      </x:c>
      <x:c r="I219" s="31" t="n">
        <x:v>1.9735310848999998</x:v>
      </x:c>
      <x:c r="J219" s="31" t="n">
        <x:v>1.9735310848999998</x:v>
      </x:c>
      <x:c r="K219" s="31" t="n">
        <x:v>0</x:v>
      </x:c>
      <x:c r="L219" s="31" t="n">
        <x:v>1.9558176929</x:v>
      </x:c>
      <x:c r="M219" s="31" t="n">
        <x:v>0.017713391999999998</x:v>
      </x:c>
      <x:c r="N219" s="24" t="str">
        <x:v>portunidae</x:v>
      </x:c>
      <x:c r="O219" s="32" t="n">
        <x:v>3.56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Portunidae</x:v>
      </x:c>
      <x:c r="T219" s="32" t="n">
        <x:f>IF(O219="","",(1/'Metadata'!$B$5)^(O219-1))</x:f>
        <x:v>363.0780547701014</x:v>
      </x:c>
      <x:c r="U219" s="31" t="n">
        <x:f>IF(T219="","",I219*T219)</x:f>
        <x:v>716.5458273338198</x:v>
      </x:c>
    </x:row>
    <x:row r="220" ht="18" customHeight="1">
      <x:c r="A220" s="24" t="str">
        <x:v>EEZ_963</x:v>
      </x:c>
      <x:c r="B220" s="24" t="str">
        <x:v>Spain (Northwest)</x:v>
      </x:c>
      <x:c r="C220" s="24" t="str">
        <x:v>EEZ</x:v>
      </x:c>
      <x:c r="D220" s="30" t="n">
        <x:v>2019</x:v>
      </x:c>
      <x:c r="E220" s="24" t="str">
        <x:v>Molva macrophthalma</x:v>
      </x:c>
      <x:c r="F220" s="24" t="str">
        <x:v>Spanish ling</x:v>
      </x:c>
      <x:c r="G220" s="24" t="str">
        <x:v>Medium demersals (30 - 89 cm)</x:v>
      </x:c>
      <x:c r="H220" s="24" t="str">
        <x:v>Cod-likes</x:v>
      </x:c>
      <x:c r="I220" s="31" t="n">
        <x:v>1.9097894561</x:v>
      </x:c>
      <x:c r="J220" s="31" t="n">
        <x:v>1.9097894561</x:v>
      </x:c>
      <x:c r="K220" s="31" t="n">
        <x:v>0</x:v>
      </x:c>
      <x:c r="L220" s="31" t="n">
        <x:v>1.9097894561</x:v>
      </x:c>
      <x:c r="M220" s="31" t="n">
        <x:v>0</x:v>
      </x:c>
      <x:c r="N220" s="24" t="str">
        <x:v>molva macrophthalma</x:v>
      </x:c>
      <x:c r="O220" s="32" t="n">
        <x:v>4.5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Molva macrophthalma</x:v>
      </x:c>
      <x:c r="T220" s="32" t="n">
        <x:f>IF(O220="","",(1/'Metadata'!$B$5)^(O220-1))</x:f>
        <x:v>3162.2776601683795</x:v>
      </x:c>
      <x:c r="U220" s="31" t="n">
        <x:f>IF(T220="","",I220*T220)</x:f>
        <x:v>6039.28453265015</x:v>
      </x:c>
    </x:row>
    <x:row r="221" ht="18" customHeight="1">
      <x:c r="A221" s="24" t="str">
        <x:v>EEZ_963</x:v>
      </x:c>
      <x:c r="B221" s="24" t="str">
        <x:v>Spain (Northwest)</x:v>
      </x:c>
      <x:c r="C221" s="24" t="str">
        <x:v>EEZ</x:v>
      </x:c>
      <x:c r="D221" s="30" t="n">
        <x:v>2019</x:v>
      </x:c>
      <x:c r="E221" s="24" t="str">
        <x:v>Trichiurus</x:v>
      </x:c>
      <x:c r="F221" s="24" t="str">
        <x:v>Hairtails</x:v>
      </x:c>
      <x:c r="G221" s="24" t="str">
        <x:v>Large benthopelagics (&gt;=90 cm)</x:v>
      </x:c>
      <x:c r="H221" s="24" t="str">
        <x:v>Perch-likes</x:v>
      </x:c>
      <x:c r="I221" s="31" t="n">
        <x:v>1.8304583351000001</x:v>
      </x:c>
      <x:c r="J221" s="31" t="n">
        <x:v>1.8304583351000001</x:v>
      </x:c>
      <x:c r="K221" s="31" t="n">
        <x:v>0</x:v>
      </x:c>
      <x:c r="L221" s="31" t="n">
        <x:v>0.7124668270000001</x:v>
      </x:c>
      <x:c r="M221" s="31" t="n">
        <x:v>1.1179915081</x:v>
      </x:c>
      <x:c r="N221" s="24" t="str">
        <x:v>trichiurus</x:v>
      </x:c>
      <x:c r="O221" s="32" t="n">
        <x:v>4.42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Trichiurus</x:v>
      </x:c>
      <x:c r="T221" s="32" t="n">
        <x:f>IF(O221="","",(1/'Metadata'!$B$5)^(O221-1))</x:f>
        <x:v>2630.2679918953813</x:v>
      </x:c>
      <x:c r="U221" s="31" t="n">
        <x:f>IF(T221="","",I221*T221)</x:f>
        <x:v>4814.59596931164</x:v>
      </x:c>
    </x:row>
    <x:row r="222" ht="18" customHeight="1">
      <x:c r="A222" s="24" t="str">
        <x:v>EEZ_963</x:v>
      </x:c>
      <x:c r="B222" s="24" t="str">
        <x:v>Spain (Northwest)</x:v>
      </x:c>
      <x:c r="C222" s="24" t="str">
        <x:v>EEZ</x:v>
      </x:c>
      <x:c r="D222" s="30" t="n">
        <x:v>2019</x:v>
      </x:c>
      <x:c r="E222" s="24" t="str">
        <x:v>Dentex macrophthalmus</x:v>
      </x:c>
      <x:c r="F222" s="24" t="str">
        <x:v>Large-eye dentex</x:v>
      </x:c>
      <x:c r="G222" s="24" t="str">
        <x:v>Medium benthopelagics (30 - 89 cm)</x:v>
      </x:c>
      <x:c r="H222" s="24" t="str">
        <x:v>Perch-likes</x:v>
      </x:c>
      <x:c r="I222" s="31" t="n">
        <x:v>1.7686704909000002</x:v>
      </x:c>
      <x:c r="J222" s="31" t="n">
        <x:v>1.7686704909000002</x:v>
      </x:c>
      <x:c r="K222" s="31" t="n">
        <x:v>0</x:v>
      </x:c>
      <x:c r="L222" s="31" t="n">
        <x:v>0.7239186809</x:v>
      </x:c>
      <x:c r="M222" s="31" t="n">
        <x:v>1.0447518100000002</x:v>
      </x:c>
      <x:c r="N222" s="24" t="str">
        <x:v>dentex macrophthalmus</x:v>
      </x:c>
      <x:c r="O222" s="32" t="n">
        <x:v>3.52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Dentex macrophthalmus</x:v>
      </x:c>
      <x:c r="T222" s="32" t="n">
        <x:f>IF(O222="","",(1/'Metadata'!$B$5)^(O222-1))</x:f>
        <x:v>331.1311214825911</x:v>
      </x:c>
      <x:c r="U222" s="31" t="n">
        <x:f>IF(T222="","",I222*T222)</x:f>
        <x:v>585.661843184882</x:v>
      </x:c>
    </x:row>
    <x:row r="223" ht="18" customHeight="1">
      <x:c r="A223" s="24" t="str">
        <x:v>EEZ_963</x:v>
      </x:c>
      <x:c r="B223" s="24" t="str">
        <x:v>Spain (Northwest)</x:v>
      </x:c>
      <x:c r="C223" s="24" t="str">
        <x:v>EEZ</x:v>
      </x:c>
      <x:c r="D223" s="30" t="n">
        <x:v>2019</x:v>
      </x:c>
      <x:c r="E223" s="24" t="str">
        <x:v>Alosa alosa</x:v>
      </x:c>
      <x:c r="F223" s="24" t="str">
        <x:v>Allis shad</x:v>
      </x:c>
      <x:c r="G223" s="24" t="str">
        <x:v>Medium pelagics (30 - 89 cm)</x:v>
      </x:c>
      <x:c r="H223" s="24" t="str">
        <x:v>Herring-likes</x:v>
      </x:c>
      <x:c r="I223" s="31" t="n">
        <x:v>1.7337787400999998</x:v>
      </x:c>
      <x:c r="J223" s="31" t="n">
        <x:v>1.7337787400999998</x:v>
      </x:c>
      <x:c r="K223" s="31" t="n">
        <x:v>0</x:v>
      </x:c>
      <x:c r="L223" s="31" t="n">
        <x:v>1.0864684491999999</x:v>
      </x:c>
      <x:c r="M223" s="31" t="n">
        <x:v>0.6473102908999999</x:v>
      </x:c>
      <x:c r="N223" s="24" t="str">
        <x:v>alosa alosa</x:v>
      </x:c>
      <x:c r="O223" s="32" t="n">
        <x:v>2.95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Alosa alosa</x:v>
      </x:c>
      <x:c r="T223" s="32" t="n">
        <x:f>IF(O223="","",(1/'Metadata'!$B$5)^(O223-1))</x:f>
        <x:v>89.12509381337459</x:v>
      </x:c>
      <x:c r="U223" s="31" t="n">
        <x:f>IF(T223="","",I223*T223)</x:f>
        <x:v>154.5231928630469</x:v>
      </x:c>
    </x:row>
    <x:row r="224" ht="18" customHeight="1">
      <x:c r="A224" s="24" t="str">
        <x:v>EEZ_963</x:v>
      </x:c>
      <x:c r="B224" s="24" t="str">
        <x:v>Spain (Northwest)</x:v>
      </x:c>
      <x:c r="C224" s="24" t="str">
        <x:v>EEZ</x:v>
      </x:c>
      <x:c r="D224" s="30" t="n">
        <x:v>2019</x:v>
      </x:c>
      <x:c r="E224" s="24" t="str">
        <x:v>Chaceon affinis</x:v>
      </x:c>
      <x:c r="F224" s="24" t="str">
        <x:v>Deepsea red crab</x:v>
      </x:c>
      <x:c r="G224" s="24" t="str">
        <x:v>Lobsters, crabs</x:v>
      </x:c>
      <x:c r="H224" s="24" t="str">
        <x:v>Crustaceans</x:v>
      </x:c>
      <x:c r="I224" s="31" t="n">
        <x:v>1.7011640638999999</x:v>
      </x:c>
      <x:c r="J224" s="31" t="n">
        <x:v>1.7011640638999999</x:v>
      </x:c>
      <x:c r="K224" s="31" t="n">
        <x:v>0</x:v>
      </x:c>
      <x:c r="L224" s="31" t="n">
        <x:v>1.7011640638999999</x:v>
      </x:c>
      <x:c r="M224" s="31" t="n">
        <x:v>0</x:v>
      </x:c>
      <x:c r="N224" s="24" t="str">
        <x:v>chaceon affinis</x:v>
      </x:c>
      <x:c r="O224" s="32" t="n">
        <x:v>3.1</x:v>
      </x:c>
      <x:c r="P224" s="24" t="str">
        <x:v>exact_sea_around_us</x:v>
      </x:c>
      <x:c r="Q224" s="32" t="str">
        <x:v>Sea Around Us exploited organisms</x:v>
      </x:c>
      <x:c r="R224" s="24" t="str">
        <x:v>high</x:v>
      </x:c>
      <x:c r="S224" s="24" t="str">
        <x:v>Chaceon affinis</x:v>
      </x:c>
      <x:c r="T224" s="32" t="n">
        <x:f>IF(O224="","",(1/'Metadata'!$B$5)^(O224-1))</x:f>
        <x:v>125.89254117941675</x:v>
      </x:c>
      <x:c r="U224" s="31" t="n">
        <x:f>IF(T224="","",I224*T224)</x:f>
        <x:v>214.1638669674747</x:v>
      </x:c>
    </x:row>
    <x:row r="225" ht="18" customHeight="1">
      <x:c r="A225" s="24" t="str">
        <x:v>EEZ_963</x:v>
      </x:c>
      <x:c r="B225" s="24" t="str">
        <x:v>Spain (Northwest)</x:v>
      </x:c>
      <x:c r="C225" s="24" t="str">
        <x:v>EEZ</x:v>
      </x:c>
      <x:c r="D225" s="30" t="n">
        <x:v>2019</x:v>
      </x:c>
      <x:c r="E225" s="24" t="str">
        <x:v>Sepiidae</x:v>
      </x:c>
      <x:c r="F225" s="24" t="str">
        <x:v>Cuttlefishes</x:v>
      </x:c>
      <x:c r="G225" s="24" t="str">
        <x:v>Cephalopods</x:v>
      </x:c>
      <x:c r="H225" s="24" t="str">
        <x:v>Other fishes &amp; inverts</x:v>
      </x:c>
      <x:c r="I225" s="31" t="n">
        <x:v>1.6999206728</x:v>
      </x:c>
      <x:c r="J225" s="31" t="n">
        <x:v>1.6999206728</x:v>
      </x:c>
      <x:c r="K225" s="31" t="n">
        <x:v>0</x:v>
      </x:c>
      <x:c r="L225" s="31" t="n">
        <x:v>0.9531390248</x:v>
      </x:c>
      <x:c r="M225" s="31" t="n">
        <x:v>0.746781648</x:v>
      </x:c>
      <x:c r="N225" s="24" t="str">
        <x:v>sepiidae</x:v>
      </x:c>
      <x:c r="O225" s="32" t="n">
        <x:v>3.6</x:v>
      </x:c>
      <x:c r="P225" s="24" t="str">
        <x:v>exact_sea_around_us</x:v>
      </x:c>
      <x:c r="Q225" s="32" t="str">
        <x:v>Sea Around Us exploited organisms</x:v>
      </x:c>
      <x:c r="R225" s="24" t="str">
        <x:v>high</x:v>
      </x:c>
      <x:c r="S225" s="24" t="str">
        <x:v>Sepiidae</x:v>
      </x:c>
      <x:c r="T225" s="32" t="n">
        <x:f>IF(O225="","",(1/'Metadata'!$B$5)^(O225-1))</x:f>
        <x:v>398.1071705534973</x:v>
      </x:c>
      <x:c r="U225" s="31" t="n">
        <x:f>IF(T225="","",I225*T225)</x:f>
        <x:v>676.7506092138055</x:v>
      </x:c>
    </x:row>
    <x:row r="226" ht="18" customHeight="1">
      <x:c r="A226" s="24" t="str">
        <x:v>EEZ_963</x:v>
      </x:c>
      <x:c r="B226" s="24" t="str">
        <x:v>Spain (Northwest)</x:v>
      </x:c>
      <x:c r="C226" s="24" t="str">
        <x:v>EEZ</x:v>
      </x:c>
      <x:c r="D226" s="30" t="n">
        <x:v>2019</x:v>
      </x:c>
      <x:c r="E226" s="24" t="str">
        <x:v>Crangon crangon</x:v>
      </x:c>
      <x:c r="F226" s="24" t="str">
        <x:v>Common shrimp</x:v>
      </x:c>
      <x:c r="G226" s="24" t="str">
        <x:v>Shrimps</x:v>
      </x:c>
      <x:c r="H226" s="24" t="str">
        <x:v>Crustaceans</x:v>
      </x:c>
      <x:c r="I226" s="31" t="n">
        <x:v>1.6813992873</x:v>
      </x:c>
      <x:c r="J226" s="31" t="n">
        <x:v>1.6813992873</x:v>
      </x:c>
      <x:c r="K226" s="31" t="n">
        <x:v>0</x:v>
      </x:c>
      <x:c r="L226" s="31" t="n">
        <x:v>1.6813992873</x:v>
      </x:c>
      <x:c r="M226" s="31" t="n">
        <x:v>0</x:v>
      </x:c>
      <x:c r="N226" s="24" t="str">
        <x:v>crangon crangon</x:v>
      </x:c>
      <x:c r="O226" s="32" t="n">
        <x:v>3.19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Crangon crangon</x:v>
      </x:c>
      <x:c r="T226" s="32" t="n">
        <x:f>IF(O226="","",(1/'Metadata'!$B$5)^(O226-1))</x:f>
        <x:v>154.88166189124811</x:v>
      </x:c>
      <x:c r="U226" s="31" t="n">
        <x:f>IF(T226="","",I226*T226)</x:f>
        <x:v>260.41791591978415</x:v>
      </x:c>
    </x:row>
    <x:row r="227" ht="18" customHeight="1">
      <x:c r="A227" s="24" t="str">
        <x:v>EEZ_963</x:v>
      </x:c>
      <x:c r="B227" s="24" t="str">
        <x:v>Spain (Northwest)</x:v>
      </x:c>
      <x:c r="C227" s="24" t="str">
        <x:v>EEZ</x:v>
      </x:c>
      <x:c r="D227" s="30" t="n">
        <x:v>2019</x:v>
      </x:c>
      <x:c r="E227" s="24" t="str">
        <x:v>Eutrigla gurnardus</x:v>
      </x:c>
      <x:c r="F227" s="24" t="str">
        <x:v>Grey gurnard</x:v>
      </x:c>
      <x:c r="G227" s="24" t="str">
        <x:v>Medium demersals (30 - 89 cm)</x:v>
      </x:c>
      <x:c r="H227" s="24" t="str">
        <x:v>Scorpionfishes</x:v>
      </x:c>
      <x:c r="I227" s="31" t="n">
        <x:v>1.6461438</x:v>
      </x:c>
      <x:c r="J227" s="31" t="n">
        <x:v>1.6461438</x:v>
      </x:c>
      <x:c r="K227" s="31" t="n">
        <x:v>0</x:v>
      </x:c>
      <x:c r="L227" s="31" t="n">
        <x:v>1.6461438</x:v>
      </x:c>
      <x:c r="M227" s="31" t="n">
        <x:v>0</x:v>
      </x:c>
      <x:c r="N227" s="24" t="str">
        <x:v>eutrigla gurnardus</x:v>
      </x:c>
      <x:c r="O227" s="32" t="n">
        <x:v>3.87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Eutrigla gurnardus</x:v>
      </x:c>
      <x:c r="T227" s="32" t="n">
        <x:f>IF(O227="","",(1/'Metadata'!$B$5)^(O227-1))</x:f>
        <x:v>741.3102413009177</x:v>
      </x:c>
      <x:c r="U227" s="31" t="n">
        <x:f>IF(T227="","",I227*T227)</x:f>
        <x:v>1220.3032575940097</x:v>
      </x:c>
    </x:row>
    <x:row r="228" ht="18" customHeight="1">
      <x:c r="A228" s="24" t="str">
        <x:v>EEZ_963</x:v>
      </x:c>
      <x:c r="B228" s="24" t="str">
        <x:v>Spain (Northwest)</x:v>
      </x:c>
      <x:c r="C228" s="24" t="str">
        <x:v>EEZ</x:v>
      </x:c>
      <x:c r="D228" s="30" t="n">
        <x:v>2019</x:v>
      </x:c>
      <x:c r="E228" s="24" t="str">
        <x:v>Scyliorhinus stellaris</x:v>
      </x:c>
      <x:c r="F228" s="24" t="str">
        <x:v>Nursehound</x:v>
      </x:c>
      <x:c r="G228" s="24" t="str">
        <x:v>Large sharks (&gt;=90 cm)</x:v>
      </x:c>
      <x:c r="H228" s="24" t="str">
        <x:v>Sharks &amp; rays</x:v>
      </x:c>
      <x:c r="I228" s="31" t="n">
        <x:v>1.6211382004</x:v>
      </x:c>
      <x:c r="J228" s="31" t="n">
        <x:v>1.6211382004</x:v>
      </x:c>
      <x:c r="K228" s="31" t="n">
        <x:v>0</x:v>
      </x:c>
      <x:c r="L228" s="31" t="n">
        <x:v>1.6211382004</x:v>
      </x:c>
      <x:c r="M228" s="31" t="n">
        <x:v>0</x:v>
      </x:c>
      <x:c r="N228" s="24" t="str">
        <x:v>scyliorhinus stellaris</x:v>
      </x:c>
      <x:c r="O228" s="32" t="n">
        <x:v>4.03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Scyliorhinus stellaris</x:v>
      </x:c>
      <x:c r="T228" s="32" t="n">
        <x:f>IF(O228="","",(1/'Metadata'!$B$5)^(O228-1))</x:f>
        <x:v>1071.519305237607</x:v>
      </x:c>
      <x:c r="U228" s="31" t="n">
        <x:f>IF(T228="","",I228*T228)</x:f>
        <x:v>1737.0808781867527</x:v>
      </x:c>
    </x:row>
    <x:row r="229" ht="18" customHeight="1">
      <x:c r="A229" s="24" t="str">
        <x:v>EEZ_963</x:v>
      </x:c>
      <x:c r="B229" s="24" t="str">
        <x:v>Spain (Northwest)</x:v>
      </x:c>
      <x:c r="C229" s="24" t="str">
        <x:v>EEZ</x:v>
      </x:c>
      <x:c r="D229" s="30" t="n">
        <x:v>2019</x:v>
      </x:c>
      <x:c r="E229" s="24" t="str">
        <x:v>Penaeidae</x:v>
      </x:c>
      <x:c r="F229" s="24" t="str">
        <x:v>Commercial shrimps and prawns</x:v>
      </x:c>
      <x:c r="G229" s="24" t="str">
        <x:v>Shrimps</x:v>
      </x:c>
      <x:c r="H229" s="24" t="str">
        <x:v>Crustaceans</x:v>
      </x:c>
      <x:c r="I229" s="31" t="n">
        <x:v>1.5915591431</x:v>
      </x:c>
      <x:c r="J229" s="31" t="n">
        <x:v>1.5915591431</x:v>
      </x:c>
      <x:c r="K229" s="31" t="n">
        <x:v>0</x:v>
      </x:c>
      <x:c r="L229" s="31" t="n">
        <x:v>0.864884425</x:v>
      </x:c>
      <x:c r="M229" s="31" t="n">
        <x:v>0.7266747181</x:v>
      </x:c>
      <x:c r="N229" s="24" t="str">
        <x:v>penaeidae</x:v>
      </x:c>
      <x:c r="O229" s="32" t="n">
        <x:v>3.31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Penaeidae</x:v>
      </x:c>
      <x:c r="T229" s="32" t="n">
        <x:f>IF(O229="","",(1/'Metadata'!$B$5)^(O229-1))</x:f>
        <x:v>204.17379446695296</x:v>
      </x:c>
      <x:c r="U229" s="31" t="n">
        <x:f>IF(T229="","",I229*T229)</x:f>
        <x:v>324.9546693652992</x:v>
      </x:c>
    </x:row>
    <x:row r="230" ht="18" customHeight="1">
      <x:c r="A230" s="24" t="str">
        <x:v>EEZ_963</x:v>
      </x:c>
      <x:c r="B230" s="24" t="str">
        <x:v>Spain (Northwest)</x:v>
      </x:c>
      <x:c r="C230" s="24" t="str">
        <x:v>EEZ</x:v>
      </x:c>
      <x:c r="D230" s="30" t="n">
        <x:v>2019</x:v>
      </x:c>
      <x:c r="E230" s="24" t="str">
        <x:v>Zenopsis conchifer</x:v>
      </x:c>
      <x:c r="F230" s="24" t="str">
        <x:v>Silvery John dory</x:v>
      </x:c>
      <x:c r="G230" s="24" t="str">
        <x:v>Medium benthopelagics (30 - 89 cm)</x:v>
      </x:c>
      <x:c r="H230" s="24" t="str">
        <x:v>Other fishes &amp; inverts</x:v>
      </x:c>
      <x:c r="I230" s="31" t="n">
        <x:v>1.5637363941</x:v>
      </x:c>
      <x:c r="J230" s="31" t="n">
        <x:v>1.5637363941</x:v>
      </x:c>
      <x:c r="K230" s="31" t="n">
        <x:v>0</x:v>
      </x:c>
      <x:c r="L230" s="31" t="n">
        <x:v>1.5637363941</x:v>
      </x:c>
      <x:c r="M230" s="31" t="n">
        <x:v>0</x:v>
      </x:c>
      <x:c r="N230" s="24" t="str">
        <x:v>zenopsis conchifer</x:v>
      </x:c>
      <x:c r="O230" s="32" t="n">
        <x:v>4.5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Zenopsis conchifer</x:v>
      </x:c>
      <x:c r="T230" s="32" t="n">
        <x:f>IF(O230="","",(1/'Metadata'!$B$5)^(O230-1))</x:f>
        <x:v>3162.2776601683795</x:v>
      </x:c>
      <x:c r="U230" s="31" t="n">
        <x:f>IF(T230="","",I230*T230)</x:f>
        <x:v>4944.968665454687</x:v>
      </x:c>
    </x:row>
    <x:row r="231" ht="18" customHeight="1">
      <x:c r="A231" s="24" t="str">
        <x:v>EEZ_963</x:v>
      </x:c>
      <x:c r="B231" s="24" t="str">
        <x:v>Spain (Northwest)</x:v>
      </x:c>
      <x:c r="C231" s="24" t="str">
        <x:v>EEZ</x:v>
      </x:c>
      <x:c r="D231" s="30" t="n">
        <x:v>2019</x:v>
      </x:c>
      <x:c r="E231" s="24" t="str">
        <x:v>Solen</x:v>
      </x:c>
      <x:c r="F231" s="24" t="str">
        <x:v>Razor clams</x:v>
      </x:c>
      <x:c r="G231" s="24" t="str">
        <x:v>Other demersal invertebrates</x:v>
      </x:c>
      <x:c r="H231" s="24" t="str">
        <x:v>Molluscs</x:v>
      </x:c>
      <x:c r="I231" s="31" t="n">
        <x:v>1.5184383701</x:v>
      </x:c>
      <x:c r="J231" s="31" t="n">
        <x:v>1.5184383701</x:v>
      </x:c>
      <x:c r="K231" s="31" t="n">
        <x:v>0</x:v>
      </x:c>
      <x:c r="L231" s="31" t="n">
        <x:v>0.872480691</x:v>
      </x:c>
      <x:c r="M231" s="31" t="n">
        <x:v>0.6459576791</x:v>
      </x:c>
      <x:c r="N231" s="24" t="str">
        <x:v>solen</x:v>
      </x:c>
      <x:c r="O231" s="32" t="n">
        <x:v>2</x:v>
      </x:c>
      <x:c r="P231" s="24" t="str">
        <x:v>exact_sea_around_us</x:v>
      </x:c>
      <x:c r="Q231" s="32" t="str">
        <x:v>Sea Around Us exploited organisms</x:v>
      </x:c>
      <x:c r="R231" s="24" t="str">
        <x:v>high</x:v>
      </x:c>
      <x:c r="S231" s="24" t="str">
        <x:v>Solen</x:v>
      </x:c>
      <x:c r="T231" s="32" t="n">
        <x:f>IF(O231="","",(1/'Metadata'!$B$5)^(O231-1))</x:f>
        <x:v>10</x:v>
      </x:c>
      <x:c r="U231" s="31" t="n">
        <x:f>IF(T231="","",I231*T231)</x:f>
        <x:v>15.184383701</x:v>
      </x:c>
    </x:row>
    <x:row r="232" ht="18" customHeight="1">
      <x:c r="A232" s="24" t="str">
        <x:v>EEZ_963</x:v>
      </x:c>
      <x:c r="B232" s="24" t="str">
        <x:v>Spain (Northwest)</x:v>
      </x:c>
      <x:c r="C232" s="24" t="str">
        <x:v>EEZ</x:v>
      </x:c>
      <x:c r="D232" s="30" t="n">
        <x:v>2019</x:v>
      </x:c>
      <x:c r="E232" s="24" t="str">
        <x:v>Coris julis</x:v>
      </x:c>
      <x:c r="F232" s="24" t="str">
        <x:v>Rainbow wrasse</x:v>
      </x:c>
      <x:c r="G232" s="24" t="str">
        <x:v>Medium reef assoc. fish (30 - 89 cm)</x:v>
      </x:c>
      <x:c r="H232" s="24" t="str">
        <x:v>Perch-likes</x:v>
      </x:c>
      <x:c r="I232" s="31" t="n">
        <x:v>1.4740867411</x:v>
      </x:c>
      <x:c r="J232" s="31" t="n">
        <x:v>1.4740867411</x:v>
      </x:c>
      <x:c r="K232" s="31" t="n">
        <x:v>0</x:v>
      </x:c>
      <x:c r="L232" s="31" t="n">
        <x:v>1.4740867411</x:v>
      </x:c>
      <x:c r="M232" s="31" t="n">
        <x:v>0</x:v>
      </x:c>
      <x:c r="N232" s="24" t="str">
        <x:v>coris julis</x:v>
      </x:c>
      <x:c r="O232" s="32" t="n">
        <x:v>3.44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Coris julis</x:v>
      </x:c>
      <x:c r="T232" s="32" t="n">
        <x:f>IF(O232="","",(1/'Metadata'!$B$5)^(O232-1))</x:f>
        <x:v>275.4228703338166</x:v>
      </x:c>
      <x:c r="U232" s="31" t="n">
        <x:f>IF(T232="","",I232*T232)</x:f>
        <x:v>405.9972013547836</x:v>
      </x:c>
    </x:row>
    <x:row r="233" ht="18" customHeight="1">
      <x:c r="A233" s="24" t="str">
        <x:v>EEZ_963</x:v>
      </x:c>
      <x:c r="B233" s="24" t="str">
        <x:v>Spain (Northwest)</x:v>
      </x:c>
      <x:c r="C233" s="24" t="str">
        <x:v>EEZ</x:v>
      </x:c>
      <x:c r="D233" s="30" t="n">
        <x:v>2019</x:v>
      </x:c>
      <x:c r="E233" s="24" t="str">
        <x:v>Serranus</x:v>
      </x:c>
      <x:c r="F233" s="24" t="str">
        <x:v>Groupers</x:v>
      </x:c>
      <x:c r="G233" s="24" t="str">
        <x:v>Small reef assoc. fish (&lt;30 cm)</x:v>
      </x:c>
      <x:c r="H233" s="24" t="str">
        <x:v>Perch-likes</x:v>
      </x:c>
      <x:c r="I233" s="31" t="n">
        <x:v>1.4618949171</x:v>
      </x:c>
      <x:c r="J233" s="31" t="n">
        <x:v>1.4618949171</x:v>
      </x:c>
      <x:c r="K233" s="31" t="n">
        <x:v>0</x:v>
      </x:c>
      <x:c r="L233" s="31" t="n">
        <x:v>0.8385213061</x:v>
      </x:c>
      <x:c r="M233" s="31" t="n">
        <x:v>0.623373611</x:v>
      </x:c>
      <x:c r="N233" s="24" t="str">
        <x:v>serranus</x:v>
      </x:c>
      <x:c r="O233" s="32" t="n">
        <x:v>3.73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Serranus</x:v>
      </x:c>
      <x:c r="T233" s="32" t="n">
        <x:f>IF(O233="","",(1/'Metadata'!$B$5)^(O233-1))</x:f>
        <x:v>537.0317963702527</x:v>
      </x:c>
      <x:c r="U233" s="31" t="n">
        <x:f>IF(T233="","",I233*T233)</x:f>
        <x:v>785.0840534347545</x:v>
      </x:c>
    </x:row>
    <x:row r="234" ht="18" customHeight="1">
      <x:c r="A234" s="24" t="str">
        <x:v>EEZ_963</x:v>
      </x:c>
      <x:c r="B234" s="24" t="str">
        <x:v>Spain (Northwest)</x:v>
      </x:c>
      <x:c r="C234" s="24" t="str">
        <x:v>EEZ</x:v>
      </x:c>
      <x:c r="D234" s="30" t="n">
        <x:v>2019</x:v>
      </x:c>
      <x:c r="E234" s="24" t="str">
        <x:v>Platichthys flesus</x:v>
      </x:c>
      <x:c r="F234" s="24" t="str">
        <x:v>European flounder</x:v>
      </x:c>
      <x:c r="G234" s="24" t="str">
        <x:v>Small to medium flatfishes (&lt;90 cm)</x:v>
      </x:c>
      <x:c r="H234" s="24" t="str">
        <x:v>Flatfishes</x:v>
      </x:c>
      <x:c r="I234" s="31" t="n">
        <x:v>1.4184513983</x:v>
      </x:c>
      <x:c r="J234" s="31" t="n">
        <x:v>1.4184513983</x:v>
      </x:c>
      <x:c r="K234" s="31" t="n">
        <x:v>0</x:v>
      </x:c>
      <x:c r="L234" s="31" t="n">
        <x:v>1.3405502263</x:v>
      </x:c>
      <x:c r="M234" s="31" t="n">
        <x:v>0.07790117199999999</x:v>
      </x:c>
      <x:c r="N234" s="24" t="str">
        <x:v>platichthys flesus</x:v>
      </x:c>
      <x:c r="O234" s="32" t="n">
        <x:v>3.32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Platichthys flesus</x:v>
      </x:c>
      <x:c r="T234" s="32" t="n">
        <x:f>IF(O234="","",(1/'Metadata'!$B$5)^(O234-1))</x:f>
        <x:v>208.92961308540387</x:v>
      </x:c>
      <x:c r="U234" s="31" t="n">
        <x:f>IF(T234="","",I234*T234)</x:f>
        <x:v>296.3565018272691</x:v>
      </x:c>
    </x:row>
    <x:row r="235" ht="18" customHeight="1">
      <x:c r="A235" s="24" t="str">
        <x:v>EEZ_963</x:v>
      </x:c>
      <x:c r="B235" s="24" t="str">
        <x:v>Spain (Northwest)</x:v>
      </x:c>
      <x:c r="C235" s="24" t="str">
        <x:v>EEZ</x:v>
      </x:c>
      <x:c r="D235" s="30" t="n">
        <x:v>2019</x:v>
      </x:c>
      <x:c r="E235" s="24" t="str">
        <x:v>Palinurus elephas</x:v>
      </x:c>
      <x:c r="F235" s="24" t="str">
        <x:v>Common spiny lobster</x:v>
      </x:c>
      <x:c r="G235" s="24" t="str">
        <x:v>Lobsters, crabs</x:v>
      </x:c>
      <x:c r="H235" s="24" t="str">
        <x:v>Crustaceans</x:v>
      </x:c>
      <x:c r="I235" s="31" t="n">
        <x:v>1.4142357304</x:v>
      </x:c>
      <x:c r="J235" s="31" t="n">
        <x:v>1.4142357304</x:v>
      </x:c>
      <x:c r="K235" s="31" t="n">
        <x:v>0</x:v>
      </x:c>
      <x:c r="L235" s="31" t="n">
        <x:v>0.8028981484</x:v>
      </x:c>
      <x:c r="M235" s="31" t="n">
        <x:v>0.6113375819999999</x:v>
      </x:c>
      <x:c r="N235" s="24" t="str">
        <x:v>palinurus elephas</x:v>
      </x:c>
      <x:c r="O235" s="32" t="n">
        <x:v>3.34</x:v>
      </x:c>
      <x:c r="P235" s="24" t="str">
        <x:v>exact_2020_supplement</x:v>
      </x:c>
      <x:c r="Q235" s="32" t="str">
        <x:v>2020 supplement MeanTL</x:v>
      </x:c>
      <x:c r="R235" s="24" t="str">
        <x:v>high</x:v>
      </x:c>
      <x:c r="S235" s="24" t="str">
        <x:v>Palinurus elephas</x:v>
      </x:c>
      <x:c r="T235" s="32" t="n">
        <x:f>IF(O235="","",(1/'Metadata'!$B$5)^(O235-1))</x:f>
        <x:v>218.77616239495518</x:v>
      </x:c>
      <x:c r="U235" s="31" t="n">
        <x:f>IF(T235="","",I235*T235)</x:f>
        <x:v>309.40106581873846</x:v>
      </x:c>
    </x:row>
    <x:row r="236" ht="18" customHeight="1">
      <x:c r="A236" s="24" t="str">
        <x:v>EEZ_963</x:v>
      </x:c>
      <x:c r="B236" s="24" t="str">
        <x:v>Spain (Northwest)</x:v>
      </x:c>
      <x:c r="C236" s="24" t="str">
        <x:v>EEZ</x:v>
      </x:c>
      <x:c r="D236" s="30" t="n">
        <x:v>2019</x:v>
      </x:c>
      <x:c r="E236" s="24" t="str">
        <x:v>Umbrina canariensis</x:v>
      </x:c>
      <x:c r="F236" s="24" t="str">
        <x:v>Canary drum</x:v>
      </x:c>
      <x:c r="G236" s="24" t="str">
        <x:v>Medium demersals (30 - 89 cm)</x:v>
      </x:c>
      <x:c r="H236" s="24" t="str">
        <x:v>Perch-likes</x:v>
      </x:c>
      <x:c r="I236" s="31" t="n">
        <x:v>1.4013952</x:v>
      </x:c>
      <x:c r="J236" s="31" t="n">
        <x:v>1.4013952</x:v>
      </x:c>
      <x:c r="K236" s="31" t="n">
        <x:v>0</x:v>
      </x:c>
      <x:c r="L236" s="31" t="n">
        <x:v>1.4013952</x:v>
      </x:c>
      <x:c r="M236" s="31" t="n">
        <x:v>0</x:v>
      </x:c>
      <x:c r="N236" s="24" t="str">
        <x:v>umbrina canariensis</x:v>
      </x:c>
      <x:c r="O236" s="32" t="n">
        <x:v>3.37</x:v>
      </x:c>
      <x:c r="P236" s="24" t="str">
        <x:v>exact_2020_supplement</x:v>
      </x:c>
      <x:c r="Q236" s="32" t="str">
        <x:v>2020 supplement MeanTL</x:v>
      </x:c>
      <x:c r="R236" s="24" t="str">
        <x:v>high</x:v>
      </x:c>
      <x:c r="S236" s="24" t="str">
        <x:v>Umbrina canariensis</x:v>
      </x:c>
      <x:c r="T236" s="32" t="n">
        <x:f>IF(O236="","",(1/'Metadata'!$B$5)^(O236-1))</x:f>
        <x:v>234.42288153199226</x:v>
      </x:c>
      <x:c r="U236" s="31" t="n">
        <x:f>IF(T236="","",I236*T236)</x:f>
        <x:v>328.5191009491026</x:v>
      </x:c>
    </x:row>
    <x:row r="237" ht="18" customHeight="1">
      <x:c r="A237" s="24" t="str">
        <x:v>EEZ_963</x:v>
      </x:c>
      <x:c r="B237" s="24" t="str">
        <x:v>Spain (Northwest)</x:v>
      </x:c>
      <x:c r="C237" s="24" t="str">
        <x:v>EEZ</x:v>
      </x:c>
      <x:c r="D237" s="30" t="n">
        <x:v>2019</x:v>
      </x:c>
      <x:c r="E237" s="24" t="str">
        <x:v>Trichiuridae</x:v>
      </x:c>
      <x:c r="F237" s="24" t="str">
        <x:v>Cutlassfishes</x:v>
      </x:c>
      <x:c r="G237" s="24" t="str">
        <x:v>Large benthopelagics (&gt;=90 cm)</x:v>
      </x:c>
      <x:c r="H237" s="24" t="str">
        <x:v>Perch-likes</x:v>
      </x:c>
      <x:c r="I237" s="31" t="n">
        <x:v>1.3864151219</x:v>
      </x:c>
      <x:c r="J237" s="31" t="n">
        <x:v>1.3864151219</x:v>
      </x:c>
      <x:c r="K237" s="31" t="n">
        <x:v>0</x:v>
      </x:c>
      <x:c r="L237" s="31" t="n">
        <x:v>0.7017670859</x:v>
      </x:c>
      <x:c r="M237" s="31" t="n">
        <x:v>0.684648036</x:v>
      </x:c>
      <x:c r="N237" s="24" t="str">
        <x:v>trichiuridae</x:v>
      </x:c>
      <x:c r="O237" s="32" t="n">
        <x:v>4.15</x:v>
      </x:c>
      <x:c r="P237" s="24" t="str">
        <x:v>exact_sea_around_us</x:v>
      </x:c>
      <x:c r="Q237" s="32" t="str">
        <x:v>Sea Around Us exploited organisms</x:v>
      </x:c>
      <x:c r="R237" s="24" t="str">
        <x:v>high</x:v>
      </x:c>
      <x:c r="S237" s="24" t="str">
        <x:v>Trichiuridae</x:v>
      </x:c>
      <x:c r="T237" s="32" t="n">
        <x:f>IF(O237="","",(1/'Metadata'!$B$5)^(O237-1))</x:f>
        <x:v>1412.5375446227554</x:v>
      </x:c>
      <x:c r="U237" s="31" t="n">
        <x:f>IF(T237="","",I237*T237)</x:f>
        <x:v>1958.3634121164841</x:v>
      </x:c>
    </x:row>
    <x:row r="238" ht="18" customHeight="1">
      <x:c r="A238" s="24" t="str">
        <x:v>EEZ_963</x:v>
      </x:c>
      <x:c r="B238" s="24" t="str">
        <x:v>Spain (Northwest)</x:v>
      </x:c>
      <x:c r="C238" s="24" t="str">
        <x:v>EEZ</x:v>
      </x:c>
      <x:c r="D238" s="30" t="n">
        <x:v>2019</x:v>
      </x:c>
      <x:c r="E238" s="24" t="str">
        <x:v>Istiophorus albicans</x:v>
      </x:c>
      <x:c r="F238" s="24" t="str">
        <x:v>Atlantic sailfish</x:v>
      </x:c>
      <x:c r="G238" s="24" t="str">
        <x:v>Large pelagics (&gt;=90 cm)</x:v>
      </x:c>
      <x:c r="H238" s="24" t="str">
        <x:v>Tuna &amp; billfishes</x:v>
      </x:c>
      <x:c r="I238" s="31" t="n">
        <x:v>1.3539759691000002</x:v>
      </x:c>
      <x:c r="J238" s="31" t="n">
        <x:v>1.3539759691000002</x:v>
      </x:c>
      <x:c r="K238" s="31" t="n">
        <x:v>0</x:v>
      </x:c>
      <x:c r="L238" s="31" t="n">
        <x:v>1.3539759691000002</x:v>
      </x:c>
      <x:c r="M238" s="31" t="n">
        <x:v>0</x:v>
      </x:c>
      <x:c r="N238" s="24" t="str">
        <x:v>istiophorus albicans</x:v>
      </x:c>
      <x:c r="O238" s="32" t="n">
        <x:v>4.5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Istiophorus albicans</x:v>
      </x:c>
      <x:c r="T238" s="32" t="n">
        <x:f>IF(O238="","",(1/'Metadata'!$B$5)^(O238-1))</x:f>
        <x:v>3162.2776601683795</x:v>
      </x:c>
      <x:c r="U238" s="31" t="n">
        <x:f>IF(T238="","",I238*T238)</x:f>
        <x:v>4281.647959489763</x:v>
      </x:c>
    </x:row>
    <x:row r="239" ht="18" customHeight="1">
      <x:c r="A239" s="24" t="str">
        <x:v>EEZ_963</x:v>
      </x:c>
      <x:c r="B239" s="24" t="str">
        <x:v>Spain (Northwest)</x:v>
      </x:c>
      <x:c r="C239" s="24" t="str">
        <x:v>EEZ</x:v>
      </x:c>
      <x:c r="D239" s="30" t="n">
        <x:v>2019</x:v>
      </x:c>
      <x:c r="E239" s="24" t="str">
        <x:v>Balistidae</x:v>
      </x:c>
      <x:c r="F239" s="24" t="str">
        <x:v>Triggerfishes</x:v>
      </x:c>
      <x:c r="G239" s="24" t="str">
        <x:v>Medium reef assoc. fish (30 - 89 cm)</x:v>
      </x:c>
      <x:c r="H239" s="24" t="str">
        <x:v>Other fishes &amp; inverts</x:v>
      </x:c>
      <x:c r="I239" s="31" t="n">
        <x:v>1.3516384792999998</x:v>
      </x:c>
      <x:c r="J239" s="31" t="n">
        <x:v>0.1775592</x:v>
      </x:c>
      <x:c r="K239" s="31" t="n">
        <x:v>1.1740792793</x:v>
      </x:c>
      <x:c r="L239" s="31" t="n">
        <x:v>0.1775592</x:v>
      </x:c>
      <x:c r="M239" s="31" t="n">
        <x:v>1.1740792793</x:v>
      </x:c>
      <x:c r="N239" s="24" t="str">
        <x:v>balistidae</x:v>
      </x:c>
      <x:c r="O239" s="32" t="n">
        <x:v>3.25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Balistidae</x:v>
      </x:c>
      <x:c r="T239" s="32" t="n">
        <x:f>IF(O239="","",(1/'Metadata'!$B$5)^(O239-1))</x:f>
        <x:v>177.82794100389228</x:v>
      </x:c>
      <x:c r="U239" s="31" t="n">
        <x:f>IF(T239="","",I239*T239)</x:f>
        <x:v>240.35908775555103</x:v>
      </x:c>
    </x:row>
    <x:row r="240" ht="18" customHeight="1">
      <x:c r="A240" s="24" t="str">
        <x:v>EEZ_963</x:v>
      </x:c>
      <x:c r="B240" s="24" t="str">
        <x:v>Spain (Northwest)</x:v>
      </x:c>
      <x:c r="C240" s="24" t="str">
        <x:v>EEZ</x:v>
      </x:c>
      <x:c r="D240" s="30" t="n">
        <x:v>2019</x:v>
      </x:c>
      <x:c r="E240" s="24" t="str">
        <x:v>Miscellaneous aquatic invertebrates</x:v>
      </x:c>
      <x:c r="F240" s="24" t="str">
        <x:v>Aquatic invertebrates</x:v>
      </x:c>
      <x:c r="G240" s="24" t="str">
        <x:v>Other demersal invertebrates</x:v>
      </x:c>
      <x:c r="H240" s="24" t="str">
        <x:v>Other fishes &amp; inverts</x:v>
      </x:c>
      <x:c r="I240" s="31" t="n">
        <x:v>1.3132531033</x:v>
      </x:c>
      <x:c r="J240" s="31" t="n">
        <x:v>1.3132531033</x:v>
      </x:c>
      <x:c r="K240" s="31" t="n">
        <x:v>0</x:v>
      </x:c>
      <x:c r="L240" s="31" t="n">
        <x:v>0.6998049312</x:v>
      </x:c>
      <x:c r="M240" s="31" t="n">
        <x:v>0.6134481720999999</x:v>
      </x:c>
      <x:c r="N240" s="24" t="str">
        <x:v>miscellaneous aquatic invertebrates</x:v>
      </x:c>
      <x:c r="O240" s="32" t="n">
        <x:v>2.43</x:v>
      </x:c>
      <x:c r="P240" s="24" t="str">
        <x:v>exact_sea_around_us</x:v>
      </x:c>
      <x:c r="Q240" s="32" t="str">
        <x:v>Sea Around Us exploited organisms</x:v>
      </x:c>
      <x:c r="R240" s="24" t="str">
        <x:v>high</x:v>
      </x:c>
      <x:c r="S240" s="24" t="str">
        <x:v>Miscellaneous aquatic invertebrates</x:v>
      </x:c>
      <x:c r="T240" s="32" t="n">
        <x:f>IF(O240="","",(1/'Metadata'!$B$5)^(O240-1))</x:f>
        <x:v>26.915348039269166</x:v>
      </x:c>
      <x:c r="U240" s="31" t="n">
        <x:f>IF(T240="","",I240*T240)</x:f>
        <x:v>35.3466643389698</x:v>
      </x:c>
    </x:row>
    <x:row r="241" ht="18" customHeight="1">
      <x:c r="A241" s="24" t="str">
        <x:v>EEZ_963</x:v>
      </x:c>
      <x:c r="B241" s="24" t="str">
        <x:v>Spain (Northwest)</x:v>
      </x:c>
      <x:c r="C241" s="24" t="str">
        <x:v>EEZ</x:v>
      </x:c>
      <x:c r="D241" s="30" t="n">
        <x:v>2019</x:v>
      </x:c>
      <x:c r="E241" s="24" t="str">
        <x:v>Leucoraja circularis</x:v>
      </x:c>
      <x:c r="F241" s="24" t="str">
        <x:v>Sandy ray</x:v>
      </x:c>
      <x:c r="G241" s="24" t="str">
        <x:v>Large rays (&gt;=90 cm)</x:v>
      </x:c>
      <x:c r="H241" s="24" t="str">
        <x:v>Sharks &amp; rays</x:v>
      </x:c>
      <x:c r="I241" s="31" t="n">
        <x:v>1.287484408</x:v>
      </x:c>
      <x:c r="J241" s="31" t="n">
        <x:v>1.287484408</x:v>
      </x:c>
      <x:c r="K241" s="31" t="n">
        <x:v>0</x:v>
      </x:c>
      <x:c r="L241" s="31" t="n">
        <x:v>1.287484408</x:v>
      </x:c>
      <x:c r="M241" s="31" t="n">
        <x:v>0</x:v>
      </x:c>
      <x:c r="N241" s="24" t="str">
        <x:v>leucoraja circularis</x:v>
      </x:c>
      <x:c r="O241" s="32" t="n">
        <x:v>3.5</x:v>
      </x:c>
      <x:c r="P241" s="24" t="str">
        <x:v>exact_2020_supplement</x:v>
      </x:c>
      <x:c r="Q241" s="32" t="str">
        <x:v>2020 supplement MeanTL</x:v>
      </x:c>
      <x:c r="R241" s="24" t="str">
        <x:v>high</x:v>
      </x:c>
      <x:c r="S241" s="24" t="str">
        <x:v>Leucoraja circularis</x:v>
      </x:c>
      <x:c r="T241" s="32" t="n">
        <x:f>IF(O241="","",(1/'Metadata'!$B$5)^(O241-1))</x:f>
        <x:v>316.22776601683796</x:v>
      </x:c>
      <x:c r="U241" s="31" t="n">
        <x:f>IF(T241="","",I241*T241)</x:f>
        <x:v>407.13831812335116</x:v>
      </x:c>
    </x:row>
    <x:row r="242" ht="18" customHeight="1">
      <x:c r="A242" s="24" t="str">
        <x:v>EEZ_963</x:v>
      </x:c>
      <x:c r="B242" s="24" t="str">
        <x:v>Spain (Northwest)</x:v>
      </x:c>
      <x:c r="C242" s="24" t="str">
        <x:v>EEZ</x:v>
      </x:c>
      <x:c r="D242" s="30" t="n">
        <x:v>2019</x:v>
      </x:c>
      <x:c r="E242" s="24" t="str">
        <x:v>Chelon ramada</x:v>
      </x:c>
      <x:c r="F242" s="24" t="str">
        <x:v>Thinlip grey mullet</x:v>
      </x:c>
      <x:c r="G242" s="24" t="str">
        <x:v>Medium pelagics (30 - 89 cm)</x:v>
      </x:c>
      <x:c r="H242" s="24" t="str">
        <x:v>Perch-likes</x:v>
      </x:c>
      <x:c r="I242" s="31" t="n">
        <x:v>1.2465024972999998</x:v>
      </x:c>
      <x:c r="J242" s="31" t="n">
        <x:v>1.2465024972999998</x:v>
      </x:c>
      <x:c r="K242" s="31" t="n">
        <x:v>0</x:v>
      </x:c>
      <x:c r="L242" s="31" t="n">
        <x:v>1.2465024972999998</x:v>
      </x:c>
      <x:c r="M242" s="31" t="n">
        <x:v>0</x:v>
      </x:c>
      <x:c r="N242" s="24" t="str">
        <x:v>chelon ramada</x:v>
      </x:c>
      <x:c r="O242" s="32" t="n">
        <x:v>2.3</x:v>
      </x:c>
      <x:c r="P242" s="24" t="str">
        <x:v>exact_sea_around_us</x:v>
      </x:c>
      <x:c r="Q242" s="32" t="str">
        <x:v>Sea Around Us exploited organisms</x:v>
      </x:c>
      <x:c r="R242" s="24" t="str">
        <x:v>high</x:v>
      </x:c>
      <x:c r="S242" s="24" t="str">
        <x:v>Chelon ramada</x:v>
      </x:c>
      <x:c r="T242" s="32" t="n">
        <x:f>IF(O242="","",(1/'Metadata'!$B$5)^(O242-1))</x:f>
        <x:v>19.952623149688787</x:v>
      </x:c>
      <x:c r="U242" s="31" t="n">
        <x:f>IF(T242="","",I242*T242)</x:f>
        <x:v>24.870994583772863</x:v>
      </x:c>
    </x:row>
    <x:row r="243" ht="18" customHeight="1">
      <x:c r="A243" s="24" t="str">
        <x:v>EEZ_963</x:v>
      </x:c>
      <x:c r="B243" s="24" t="str">
        <x:v>Spain (Northwest)</x:v>
      </x:c>
      <x:c r="C243" s="24" t="str">
        <x:v>EEZ</x:v>
      </x:c>
      <x:c r="D243" s="30" t="n">
        <x:v>2019</x:v>
      </x:c>
      <x:c r="E243" s="24" t="str">
        <x:v>Littorina littorea</x:v>
      </x:c>
      <x:c r="F243" s="24" t="str">
        <x:v>Common periwinkle</x:v>
      </x:c>
      <x:c r="G243" s="24" t="str">
        <x:v>Other demersal invertebrates</x:v>
      </x:c>
      <x:c r="H243" s="24" t="str">
        <x:v>Molluscs</x:v>
      </x:c>
      <x:c r="I243" s="31" t="n">
        <x:v>1.2195861898</x:v>
      </x:c>
      <x:c r="J243" s="31" t="n">
        <x:v>1.2195861898</x:v>
      </x:c>
      <x:c r="K243" s="31" t="n">
        <x:v>0</x:v>
      </x:c>
      <x:c r="L243" s="31" t="n">
        <x:v>0.8898799360999999</x:v>
      </x:c>
      <x:c r="M243" s="31" t="n">
        <x:v>0.3297062537</x:v>
      </x:c>
      <x:c r="N243" s="24" t="str">
        <x:v>littorina littorea</x:v>
      </x:c>
      <x:c r="O243" s="32" t="n">
        <x:v>2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Littorina littorea</x:v>
      </x:c>
      <x:c r="T243" s="32" t="n">
        <x:f>IF(O243="","",(1/'Metadata'!$B$5)^(O243-1))</x:f>
        <x:v>10</x:v>
      </x:c>
      <x:c r="U243" s="31" t="n">
        <x:f>IF(T243="","",I243*T243)</x:f>
        <x:v>12.195861898</x:v>
      </x:c>
    </x:row>
    <x:row r="244" ht="18" customHeight="1">
      <x:c r="A244" s="24" t="str">
        <x:v>EEZ_963</x:v>
      </x:c>
      <x:c r="B244" s="24" t="str">
        <x:v>Spain (Northwest)</x:v>
      </x:c>
      <x:c r="C244" s="24" t="str">
        <x:v>EEZ</x:v>
      </x:c>
      <x:c r="D244" s="30" t="n">
        <x:v>2019</x:v>
      </x:c>
      <x:c r="E244" s="24" t="str">
        <x:v>Mimachlamys varia</x:v>
      </x:c>
      <x:c r="F244" s="24" t="str">
        <x:v>Variegated scallop</x:v>
      </x:c>
      <x:c r="G244" s="24" t="str">
        <x:v>Other demersal invertebrates</x:v>
      </x:c>
      <x:c r="H244" s="24" t="str">
        <x:v>Molluscs</x:v>
      </x:c>
      <x:c r="I244" s="31" t="n">
        <x:v>1.1663213361</x:v>
      </x:c>
      <x:c r="J244" s="31" t="n">
        <x:v>1.1663213361</x:v>
      </x:c>
      <x:c r="K244" s="31" t="n">
        <x:v>0</x:v>
      </x:c>
      <x:c r="L244" s="31" t="n">
        <x:v>0.7305075380999999</x:v>
      </x:c>
      <x:c r="M244" s="31" t="n">
        <x:v>0.43581379800000003</x:v>
      </x:c>
      <x:c r="N244" s="24" t="str">
        <x:v>mimachlamys varia</x:v>
      </x:c>
      <x:c r="O244" s="32" t="n">
        <x:v>2.1</x:v>
      </x:c>
      <x:c r="P244" s="24" t="str">
        <x:v>exact_sea_around_us</x:v>
      </x:c>
      <x:c r="Q244" s="32" t="str">
        <x:v>Sea Around Us exploited organisms</x:v>
      </x:c>
      <x:c r="R244" s="24" t="str">
        <x:v>high</x:v>
      </x:c>
      <x:c r="S244" s="24" t="str">
        <x:v>Mimachlamys varia</x:v>
      </x:c>
      <x:c r="T244" s="32" t="n">
        <x:f>IF(O244="","",(1/'Metadata'!$B$5)^(O244-1))</x:f>
        <x:v>12.589254117941675</x:v>
      </x:c>
      <x:c r="U244" s="31" t="n">
        <x:f>IF(T244="","",I244*T244)</x:f>
        <x:v>14.68311568334016</x:v>
      </x:c>
    </x:row>
    <x:row r="245" ht="18" customHeight="1">
      <x:c r="A245" s="24" t="str">
        <x:v>EEZ_963</x:v>
      </x:c>
      <x:c r="B245" s="24" t="str">
        <x:v>Spain (Northwest)</x:v>
      </x:c>
      <x:c r="C245" s="24" t="str">
        <x:v>EEZ</x:v>
      </x:c>
      <x:c r="D245" s="30" t="n">
        <x:v>2019</x:v>
      </x:c>
      <x:c r="E245" s="24" t="str">
        <x:v>Ommastrephes bartramii</x:v>
      </x:c>
      <x:c r="F245" s="24" t="str">
        <x:v>Neon flying squid</x:v>
      </x:c>
      <x:c r="G245" s="24" t="str">
        <x:v>Cephalopods</x:v>
      </x:c>
      <x:c r="H245" s="24" t="str">
        <x:v>Other fishes &amp; inverts</x:v>
      </x:c>
      <x:c r="I245" s="31" t="n">
        <x:v>1.0721061234</x:v>
      </x:c>
      <x:c r="J245" s="31" t="n">
        <x:v>1.0721061234</x:v>
      </x:c>
      <x:c r="K245" s="31" t="n">
        <x:v>0</x:v>
      </x:c>
      <x:c r="L245" s="31" t="n">
        <x:v>1.0721061234</x:v>
      </x:c>
      <x:c r="M245" s="31" t="n">
        <x:v>0</x:v>
      </x:c>
      <x:c r="N245" s="24" t="str">
        <x:v>ommastrephes bartramii</x:v>
      </x:c>
      <x:c r="O245" s="32" t="n">
        <x:v>4.37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Ommastrephes bartramii</x:v>
      </x:c>
      <x:c r="T245" s="32" t="n">
        <x:f>IF(O245="","",(1/'Metadata'!$B$5)^(O245-1))</x:f>
        <x:v>2344.228815319923</x:v>
      </x:c>
      <x:c r="U245" s="31" t="n">
        <x:f>IF(T245="","",I245*T245)</x:f>
        <x:v>2513.262067555217</x:v>
      </x:c>
    </x:row>
    <x:row r="246" ht="18" customHeight="1">
      <x:c r="A246" s="24" t="str">
        <x:v>EEZ_963</x:v>
      </x:c>
      <x:c r="B246" s="24" t="str">
        <x:v>Spain (Northwest)</x:v>
      </x:c>
      <x:c r="C246" s="24" t="str">
        <x:v>EEZ</x:v>
      </x:c>
      <x:c r="D246" s="30" t="n">
        <x:v>2019</x:v>
      </x:c>
      <x:c r="E246" s="24" t="str">
        <x:v>Solea senegalensis</x:v>
      </x:c>
      <x:c r="F246" s="24" t="str">
        <x:v>Senegalese sole</x:v>
      </x:c>
      <x:c r="G246" s="24" t="str">
        <x:v>Small to medium flatfishes (&lt;90 cm)</x:v>
      </x:c>
      <x:c r="H246" s="24" t="str">
        <x:v>Flatfishes</x:v>
      </x:c>
      <x:c r="I246" s="31" t="n">
        <x:v>1.0514993142</x:v>
      </x:c>
      <x:c r="J246" s="31" t="n">
        <x:v>1.0514993142</x:v>
      </x:c>
      <x:c r="K246" s="31" t="n">
        <x:v>0</x:v>
      </x:c>
      <x:c r="L246" s="31" t="n">
        <x:v>1.0514993142</x:v>
      </x:c>
      <x:c r="M246" s="31" t="n">
        <x:v>0</x:v>
      </x:c>
      <x:c r="N246" s="24" t="str">
        <x:v>solea senegalensis</x:v>
      </x:c>
      <x:c r="O246" s="32" t="n">
        <x:v>3.13</x:v>
      </x:c>
      <x:c r="P246" s="24" t="str">
        <x:v>exact_2020_supplement</x:v>
      </x:c>
      <x:c r="Q246" s="32" t="str">
        <x:v>2020 supplement MeanTL</x:v>
      </x:c>
      <x:c r="R246" s="24" t="str">
        <x:v>high</x:v>
      </x:c>
      <x:c r="S246" s="24" t="str">
        <x:v>Solea senegalensis</x:v>
      </x:c>
      <x:c r="T246" s="32" t="n">
        <x:f>IF(O246="","",(1/'Metadata'!$B$5)^(O246-1))</x:f>
        <x:v>134.89628825916532</x:v>
      </x:c>
      <x:c r="U246" s="31" t="n">
        <x:f>IF(T246="","",I246*T246)</x:f>
        <x:v>141.84335459263784</x:v>
      </x:c>
    </x:row>
    <x:row r="247" ht="18" customHeight="1">
      <x:c r="A247" s="24" t="str">
        <x:v>EEZ_963</x:v>
      </x:c>
      <x:c r="B247" s="24" t="str">
        <x:v>Spain (Northwest)</x:v>
      </x:c>
      <x:c r="C247" s="24" t="str">
        <x:v>EEZ</x:v>
      </x:c>
      <x:c r="D247" s="30" t="n">
        <x:v>2019</x:v>
      </x:c>
      <x:c r="E247" s="24" t="str">
        <x:v>Balistes capriscus</x:v>
      </x:c>
      <x:c r="F247" s="24" t="str">
        <x:v>Grey triggerfish</x:v>
      </x:c>
      <x:c r="G247" s="24" t="str">
        <x:v>Medium benthopelagics (30 - 89 cm)</x:v>
      </x:c>
      <x:c r="H247" s="24" t="str">
        <x:v>Other fishes &amp; inverts</x:v>
      </x:c>
      <x:c r="I247" s="31" t="n">
        <x:v>1.0265203608000002</x:v>
      </x:c>
      <x:c r="J247" s="31" t="n">
        <x:v>1.0265203608000002</x:v>
      </x:c>
      <x:c r="K247" s="31" t="n">
        <x:v>0</x:v>
      </x:c>
      <x:c r="L247" s="31" t="n">
        <x:v>0.4749778839</x:v>
      </x:c>
      <x:c r="M247" s="31" t="n">
        <x:v>0.5515424769</x:v>
      </x:c>
      <x:c r="N247" s="24" t="str">
        <x:v>balistes capriscus</x:v>
      </x:c>
      <x:c r="O247" s="32" t="n">
        <x:v>4.06</x:v>
      </x:c>
      <x:c r="P247" s="24" t="str">
        <x:v>exact_2020_supplement</x:v>
      </x:c>
      <x:c r="Q247" s="32" t="str">
        <x:v>2020 supplement MeanTL</x:v>
      </x:c>
      <x:c r="R247" s="24" t="str">
        <x:v>high</x:v>
      </x:c>
      <x:c r="S247" s="24" t="str">
        <x:v>Balistes capriscus</x:v>
      </x:c>
      <x:c r="T247" s="32" t="n">
        <x:f>IF(O247="","",(1/'Metadata'!$B$5)^(O247-1))</x:f>
        <x:v>1148.1536214968817</x:v>
      </x:c>
      <x:c r="U247" s="31" t="n">
        <x:f>IF(T247="","",I247*T247)</x:f>
        <x:v>1178.6030697928059</x:v>
      </x:c>
    </x:row>
    <x:row r="248" ht="18" customHeight="1">
      <x:c r="A248" s="24" t="str">
        <x:v>EEZ_963</x:v>
      </x:c>
      <x:c r="B248" s="24" t="str">
        <x:v>Spain (Northwest)</x:v>
      </x:c>
      <x:c r="C248" s="24" t="str">
        <x:v>EEZ</x:v>
      </x:c>
      <x:c r="D248" s="30" t="n">
        <x:v>2019</x:v>
      </x:c>
      <x:c r="E248" s="24" t="str">
        <x:v>Chelon saliens</x:v>
      </x:c>
      <x:c r="F248" s="24" t="str">
        <x:v>Leaping mullet</x:v>
      </x:c>
      <x:c r="G248" s="24" t="str">
        <x:v>Medium demersals (30 - 89 cm)</x:v>
      </x:c>
      <x:c r="H248" s="24" t="str">
        <x:v>Perch-likes</x:v>
      </x:c>
      <x:c r="I248" s="31" t="n">
        <x:v>1.0136755002000002</x:v>
      </x:c>
      <x:c r="J248" s="31" t="n">
        <x:v>1.0136755002000002</x:v>
      </x:c>
      <x:c r="K248" s="31" t="n">
        <x:v>0</x:v>
      </x:c>
      <x:c r="L248" s="31" t="n">
        <x:v>1.0136755002000002</x:v>
      </x:c>
      <x:c r="M248" s="31" t="n">
        <x:v>0</x:v>
      </x:c>
      <x:c r="N248" s="24" t="str">
        <x:v>chelon saliens</x:v>
      </x:c>
      <x:c r="O248" s="32" t="n">
        <x:v>2.9</x:v>
      </x:c>
      <x:c r="P248" s="24" t="str">
        <x:v>exact_sea_around_us</x:v>
      </x:c>
      <x:c r="Q248" s="32" t="str">
        <x:v>Sea Around Us exploited organisms</x:v>
      </x:c>
      <x:c r="R248" s="24" t="str">
        <x:v>high</x:v>
      </x:c>
      <x:c r="S248" s="24" t="str">
        <x:v>Chelon saliens</x:v>
      </x:c>
      <x:c r="T248" s="32" t="n">
        <x:f>IF(O248="","",(1/'Metadata'!$B$5)^(O248-1))</x:f>
        <x:v>79.43282347242814</x:v>
      </x:c>
      <x:c r="U248" s="31" t="n">
        <x:f>IF(T248="","",I248*T248)</x:f>
        <x:v>80.5191070657119</x:v>
      </x:c>
    </x:row>
    <x:row r="249" ht="18" customHeight="1">
      <x:c r="A249" s="24" t="str">
        <x:v>EEZ_963</x:v>
      </x:c>
      <x:c r="B249" s="24" t="str">
        <x:v>Spain (Northwest)</x:v>
      </x:c>
      <x:c r="C249" s="24" t="str">
        <x:v>EEZ</x:v>
      </x:c>
      <x:c r="D249" s="30" t="n">
        <x:v>2019</x:v>
      </x:c>
      <x:c r="E249" s="24" t="str">
        <x:v>Octopus</x:v>
      </x:c>
      <x:c r="F249" s="24" t="str">
        <x:v>Octopuses, pikas</x:v>
      </x:c>
      <x:c r="G249" s="24" t="str">
        <x:v>Cephalopods</x:v>
      </x:c>
      <x:c r="H249" s="24" t="str">
        <x:v>Other fishes &amp; inverts</x:v>
      </x:c>
      <x:c r="I249" s="31" t="n">
        <x:v>0.9942499878</x:v>
      </x:c>
      <x:c r="J249" s="31" t="n">
        <x:v>0.9942499878</x:v>
      </x:c>
      <x:c r="K249" s="31" t="n">
        <x:v>0</x:v>
      </x:c>
      <x:c r="L249" s="31" t="n">
        <x:v>0.2357065189</x:v>
      </x:c>
      <x:c r="M249" s="31" t="n">
        <x:v>0.7585434689</x:v>
      </x:c>
      <x:c r="N249" s="24" t="str">
        <x:v>octopus</x:v>
      </x:c>
      <x:c r="O249" s="32" t="n">
        <x:v>3.8</x:v>
      </x:c>
      <x:c r="P249" s="24" t="str">
        <x:v>exact_sea_around_us</x:v>
      </x:c>
      <x:c r="Q249" s="32" t="str">
        <x:v>Sea Around Us exploited organisms</x:v>
      </x:c>
      <x:c r="R249" s="24" t="str">
        <x:v>high</x:v>
      </x:c>
      <x:c r="S249" s="24" t="str">
        <x:v>Octopus</x:v>
      </x:c>
      <x:c r="T249" s="32" t="n">
        <x:f>IF(O249="","",(1/'Metadata'!$B$5)^(O249-1))</x:f>
        <x:v>630.957344480193</x:v>
      </x:c>
      <x:c r="U249" s="31" t="n">
        <x:f>IF(T249="","",I249*T249)</x:f>
        <x:v>627.3293320517523</x:v>
      </x:c>
    </x:row>
    <x:row r="250" ht="18" customHeight="1">
      <x:c r="A250" s="24" t="str">
        <x:v>EEZ_963</x:v>
      </x:c>
      <x:c r="B250" s="24" t="str">
        <x:v>Spain (Northwest)</x:v>
      </x:c>
      <x:c r="C250" s="24" t="str">
        <x:v>EEZ</x:v>
      </x:c>
      <x:c r="D250" s="30" t="n">
        <x:v>2019</x:v>
      </x:c>
      <x:c r="E250" s="24" t="str">
        <x:v>Spisula solida</x:v>
      </x:c>
      <x:c r="F250" s="24" t="str">
        <x:v>Surf clam</x:v>
      </x:c>
      <x:c r="G250" s="24" t="str">
        <x:v>Other demersal invertebrates</x:v>
      </x:c>
      <x:c r="H250" s="24" t="str">
        <x:v>Molluscs</x:v>
      </x:c>
      <x:c r="I250" s="31" t="n">
        <x:v>0.7219481268999999</x:v>
      </x:c>
      <x:c r="J250" s="31" t="n">
        <x:v>0.7219481268999999</x:v>
      </x:c>
      <x:c r="K250" s="31" t="n">
        <x:v>0</x:v>
      </x:c>
      <x:c r="L250" s="31" t="n">
        <x:v>0.7219481268999999</x:v>
      </x:c>
      <x:c r="M250" s="31" t="n">
        <x:v>0</x:v>
      </x:c>
      <x:c r="N250" s="24" t="str">
        <x:v>spisula solida</x:v>
      </x:c>
      <x:c r="O250" s="32" t="n">
        <x:v>2</x:v>
      </x:c>
      <x:c r="P250" s="24" t="str">
        <x:v>exact_sea_around_us</x:v>
      </x:c>
      <x:c r="Q250" s="32" t="str">
        <x:v>Sea Around Us exploited organisms</x:v>
      </x:c>
      <x:c r="R250" s="24" t="str">
        <x:v>high</x:v>
      </x:c>
      <x:c r="S250" s="24" t="str">
        <x:v>Spisula solida</x:v>
      </x:c>
      <x:c r="T250" s="32" t="n">
        <x:f>IF(O250="","",(1/'Metadata'!$B$5)^(O250-1))</x:f>
        <x:v>10</x:v>
      </x:c>
      <x:c r="U250" s="31" t="n">
        <x:f>IF(T250="","",I250*T250)</x:f>
        <x:v>7.219481268999999</x:v>
      </x:c>
    </x:row>
    <x:row r="251" ht="18" customHeight="1">
      <x:c r="A251" s="24" t="str">
        <x:v>EEZ_963</x:v>
      </x:c>
      <x:c r="B251" s="24" t="str">
        <x:v>Spain (Northwest)</x:v>
      </x:c>
      <x:c r="C251" s="24" t="str">
        <x:v>EEZ</x:v>
      </x:c>
      <x:c r="D251" s="30" t="n">
        <x:v>2019</x:v>
      </x:c>
      <x:c r="E251" s="24" t="str">
        <x:v>Carcharhinus</x:v>
      </x:c>
      <x:c r="F251" s="24" t="str">
        <x:v>Sharp-nosed sharks</x:v>
      </x:c>
      <x:c r="G251" s="24" t="str">
        <x:v>Large sharks (&gt;=90 cm)</x:v>
      </x:c>
      <x:c r="H251" s="24" t="str">
        <x:v>Sharks &amp; rays</x:v>
      </x:c>
      <x:c r="I251" s="31" t="n">
        <x:v>0.7200000000000001</x:v>
      </x:c>
      <x:c r="J251" s="31" t="n">
        <x:v>0.7200000000000001</x:v>
      </x:c>
      <x:c r="K251" s="31" t="n">
        <x:v>0</x:v>
      </x:c>
      <x:c r="L251" s="31" t="n">
        <x:v>0.7200000000000001</x:v>
      </x:c>
      <x:c r="M251" s="31" t="n">
        <x:v>0</x:v>
      </x:c>
      <x:c r="N251" s="24" t="str">
        <x:v>carcharhinus</x:v>
      </x:c>
      <x:c r="O251" s="32" t="n">
        <x:v>4.26</x:v>
      </x:c>
      <x:c r="P251" s="24" t="str">
        <x:v>exact_sea_around_us</x:v>
      </x:c>
      <x:c r="Q251" s="32" t="str">
        <x:v>Sea Around Us exploited organisms</x:v>
      </x:c>
      <x:c r="R251" s="24" t="str">
        <x:v>high</x:v>
      </x:c>
      <x:c r="S251" s="24" t="str">
        <x:v>Carcharhinus</x:v>
      </x:c>
      <x:c r="T251" s="32" t="n">
        <x:f>IF(O251="","",(1/'Metadata'!$B$5)^(O251-1))</x:f>
        <x:v>1819.7008586099826</x:v>
      </x:c>
      <x:c r="U251" s="31" t="n">
        <x:f>IF(T251="","",I251*T251)</x:f>
        <x:v>1310.1846181991875</x:v>
      </x:c>
    </x:row>
    <x:row r="252" ht="18" customHeight="1">
      <x:c r="A252" s="24" t="str">
        <x:v>EEZ_963</x:v>
      </x:c>
      <x:c r="B252" s="24" t="str">
        <x:v>Spain (Northwest)</x:v>
      </x:c>
      <x:c r="C252" s="24" t="str">
        <x:v>EEZ</x:v>
      </x:c>
      <x:c r="D252" s="30" t="n">
        <x:v>2019</x:v>
      </x:c>
      <x:c r="E252" s="24" t="str">
        <x:v>Chelidonichthys lastoviza</x:v>
      </x:c>
      <x:c r="F252" s="24" t="str">
        <x:v>Streaked gurnard</x:v>
      </x:c>
      <x:c r="G252" s="24" t="str">
        <x:v>Medium demersals (30 - 89 cm)</x:v>
      </x:c>
      <x:c r="H252" s="24" t="str">
        <x:v>Scorpionfishes</x:v>
      </x:c>
      <x:c r="I252" s="31" t="n">
        <x:v>0.686003036</x:v>
      </x:c>
      <x:c r="J252" s="31" t="n">
        <x:v>0.686003036</x:v>
      </x:c>
      <x:c r="K252" s="31" t="n">
        <x:v>0</x:v>
      </x:c>
      <x:c r="L252" s="31" t="n">
        <x:v>0.0013549999999999999</x:v>
      </x:c>
      <x:c r="M252" s="31" t="n">
        <x:v>0.684648036</x:v>
      </x:c>
      <x:c r="N252" s="24" t="str">
        <x:v>chelidonichthys lastoviza</x:v>
      </x:c>
      <x:c r="O252" s="32" t="n">
        <x:v>3.49</x:v>
      </x:c>
      <x:c r="P252" s="24" t="str">
        <x:v>exact_sea_around_us</x:v>
      </x:c>
      <x:c r="Q252" s="32" t="str">
        <x:v>Sea Around Us exploited organisms</x:v>
      </x:c>
      <x:c r="R252" s="24" t="str">
        <x:v>high</x:v>
      </x:c>
      <x:c r="S252" s="24" t="str">
        <x:v>Chelidonichthys lastoviza</x:v>
      </x:c>
      <x:c r="T252" s="32" t="n">
        <x:f>IF(O252="","",(1/'Metadata'!$B$5)^(O252-1))</x:f>
        <x:v>309.0295432513592</x:v>
      </x:c>
      <x:c r="U252" s="31" t="n">
        <x:f>IF(T252="","",I252*T252)</x:f>
        <x:v>211.9952048841257</x:v>
      </x:c>
    </x:row>
    <x:row r="253" ht="18" customHeight="1">
      <x:c r="A253" s="24" t="str">
        <x:v>EEZ_963</x:v>
      </x:c>
      <x:c r="B253" s="24" t="str">
        <x:v>Spain (Northwest)</x:v>
      </x:c>
      <x:c r="C253" s="24" t="str">
        <x:v>EEZ</x:v>
      </x:c>
      <x:c r="D253" s="30" t="n">
        <x:v>2019</x:v>
      </x:c>
      <x:c r="E253" s="24" t="str">
        <x:v>Murex</x:v>
      </x:c>
      <x:c r="F253" s="24" t="str">
        <x:v>Murex shells</x:v>
      </x:c>
      <x:c r="G253" s="24" t="str">
        <x:v>Other demersal invertebrates</x:v>
      </x:c>
      <x:c r="H253" s="24" t="str">
        <x:v>Molluscs</x:v>
      </x:c>
      <x:c r="I253" s="31" t="n">
        <x:v>0.6815890302</x:v>
      </x:c>
      <x:c r="J253" s="31" t="n">
        <x:v>0.6815890302</x:v>
      </x:c>
      <x:c r="K253" s="31" t="n">
        <x:v>0</x:v>
      </x:c>
      <x:c r="L253" s="31" t="n">
        <x:v>0.6815890302</x:v>
      </x:c>
      <x:c r="M253" s="31" t="n">
        <x:v>0</x:v>
      </x:c>
      <x:c r="N253" s="24" t="str">
        <x:v>murex</x:v>
      </x:c>
      <x:c r="O253" s="32" t="n">
        <x:v>2</x:v>
      </x:c>
      <x:c r="P253" s="24" t="str">
        <x:v>exact_sea_around_us</x:v>
      </x:c>
      <x:c r="Q253" s="32" t="str">
        <x:v>Sea Around Us exploited organisms</x:v>
      </x:c>
      <x:c r="R253" s="24" t="str">
        <x:v>high</x:v>
      </x:c>
      <x:c r="S253" s="24" t="str">
        <x:v>Murex</x:v>
      </x:c>
      <x:c r="T253" s="32" t="n">
        <x:f>IF(O253="","",(1/'Metadata'!$B$5)^(O253-1))</x:f>
        <x:v>10</x:v>
      </x:c>
      <x:c r="U253" s="31" t="n">
        <x:f>IF(T253="","",I253*T253)</x:f>
        <x:v>6.815890302</x:v>
      </x:c>
    </x:row>
    <x:row r="254" ht="18" customHeight="1">
      <x:c r="A254" s="24" t="str">
        <x:v>EEZ_963</x:v>
      </x:c>
      <x:c r="B254" s="24" t="str">
        <x:v>Spain (Northwest)</x:v>
      </x:c>
      <x:c r="C254" s="24" t="str">
        <x:v>EEZ</x:v>
      </x:c>
      <x:c r="D254" s="30" t="n">
        <x:v>2019</x:v>
      </x:c>
      <x:c r="E254" s="24" t="str">
        <x:v>Acipenser sturio</x:v>
      </x:c>
      <x:c r="F254" s="24" t="str">
        <x:v>Sturgeon</x:v>
      </x:c>
      <x:c r="G254" s="24" t="str">
        <x:v>Large demersals (&gt;=90 cm)</x:v>
      </x:c>
      <x:c r="H254" s="24" t="str">
        <x:v>Other fishes &amp; inverts</x:v>
      </x:c>
      <x:c r="I254" s="31" t="n">
        <x:v>0.666804504</x:v>
      </x:c>
      <x:c r="J254" s="31" t="n">
        <x:v>0.666804504</x:v>
      </x:c>
      <x:c r="K254" s="31" t="n">
        <x:v>0</x:v>
      </x:c>
      <x:c r="L254" s="31" t="n">
        <x:v>0.235706518</x:v>
      </x:c>
      <x:c r="M254" s="31" t="n">
        <x:v>0.43109798600000004</x:v>
      </x:c>
      <x:c r="N254" s="24" t="str">
        <x:v>acipenser sturio</x:v>
      </x:c>
      <x:c r="O254" s="32" t="n">
        <x:v>3.51</x:v>
      </x:c>
      <x:c r="P254" s="24" t="str">
        <x:v>exact_2020_supplement</x:v>
      </x:c>
      <x:c r="Q254" s="32" t="str">
        <x:v>2020 supplement MeanTL</x:v>
      </x:c>
      <x:c r="R254" s="24" t="str">
        <x:v>high</x:v>
      </x:c>
      <x:c r="S254" s="24" t="str">
        <x:v>Acipenser sturio</x:v>
      </x:c>
      <x:c r="T254" s="32" t="n">
        <x:f>IF(O254="","",(1/'Metadata'!$B$5)^(O254-1))</x:f>
        <x:v>323.5936569296281</x:v>
      </x:c>
      <x:c r="U254" s="31" t="n">
        <x:f>IF(T254="","",I254*T254)</x:f>
        <x:v>215.77370790650681</x:v>
      </x:c>
    </x:row>
    <x:row r="255" ht="18" customHeight="1">
      <x:c r="A255" s="24" t="str">
        <x:v>EEZ_963</x:v>
      </x:c>
      <x:c r="B255" s="24" t="str">
        <x:v>Spain (Northwest)</x:v>
      </x:c>
      <x:c r="C255" s="24" t="str">
        <x:v>EEZ</x:v>
      </x:c>
      <x:c r="D255" s="30" t="n">
        <x:v>2019</x:v>
      </x:c>
      <x:c r="E255" s="24" t="str">
        <x:v>Atherina presbyter</x:v>
      </x:c>
      <x:c r="F255" s="24" t="str">
        <x:v>Sand smelt</x:v>
      </x:c>
      <x:c r="G255" s="24" t="str">
        <x:v>Small pelagics (&lt;30 cm)</x:v>
      </x:c>
      <x:c r="H255" s="24" t="str">
        <x:v>Other fishes &amp; inverts</x:v>
      </x:c>
      <x:c r="I255" s="31" t="n">
        <x:v>0.6161812675999999</x:v>
      </x:c>
      <x:c r="J255" s="31" t="n">
        <x:v>0.6161812675999999</x:v>
      </x:c>
      <x:c r="K255" s="31" t="n">
        <x:v>0</x:v>
      </x:c>
      <x:c r="L255" s="31" t="n">
        <x:v>0.6161812675999999</x:v>
      </x:c>
      <x:c r="M255" s="31" t="n">
        <x:v>0</x:v>
      </x:c>
      <x:c r="N255" s="24" t="str">
        <x:v>atherina presbyter</x:v>
      </x:c>
      <x:c r="O255" s="32" t="n">
        <x:v>3.67</x:v>
      </x:c>
      <x:c r="P255" s="24" t="str">
        <x:v>exact_2020_supplement</x:v>
      </x:c>
      <x:c r="Q255" s="32" t="str">
        <x:v>2020 supplement MeanTL</x:v>
      </x:c>
      <x:c r="R255" s="24" t="str">
        <x:v>high</x:v>
      </x:c>
      <x:c r="S255" s="24" t="str">
        <x:v>Atherina presbyter</x:v>
      </x:c>
      <x:c r="T255" s="32" t="n">
        <x:f>IF(O255="","",(1/'Metadata'!$B$5)^(O255-1))</x:f>
        <x:v>467.73514128719813</x:v>
      </x:c>
      <x:c r="U255" s="31" t="n">
        <x:f>IF(T255="","",I255*T255)</x:f>
        <x:v>288.2096322594108</x:v>
      </x:c>
    </x:row>
    <x:row r="256" ht="18" customHeight="1">
      <x:c r="A256" s="24" t="str">
        <x:v>EEZ_963</x:v>
      </x:c>
      <x:c r="B256" s="24" t="str">
        <x:v>Spain (Northwest)</x:v>
      </x:c>
      <x:c r="C256" s="24" t="str">
        <x:v>EEZ</x:v>
      </x:c>
      <x:c r="D256" s="30" t="n">
        <x:v>2019</x:v>
      </x:c>
      <x:c r="E256" s="24" t="str">
        <x:v>Haemulidae</x:v>
      </x:c>
      <x:c r="F256" s="24" t="str">
        <x:v>Grunts, sweetlips, bonnetmouths</x:v>
      </x:c>
      <x:c r="G256" s="24" t="str">
        <x:v>Medium demersals (30 - 89 cm)</x:v>
      </x:c>
      <x:c r="H256" s="24" t="str">
        <x:v>Perch-likes</x:v>
      </x:c>
      <x:c r="I256" s="31" t="n">
        <x:v>0.6101527781</x:v>
      </x:c>
      <x:c r="J256" s="31" t="n">
        <x:v>0.6101527781</x:v>
      </x:c>
      <x:c r="K256" s="31" t="n">
        <x:v>0</x:v>
      </x:c>
      <x:c r="L256" s="31" t="n">
        <x:v>0.23748894210000002</x:v>
      </x:c>
      <x:c r="M256" s="31" t="n">
        <x:v>0.372663836</x:v>
      </x:c>
      <x:c r="N256" s="24" t="str">
        <x:v>haemulidae</x:v>
      </x:c>
      <x:c r="O256" s="32" t="n">
        <x:v>3.36</x:v>
      </x:c>
      <x:c r="P256" s="24" t="str">
        <x:v>exact_sea_around_us</x:v>
      </x:c>
      <x:c r="Q256" s="32" t="str">
        <x:v>Sea Around Us exploited organisms</x:v>
      </x:c>
      <x:c r="R256" s="24" t="str">
        <x:v>high</x:v>
      </x:c>
      <x:c r="S256" s="24" t="str">
        <x:v>Haemulidae</x:v>
      </x:c>
      <x:c r="T256" s="32" t="n">
        <x:f>IF(O256="","",(1/'Metadata'!$B$5)^(O256-1))</x:f>
        <x:v>229.08676527677724</x:v>
      </x:c>
      <x:c r="U256" s="31" t="n">
        <x:f>IF(T256="","",I256*T256)</x:f>
        <x:v>139.77792625956826</x:v>
      </x:c>
    </x:row>
    <x:row r="257" ht="18" customHeight="1">
      <x:c r="A257" s="24" t="str">
        <x:v>EEZ_963</x:v>
      </x:c>
      <x:c r="B257" s="24" t="str">
        <x:v>Spain (Northwest)</x:v>
      </x:c>
      <x:c r="C257" s="24" t="str">
        <x:v>EEZ</x:v>
      </x:c>
      <x:c r="D257" s="30" t="n">
        <x:v>2019</x:v>
      </x:c>
      <x:c r="E257" s="24" t="str">
        <x:v>Pleuronectiformes</x:v>
      </x:c>
      <x:c r="F257" s="24" t="str">
        <x:v>Flatfishes</x:v>
      </x:c>
      <x:c r="G257" s="24" t="str">
        <x:v>Small to medium flatfishes (&lt;90 cm)</x:v>
      </x:c>
      <x:c r="H257" s="24" t="str">
        <x:v>Flatfishes</x:v>
      </x:c>
      <x:c r="I257" s="31" t="n">
        <x:v>0.5909872916</x:v>
      </x:c>
      <x:c r="J257" s="31" t="n">
        <x:v>0.5909872916</x:v>
      </x:c>
      <x:c r="K257" s="31" t="n">
        <x:v>0</x:v>
      </x:c>
      <x:c r="L257" s="31" t="n">
        <x:v>0.22764993260000002</x:v>
      </x:c>
      <x:c r="M257" s="31" t="n">
        <x:v>0.36333735899999997</x:v>
      </x:c>
      <x:c r="N257" s="24" t="str">
        <x:v>pleuronectiformes</x:v>
      </x:c>
      <x:c r="O257" s="32" t="n">
        <x:v>3.57</x:v>
      </x:c>
      <x:c r="P257" s="24" t="str">
        <x:v>exact_sea_around_us</x:v>
      </x:c>
      <x:c r="Q257" s="32" t="str">
        <x:v>Sea Around Us exploited organisms</x:v>
      </x:c>
      <x:c r="R257" s="24" t="str">
        <x:v>high</x:v>
      </x:c>
      <x:c r="S257" s="24" t="str">
        <x:v>Pleuronectiformes</x:v>
      </x:c>
      <x:c r="T257" s="32" t="n">
        <x:f>IF(O257="","",(1/'Metadata'!$B$5)^(O257-1))</x:f>
        <x:v>371.5352290971724</x:v>
      </x:c>
      <x:c r="U257" s="31" t="n">
        <x:f>IF(T257="","",I257*T257)</x:f>
        <x:v>219.57259877812342</x:v>
      </x:c>
    </x:row>
    <x:row r="258" ht="18" customHeight="1">
      <x:c r="A258" s="24" t="str">
        <x:v>EEZ_963</x:v>
      </x:c>
      <x:c r="B258" s="24" t="str">
        <x:v>Spain (Northwest)</x:v>
      </x:c>
      <x:c r="C258" s="24" t="str">
        <x:v>EEZ</x:v>
      </x:c>
      <x:c r="D258" s="30" t="n">
        <x:v>2019</x:v>
      </x:c>
      <x:c r="E258" s="24" t="str">
        <x:v>Umbrina cirrosa</x:v>
      </x:c>
      <x:c r="F258" s="24" t="str">
        <x:v>Shi drum</x:v>
      </x:c>
      <x:c r="G258" s="24" t="str">
        <x:v>Medium demersals (30 - 89 cm)</x:v>
      </x:c>
      <x:c r="H258" s="24" t="str">
        <x:v>Perch-likes</x:v>
      </x:c>
      <x:c r="I258" s="31" t="n">
        <x:v>0.507243645</x:v>
      </x:c>
      <x:c r="J258" s="31" t="n">
        <x:v>0.507243645</x:v>
      </x:c>
      <x:c r="K258" s="31" t="n">
        <x:v>0</x:v>
      </x:c>
      <x:c r="L258" s="31" t="n">
        <x:v>0.507243645</x:v>
      </x:c>
      <x:c r="M258" s="31" t="n">
        <x:v>0</x:v>
      </x:c>
      <x:c r="N258" s="24" t="str">
        <x:v>umbrina cirrosa</x:v>
      </x:c>
      <x:c r="O258" s="32" t="n">
        <x:v>3.46</x:v>
      </x:c>
      <x:c r="P258" s="24" t="str">
        <x:v>exact_2020_supplement</x:v>
      </x:c>
      <x:c r="Q258" s="32" t="str">
        <x:v>2020 supplement MeanTL</x:v>
      </x:c>
      <x:c r="R258" s="24" t="str">
        <x:v>high</x:v>
      </x:c>
      <x:c r="S258" s="24" t="str">
        <x:v>Umbrina cirrosa</x:v>
      </x:c>
      <x:c r="T258" s="32" t="n">
        <x:f>IF(O258="","",(1/'Metadata'!$B$5)^(O258-1))</x:f>
        <x:v>288.40315031266056</x:v>
      </x:c>
      <x:c r="U258" s="31" t="n">
        <x:f>IF(T258="","",I258*T258)</x:f>
        <x:v>146.2906651940768</x:v>
      </x:c>
    </x:row>
    <x:row r="259" ht="18" customHeight="1">
      <x:c r="A259" s="24" t="str">
        <x:v>EEZ_963</x:v>
      </x:c>
      <x:c r="B259" s="24" t="str">
        <x:v>Spain (Northwest)</x:v>
      </x:c>
      <x:c r="C259" s="24" t="str">
        <x:v>EEZ</x:v>
      </x:c>
      <x:c r="D259" s="30" t="n">
        <x:v>2019</x:v>
      </x:c>
      <x:c r="E259" s="24" t="str">
        <x:v>Scyllaridae</x:v>
      </x:c>
      <x:c r="F259" s="24" t="str">
        <x:v>Slipper lobsters</x:v>
      </x:c>
      <x:c r="G259" s="24" t="str">
        <x:v>Lobsters, crabs</x:v>
      </x:c>
      <x:c r="H259" s="24" t="str">
        <x:v>Crustaceans</x:v>
      </x:c>
      <x:c r="I259" s="31" t="n">
        <x:v>0.49676582820000004</x:v>
      </x:c>
      <x:c r="J259" s="31" t="n">
        <x:v>0.49676582820000004</x:v>
      </x:c>
      <x:c r="K259" s="31" t="n">
        <x:v>0</x:v>
      </x:c>
      <x:c r="L259" s="31" t="n">
        <x:v>0.49676582820000004</x:v>
      </x:c>
      <x:c r="M259" s="31" t="n">
        <x:v>0</x:v>
      </x:c>
      <x:c r="N259" s="24" t="str">
        <x:v>scyllaridae</x:v>
      </x:c>
      <x:c r="O259" s="32" t="n">
        <x:v>2.87</x:v>
      </x:c>
      <x:c r="P259" s="24" t="str">
        <x:v>exact_sea_around_us</x:v>
      </x:c>
      <x:c r="Q259" s="32" t="str">
        <x:v>Sea Around Us exploited organisms</x:v>
      </x:c>
      <x:c r="R259" s="24" t="str">
        <x:v>high</x:v>
      </x:c>
      <x:c r="S259" s="24" t="str">
        <x:v>Scyllaridae</x:v>
      </x:c>
      <x:c r="T259" s="32" t="n">
        <x:f>IF(O259="","",(1/'Metadata'!$B$5)^(O259-1))</x:f>
        <x:v>74.13102413009177</x:v>
      </x:c>
      <x:c r="U259" s="31" t="n">
        <x:f>IF(T259="","",I259*T259)</x:f>
        <x:v>36.825759597299225</x:v>
      </x:c>
    </x:row>
    <x:row r="260" ht="18" customHeight="1">
      <x:c r="A260" s="24" t="str">
        <x:v>EEZ_963</x:v>
      </x:c>
      <x:c r="B260" s="24" t="str">
        <x:v>Spain (Northwest)</x:v>
      </x:c>
      <x:c r="C260" s="24" t="str">
        <x:v>EEZ</x:v>
      </x:c>
      <x:c r="D260" s="30" t="n">
        <x:v>2019</x:v>
      </x:c>
      <x:c r="E260" s="24" t="str">
        <x:v>Ruvettus pretiosus</x:v>
      </x:c>
      <x:c r="F260" s="24" t="str">
        <x:v>Oilfish</x:v>
      </x:c>
      <x:c r="G260" s="24" t="str">
        <x:v>Large benthopelagics (&gt;=90 cm)</x:v>
      </x:c>
      <x:c r="H260" s="24" t="str">
        <x:v>Perch-likes</x:v>
      </x:c>
      <x:c r="I260" s="31" t="n">
        <x:v>0.49662229469999997</x:v>
      </x:c>
      <x:c r="J260" s="31" t="n">
        <x:v>0.49662229469999997</x:v>
      </x:c>
      <x:c r="K260" s="31" t="n">
        <x:v>0</x:v>
      </x:c>
      <x:c r="L260" s="31" t="n">
        <x:v>0.49662229469999997</x:v>
      </x:c>
      <x:c r="M260" s="31" t="n">
        <x:v>0</x:v>
      </x:c>
      <x:c r="N260" s="24" t="str">
        <x:v>ruvettus pretiosus</x:v>
      </x:c>
      <x:c r="O260" s="32" t="n">
        <x:v>4.18</x:v>
      </x:c>
      <x:c r="P260" s="24" t="str">
        <x:v>exact_2020_supplement</x:v>
      </x:c>
      <x:c r="Q260" s="32" t="str">
        <x:v>2020 supplement MeanTL</x:v>
      </x:c>
      <x:c r="R260" s="24" t="str">
        <x:v>high</x:v>
      </x:c>
      <x:c r="S260" s="24" t="str">
        <x:v>Ruvettus pretiosus</x:v>
      </x:c>
      <x:c r="T260" s="32" t="n">
        <x:f>IF(O260="","",(1/'Metadata'!$B$5)^(O260-1))</x:f>
        <x:v>1513.5612484362073</x:v>
      </x:c>
      <x:c r="U260" s="31" t="n">
        <x:f>IF(T260="","",I260*T260)</x:f>
        <x:v>751.668260367386</x:v>
      </x:c>
    </x:row>
    <x:row r="261" ht="18" customHeight="1">
      <x:c r="A261" s="24" t="str">
        <x:v>EEZ_963</x:v>
      </x:c>
      <x:c r="B261" s="24" t="str">
        <x:v>Spain (Northwest)</x:v>
      </x:c>
      <x:c r="C261" s="24" t="str">
        <x:v>EEZ</x:v>
      </x:c>
      <x:c r="D261" s="30" t="n">
        <x:v>2019</x:v>
      </x:c>
      <x:c r="E261" s="24" t="str">
        <x:v>Molva</x:v>
      </x:c>
      <x:c r="F261" s="24" t="str">
        <x:v>Lings</x:v>
      </x:c>
      <x:c r="G261" s="24" t="str">
        <x:v>Large demersals (&gt;=90 cm)</x:v>
      </x:c>
      <x:c r="H261" s="24" t="str">
        <x:v>Cod-likes</x:v>
      </x:c>
      <x:c r="I261" s="31" t="n">
        <x:v>0.49603091909999997</x:v>
      </x:c>
      <x:c r="J261" s="31" t="n">
        <x:v>0.49603091909999997</x:v>
      </x:c>
      <x:c r="K261" s="31" t="n">
        <x:v>0</x:v>
      </x:c>
      <x:c r="L261" s="31" t="n">
        <x:v>0.2493947271</x:v>
      </x:c>
      <x:c r="M261" s="31" t="n">
        <x:v>0.246636192</x:v>
      </x:c>
      <x:c r="N261" s="24" t="str">
        <x:v>molva</x:v>
      </x:c>
      <x:c r="O261" s="32" t="n">
        <x:v>4.19</x:v>
      </x:c>
      <x:c r="P261" s="24" t="str">
        <x:v>exact_sea_around_us</x:v>
      </x:c>
      <x:c r="Q261" s="32" t="str">
        <x:v>Sea Around Us exploited organisms</x:v>
      </x:c>
      <x:c r="R261" s="24" t="str">
        <x:v>high</x:v>
      </x:c>
      <x:c r="S261" s="24" t="str">
        <x:v>Molva</x:v>
      </x:c>
      <x:c r="T261" s="32" t="n">
        <x:f>IF(O261="","",(1/'Metadata'!$B$5)^(O261-1))</x:f>
        <x:v>1548.8166189124827</x:v>
      </x:c>
      <x:c r="U261" s="31" t="n">
        <x:f>IF(T261="","",I261*T261)</x:f>
        <x:v>768.2609309965131</x:v>
      </x:c>
    </x:row>
    <x:row r="262" ht="18" customHeight="1">
      <x:c r="A262" s="24" t="str">
        <x:v>EEZ_963</x:v>
      </x:c>
      <x:c r="B262" s="24" t="str">
        <x:v>Spain (Northwest)</x:v>
      </x:c>
      <x:c r="C262" s="24" t="str">
        <x:v>EEZ</x:v>
      </x:c>
      <x:c r="D262" s="30" t="n">
        <x:v>2019</x:v>
      </x:c>
      <x:c r="E262" s="24" t="str">
        <x:v>Raja microocellata</x:v>
      </x:c>
      <x:c r="F262" s="24" t="str">
        <x:v>Small-eyed ray</x:v>
      </x:c>
      <x:c r="G262" s="24" t="str">
        <x:v>Small to medium rays (&lt;90 cm)</x:v>
      </x:c>
      <x:c r="H262" s="24" t="str">
        <x:v>Sharks &amp; rays</x:v>
      </x:c>
      <x:c r="I262" s="31" t="n">
        <x:v>0.44896570020000004</x:v>
      </x:c>
      <x:c r="J262" s="31" t="n">
        <x:v>0.44896570020000004</x:v>
      </x:c>
      <x:c r="K262" s="31" t="n">
        <x:v>0</x:v>
      </x:c>
      <x:c r="L262" s="31" t="n">
        <x:v>0.44896570020000004</x:v>
      </x:c>
      <x:c r="M262" s="31" t="n">
        <x:v>0</x:v>
      </x:c>
      <x:c r="N262" s="24" t="str">
        <x:v>raja microocellata</x:v>
      </x:c>
      <x:c r="O262" s="32" t="n">
        <x:v>3.94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Raja microocellata</x:v>
      </x:c>
      <x:c r="T262" s="32" t="n">
        <x:f>IF(O262="","",(1/'Metadata'!$B$5)^(O262-1))</x:f>
        <x:v>870.9635899560806</x:v>
      </x:c>
      <x:c r="U262" s="31" t="n">
        <x:f>IF(T262="","",I262*T262)</x:f>
        <x:v>391.0327780133374</x:v>
      </x:c>
    </x:row>
    <x:row r="263" ht="18" customHeight="1">
      <x:c r="A263" s="24" t="str">
        <x:v>EEZ_963</x:v>
      </x:c>
      <x:c r="B263" s="24" t="str">
        <x:v>Spain (Northwest)</x:v>
      </x:c>
      <x:c r="C263" s="24" t="str">
        <x:v>EEZ</x:v>
      </x:c>
      <x:c r="D263" s="30" t="n">
        <x:v>2019</x:v>
      </x:c>
      <x:c r="E263" s="24" t="str">
        <x:v>Squalus acanthias</x:v>
      </x:c>
      <x:c r="F263" s="24" t="str">
        <x:v>Picked dogfish</x:v>
      </x:c>
      <x:c r="G263" s="24" t="str">
        <x:v>Large sharks (&gt;=90 cm)</x:v>
      </x:c>
      <x:c r="H263" s="24" t="str">
        <x:v>Sharks &amp; rays</x:v>
      </x:c>
      <x:c r="I263" s="31" t="n">
        <x:v>0.3575052799</x:v>
      </x:c>
      <x:c r="J263" s="31" t="n">
        <x:v>0.3575052799</x:v>
      </x:c>
      <x:c r="K263" s="31" t="n">
        <x:v>0</x:v>
      </x:c>
      <x:c r="L263" s="31" t="n">
        <x:v>0.3575052799</x:v>
      </x:c>
      <x:c r="M263" s="31" t="n">
        <x:v>0</x:v>
      </x:c>
      <x:c r="N263" s="24" t="str">
        <x:v>squalus acanthias</x:v>
      </x:c>
      <x:c r="O263" s="32" t="n">
        <x:v>4.37</x:v>
      </x:c>
      <x:c r="P263" s="24" t="str">
        <x:v>exact_2020_supplement</x:v>
      </x:c>
      <x:c r="Q263" s="32" t="str">
        <x:v>2020 supplement MeanTL</x:v>
      </x:c>
      <x:c r="R263" s="24" t="str">
        <x:v>high</x:v>
      </x:c>
      <x:c r="S263" s="24" t="str">
        <x:v>Squalus acanthias</x:v>
      </x:c>
      <x:c r="T263" s="32" t="n">
        <x:f>IF(O263="","",(1/'Metadata'!$B$5)^(O263-1))</x:f>
        <x:v>2344.228815319923</x:v>
      </x:c>
      <x:c r="U263" s="31" t="n">
        <x:f>IF(T263="","",I263*T263)</x:f>
        <x:v>838.0741787705944</x:v>
      </x:c>
    </x:row>
    <x:row r="264" ht="18" customHeight="1">
      <x:c r="A264" s="24" t="str">
        <x:v>EEZ_963</x:v>
      </x:c>
      <x:c r="B264" s="24" t="str">
        <x:v>Spain (Northwest)</x:v>
      </x:c>
      <x:c r="C264" s="24" t="str">
        <x:v>EEZ</x:v>
      </x:c>
      <x:c r="D264" s="30" t="n">
        <x:v>2019</x:v>
      </x:c>
      <x:c r="E264" s="24" t="str">
        <x:v>Solen vagina</x:v>
      </x:c>
      <x:c r="F264" s="24" t="str">
        <x:v>European razor clam</x:v>
      </x:c>
      <x:c r="G264" s="24" t="str">
        <x:v>Other demersal invertebrates</x:v>
      </x:c>
      <x:c r="H264" s="24" t="str">
        <x:v>Molluscs</x:v>
      </x:c>
      <x:c r="I264" s="31" t="n">
        <x:v>0.32203103839999997</x:v>
      </x:c>
      <x:c r="J264" s="31" t="n">
        <x:v>0.32203103839999997</x:v>
      </x:c>
      <x:c r="K264" s="31" t="n">
        <x:v>0</x:v>
      </x:c>
      <x:c r="L264" s="31" t="n">
        <x:v>0.2404458332</x:v>
      </x:c>
      <x:c r="M264" s="31" t="n">
        <x:v>0.0815852052</x:v>
      </x:c>
      <x:c r="N264" s="24" t="str">
        <x:v>solen vagina</x:v>
      </x:c>
      <x:c r="O264" s="32" t="n">
        <x:v>2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Solen vagina</x:v>
      </x:c>
      <x:c r="T264" s="32" t="n">
        <x:f>IF(O264="","",(1/'Metadata'!$B$5)^(O264-1))</x:f>
        <x:v>10</x:v>
      </x:c>
      <x:c r="U264" s="31" t="n">
        <x:f>IF(T264="","",I264*T264)</x:f>
        <x:v>3.220310384</x:v>
      </x:c>
    </x:row>
    <x:row r="265" ht="18" customHeight="1">
      <x:c r="A265" s="24" t="str">
        <x:v>EEZ_963</x:v>
      </x:c>
      <x:c r="B265" s="24" t="str">
        <x:v>Spain (Northwest)</x:v>
      </x:c>
      <x:c r="C265" s="24" t="str">
        <x:v>EEZ</x:v>
      </x:c>
      <x:c r="D265" s="30" t="n">
        <x:v>2019</x:v>
      </x:c>
      <x:c r="E265" s="24" t="str">
        <x:v>Chelon auratus</x:v>
      </x:c>
      <x:c r="F265" s="24" t="str">
        <x:v>Golden grey mullet</x:v>
      </x:c>
      <x:c r="G265" s="24" t="str">
        <x:v>Medium pelagics (30 - 89 cm)</x:v>
      </x:c>
      <x:c r="H265" s="24" t="str">
        <x:v>Other fishes &amp; inverts</x:v>
      </x:c>
      <x:c r="I265" s="31" t="n">
        <x:v>0.2977748</x:v>
      </x:c>
      <x:c r="J265" s="31" t="n">
        <x:v>0.2977748</x:v>
      </x:c>
      <x:c r="K265" s="31" t="n">
        <x:v>0</x:v>
      </x:c>
      <x:c r="L265" s="31" t="n">
        <x:v>0.2977748</x:v>
      </x:c>
      <x:c r="M265" s="31" t="n">
        <x:v>0</x:v>
      </x:c>
      <x:c r="N265" s="24" t="str">
        <x:v>chelon auratus</x:v>
      </x:c>
      <x:c r="O265" s="32" t="n">
        <x:v>2.8</x:v>
      </x:c>
      <x:c r="P265" s="24" t="str">
        <x:v>exact_sea_around_us</x:v>
      </x:c>
      <x:c r="Q265" s="32" t="str">
        <x:v>Sea Around Us exploited organisms</x:v>
      </x:c>
      <x:c r="R265" s="24" t="str">
        <x:v>high</x:v>
      </x:c>
      <x:c r="S265" s="24" t="str">
        <x:v>Chelon auratus</x:v>
      </x:c>
      <x:c r="T265" s="32" t="n">
        <x:f>IF(O265="","",(1/'Metadata'!$B$5)^(O265-1))</x:f>
        <x:v>63.0957344480193</x:v>
      </x:c>
      <x:c r="U265" s="31" t="n">
        <x:f>IF(T265="","",I265*T265)</x:f>
        <x:v>18.78831970611206</x:v>
      </x:c>
    </x:row>
    <x:row r="266" ht="18" customHeight="1">
      <x:c r="A266" s="24" t="str">
        <x:v>EEZ_963</x:v>
      </x:c>
      <x:c r="B266" s="24" t="str">
        <x:v>Spain (Northwest)</x:v>
      </x:c>
      <x:c r="C266" s="24" t="str">
        <x:v>EEZ</x:v>
      </x:c>
      <x:c r="D266" s="30" t="n">
        <x:v>2019</x:v>
      </x:c>
      <x:c r="E266" s="24" t="str">
        <x:v>Dasyatidae</x:v>
      </x:c>
      <x:c r="F266" s="24" t="str">
        <x:v>Whiptail stingrays</x:v>
      </x:c>
      <x:c r="G266" s="24" t="str">
        <x:v>Large rays (&gt;=90 cm)</x:v>
      </x:c>
      <x:c r="H266" s="24" t="str">
        <x:v>Sharks &amp; rays</x:v>
      </x:c>
      <x:c r="I266" s="31" t="n">
        <x:v>0.2634836524</x:v>
      </x:c>
      <x:c r="J266" s="31" t="n">
        <x:v>0.2634836524</x:v>
      </x:c>
      <x:c r="K266" s="31" t="n">
        <x:v>0</x:v>
      </x:c>
      <x:c r="L266" s="31" t="n">
        <x:v>0.2634836524</x:v>
      </x:c>
      <x:c r="M266" s="31" t="n">
        <x:v>0</x:v>
      </x:c>
      <x:c r="N266" s="24" t="str">
        <x:v>dasyatidae</x:v>
      </x:c>
      <x:c r="O266" s="32" t="n">
        <x:v>3.38</x:v>
      </x:c>
      <x:c r="P266" s="24" t="str">
        <x:v>exact_sea_around_us</x:v>
      </x:c>
      <x:c r="Q266" s="32" t="str">
        <x:v>Sea Around Us exploited organisms</x:v>
      </x:c>
      <x:c r="R266" s="24" t="str">
        <x:v>high</x:v>
      </x:c>
      <x:c r="S266" s="24" t="str">
        <x:v>Dasyatidae</x:v>
      </x:c>
      <x:c r="T266" s="32" t="n">
        <x:f>IF(O266="","",(1/'Metadata'!$B$5)^(O266-1))</x:f>
        <x:v>239.88329190194898</x:v>
      </x:c>
      <x:c r="U266" s="31" t="n">
        <x:f>IF(T266="","",I266*T266)</x:f>
        <x:v>63.205325900060856</x:v>
      </x:c>
    </x:row>
    <x:row r="267" ht="18" customHeight="1">
      <x:c r="A267" s="24" t="str">
        <x:v>EEZ_963</x:v>
      </x:c>
      <x:c r="B267" s="24" t="str">
        <x:v>Spain (Northwest)</x:v>
      </x:c>
      <x:c r="C267" s="24" t="str">
        <x:v>EEZ</x:v>
      </x:c>
      <x:c r="D267" s="30" t="n">
        <x:v>2019</x:v>
      </x:c>
      <x:c r="E267" s="24" t="str">
        <x:v>Chimaeriformes</x:v>
      </x:c>
      <x:c r="F267" s="24" t="str">
        <x:v>Chimaeras</x:v>
      </x:c>
      <x:c r="G267" s="24" t="str">
        <x:v>Large rays (&gt;=90 cm)</x:v>
      </x:c>
      <x:c r="H267" s="24" t="str">
        <x:v>Sharks &amp; rays</x:v>
      </x:c>
      <x:c r="I267" s="31" t="n">
        <x:v>0.2505085488</x:v>
      </x:c>
      <x:c r="J267" s="31" t="n">
        <x:v>0.2505085488</x:v>
      </x:c>
      <x:c r="K267" s="31" t="n">
        <x:v>0</x:v>
      </x:c>
      <x:c r="L267" s="31" t="n">
        <x:v>0.2505085488</x:v>
      </x:c>
      <x:c r="M267" s="31" t="n">
        <x:v>0</x:v>
      </x:c>
      <x:c r="N267" s="24" t="str">
        <x:v>chimaeriformes</x:v>
      </x:c>
      <x:c r="O267" s="32" t="n">
        <x:v>3.37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Chimaeriformes</x:v>
      </x:c>
      <x:c r="T267" s="32" t="n">
        <x:f>IF(O267="","",(1/'Metadata'!$B$5)^(O267-1))</x:f>
        <x:v>234.42288153199226</x:v>
      </x:c>
      <x:c r="U267" s="31" t="n">
        <x:f>IF(T267="","",I267*T267)</x:f>
        <x:v>58.7249358580937</x:v>
      </x:c>
    </x:row>
    <x:row r="268" ht="18" customHeight="1">
      <x:c r="A268" s="24" t="str">
        <x:v>EEZ_963</x:v>
      </x:c>
      <x:c r="B268" s="24" t="str">
        <x:v>Spain (Northwest)</x:v>
      </x:c>
      <x:c r="C268" s="24" t="str">
        <x:v>EEZ</x:v>
      </x:c>
      <x:c r="D268" s="30" t="n">
        <x:v>2019</x:v>
      </x:c>
      <x:c r="E268" s="24" t="str">
        <x:v>Stromateidae</x:v>
      </x:c>
      <x:c r="F268" s="24" t="str">
        <x:v>Butterfishes</x:v>
      </x:c>
      <x:c r="G268" s="24" t="str">
        <x:v>Small benthopelagics (&lt;30 cm)</x:v>
      </x:c>
      <x:c r="H268" s="24" t="str">
        <x:v>Perch-likes</x:v>
      </x:c>
      <x:c r="I268" s="31" t="n">
        <x:v>0.2493947271</x:v>
      </x:c>
      <x:c r="J268" s="31" t="n">
        <x:v>0.2493947271</x:v>
      </x:c>
      <x:c r="K268" s="31" t="n">
        <x:v>0</x:v>
      </x:c>
      <x:c r="L268" s="31" t="n">
        <x:v>0.2493947271</x:v>
      </x:c>
      <x:c r="M268" s="31" t="n">
        <x:v>0</x:v>
      </x:c>
      <x:c r="N268" s="24" t="str">
        <x:v>stromateidae</x:v>
      </x:c>
      <x:c r="O268" s="32" t="n">
        <x:v>3.62</x:v>
      </x:c>
      <x:c r="P268" s="24" t="str">
        <x:v>exact_sea_around_us</x:v>
      </x:c>
      <x:c r="Q268" s="32" t="str">
        <x:v>Sea Around Us exploited organisms</x:v>
      </x:c>
      <x:c r="R268" s="24" t="str">
        <x:v>high</x:v>
      </x:c>
      <x:c r="S268" s="24" t="str">
        <x:v>Stromateidae</x:v>
      </x:c>
      <x:c r="T268" s="32" t="n">
        <x:f>IF(O268="","",(1/'Metadata'!$B$5)^(O268-1))</x:f>
        <x:v>416.8693834703355</x:v>
      </x:c>
      <x:c r="U268" s="31" t="n">
        <x:f>IF(T268="","",I268*T268)</x:f>
        <x:v>103.96502612692957</x:v>
      </x:c>
    </x:row>
    <x:row r="269" ht="18" customHeight="1">
      <x:c r="A269" s="24" t="str">
        <x:v>EEZ_963</x:v>
      </x:c>
      <x:c r="B269" s="24" t="str">
        <x:v>Spain (Northwest)</x:v>
      </x:c>
      <x:c r="C269" s="24" t="str">
        <x:v>EEZ</x:v>
      </x:c>
      <x:c r="D269" s="30" t="n">
        <x:v>2019</x:v>
      </x:c>
      <x:c r="E269" s="24" t="str">
        <x:v>Lamnidae</x:v>
      </x:c>
      <x:c r="F269" s="24" t="str">
        <x:v>Mackerel/white sharks</x:v>
      </x:c>
      <x:c r="G269" s="24" t="str">
        <x:v>Large sharks (&gt;=90 cm)</x:v>
      </x:c>
      <x:c r="H269" s="24" t="str">
        <x:v>Sharks &amp; rays</x:v>
      </x:c>
      <x:c r="I269" s="31" t="n">
        <x:v>0.24832016329999998</x:v>
      </x:c>
      <x:c r="J269" s="31" t="n">
        <x:v>0.24832016329999998</x:v>
      </x:c>
      <x:c r="K269" s="31" t="n">
        <x:v>0</x:v>
      </x:c>
      <x:c r="L269" s="31" t="n">
        <x:v>0.24832016329999998</x:v>
      </x:c>
      <x:c r="M269" s="31" t="n">
        <x:v>0</x:v>
      </x:c>
      <x:c r="N269" s="24" t="str">
        <x:v>lamnidae</x:v>
      </x:c>
      <x:c r="O269" s="32" t="n">
        <x:v>4.5</x:v>
      </x:c>
      <x:c r="P269" s="24" t="str">
        <x:v>exact_sea_around_us</x:v>
      </x:c>
      <x:c r="Q269" s="32" t="str">
        <x:v>Sea Around Us exploited organisms</x:v>
      </x:c>
      <x:c r="R269" s="24" t="str">
        <x:v>high</x:v>
      </x:c>
      <x:c r="S269" s="24" t="str">
        <x:v>Lamnidae</x:v>
      </x:c>
      <x:c r="T269" s="32" t="n">
        <x:f>IF(O269="","",(1/'Metadata'!$B$5)^(O269-1))</x:f>
        <x:v>3162.2776601683795</x:v>
      </x:c>
      <x:c r="U269" s="31" t="n">
        <x:f>IF(T269="","",I269*T269)</x:f>
        <x:v>785.2573049729539</x:v>
      </x:c>
    </x:row>
    <x:row r="270" ht="18" customHeight="1">
      <x:c r="A270" s="24" t="str">
        <x:v>EEZ_963</x:v>
      </x:c>
      <x:c r="B270" s="24" t="str">
        <x:v>Spain (Northwest)</x:v>
      </x:c>
      <x:c r="C270" s="24" t="str">
        <x:v>EEZ</x:v>
      </x:c>
      <x:c r="D270" s="30" t="n">
        <x:v>2019</x:v>
      </x:c>
      <x:c r="E270" s="24" t="str">
        <x:v>Palaemon longirostris</x:v>
      </x:c>
      <x:c r="F270" s="24" t="str">
        <x:v>Delta prawn</x:v>
      </x:c>
      <x:c r="G270" s="24" t="str">
        <x:v>Shrimps</x:v>
      </x:c>
      <x:c r="H270" s="24" t="str">
        <x:v>Crustaceans</x:v>
      </x:c>
      <x:c r="I270" s="31" t="n">
        <x:v>0.2424908</x:v>
      </x:c>
      <x:c r="J270" s="31" t="n">
        <x:v>0.2424908</x:v>
      </x:c>
      <x:c r="K270" s="31" t="n">
        <x:v>0</x:v>
      </x:c>
      <x:c r="L270" s="31" t="n">
        <x:v>0.2424908</x:v>
      </x:c>
      <x:c r="M270" s="31" t="n">
        <x:v>0</x:v>
      </x:c>
      <x:c r="N270" s="24" t="str">
        <x:v>palaemon longirostris</x:v>
      </x:c>
      <x:c r="O270" s="32" t="n">
        <x:v>2.6</x:v>
      </x:c>
      <x:c r="P270" s="24" t="str">
        <x:v>exact_sea_around_us</x:v>
      </x:c>
      <x:c r="Q270" s="32" t="str">
        <x:v>Sea Around Us exploited organisms</x:v>
      </x:c>
      <x:c r="R270" s="24" t="str">
        <x:v>high</x:v>
      </x:c>
      <x:c r="S270" s="24" t="str">
        <x:v>Palaemon longirostris</x:v>
      </x:c>
      <x:c r="T270" s="32" t="n">
        <x:f>IF(O270="","",(1/'Metadata'!$B$5)^(O270-1))</x:f>
        <x:v>39.810717055349734</x:v>
      </x:c>
      <x:c r="U270" s="31" t="n">
        <x:f>IF(T270="","",I270*T270)</x:f>
        <x:v>9.653732627325402</x:v>
      </x:c>
    </x:row>
    <x:row r="271" ht="18" customHeight="1">
      <x:c r="A271" s="24" t="str">
        <x:v>EEZ_963</x:v>
      </x:c>
      <x:c r="B271" s="24" t="str">
        <x:v>Spain (Northwest)</x:v>
      </x:c>
      <x:c r="C271" s="24" t="str">
        <x:v>EEZ</x:v>
      </x:c>
      <x:c r="D271" s="30" t="n">
        <x:v>2019</x:v>
      </x:c>
      <x:c r="E271" s="24" t="str">
        <x:v>Dendrobranchiata</x:v>
      </x:c>
      <x:c r="F271" s="24" t="str">
        <x:v>Shrimps and prawns</x:v>
      </x:c>
      <x:c r="G271" s="24" t="str">
        <x:v>Shrimps</x:v>
      </x:c>
      <x:c r="H271" s="24" t="str">
        <x:v>Crustaceans</x:v>
      </x:c>
      <x:c r="I271" s="31" t="n">
        <x:v>0.23570651909999998</x:v>
      </x:c>
      <x:c r="J271" s="31" t="n">
        <x:v>0.23570651909999998</x:v>
      </x:c>
      <x:c r="K271" s="31" t="n">
        <x:v>0</x:v>
      </x:c>
      <x:c r="L271" s="31" t="n">
        <x:v>0.23570651909999998</x:v>
      </x:c>
      <x:c r="M271" s="31" t="n">
        <x:v>0</x:v>
      </x:c>
      <x:c r="N271" s="24" t="str">
        <x:v>dendrobranchiata</x:v>
      </x:c>
      <x:c r="O271" s="32" t="n">
        <x:v>3.24</x:v>
      </x:c>
      <x:c r="P271" s="24" t="str">
        <x:v>exact_sea_around_us</x:v>
      </x:c>
      <x:c r="Q271" s="32" t="str">
        <x:v>Sea Around Us exploited organisms</x:v>
      </x:c>
      <x:c r="R271" s="24" t="str">
        <x:v>high</x:v>
      </x:c>
      <x:c r="S271" s="24" t="str">
        <x:v>Dendrobranchiata</x:v>
      </x:c>
      <x:c r="T271" s="32" t="n">
        <x:f>IF(O271="","",(1/'Metadata'!$B$5)^(O271-1))</x:f>
        <x:v>173.78008287493762</x:v>
      </x:c>
      <x:c r="U271" s="31" t="n">
        <x:f>IF(T271="","",I271*T271)</x:f>
        <x:v>40.961098423361065</x:v>
      </x:c>
    </x:row>
    <x:row r="272" ht="18" customHeight="1">
      <x:c r="A272" s="24" t="str">
        <x:v>EEZ_963</x:v>
      </x:c>
      <x:c r="B272" s="24" t="str">
        <x:v>Spain (Northwest)</x:v>
      </x:c>
      <x:c r="C272" s="24" t="str">
        <x:v>EEZ</x:v>
      </x:c>
      <x:c r="D272" s="30" t="n">
        <x:v>2019</x:v>
      </x:c>
      <x:c r="E272" s="24" t="str">
        <x:v>Echinoidea</x:v>
      </x:c>
      <x:c r="F272" s="24" t="str">
        <x:v>Sea urchins, sea hedgehogs</x:v>
      </x:c>
      <x:c r="G272" s="24" t="str">
        <x:v>Other demersal invertebrates</x:v>
      </x:c>
      <x:c r="H272" s="24" t="str">
        <x:v>Other fishes &amp; inverts</x:v>
      </x:c>
      <x:c r="I272" s="31" t="n">
        <x:v>0.2201598252</x:v>
      </x:c>
      <x:c r="J272" s="31" t="n">
        <x:v>0.2201598252</x:v>
      </x:c>
      <x:c r="K272" s="31" t="n">
        <x:v>0</x:v>
      </x:c>
      <x:c r="L272" s="31" t="n">
        <x:v>0.2201598252</x:v>
      </x:c>
      <x:c r="M272" s="31" t="n">
        <x:v>0</x:v>
      </x:c>
      <x:c r="N272" s="24" t="str">
        <x:v>echinoidea</x:v>
      </x:c>
      <x:c r="O272" s="32" t="n">
        <x:v>2.51</x:v>
      </x:c>
      <x:c r="P272" s="24" t="str">
        <x:v>exact_sea_around_us</x:v>
      </x:c>
      <x:c r="Q272" s="32" t="str">
        <x:v>Sea Around Us exploited organisms</x:v>
      </x:c>
      <x:c r="R272" s="24" t="str">
        <x:v>high</x:v>
      </x:c>
      <x:c r="S272" s="24" t="str">
        <x:v>Echinoidea</x:v>
      </x:c>
      <x:c r="T272" s="32" t="n">
        <x:f>IF(O272="","",(1/'Metadata'!$B$5)^(O272-1))</x:f>
        <x:v>32.35936569296281</x:v>
      </x:c>
      <x:c r="U272" s="31" t="n">
        <x:f>IF(T272="","",I272*T272)</x:f>
        <x:v>7.124232294545569</x:v>
      </x:c>
    </x:row>
    <x:row r="273" ht="18" customHeight="1">
      <x:c r="A273" s="24" t="str">
        <x:v>EEZ_963</x:v>
      </x:c>
      <x:c r="B273" s="24" t="str">
        <x:v>Spain (Northwest)</x:v>
      </x:c>
      <x:c r="C273" s="24" t="str">
        <x:v>EEZ</x:v>
      </x:c>
      <x:c r="D273" s="30" t="n">
        <x:v>2019</x:v>
      </x:c>
      <x:c r="E273" s="24" t="str">
        <x:v>Sciaena umbra</x:v>
      </x:c>
      <x:c r="F273" s="24" t="str">
        <x:v>Brown meagre</x:v>
      </x:c>
      <x:c r="G273" s="24" t="str">
        <x:v>Medium demersals (30 - 89 cm)</x:v>
      </x:c>
      <x:c r="H273" s="24" t="str">
        <x:v>Perch-likes</x:v>
      </x:c>
      <x:c r="I273" s="31" t="n">
        <x:v>0.2162211061</x:v>
      </x:c>
      <x:c r="J273" s="31" t="n">
        <x:v>0.2162211061</x:v>
      </x:c>
      <x:c r="K273" s="31" t="n">
        <x:v>0</x:v>
      </x:c>
      <x:c r="L273" s="31" t="n">
        <x:v>0.2162211061</x:v>
      </x:c>
      <x:c r="M273" s="31" t="n">
        <x:v>0</x:v>
      </x:c>
      <x:c r="N273" s="24" t="str">
        <x:v>sciaena umbra</x:v>
      </x:c>
      <x:c r="O273" s="32" t="n">
        <x:v>3.75</x:v>
      </x:c>
      <x:c r="P273" s="24" t="str">
        <x:v>exact_2020_supplement</x:v>
      </x:c>
      <x:c r="Q273" s="32" t="str">
        <x:v>2020 supplement MeanTL</x:v>
      </x:c>
      <x:c r="R273" s="24" t="str">
        <x:v>high</x:v>
      </x:c>
      <x:c r="S273" s="24" t="str">
        <x:v>Sciaena umbra</x:v>
      </x:c>
      <x:c r="T273" s="32" t="n">
        <x:f>IF(O273="","",(1/'Metadata'!$B$5)^(O273-1))</x:f>
        <x:v>562.341325190349</x:v>
      </x:c>
      <x:c r="U273" s="31" t="n">
        <x:f>IF(T273="","",I273*T273)</x:f>
        <x:v>121.59006333839706</x:v>
      </x:c>
    </x:row>
    <x:row r="274" ht="18" customHeight="1">
      <x:c r="A274" s="24" t="str">
        <x:v>EEZ_963</x:v>
      </x:c>
      <x:c r="B274" s="24" t="str">
        <x:v>Spain (Northwest)</x:v>
      </x:c>
      <x:c r="C274" s="24" t="str">
        <x:v>EEZ</x:v>
      </x:c>
      <x:c r="D274" s="30" t="n">
        <x:v>2019</x:v>
      </x:c>
      <x:c r="E274" s="24" t="str">
        <x:v>Scyllarus arctus</x:v>
      </x:c>
      <x:c r="F274" s="24" t="str">
        <x:v>Small European locust lobster</x:v>
      </x:c>
      <x:c r="G274" s="24" t="str">
        <x:v>Lobsters, crabs</x:v>
      </x:c>
      <x:c r="H274" s="24" t="str">
        <x:v>Crustaceans</x:v>
      </x:c>
      <x:c r="I274" s="31" t="n">
        <x:v>0.1878153088</x:v>
      </x:c>
      <x:c r="J274" s="31" t="n">
        <x:v>0.1878153088</x:v>
      </x:c>
      <x:c r="K274" s="31" t="n">
        <x:v>0</x:v>
      </x:c>
      <x:c r="L274" s="31" t="n">
        <x:v>0</x:v>
      </x:c>
      <x:c r="M274" s="31" t="n">
        <x:v>0.1878153088</x:v>
      </x:c>
      <x:c r="N274" s="24" t="str">
        <x:v>scyllarus arctus</x:v>
      </x:c>
      <x:c r="O274" s="32" t="n">
        <x:v>2.87</x:v>
      </x:c>
      <x:c r="P274" s="24" t="str">
        <x:v>exact_sea_around_us</x:v>
      </x:c>
      <x:c r="Q274" s="32" t="str">
        <x:v>Sea Around Us exploited organisms</x:v>
      </x:c>
      <x:c r="R274" s="24" t="str">
        <x:v>high</x:v>
      </x:c>
      <x:c r="S274" s="24" t="str">
        <x:v>Scyllarus arctus</x:v>
      </x:c>
      <x:c r="T274" s="32" t="n">
        <x:f>IF(O274="","",(1/'Metadata'!$B$5)^(O274-1))</x:f>
        <x:v>74.13102413009177</x:v>
      </x:c>
      <x:c r="U274" s="31" t="n">
        <x:f>IF(T274="","",I274*T274)</x:f>
        <x:v>13.922941188653438</x:v>
      </x:c>
    </x:row>
    <x:row r="275" ht="18" customHeight="1">
      <x:c r="A275" s="24" t="str">
        <x:v>EEZ_963</x:v>
      </x:c>
      <x:c r="B275" s="24" t="str">
        <x:v>Spain (Northwest)</x:v>
      </x:c>
      <x:c r="C275" s="24" t="str">
        <x:v>EEZ</x:v>
      </x:c>
      <x:c r="D275" s="30" t="n">
        <x:v>2019</x:v>
      </x:c>
      <x:c r="E275" s="24" t="str">
        <x:v>Sepia orbignyana</x:v>
      </x:c>
      <x:c r="F275" s="24" t="str">
        <x:v>Pink cuttlefish</x:v>
      </x:c>
      <x:c r="G275" s="24" t="str">
        <x:v>Cephalopods</x:v>
      </x:c>
      <x:c r="H275" s="24" t="str">
        <x:v>Other fishes &amp; inverts</x:v>
      </x:c>
      <x:c r="I275" s="31" t="n">
        <x:v>0.15458168360000002</x:v>
      </x:c>
      <x:c r="J275" s="31" t="n">
        <x:v>0.15458168360000002</x:v>
      </x:c>
      <x:c r="K275" s="31" t="n">
        <x:v>0</x:v>
      </x:c>
      <x:c r="L275" s="31" t="n">
        <x:v>0.0003848673</x:v>
      </x:c>
      <x:c r="M275" s="31" t="n">
        <x:v>0.1541968163</x:v>
      </x:c>
      <x:c r="N275" s="24" t="str">
        <x:v>sepia orbignyana</x:v>
      </x:c>
      <x:c r="O275" s="32" t="n">
        <x:v>4.16</x:v>
      </x:c>
      <x:c r="P275" s="24" t="str">
        <x:v>exact_sea_around_us</x:v>
      </x:c>
      <x:c r="Q275" s="32" t="str">
        <x:v>Sea Around Us exploited organisms</x:v>
      </x:c>
      <x:c r="R275" s="24" t="str">
        <x:v>high</x:v>
      </x:c>
      <x:c r="S275" s="24" t="str">
        <x:v>Sepia orbignyana</x:v>
      </x:c>
      <x:c r="T275" s="32" t="n">
        <x:f>IF(O275="","",(1/'Metadata'!$B$5)^(O275-1))</x:f>
        <x:v>1445.439770745928</x:v>
      </x:c>
      <x:c r="U275" s="31" t="n">
        <x:f>IF(T275="","",I275*T275)</x:f>
        <x:v>223.4385133043036</x:v>
      </x:c>
    </x:row>
    <x:row r="276" ht="18" customHeight="1">
      <x:c r="A276" s="24" t="str">
        <x:v>EEZ_963</x:v>
      </x:c>
      <x:c r="B276" s="24" t="str">
        <x:v>Spain (Northwest)</x:v>
      </x:c>
      <x:c r="C276" s="24" t="str">
        <x:v>EEZ</x:v>
      </x:c>
      <x:c r="D276" s="30" t="n">
        <x:v>2019</x:v>
      </x:c>
      <x:c r="E276" s="24" t="str">
        <x:v>Holothuriidae</x:v>
      </x:c>
      <x:c r="F276" s="24" t="str">
        <x:v>Fleshy sea cucumbers</x:v>
      </x:c>
      <x:c r="G276" s="24" t="str">
        <x:v>Other demersal invertebrates</x:v>
      </x:c>
      <x:c r="H276" s="24" t="str">
        <x:v>Other fishes &amp; inverts</x:v>
      </x:c>
      <x:c r="I276" s="31" t="n">
        <x:v>0.1538858092</x:v>
      </x:c>
      <x:c r="J276" s="31" t="n">
        <x:v>0.1538858092</x:v>
      </x:c>
      <x:c r="K276" s="31" t="n">
        <x:v>0</x:v>
      </x:c>
      <x:c r="L276" s="31" t="n">
        <x:v>0.1538858092</x:v>
      </x:c>
      <x:c r="M276" s="31" t="n">
        <x:v>0</x:v>
      </x:c>
      <x:c r="N276" s="24" t="str">
        <x:v>holothuriidae</x:v>
      </x:c>
      <x:c r="O276" s="32" t="n">
        <x:v>2</x:v>
      </x:c>
      <x:c r="P276" s="24" t="str">
        <x:v>exact_sea_around_us</x:v>
      </x:c>
      <x:c r="Q276" s="32" t="str">
        <x:v>Sea Around Us exploited organisms</x:v>
      </x:c>
      <x:c r="R276" s="24" t="str">
        <x:v>high</x:v>
      </x:c>
      <x:c r="S276" s="24" t="str">
        <x:v>Holothuriidae</x:v>
      </x:c>
      <x:c r="T276" s="32" t="n">
        <x:f>IF(O276="","",(1/'Metadata'!$B$5)^(O276-1))</x:f>
        <x:v>10</x:v>
      </x:c>
      <x:c r="U276" s="31" t="n">
        <x:f>IF(T276="","",I276*T276)</x:f>
        <x:v>1.538858092</x:v>
      </x:c>
    </x:row>
    <x:row r="277" ht="18" customHeight="1">
      <x:c r="A277" s="24" t="str">
        <x:v>EEZ_963</x:v>
      </x:c>
      <x:c r="B277" s="24" t="str">
        <x:v>Spain (Northwest)</x:v>
      </x:c>
      <x:c r="C277" s="24" t="str">
        <x:v>EEZ</x:v>
      </x:c>
      <x:c r="D277" s="30" t="n">
        <x:v>2019</x:v>
      </x:c>
      <x:c r="E277" s="24" t="str">
        <x:v>Glycymeris glycymeris</x:v>
      </x:c>
      <x:c r="F277" s="24" t="str">
        <x:v>Dog cockle</x:v>
      </x:c>
      <x:c r="G277" s="24" t="str">
        <x:v>Other demersal invertebrates</x:v>
      </x:c>
      <x:c r="H277" s="24" t="str">
        <x:v>Molluscs</x:v>
      </x:c>
      <x:c r="I277" s="31" t="n">
        <x:v>0.1266654</x:v>
      </x:c>
      <x:c r="J277" s="31" t="n">
        <x:v>0.1266654</x:v>
      </x:c>
      <x:c r="K277" s="31" t="n">
        <x:v>0</x:v>
      </x:c>
      <x:c r="L277" s="31" t="n">
        <x:v>0.1266654</x:v>
      </x:c>
      <x:c r="M277" s="31" t="n">
        <x:v>0</x:v>
      </x:c>
      <x:c r="N277" s="24" t="str">
        <x:v>glycymeris glycymeris</x:v>
      </x:c>
      <x:c r="O277" s="32" t="n">
        <x:v>2</x:v>
      </x:c>
      <x:c r="P277" s="24" t="str">
        <x:v>exact_sea_around_us</x:v>
      </x:c>
      <x:c r="Q277" s="32" t="str">
        <x:v>Sea Around Us exploited organisms</x:v>
      </x:c>
      <x:c r="R277" s="24" t="str">
        <x:v>high</x:v>
      </x:c>
      <x:c r="S277" s="24" t="str">
        <x:v>Glycymeris glycymeris</x:v>
      </x:c>
      <x:c r="T277" s="32" t="n">
        <x:f>IF(O277="","",(1/'Metadata'!$B$5)^(O277-1))</x:f>
        <x:v>10</x:v>
      </x:c>
      <x:c r="U277" s="31" t="n">
        <x:f>IF(T277="","",I277*T277)</x:f>
        <x:v>1.2666540000000002</x:v>
      </x:c>
    </x:row>
    <x:row r="278" ht="18" customHeight="1">
      <x:c r="A278" s="24" t="str">
        <x:v>EEZ_963</x:v>
      </x:c>
      <x:c r="B278" s="24" t="str">
        <x:v>Spain (Northwest)</x:v>
      </x:c>
      <x:c r="C278" s="24" t="str">
        <x:v>EEZ</x:v>
      </x:c>
      <x:c r="D278" s="30" t="n">
        <x:v>2019</x:v>
      </x:c>
      <x:c r="E278" s="24" t="str">
        <x:v>Donax trunculus</x:v>
      </x:c>
      <x:c r="F278" s="24" t="str">
        <x:v>Truncate donax</x:v>
      </x:c>
      <x:c r="G278" s="24" t="str">
        <x:v>Other demersal invertebrates</x:v>
      </x:c>
      <x:c r="H278" s="24" t="str">
        <x:v>Molluscs</x:v>
      </x:c>
      <x:c r="I278" s="31" t="n">
        <x:v>0.123236646</x:v>
      </x:c>
      <x:c r="J278" s="31" t="n">
        <x:v>0.123236646</x:v>
      </x:c>
      <x:c r="K278" s="31" t="n">
        <x:v>0</x:v>
      </x:c>
      <x:c r="L278" s="31" t="n">
        <x:v>0</x:v>
      </x:c>
      <x:c r="M278" s="31" t="n">
        <x:v>0.123236646</x:v>
      </x:c>
      <x:c r="N278" s="24" t="str">
        <x:v>donax trunculus</x:v>
      </x:c>
      <x:c r="O278" s="32" t="n">
        <x:v>2</x:v>
      </x:c>
      <x:c r="P278" s="24" t="str">
        <x:v>exact_sea_around_us</x:v>
      </x:c>
      <x:c r="Q278" s="32" t="str">
        <x:v>Sea Around Us exploited organisms</x:v>
      </x:c>
      <x:c r="R278" s="24" t="str">
        <x:v>high</x:v>
      </x:c>
      <x:c r="S278" s="24" t="str">
        <x:v>Donax trunculus</x:v>
      </x:c>
      <x:c r="T278" s="32" t="n">
        <x:f>IF(O278="","",(1/'Metadata'!$B$5)^(O278-1))</x:f>
        <x:v>10</x:v>
      </x:c>
      <x:c r="U278" s="31" t="n">
        <x:f>IF(T278="","",I278*T278)</x:f>
        <x:v>1.2323664600000002</x:v>
      </x:c>
    </x:row>
    <x:row r="279" ht="18" customHeight="1">
      <x:c r="A279" s="24" t="str">
        <x:v>EEZ_963</x:v>
      </x:c>
      <x:c r="B279" s="24" t="str">
        <x:v>Spain (Northwest)</x:v>
      </x:c>
      <x:c r="C279" s="24" t="str">
        <x:v>EEZ</x:v>
      </x:c>
      <x:c r="D279" s="30" t="n">
        <x:v>2019</x:v>
      </x:c>
      <x:c r="E279" s="24" t="str">
        <x:v>Torpedo marmorata</x:v>
      </x:c>
      <x:c r="F279" s="24" t="str">
        <x:v>Marbled electric ray</x:v>
      </x:c>
      <x:c r="G279" s="24" t="str">
        <x:v>Large rays (&gt;=90 cm)</x:v>
      </x:c>
      <x:c r="H279" s="24" t="str">
        <x:v>Sharks &amp; rays</x:v>
      </x:c>
      <x:c r="I279" s="31" t="n">
        <x:v>0.1211098996</x:v>
      </x:c>
      <x:c r="J279" s="31" t="n">
        <x:v>0.1211098996</x:v>
      </x:c>
      <x:c r="K279" s="31" t="n">
        <x:v>0</x:v>
      </x:c>
      <x:c r="L279" s="31" t="n">
        <x:v>0.1211098996</x:v>
      </x:c>
      <x:c r="M279" s="31" t="n">
        <x:v>0</x:v>
      </x:c>
      <x:c r="N279" s="24" t="str">
        <x:v>torpedo marmorata</x:v>
      </x:c>
      <x:c r="O279" s="32" t="n">
        <x:v>4.5</x:v>
      </x:c>
      <x:c r="P279" s="24" t="str">
        <x:v>exact_2020_supplement</x:v>
      </x:c>
      <x:c r="Q279" s="32" t="str">
        <x:v>2020 supplement MeanTL</x:v>
      </x:c>
      <x:c r="R279" s="24" t="str">
        <x:v>high</x:v>
      </x:c>
      <x:c r="S279" s="24" t="str">
        <x:v>Torpedo marmorata</x:v>
      </x:c>
      <x:c r="T279" s="32" t="n">
        <x:f>IF(O279="","",(1/'Metadata'!$B$5)^(O279-1))</x:f>
        <x:v>3162.2776601683795</x:v>
      </x:c>
      <x:c r="U279" s="31" t="n">
        <x:f>IF(T279="","",I279*T279)</x:f>
        <x:v>382.9831299303154</x:v>
      </x:c>
    </x:row>
    <x:row r="280" ht="18" customHeight="1">
      <x:c r="A280" s="24" t="str">
        <x:v>EEZ_963</x:v>
      </x:c>
      <x:c r="B280" s="24" t="str">
        <x:v>Spain (Northwest)</x:v>
      </x:c>
      <x:c r="C280" s="24" t="str">
        <x:v>EEZ</x:v>
      </x:c>
      <x:c r="D280" s="30" t="n">
        <x:v>2019</x:v>
      </x:c>
      <x:c r="E280" s="24" t="str">
        <x:v>Euthynnus alletteratus</x:v>
      </x:c>
      <x:c r="F280" s="24" t="str">
        <x:v>Little tunny </x:v>
      </x:c>
      <x:c r="G280" s="24" t="str">
        <x:v>Large pelagics (&gt;=90 cm)</x:v>
      </x:c>
      <x:c r="H280" s="24" t="str">
        <x:v>Tuna &amp; billfishes</x:v>
      </x:c>
      <x:c r="I280" s="31" t="n">
        <x:v>0.1104475088</x:v>
      </x:c>
      <x:c r="J280" s="31" t="n">
        <x:v>0.1104475088</x:v>
      </x:c>
      <x:c r="K280" s="31" t="n">
        <x:v>0</x:v>
      </x:c>
      <x:c r="L280" s="31" t="n">
        <x:v>0.1104475088</x:v>
      </x:c>
      <x:c r="M280" s="31" t="n">
        <x:v>0</x:v>
      </x:c>
      <x:c r="N280" s="24" t="str">
        <x:v>euthynnus alletteratus</x:v>
      </x:c>
      <x:c r="O280" s="32" t="n">
        <x:v>4.49</x:v>
      </x:c>
      <x:c r="P280" s="24" t="str">
        <x:v>exact_2020_supplement</x:v>
      </x:c>
      <x:c r="Q280" s="32" t="str">
        <x:v>2020 supplement MeanTL</x:v>
      </x:c>
      <x:c r="R280" s="24" t="str">
        <x:v>high</x:v>
      </x:c>
      <x:c r="S280" s="24" t="str">
        <x:v>Euthynnus alletteratus</x:v>
      </x:c>
      <x:c r="T280" s="32" t="n">
        <x:f>IF(O280="","",(1/'Metadata'!$B$5)^(O280-1))</x:f>
        <x:v>3090.295432513592</x:v>
      </x:c>
      <x:c r="U280" s="31" t="n">
        <x:f>IF(T280="","",I280*T280)</x:f>
        <x:v>341.3154319771447</x:v>
      </x:c>
    </x:row>
    <x:row r="281" ht="18" customHeight="1">
      <x:c r="A281" s="24" t="str">
        <x:v>EEZ_963</x:v>
      </x:c>
      <x:c r="B281" s="24" t="str">
        <x:v>Spain (Northwest)</x:v>
      </x:c>
      <x:c r="C281" s="24" t="str">
        <x:v>EEZ</x:v>
      </x:c>
      <x:c r="D281" s="30" t="n">
        <x:v>2019</x:v>
      </x:c>
      <x:c r="E281" s="24" t="str">
        <x:v>Microchirus variegatus</x:v>
      </x:c>
      <x:c r="F281" s="24" t="str">
        <x:v>Thickback sole</x:v>
      </x:c>
      <x:c r="G281" s="24" t="str">
        <x:v>Small to medium flatfishes (&lt;90 cm)</x:v>
      </x:c>
      <x:c r="H281" s="24" t="str">
        <x:v>Flatfishes</x:v>
      </x:c>
      <x:c r="I281" s="31" t="n">
        <x:v>0.1102428</x:v>
      </x:c>
      <x:c r="J281" s="31" t="n">
        <x:v>0.1102428</x:v>
      </x:c>
      <x:c r="K281" s="31" t="n">
        <x:v>0</x:v>
      </x:c>
      <x:c r="L281" s="31" t="n">
        <x:v>0.1102428</x:v>
      </x:c>
      <x:c r="M281" s="31" t="n">
        <x:v>0</x:v>
      </x:c>
      <x:c r="N281" s="24" t="str">
        <x:v>microchirus variegatus</x:v>
      </x:c>
      <x:c r="O281" s="32" t="n">
        <x:v>3.28</x:v>
      </x:c>
      <x:c r="P281" s="24" t="str">
        <x:v>exact_2020_supplement</x:v>
      </x:c>
      <x:c r="Q281" s="32" t="str">
        <x:v>2020 supplement MeanTL</x:v>
      </x:c>
      <x:c r="R281" s="24" t="str">
        <x:v>high</x:v>
      </x:c>
      <x:c r="S281" s="24" t="str">
        <x:v>Microchirus variegatus</x:v>
      </x:c>
      <x:c r="T281" s="32" t="n">
        <x:f>IF(O281="","",(1/'Metadata'!$B$5)^(O281-1))</x:f>
        <x:v>190.54607179632464</x:v>
      </x:c>
      <x:c r="U281" s="31" t="n">
        <x:f>IF(T281="","",I281*T281)</x:f>
        <x:v>21.00633248382786</x:v>
      </x:c>
    </x:row>
    <x:row r="282" ht="18" customHeight="1">
      <x:c r="A282" s="24" t="str">
        <x:v>EEZ_963</x:v>
      </x:c>
      <x:c r="B282" s="24" t="str">
        <x:v>Spain (Northwest)</x:v>
      </x:c>
      <x:c r="C282" s="24" t="str">
        <x:v>EEZ</x:v>
      </x:c>
      <x:c r="D282" s="30" t="n">
        <x:v>2019</x:v>
      </x:c>
      <x:c r="E282" s="24" t="str">
        <x:v>Aequipecten opercularis</x:v>
      </x:c>
      <x:c r="F282" s="24" t="str">
        <x:v>Queen scallop</x:v>
      </x:c>
      <x:c r="G282" s="24" t="str">
        <x:v>Other demersal invertebrates</x:v>
      </x:c>
      <x:c r="H282" s="24" t="str">
        <x:v>Molluscs</x:v>
      </x:c>
      <x:c r="I282" s="31" t="n">
        <x:v>0.0845791</x:v>
      </x:c>
      <x:c r="J282" s="31" t="n">
        <x:v>0.0845791</x:v>
      </x:c>
      <x:c r="K282" s="31" t="n">
        <x:v>0</x:v>
      </x:c>
      <x:c r="L282" s="31" t="n">
        <x:v>0.0845791</x:v>
      </x:c>
      <x:c r="M282" s="31" t="n">
        <x:v>0</x:v>
      </x:c>
      <x:c r="N282" s="24" t="str">
        <x:v>aequipecten opercularis</x:v>
      </x:c>
      <x:c r="O282" s="32" t="n">
        <x:v>2</x:v>
      </x:c>
      <x:c r="P282" s="24" t="str">
        <x:v>exact_2020_supplement</x:v>
      </x:c>
      <x:c r="Q282" s="32" t="str">
        <x:v>2020 supplement MeanTL</x:v>
      </x:c>
      <x:c r="R282" s="24" t="str">
        <x:v>high</x:v>
      </x:c>
      <x:c r="S282" s="24" t="str">
        <x:v>Aequipecten opercularis</x:v>
      </x:c>
      <x:c r="T282" s="32" t="n">
        <x:f>IF(O282="","",(1/'Metadata'!$B$5)^(O282-1))</x:f>
        <x:v>10</x:v>
      </x:c>
      <x:c r="U282" s="31" t="n">
        <x:f>IF(T282="","",I282*T282)</x:f>
        <x:v>0.8457910000000001</x:v>
      </x:c>
    </x:row>
    <x:row r="283" ht="18" customHeight="1">
      <x:c r="A283" s="24" t="str">
        <x:v>EEZ_963</x:v>
      </x:c>
      <x:c r="B283" s="24" t="str">
        <x:v>Spain (Northwest)</x:v>
      </x:c>
      <x:c r="C283" s="24" t="str">
        <x:v>EEZ</x:v>
      </x:c>
      <x:c r="D283" s="30" t="n">
        <x:v>2019</x:v>
      </x:c>
      <x:c r="E283" s="24" t="str">
        <x:v>Salmo trutta</x:v>
      </x:c>
      <x:c r="F283" s="24" t="str">
        <x:v>Sea trout</x:v>
      </x:c>
      <x:c r="G283" s="24" t="str">
        <x:v>Large pelagics (&gt;=90 cm)</x:v>
      </x:c>
      <x:c r="H283" s="24" t="str">
        <x:v>Salmon, smelts, etc</x:v>
      </x:c>
      <x:c r="I283" s="31" t="n">
        <x:v>0.0805954</x:v>
      </x:c>
      <x:c r="J283" s="31" t="n">
        <x:v>0.0805954</x:v>
      </x:c>
      <x:c r="K283" s="31" t="n">
        <x:v>0</x:v>
      </x:c>
      <x:c r="L283" s="31" t="n">
        <x:v>0.0805954</x:v>
      </x:c>
      <x:c r="M283" s="31" t="n">
        <x:v>0</x:v>
      </x:c>
      <x:c r="N283" s="24" t="str">
        <x:v>salmo trutta</x:v>
      </x:c>
      <x:c r="O283" s="32" t="n">
        <x:v>3.36</x:v>
      </x:c>
      <x:c r="P283" s="24" t="str">
        <x:v>exact_2020_supplement</x:v>
      </x:c>
      <x:c r="Q283" s="32" t="str">
        <x:v>2020 supplement MeanTL</x:v>
      </x:c>
      <x:c r="R283" s="24" t="str">
        <x:v>high</x:v>
      </x:c>
      <x:c r="S283" s="24" t="str">
        <x:v>Salmo trutta</x:v>
      </x:c>
      <x:c r="T283" s="32" t="n">
        <x:f>IF(O283="","",(1/'Metadata'!$B$5)^(O283-1))</x:f>
        <x:v>229.08676527677724</x:v>
      </x:c>
      <x:c r="U283" s="31" t="n">
        <x:f>IF(T283="","",I283*T283)</x:f>
        <x:v>18.463339482187973</x:v>
      </x:c>
    </x:row>
    <x:row r="284" ht="18" customHeight="1">
      <x:c r="A284" s="24" t="str">
        <x:v>EEZ_963</x:v>
      </x:c>
      <x:c r="B284" s="24" t="str">
        <x:v>Spain (Northwest)</x:v>
      </x:c>
      <x:c r="C284" s="24" t="str">
        <x:v>EEZ</x:v>
      </x:c>
      <x:c r="D284" s="30" t="n">
        <x:v>2019</x:v>
      </x:c>
      <x:c r="E284" s="24" t="str">
        <x:v>Lepidorhombus boscii</x:v>
      </x:c>
      <x:c r="F284" s="24" t="str">
        <x:v>Four-spot megrim</x:v>
      </x:c>
      <x:c r="G284" s="24" t="str">
        <x:v>Small to medium flatfishes (&lt;90 cm)</x:v>
      </x:c>
      <x:c r="H284" s="24" t="str">
        <x:v>Flatfishes</x:v>
      </x:c>
      <x:c r="I284" s="31" t="n">
        <x:v>0.063</x:v>
      </x:c>
      <x:c r="J284" s="31" t="n">
        <x:v>0.063</x:v>
      </x:c>
      <x:c r="K284" s="31" t="n">
        <x:v>0</x:v>
      </x:c>
      <x:c r="L284" s="31" t="n">
        <x:v>0.063</x:v>
      </x:c>
      <x:c r="M284" s="31" t="n">
        <x:v>0</x:v>
      </x:c>
      <x:c r="N284" s="24" t="str">
        <x:v>lepidorhombus boscii</x:v>
      </x:c>
      <x:c r="O284" s="32" t="n">
        <x:v>3.74</x:v>
      </x:c>
      <x:c r="P284" s="24" t="str">
        <x:v>exact_2020_supplement</x:v>
      </x:c>
      <x:c r="Q284" s="32" t="str">
        <x:v>2020 supplement MeanTL</x:v>
      </x:c>
      <x:c r="R284" s="24" t="str">
        <x:v>high</x:v>
      </x:c>
      <x:c r="S284" s="24" t="str">
        <x:v>Lepidorhombus boscii</x:v>
      </x:c>
      <x:c r="T284" s="32" t="n">
        <x:f>IF(O284="","",(1/'Metadata'!$B$5)^(O284-1))</x:f>
        <x:v>549.5408738576248</x:v>
      </x:c>
      <x:c r="U284" s="31" t="n">
        <x:f>IF(T284="","",I284*T284)</x:f>
        <x:v>34.62107505303036</x:v>
      </x:c>
    </x:row>
    <x:row r="285" ht="18" customHeight="1">
      <x:c r="A285" s="24" t="str">
        <x:v>EEZ_963</x:v>
      </x:c>
      <x:c r="B285" s="24" t="str">
        <x:v>Spain (Northwest)</x:v>
      </x:c>
      <x:c r="C285" s="24" t="str">
        <x:v>EEZ</x:v>
      </x:c>
      <x:c r="D285" s="30" t="n">
        <x:v>2019</x:v>
      </x:c>
      <x:c r="E285" s="24" t="str">
        <x:v>Kajikia albida</x:v>
      </x:c>
      <x:c r="F285" s="24" t="str">
        <x:v>Atlantic white marlin</x:v>
      </x:c>
      <x:c r="G285" s="24" t="str">
        <x:v>Large pelagics (&gt;=90 cm)</x:v>
      </x:c>
      <x:c r="H285" s="24" t="str">
        <x:v>Tuna &amp; billfishes</x:v>
      </x:c>
      <x:c r="I285" s="31" t="n">
        <x:v>0.0605733615</x:v>
      </x:c>
      <x:c r="J285" s="31" t="n">
        <x:v>0.0605733615</x:v>
      </x:c>
      <x:c r="K285" s="31" t="n">
        <x:v>0</x:v>
      </x:c>
      <x:c r="L285" s="31" t="n">
        <x:v>0.0605733615</x:v>
      </x:c>
      <x:c r="M285" s="31" t="n">
        <x:v>0</x:v>
      </x:c>
      <x:c r="N285" s="24" t="str">
        <x:v>kajikia albida</x:v>
      </x:c>
      <x:c r="O285" s="32" t="n">
        <x:v>4.49</x:v>
      </x:c>
      <x:c r="P285" s="24" t="str">
        <x:v>exact_2020_supplement</x:v>
      </x:c>
      <x:c r="Q285" s="32" t="str">
        <x:v>2020 supplement MeanTL</x:v>
      </x:c>
      <x:c r="R285" s="24" t="str">
        <x:v>high</x:v>
      </x:c>
      <x:c r="S285" s="24" t="str">
        <x:v>Kajikia albida</x:v>
      </x:c>
      <x:c r="T285" s="32" t="n">
        <x:f>IF(O285="","",(1/'Metadata'!$B$5)^(O285-1))</x:f>
        <x:v>3090.295432513592</x:v>
      </x:c>
      <x:c r="U285" s="31" t="n">
        <x:f>IF(T285="","",I285*T285)</x:f>
        <x:v>187.18958237544467</x:v>
      </x:c>
    </x:row>
    <x:row r="286" ht="18" customHeight="1">
      <x:c r="A286" s="24" t="str">
        <x:v>EEZ_963</x:v>
      </x:c>
      <x:c r="B286" s="24" t="str">
        <x:v>Spain (Northwest)</x:v>
      </x:c>
      <x:c r="C286" s="24" t="str">
        <x:v>EEZ</x:v>
      </x:c>
      <x:c r="D286" s="30" t="n">
        <x:v>2019</x:v>
      </x:c>
      <x:c r="E286" s="24" t="str">
        <x:v>Lampris guttatus</x:v>
      </x:c>
      <x:c r="F286" s="24" t="str">
        <x:v>Opah</x:v>
      </x:c>
      <x:c r="G286" s="24" t="str">
        <x:v>Large bathypelagics (&gt;=90 cm)</x:v>
      </x:c>
      <x:c r="H286" s="24" t="str">
        <x:v>Other fishes &amp; inverts</x:v>
      </x:c>
      <x:c r="I286" s="31" t="n">
        <x:v>0.0590123064</x:v>
      </x:c>
      <x:c r="J286" s="31" t="n">
        <x:v>0.0590123064</x:v>
      </x:c>
      <x:c r="K286" s="31" t="n">
        <x:v>0</x:v>
      </x:c>
      <x:c r="L286" s="31" t="n">
        <x:v>0.0590123064</x:v>
      </x:c>
      <x:c r="M286" s="31" t="n">
        <x:v>0</x:v>
      </x:c>
      <x:c r="N286" s="24" t="str">
        <x:v>lampris guttatus</x:v>
      </x:c>
      <x:c r="O286" s="32" t="n">
        <x:v>4.22</x:v>
      </x:c>
      <x:c r="P286" s="24" t="str">
        <x:v>exact_2020_supplement</x:v>
      </x:c>
      <x:c r="Q286" s="32" t="str">
        <x:v>2020 supplement MeanTL</x:v>
      </x:c>
      <x:c r="R286" s="24" t="str">
        <x:v>high</x:v>
      </x:c>
      <x:c r="S286" s="24" t="str">
        <x:v>Lampris guttatus</x:v>
      </x:c>
      <x:c r="T286" s="32" t="n">
        <x:f>IF(O286="","",(1/'Metadata'!$B$5)^(O286-1))</x:f>
        <x:v>1659.5869074375596</x:v>
      </x:c>
      <x:c r="U286" s="31" t="n">
        <x:f>IF(T286="","",I286*T286)</x:f>
        <x:v>97.9360510791337</x:v>
      </x:c>
    </x:row>
    <x:row r="287" ht="18" customHeight="1">
      <x:c r="A287" s="24" t="str">
        <x:v>EEZ_963</x:v>
      </x:c>
      <x:c r="B287" s="24" t="str">
        <x:v>Spain (Northwest)</x:v>
      </x:c>
      <x:c r="C287" s="24" t="str">
        <x:v>EEZ</x:v>
      </x:c>
      <x:c r="D287" s="30" t="n">
        <x:v>2019</x:v>
      </x:c>
      <x:c r="E287" s="24" t="str">
        <x:v>Dasyatis pastinaca</x:v>
      </x:c>
      <x:c r="F287" s="24" t="str">
        <x:v>Common stingray</x:v>
      </x:c>
      <x:c r="G287" s="24" t="str">
        <x:v>Large rays (&gt;=90 cm)</x:v>
      </x:c>
      <x:c r="H287" s="24" t="str">
        <x:v>Sharks &amp; rays</x:v>
      </x:c>
      <x:c r="I287" s="31" t="n">
        <x:v>0.0488613004</x:v>
      </x:c>
      <x:c r="J287" s="31" t="n">
        <x:v>0.0488613004</x:v>
      </x:c>
      <x:c r="K287" s="31" t="n">
        <x:v>0</x:v>
      </x:c>
      <x:c r="L287" s="31" t="n">
        <x:v>0.0488613004</x:v>
      </x:c>
      <x:c r="M287" s="31" t="n">
        <x:v>0</x:v>
      </x:c>
      <x:c r="N287" s="24" t="str">
        <x:v>dasyatis pastinaca</x:v>
      </x:c>
      <x:c r="O287" s="32" t="n">
        <x:v>4.05</x:v>
      </x:c>
      <x:c r="P287" s="24" t="str">
        <x:v>exact_2020_supplement</x:v>
      </x:c>
      <x:c r="Q287" s="32" t="str">
        <x:v>2020 supplement MeanTL</x:v>
      </x:c>
      <x:c r="R287" s="24" t="str">
        <x:v>high</x:v>
      </x:c>
      <x:c r="S287" s="24" t="str">
        <x:v>Dasyatis pastinaca</x:v>
      </x:c>
      <x:c r="T287" s="32" t="n">
        <x:f>IF(O287="","",(1/'Metadata'!$B$5)^(O287-1))</x:f>
        <x:v>1122.018454301963</x:v>
      </x:c>
      <x:c r="U287" s="31" t="n">
        <x:f>IF(T287="","",I287*T287)</x:f>
        <x:v>54.82328074999189</x:v>
      </x:c>
    </x:row>
    <x:row r="288" ht="18" customHeight="1">
      <x:c r="A288" s="24" t="str">
        <x:v>EEZ_963</x:v>
      </x:c>
      <x:c r="B288" s="24" t="str">
        <x:v>Spain (Northwest)</x:v>
      </x:c>
      <x:c r="C288" s="24" t="str">
        <x:v>EEZ</x:v>
      </x:c>
      <x:c r="D288" s="30" t="n">
        <x:v>2019</x:v>
      </x:c>
      <x:c r="E288" s="24" t="str">
        <x:v>Sprattus sprattus</x:v>
      </x:c>
      <x:c r="F288" s="24" t="str">
        <x:v>European sprat</x:v>
      </x:c>
      <x:c r="G288" s="24" t="str">
        <x:v>Small pelagics (&lt;30 cm)</x:v>
      </x:c>
      <x:c r="H288" s="24" t="str">
        <x:v>Herring-likes</x:v>
      </x:c>
      <x:c r="I288" s="31" t="n">
        <x:v>0.0482965325</x:v>
      </x:c>
      <x:c r="J288" s="31" t="n">
        <x:v>0.0482965325</x:v>
      </x:c>
      <x:c r="K288" s="31" t="n">
        <x:v>0</x:v>
      </x:c>
      <x:c r="L288" s="31" t="n">
        <x:v>0.0482965325</x:v>
      </x:c>
      <x:c r="M288" s="31" t="n">
        <x:v>0</x:v>
      </x:c>
      <x:c r="N288" s="24" t="str">
        <x:v>sprattus sprattus</x:v>
      </x:c>
      <x:c r="O288" s="32" t="n">
        <x:v>3.01</x:v>
      </x:c>
      <x:c r="P288" s="24" t="str">
        <x:v>exact_2020_supplement</x:v>
      </x:c>
      <x:c r="Q288" s="32" t="str">
        <x:v>2020 supplement MeanTL</x:v>
      </x:c>
      <x:c r="R288" s="24" t="str">
        <x:v>high</x:v>
      </x:c>
      <x:c r="S288" s="24" t="str">
        <x:v>Sprattus sprattus</x:v>
      </x:c>
      <x:c r="T288" s="32" t="n">
        <x:f>IF(O288="","",(1/'Metadata'!$B$5)^(O288-1))</x:f>
        <x:v>102.32929922807536</x:v>
      </x:c>
      <x:c r="U288" s="31" t="n">
        <x:f>IF(T288="","",I288*T288)</x:f>
        <x:v>4.9421503258709665</x:v>
      </x:c>
    </x:row>
    <x:row r="289" ht="18" customHeight="1">
      <x:c r="A289" s="24" t="str">
        <x:v>EEZ_963</x:v>
      </x:c>
      <x:c r="B289" s="24" t="str">
        <x:v>Spain (Northwest)</x:v>
      </x:c>
      <x:c r="C289" s="24" t="str">
        <x:v>EEZ</x:v>
      </x:c>
      <x:c r="D289" s="30" t="n">
        <x:v>2019</x:v>
      </x:c>
      <x:c r="E289" s="24" t="str">
        <x:v>Limanda limanda</x:v>
      </x:c>
      <x:c r="F289" s="24" t="str">
        <x:v>Common dab</x:v>
      </x:c>
      <x:c r="G289" s="24" t="str">
        <x:v>Small to medium flatfishes (&lt;90 cm)</x:v>
      </x:c>
      <x:c r="H289" s="24" t="str">
        <x:v>Flatfishes</x:v>
      </x:c>
      <x:c r="I289" s="31" t="n">
        <x:v>0.0412462</x:v>
      </x:c>
      <x:c r="J289" s="31" t="n">
        <x:v>0.0412462</x:v>
      </x:c>
      <x:c r="K289" s="31" t="n">
        <x:v>0</x:v>
      </x:c>
      <x:c r="L289" s="31" t="n">
        <x:v>0.0412462</x:v>
      </x:c>
      <x:c r="M289" s="31" t="n">
        <x:v>0</x:v>
      </x:c>
      <x:c r="N289" s="24" t="str">
        <x:v>limanda limanda</x:v>
      </x:c>
      <x:c r="O289" s="32" t="n">
        <x:v>3.29</x:v>
      </x:c>
      <x:c r="P289" s="24" t="str">
        <x:v>exact_2020_supplement</x:v>
      </x:c>
      <x:c r="Q289" s="32" t="str">
        <x:v>2020 supplement MeanTL</x:v>
      </x:c>
      <x:c r="R289" s="24" t="str">
        <x:v>high</x:v>
      </x:c>
      <x:c r="S289" s="24" t="str">
        <x:v>Limanda limanda</x:v>
      </x:c>
      <x:c r="T289" s="32" t="n">
        <x:f>IF(O289="","",(1/'Metadata'!$B$5)^(O289-1))</x:f>
        <x:v>194.98445997580455</x:v>
      </x:c>
      <x:c r="U289" s="31" t="n">
        <x:f>IF(T289="","",I289*T289)</x:f>
        <x:v>8.042368033054029</x:v>
      </x:c>
    </x:row>
    <x:row r="290" ht="18" customHeight="1">
      <x:c r="A290" s="24" t="str">
        <x:v>EEZ_963</x:v>
      </x:c>
      <x:c r="B290" s="24" t="str">
        <x:v>Spain (Northwest)</x:v>
      </x:c>
      <x:c r="C290" s="24" t="str">
        <x:v>EEZ</x:v>
      </x:c>
      <x:c r="D290" s="30" t="n">
        <x:v>2019</x:v>
      </x:c>
      <x:c r="E290" s="24" t="str">
        <x:v>Tetrapturus pfluegeri</x:v>
      </x:c>
      <x:c r="F290" s="24" t="str">
        <x:v>Longbill spearfish</x:v>
      </x:c>
      <x:c r="G290" s="24" t="str">
        <x:v>Large pelagics (&gt;=90 cm)</x:v>
      </x:c>
      <x:c r="H290" s="24" t="str">
        <x:v>Tuna &amp; billfishes</x:v>
      </x:c>
      <x:c r="I290" s="31" t="n">
        <x:v>0.0325799736</x:v>
      </x:c>
      <x:c r="J290" s="31" t="n">
        <x:v>0.0325799736</x:v>
      </x:c>
      <x:c r="K290" s="31" t="n">
        <x:v>0</x:v>
      </x:c>
      <x:c r="L290" s="31" t="n">
        <x:v>0.0325799736</x:v>
      </x:c>
      <x:c r="M290" s="31" t="n">
        <x:v>0</x:v>
      </x:c>
      <x:c r="N290" s="24" t="str">
        <x:v>tetrapturus pfluegeri</x:v>
      </x:c>
      <x:c r="O290" s="32" t="n">
        <x:v>4.4</x:v>
      </x:c>
      <x:c r="P290" s="24" t="str">
        <x:v>exact_2020_supplement</x:v>
      </x:c>
      <x:c r="Q290" s="32" t="str">
        <x:v>2020 supplement MeanTL</x:v>
      </x:c>
      <x:c r="R290" s="24" t="str">
        <x:v>high</x:v>
      </x:c>
      <x:c r="S290" s="24" t="str">
        <x:v>Tetrapturus pfluegeri</x:v>
      </x:c>
      <x:c r="T290" s="32" t="n">
        <x:f>IF(O290="","",(1/'Metadata'!$B$5)^(O290-1))</x:f>
        <x:v>2511.886431509582</x:v>
      </x:c>
      <x:c r="U290" s="31" t="n">
        <x:f>IF(T290="","",I290*T290)</x:f>
        <x:v>81.83719362478038</x:v>
      </x:c>
    </x:row>
    <x:row r="291" ht="18" customHeight="1">
      <x:c r="A291" s="24" t="str">
        <x:v>EEZ_963</x:v>
      </x:c>
      <x:c r="B291" s="24" t="str">
        <x:v>Spain (Northwest)</x:v>
      </x:c>
      <x:c r="C291" s="24" t="str">
        <x:v>EEZ</x:v>
      </x:c>
      <x:c r="D291" s="30" t="n">
        <x:v>2019</x:v>
      </x:c>
      <x:c r="E291" s="24" t="str">
        <x:v>Osmerus eperlanus</x:v>
      </x:c>
      <x:c r="F291" s="24" t="str">
        <x:v>European smelt</x:v>
      </x:c>
      <x:c r="G291" s="24" t="str">
        <x:v>Medium pelagics (30 - 89 cm)</x:v>
      </x:c>
      <x:c r="H291" s="24" t="str">
        <x:v>Salmon, smelts, etc</x:v>
      </x:c>
      <x:c r="I291" s="31" t="n">
        <x:v>0.0320864</x:v>
      </x:c>
      <x:c r="J291" s="31" t="n">
        <x:v>0.0320864</x:v>
      </x:c>
      <x:c r="K291" s="31" t="n">
        <x:v>0</x:v>
      </x:c>
      <x:c r="L291" s="31" t="n">
        <x:v>0.0320864</x:v>
      </x:c>
      <x:c r="M291" s="31" t="n">
        <x:v>0</x:v>
      </x:c>
      <x:c r="N291" s="24" t="str">
        <x:v>osmerus eperlanus</x:v>
      </x:c>
      <x:c r="O291" s="32" t="n">
        <x:v>3.46</x:v>
      </x:c>
      <x:c r="P291" s="24" t="str">
        <x:v>exact_2020_supplement</x:v>
      </x:c>
      <x:c r="Q291" s="32" t="str">
        <x:v>2020 supplement MeanTL</x:v>
      </x:c>
      <x:c r="R291" s="24" t="str">
        <x:v>high</x:v>
      </x:c>
      <x:c r="S291" s="24" t="str">
        <x:v>Osmerus eperlanus</x:v>
      </x:c>
      <x:c r="T291" s="32" t="n">
        <x:f>IF(O291="","",(1/'Metadata'!$B$5)^(O291-1))</x:f>
        <x:v>288.40315031266056</x:v>
      </x:c>
      <x:c r="U291" s="31" t="n">
        <x:f>IF(T291="","",I291*T291)</x:f>
        <x:v>9.253818842192151</x:v>
      </x:c>
    </x:row>
    <x:row r="292" ht="18" customHeight="1">
      <x:c r="A292" s="24" t="str">
        <x:v>EEZ_963</x:v>
      </x:c>
      <x:c r="B292" s="24" t="str">
        <x:v>Spain (Northwest)</x:v>
      </x:c>
      <x:c r="C292" s="24" t="str">
        <x:v>EEZ</x:v>
      </x:c>
      <x:c r="D292" s="30" t="n">
        <x:v>2019</x:v>
      </x:c>
      <x:c r="E292" s="24" t="str">
        <x:v>Hydrolagus</x:v>
      </x:c>
      <x:c r="F292" s="24" t="str">
        <x:v>Ghostsharks</x:v>
      </x:c>
      <x:c r="G292" s="24" t="str">
        <x:v>Small to medium rays (&lt;90 cm)</x:v>
      </x:c>
      <x:c r="H292" s="24" t="str">
        <x:v>Sharks &amp; rays</x:v>
      </x:c>
      <x:c r="I292" s="31" t="n">
        <x:v>0.030127800000000003</x:v>
      </x:c>
      <x:c r="J292" s="31" t="n">
        <x:v>0.030127800000000003</x:v>
      </x:c>
      <x:c r="K292" s="31" t="n">
        <x:v>0</x:v>
      </x:c>
      <x:c r="L292" s="31" t="n">
        <x:v>0.030127800000000003</x:v>
      </x:c>
      <x:c r="M292" s="31" t="n">
        <x:v>0</x:v>
      </x:c>
      <x:c r="N292" s="24" t="str">
        <x:v>hydrolagus</x:v>
      </x:c>
      <x:c r="O292" s="32" t="n">
        <x:v>3.51</x:v>
      </x:c>
      <x:c r="P292" s="24" t="str">
        <x:v>exact_sea_around_us</x:v>
      </x:c>
      <x:c r="Q292" s="32" t="str">
        <x:v>Sea Around Us exploited organisms</x:v>
      </x:c>
      <x:c r="R292" s="24" t="str">
        <x:v>high</x:v>
      </x:c>
      <x:c r="S292" s="24" t="str">
        <x:v>Hydrolagus</x:v>
      </x:c>
      <x:c r="T292" s="32" t="n">
        <x:f>IF(O292="","",(1/'Metadata'!$B$5)^(O292-1))</x:f>
        <x:v>323.5936569296281</x:v>
      </x:c>
      <x:c r="U292" s="31" t="n">
        <x:f>IF(T292="","",I292*T292)</x:f>
        <x:v>9.74916497724445</x:v>
      </x:c>
    </x:row>
    <x:row r="293" ht="18" customHeight="1">
      <x:c r="A293" s="24" t="str">
        <x:v>EEZ_963</x:v>
      </x:c>
      <x:c r="B293" s="24" t="str">
        <x:v>Spain (Northwest)</x:v>
      </x:c>
      <x:c r="C293" s="24" t="str">
        <x:v>EEZ</x:v>
      </x:c>
      <x:c r="D293" s="30" t="n">
        <x:v>2019</x:v>
      </x:c>
      <x:c r="E293" s="24" t="str">
        <x:v>Palinurus mauritanicus</x:v>
      </x:c>
      <x:c r="F293" s="24" t="str">
        <x:v>Pink spiny lobster</x:v>
      </x:c>
      <x:c r="G293" s="24" t="str">
        <x:v>Lobsters, crabs</x:v>
      </x:c>
      <x:c r="H293" s="24" t="str">
        <x:v>Crustaceans</x:v>
      </x:c>
      <x:c r="I293" s="31" t="n">
        <x:v>0.0203792</x:v>
      </x:c>
      <x:c r="J293" s="31" t="n">
        <x:v>0.0203792</x:v>
      </x:c>
      <x:c r="K293" s="31" t="n">
        <x:v>0</x:v>
      </x:c>
      <x:c r="L293" s="31" t="n">
        <x:v>0.0203792</x:v>
      </x:c>
      <x:c r="M293" s="31" t="n">
        <x:v>0</x:v>
      </x:c>
      <x:c r="N293" s="24" t="str">
        <x:v>palinurus mauritanicus</x:v>
      </x:c>
      <x:c r="O293" s="32" t="n">
        <x:v>3.54</x:v>
      </x:c>
      <x:c r="P293" s="24" t="str">
        <x:v>exact_2020_supplement</x:v>
      </x:c>
      <x:c r="Q293" s="32" t="str">
        <x:v>2020 supplement MeanTL</x:v>
      </x:c>
      <x:c r="R293" s="24" t="str">
        <x:v>high</x:v>
      </x:c>
      <x:c r="S293" s="24" t="str">
        <x:v>Palinurus mauritanicus</x:v>
      </x:c>
      <x:c r="T293" s="32" t="n">
        <x:f>IF(O293="","",(1/'Metadata'!$B$5)^(O293-1))</x:f>
        <x:v>346.73685045253166</x:v>
      </x:c>
      <x:c r="U293" s="31" t="n">
        <x:f>IF(T293="","",I293*T293)</x:f>
        <x:v>7.066219622742233</x:v>
      </x:c>
    </x:row>
    <x:row r="294" ht="18" customHeight="1">
      <x:c r="A294" s="24" t="str">
        <x:v>EEZ_963</x:v>
      </x:c>
      <x:c r="B294" s="24" t="str">
        <x:v>Spain (Northwest)</x:v>
      </x:c>
      <x:c r="C294" s="24" t="str">
        <x:v>EEZ</x:v>
      </x:c>
      <x:c r="D294" s="30" t="n">
        <x:v>2019</x:v>
      </x:c>
      <x:c r="E294" s="24" t="str">
        <x:v>Todaropsis eblanae</x:v>
      </x:c>
      <x:c r="F294" s="24" t="str">
        <x:v>Lesser flying squid</x:v>
      </x:c>
      <x:c r="G294" s="24" t="str">
        <x:v>Cephalopods</x:v>
      </x:c>
      <x:c r="H294" s="24" t="str">
        <x:v>Other fishes &amp; inverts</x:v>
      </x:c>
      <x:c r="I294" s="31" t="n">
        <x:v>0.02</x:v>
      </x:c>
      <x:c r="J294" s="31" t="n">
        <x:v>0.02</x:v>
      </x:c>
      <x:c r="K294" s="31" t="n">
        <x:v>0</x:v>
      </x:c>
      <x:c r="L294" s="31" t="n">
        <x:v>0.02</x:v>
      </x:c>
      <x:c r="M294" s="31" t="n">
        <x:v>0</x:v>
      </x:c>
      <x:c r="N294" s="24" t="str">
        <x:v>todaropsis eblanae</x:v>
      </x:c>
      <x:c r="O294" s="32" t="n">
        <x:v>4.25</x:v>
      </x:c>
      <x:c r="P294" s="24" t="str">
        <x:v>exact_sea_around_us</x:v>
      </x:c>
      <x:c r="Q294" s="32" t="str">
        <x:v>Sea Around Us exploited organisms</x:v>
      </x:c>
      <x:c r="R294" s="24" t="str">
        <x:v>high</x:v>
      </x:c>
      <x:c r="S294" s="24" t="str">
        <x:v>Todaropsis eblanae</x:v>
      </x:c>
      <x:c r="T294" s="32" t="n">
        <x:f>IF(O294="","",(1/'Metadata'!$B$5)^(O294-1))</x:f>
        <x:v>1778.2794100389228</x:v>
      </x:c>
      <x:c r="U294" s="31" t="n">
        <x:f>IF(T294="","",I294*T294)</x:f>
        <x:v>35.56558820077846</x:v>
      </x:c>
    </x:row>
    <x:row r="295" ht="18" customHeight="1">
      <x:c r="A295" s="24" t="str">
        <x:v>EEZ_963</x:v>
      </x:c>
      <x:c r="B295" s="24" t="str">
        <x:v>Spain (Northwest)</x:v>
      </x:c>
      <x:c r="C295" s="24" t="str">
        <x:v>EEZ</x:v>
      </x:c>
      <x:c r="D295" s="30" t="n">
        <x:v>2019</x:v>
      </x:c>
      <x:c r="E295" s="24" t="str">
        <x:v>Istiophoridae</x:v>
      </x:c>
      <x:c r="F295" s="24" t="str">
        <x:v>Billfishes</x:v>
      </x:c>
      <x:c r="G295" s="24" t="str">
        <x:v>Large pelagics (&gt;=90 cm)</x:v>
      </x:c>
      <x:c r="H295" s="24" t="str">
        <x:v>Tuna &amp; billfishes</x:v>
      </x:c>
      <x:c r="I295" s="31" t="n">
        <x:v>0.0184719289</x:v>
      </x:c>
      <x:c r="J295" s="31" t="n">
        <x:v>0.0184719289</x:v>
      </x:c>
      <x:c r="K295" s="31" t="n">
        <x:v>0</x:v>
      </x:c>
      <x:c r="L295" s="31" t="n">
        <x:v>0.0184719289</x:v>
      </x:c>
      <x:c r="M295" s="31" t="n">
        <x:v>0</x:v>
      </x:c>
      <x:c r="N295" s="24" t="str">
        <x:v>istiophoridae</x:v>
      </x:c>
      <x:c r="O295" s="32" t="n">
        <x:v>4.48</x:v>
      </x:c>
      <x:c r="P295" s="24" t="str">
        <x:v>exact_sea_around_us</x:v>
      </x:c>
      <x:c r="Q295" s="32" t="str">
        <x:v>Sea Around Us exploited organisms</x:v>
      </x:c>
      <x:c r="R295" s="24" t="str">
        <x:v>high</x:v>
      </x:c>
      <x:c r="S295" s="24" t="str">
        <x:v>Istiophoridae</x:v>
      </x:c>
      <x:c r="T295" s="32" t="n">
        <x:f>IF(O295="","",(1/'Metadata'!$B$5)^(O295-1))</x:f>
        <x:v>3019.951720402019</x:v>
      </x:c>
      <x:c r="U295" s="31" t="n">
        <x:f>IF(T295="","",I295*T295)</x:f>
        <x:v>55.784333460698775</x:v>
      </x:c>
    </x:row>
    <x:row r="296" ht="18" customHeight="1">
      <x:c r="A296" s="24" t="str">
        <x:v>EEZ_963</x:v>
      </x:c>
      <x:c r="B296" s="24" t="str">
        <x:v>Spain (Northwest)</x:v>
      </x:c>
      <x:c r="C296" s="24" t="str">
        <x:v>EEZ</x:v>
      </x:c>
      <x:c r="D296" s="30" t="n">
        <x:v>2019</x:v>
      </x:c>
      <x:c r="E296" s="24" t="str">
        <x:v>Gobiidae</x:v>
      </x:c>
      <x:c r="F296" s="24" t="str">
        <x:v>Gobies</x:v>
      </x:c>
      <x:c r="G296" s="24" t="str">
        <x:v>Small reef assoc. fish (&lt;30 cm)</x:v>
      </x:c>
      <x:c r="H296" s="24" t="str">
        <x:v>Perch-likes</x:v>
      </x:c>
      <x:c r="I296" s="31" t="n">
        <x:v>0.0143088</x:v>
      </x:c>
      <x:c r="J296" s="31" t="n">
        <x:v>0.0143088</x:v>
      </x:c>
      <x:c r="K296" s="31" t="n">
        <x:v>0</x:v>
      </x:c>
      <x:c r="L296" s="31" t="n">
        <x:v>0.0143088</x:v>
      </x:c>
      <x:c r="M296" s="31" t="n">
        <x:v>0</x:v>
      </x:c>
      <x:c r="N296" s="24" t="str">
        <x:v>gobiidae</x:v>
      </x:c>
      <x:c r="O296" s="32" t="n">
        <x:v>3.11</x:v>
      </x:c>
      <x:c r="P296" s="24" t="str">
        <x:v>exact_sea_around_us</x:v>
      </x:c>
      <x:c r="Q296" s="32" t="str">
        <x:v>Sea Around Us exploited organisms</x:v>
      </x:c>
      <x:c r="R296" s="24" t="str">
        <x:v>high</x:v>
      </x:c>
      <x:c r="S296" s="24" t="str">
        <x:v>Gobiidae</x:v>
      </x:c>
      <x:c r="T296" s="32" t="n">
        <x:f>IF(O296="","",(1/'Metadata'!$B$5)^(O296-1))</x:f>
        <x:v>128.82495516931337</x:v>
      </x:c>
      <x:c r="U296" s="31" t="n">
        <x:f>IF(T296="","",I296*T296)</x:f>
        <x:v>1.843330518526671</x:v>
      </x:c>
    </x:row>
    <x:row r="297" ht="18" customHeight="1">
      <x:c r="A297" s="24" t="str">
        <x:v>EEZ_963</x:v>
      </x:c>
      <x:c r="B297" s="24" t="str">
        <x:v>Spain (Northwest)</x:v>
      </x:c>
      <x:c r="C297" s="24" t="str">
        <x:v>EEZ</x:v>
      </x:c>
      <x:c r="D297" s="30" t="n">
        <x:v>2019</x:v>
      </x:c>
      <x:c r="E297" s="24" t="str">
        <x:v>Capros aper</x:v>
      </x:c>
      <x:c r="F297" s="24" t="str">
        <x:v>Boarfish</x:v>
      </x:c>
      <x:c r="G297" s="24" t="str">
        <x:v>Small demersals (&lt;30 cm)</x:v>
      </x:c>
      <x:c r="H297" s="24" t="str">
        <x:v>Perch-likes</x:v>
      </x:c>
      <x:c r="I297" s="31" t="n">
        <x:v>0.0126542004</x:v>
      </x:c>
      <x:c r="J297" s="31" t="n">
        <x:v>0.0126542004</x:v>
      </x:c>
      <x:c r="K297" s="31" t="n">
        <x:v>0</x:v>
      </x:c>
      <x:c r="L297" s="31" t="n">
        <x:v>0.0126542004</x:v>
      </x:c>
      <x:c r="M297" s="31" t="n">
        <x:v>0</x:v>
      </x:c>
      <x:c r="N297" s="24" t="str">
        <x:v>capros aper</x:v>
      </x:c>
      <x:c r="O297" s="32" t="n">
        <x:v>3.14</x:v>
      </x:c>
      <x:c r="P297" s="24" t="str">
        <x:v>exact_2020_supplement</x:v>
      </x:c>
      <x:c r="Q297" s="32" t="str">
        <x:v>2020 supplement MeanTL</x:v>
      </x:c>
      <x:c r="R297" s="24" t="str">
        <x:v>high</x:v>
      </x:c>
      <x:c r="S297" s="24" t="str">
        <x:v>Capros aper</x:v>
      </x:c>
      <x:c r="T297" s="32" t="n">
        <x:f>IF(O297="","",(1/'Metadata'!$B$5)^(O297-1))</x:f>
        <x:v>138.03842646028852</x:v>
      </x:c>
      <x:c r="U297" s="31" t="n">
        <x:f>IF(T297="","",I297*T297)</x:f>
        <x:v>1.7467659113291534</x:v>
      </x:c>
    </x:row>
    <x:row r="298" ht="18" customHeight="1">
      <x:c r="A298" s="24" t="str">
        <x:v>EEZ_963</x:v>
      </x:c>
      <x:c r="B298" s="24" t="str">
        <x:v>Spain (Northwest)</x:v>
      </x:c>
      <x:c r="C298" s="24" t="str">
        <x:v>EEZ</x:v>
      </x:c>
      <x:c r="D298" s="30" t="n">
        <x:v>2019</x:v>
      </x:c>
      <x:c r="E298" s="24" t="str">
        <x:v>Myliobatis aquila</x:v>
      </x:c>
      <x:c r="F298" s="24" t="str">
        <x:v>Common eagle ray</x:v>
      </x:c>
      <x:c r="G298" s="24" t="str">
        <x:v>Large rays (&gt;=90 cm)</x:v>
      </x:c>
      <x:c r="H298" s="24" t="str">
        <x:v>Sharks &amp; rays</x:v>
      </x:c>
      <x:c r="I298" s="31" t="n">
        <x:v>0.0108942004</x:v>
      </x:c>
      <x:c r="J298" s="31" t="n">
        <x:v>0.0108942004</x:v>
      </x:c>
      <x:c r="K298" s="31" t="n">
        <x:v>0</x:v>
      </x:c>
      <x:c r="L298" s="31" t="n">
        <x:v>0.0108942004</x:v>
      </x:c>
      <x:c r="M298" s="31" t="n">
        <x:v>0</x:v>
      </x:c>
      <x:c r="N298" s="24" t="str">
        <x:v>myliobatis aquila</x:v>
      </x:c>
      <x:c r="O298" s="32" t="n">
        <x:v>3.61</x:v>
      </x:c>
      <x:c r="P298" s="24" t="str">
        <x:v>exact_2020_supplement</x:v>
      </x:c>
      <x:c r="Q298" s="32" t="str">
        <x:v>2020 supplement MeanTL</x:v>
      </x:c>
      <x:c r="R298" s="24" t="str">
        <x:v>high</x:v>
      </x:c>
      <x:c r="S298" s="24" t="str">
        <x:v>Myliobatis aquila</x:v>
      </x:c>
      <x:c r="T298" s="32" t="n">
        <x:f>IF(O298="","",(1/'Metadata'!$B$5)^(O298-1))</x:f>
        <x:v>407.3802778041126</x:v>
      </x:c>
      <x:c r="U298" s="31" t="n">
        <x:f>IF(T298="","",I298*T298)</x:f>
        <x:v>4.438082385405675</x:v>
      </x:c>
    </x:row>
    <x:row r="299" ht="18" customHeight="1">
      <x:c r="A299" s="24" t="str">
        <x:v>EEZ_963</x:v>
      </x:c>
      <x:c r="B299" s="24" t="str">
        <x:v>Spain (Northwest)</x:v>
      </x:c>
      <x:c r="C299" s="24" t="str">
        <x:v>EEZ</x:v>
      </x:c>
      <x:c r="D299" s="30" t="n">
        <x:v>2019</x:v>
      </x:c>
      <x:c r="E299" s="24" t="str">
        <x:v>Rostroraja alba</x:v>
      </x:c>
      <x:c r="F299" s="24" t="str">
        <x:v>White skate</x:v>
      </x:c>
      <x:c r="G299" s="24" t="str">
        <x:v>Large rays (&gt;=90 cm)</x:v>
      </x:c>
      <x:c r="H299" s="24" t="str">
        <x:v>Sharks &amp; rays</x:v>
      </x:c>
      <x:c r="I299" s="31" t="n">
        <x:v>0.0101126825</x:v>
      </x:c>
      <x:c r="J299" s="31" t="n">
        <x:v>0.0101126825</x:v>
      </x:c>
      <x:c r="K299" s="31" t="n">
        <x:v>0</x:v>
      </x:c>
      <x:c r="L299" s="31" t="n">
        <x:v>0.0101126825</x:v>
      </x:c>
      <x:c r="M299" s="31" t="n">
        <x:v>0</x:v>
      </x:c>
      <x:c r="N299" s="24" t="str">
        <x:v>rostroraja alba</x:v>
      </x:c>
      <x:c r="O299" s="32" t="n">
        <x:v>4.41</x:v>
      </x:c>
      <x:c r="P299" s="24" t="str">
        <x:v>exact_2020_supplement</x:v>
      </x:c>
      <x:c r="Q299" s="32" t="str">
        <x:v>2020 supplement MeanTL</x:v>
      </x:c>
      <x:c r="R299" s="24" t="str">
        <x:v>high</x:v>
      </x:c>
      <x:c r="S299" s="24" t="str">
        <x:v>Rostroraja alba</x:v>
      </x:c>
      <x:c r="T299" s="32" t="n">
        <x:f>IF(O299="","",(1/'Metadata'!$B$5)^(O299-1))</x:f>
        <x:v>2570.3957827688646</x:v>
      </x:c>
      <x:c r="U299" s="31" t="n">
        <x:f>IF(T299="","",I299*T299)</x:f>
        <x:v>25.993596450480496</x:v>
      </x:c>
    </x:row>
    <x:row r="300" ht="18" customHeight="1">
      <x:c r="A300" s="24" t="str">
        <x:v>EEZ_963</x:v>
      </x:c>
      <x:c r="B300" s="24" t="str">
        <x:v>Spain (Northwest)</x:v>
      </x:c>
      <x:c r="C300" s="24" t="str">
        <x:v>EEZ</x:v>
      </x:c>
      <x:c r="D300" s="30" t="n">
        <x:v>2019</x:v>
      </x:c>
      <x:c r="E300" s="24" t="str">
        <x:v>Anguilla</x:v>
      </x:c>
      <x:c r="F300" s="24" t="str">
        <x:v>Eels</x:v>
      </x:c>
      <x:c r="G300" s="24" t="str">
        <x:v>Large demersals (&gt;=90 cm)</x:v>
      </x:c>
      <x:c r="H300" s="24" t="str">
        <x:v>Other fishes &amp; inverts</x:v>
      </x:c>
      <x:c r="I300" s="31" t="n">
        <x:v>0.01</x:v>
      </x:c>
      <x:c r="J300" s="31" t="n">
        <x:v>0.01</x:v>
      </x:c>
      <x:c r="K300" s="31" t="n">
        <x:v>0</x:v>
      </x:c>
      <x:c r="L300" s="31" t="n">
        <x:v>0.01</x:v>
      </x:c>
      <x:c r="M300" s="31" t="n">
        <x:v>0</x:v>
      </x:c>
      <x:c r="N300" s="24" t="str">
        <x:v>anguilla</x:v>
      </x:c>
      <x:c r="O300" s="32" t="n">
        <x:v>3.63</x:v>
      </x:c>
      <x:c r="P300" s="24" t="str">
        <x:v>exact_sea_around_us</x:v>
      </x:c>
      <x:c r="Q300" s="32" t="str">
        <x:v>Sea Around Us exploited organisms</x:v>
      </x:c>
      <x:c r="R300" s="24" t="str">
        <x:v>high</x:v>
      </x:c>
      <x:c r="S300" s="24" t="str">
        <x:v>Anguilla</x:v>
      </x:c>
      <x:c r="T300" s="32" t="n">
        <x:f>IF(O300="","",(1/'Metadata'!$B$5)^(O300-1))</x:f>
        <x:v>426.57951880159254</x:v>
      </x:c>
      <x:c r="U300" s="31" t="n">
        <x:f>IF(T300="","",I300*T300)</x:f>
        <x:v>4.265795188015925</x:v>
      </x:c>
    </x:row>
    <x:row r="301" ht="18" customHeight="1">
      <x:c r="A301" s="24" t="str">
        <x:v>EEZ_963</x:v>
      </x:c>
      <x:c r="B301" s="24" t="str">
        <x:v>Spain (Northwest)</x:v>
      </x:c>
      <x:c r="C301" s="24" t="str">
        <x:v>EEZ</x:v>
      </x:c>
      <x:c r="D301" s="30" t="n">
        <x:v>2019</x:v>
      </x:c>
      <x:c r="E301" s="24" t="str">
        <x:v>Hoplostethus mediterraneus</x:v>
      </x:c>
      <x:c r="F301" s="24" t="str">
        <x:v>Mediterranean slimehead</x:v>
      </x:c>
      <x:c r="G301" s="24" t="str">
        <x:v>Medium benthopelagics (30 - 89 cm)</x:v>
      </x:c>
      <x:c r="H301" s="24" t="str">
        <x:v>Other fishes &amp; inverts</x:v>
      </x:c>
      <x:c r="I301" s="31" t="n">
        <x:v>0.01</x:v>
      </x:c>
      <x:c r="J301" s="31" t="n">
        <x:v>0.01</x:v>
      </x:c>
      <x:c r="K301" s="31" t="n">
        <x:v>0</x:v>
      </x:c>
      <x:c r="L301" s="31" t="n">
        <x:v>0.01</x:v>
      </x:c>
      <x:c r="M301" s="31" t="n">
        <x:v>0</x:v>
      </x:c>
      <x:c r="N301" s="24" t="str">
        <x:v>hoplostethus mediterraneus</x:v>
      </x:c>
      <x:c r="O301" s="32" t="n">
        <x:v>3.49</x:v>
      </x:c>
      <x:c r="P301" s="24" t="str">
        <x:v>exact_2020_supplement</x:v>
      </x:c>
      <x:c r="Q301" s="32" t="str">
        <x:v>2020 supplement MeanTL</x:v>
      </x:c>
      <x:c r="R301" s="24" t="str">
        <x:v>high</x:v>
      </x:c>
      <x:c r="S301" s="24" t="str">
        <x:v>Hoplostethus mediterraneus</x:v>
      </x:c>
      <x:c r="T301" s="32" t="n">
        <x:f>IF(O301="","",(1/'Metadata'!$B$5)^(O301-1))</x:f>
        <x:v>309.0295432513592</x:v>
      </x:c>
      <x:c r="U301" s="31" t="n">
        <x:f>IF(T301="","",I301*T301)</x:f>
        <x:v>3.0902954325135923</x:v>
      </x:c>
    </x:row>
    <x:row r="302" ht="18" customHeight="1">
      <x:c r="A302" s="24" t="str">
        <x:v>EEZ_963</x:v>
      </x:c>
      <x:c r="B302" s="24" t="str">
        <x:v>Spain (Northwest)</x:v>
      </x:c>
      <x:c r="C302" s="24" t="str">
        <x:v>EEZ</x:v>
      </x:c>
      <x:c r="D302" s="30" t="n">
        <x:v>2019</x:v>
      </x:c>
      <x:c r="E302" s="24" t="str">
        <x:v>Carcinus maenas</x:v>
      </x:c>
      <x:c r="F302" s="24" t="str">
        <x:v>Green crab</x:v>
      </x:c>
      <x:c r="G302" s="24" t="str">
        <x:v>Lobsters, crabs</x:v>
      </x:c>
      <x:c r="H302" s="24" t="str">
        <x:v>Crustaceans</x:v>
      </x:c>
      <x:c r="I302" s="31" t="n">
        <x:v>0.0098644</x:v>
      </x:c>
      <x:c r="J302" s="31" t="n">
        <x:v>0.0098644</x:v>
      </x:c>
      <x:c r="K302" s="31" t="n">
        <x:v>0</x:v>
      </x:c>
      <x:c r="L302" s="31" t="n">
        <x:v>0.0098644</x:v>
      </x:c>
      <x:c r="M302" s="31" t="n">
        <x:v>0</x:v>
      </x:c>
      <x:c r="N302" s="24" t="str">
        <x:v>carcinus maenas</x:v>
      </x:c>
      <x:c r="O302" s="32" t="n">
        <x:v>3.5</x:v>
      </x:c>
      <x:c r="P302" s="24" t="str">
        <x:v>exact_2020_supplement</x:v>
      </x:c>
      <x:c r="Q302" s="32" t="str">
        <x:v>2020 supplement MeanTL</x:v>
      </x:c>
      <x:c r="R302" s="24" t="str">
        <x:v>high</x:v>
      </x:c>
      <x:c r="S302" s="24" t="str">
        <x:v>Carcinus maenas</x:v>
      </x:c>
      <x:c r="T302" s="32" t="n">
        <x:f>IF(O302="","",(1/'Metadata'!$B$5)^(O302-1))</x:f>
        <x:v>316.22776601683796</x:v>
      </x:c>
      <x:c r="U302" s="31" t="n">
        <x:f>IF(T302="","",I302*T302)</x:f>
        <x:v>3.1193971750964966</x:v>
      </x:c>
    </x:row>
    <x:row r="303" ht="18" customHeight="1">
      <x:c r="A303" s="24" t="str">
        <x:v>EEZ_963</x:v>
      </x:c>
      <x:c r="B303" s="24" t="str">
        <x:v>Spain (Northwest)</x:v>
      </x:c>
      <x:c r="C303" s="24" t="str">
        <x:v>EEZ</x:v>
      </x:c>
      <x:c r="D303" s="30" t="n">
        <x:v>2019</x:v>
      </x:c>
      <x:c r="E303" s="24" t="str">
        <x:v>Epigonus telescopus</x:v>
      </x:c>
      <x:c r="F303" s="24" t="str">
        <x:v>Black cardinal fish</x:v>
      </x:c>
      <x:c r="G303" s="24" t="str">
        <x:v>Medium bathydemersals (30 - 89 cm)</x:v>
      </x:c>
      <x:c r="H303" s="24" t="str">
        <x:v>Perch-likes</x:v>
      </x:c>
      <x:c r="I303" s="31" t="n">
        <x:v>0.0086336874</x:v>
      </x:c>
      <x:c r="J303" s="31" t="n">
        <x:v>0.0086336874</x:v>
      </x:c>
      <x:c r="K303" s="31" t="n">
        <x:v>0</x:v>
      </x:c>
      <x:c r="L303" s="31" t="n">
        <x:v>0.0086336874</x:v>
      </x:c>
      <x:c r="M303" s="31" t="n">
        <x:v>0</x:v>
      </x:c>
      <x:c r="N303" s="24" t="str">
        <x:v>epigonus telescopus</x:v>
      </x:c>
      <x:c r="O303" s="32" t="n">
        <x:v>3.59</x:v>
      </x:c>
      <x:c r="P303" s="24" t="str">
        <x:v>exact_2020_supplement</x:v>
      </x:c>
      <x:c r="Q303" s="32" t="str">
        <x:v>2020 supplement MeanTL</x:v>
      </x:c>
      <x:c r="R303" s="24" t="str">
        <x:v>high</x:v>
      </x:c>
      <x:c r="S303" s="24" t="str">
        <x:v>Epigonus telescopus</x:v>
      </x:c>
      <x:c r="T303" s="32" t="n">
        <x:f>IF(O303="","",(1/'Metadata'!$B$5)^(O303-1))</x:f>
        <x:v>389.04514499428046</x:v>
      </x:c>
      <x:c r="U303" s="31" t="n">
        <x:f>IF(T303="","",I303*T303)</x:f>
        <x:v>3.358894166368292</x:v>
      </x:c>
    </x:row>
    <x:row r="304" ht="18" customHeight="1">
      <x:c r="A304" s="24" t="str">
        <x:v>EEZ_963</x:v>
      </x:c>
      <x:c r="B304" s="24" t="str">
        <x:v>Spain (Northwest)</x:v>
      </x:c>
      <x:c r="C304" s="24" t="str">
        <x:v>EEZ</x:v>
      </x:c>
      <x:c r="D304" s="30" t="n">
        <x:v>2019</x:v>
      </x:c>
      <x:c r="E304" s="24" t="str">
        <x:v>Diplodus cervinus</x:v>
      </x:c>
      <x:c r="F304" s="24" t="str">
        <x:v>Zebra seabream</x:v>
      </x:c>
      <x:c r="G304" s="24" t="str">
        <x:v>Medium benthopelagics (30 - 89 cm)</x:v>
      </x:c>
      <x:c r="H304" s="24" t="str">
        <x:v>Perch-likes</x:v>
      </x:c>
      <x:c r="I304" s="31" t="n">
        <x:v>0.004498599999999999</x:v>
      </x:c>
      <x:c r="J304" s="31" t="n">
        <x:v>0.004498599999999999</x:v>
      </x:c>
      <x:c r="K304" s="31" t="n">
        <x:v>0</x:v>
      </x:c>
      <x:c r="L304" s="31" t="n">
        <x:v>0.004498599999999999</x:v>
      </x:c>
      <x:c r="M304" s="31" t="n">
        <x:v>0</x:v>
      </x:c>
      <x:c r="N304" s="24" t="str">
        <x:v>diplodus cervinus</x:v>
      </x:c>
      <x:c r="O304" s="32" t="n">
        <x:v>2.99</x:v>
      </x:c>
      <x:c r="P304" s="24" t="str">
        <x:v>exact_2020_supplement</x:v>
      </x:c>
      <x:c r="Q304" s="32" t="str">
        <x:v>2020 supplement MeanTL</x:v>
      </x:c>
      <x:c r="R304" s="24" t="str">
        <x:v>high</x:v>
      </x:c>
      <x:c r="S304" s="24" t="str">
        <x:v>Diplodus cervinus</x:v>
      </x:c>
      <x:c r="T304" s="32" t="n">
        <x:f>IF(O304="","",(1/'Metadata'!$B$5)^(O304-1))</x:f>
        <x:v>97.72372209558111</x:v>
      </x:c>
      <x:c r="U304" s="31" t="n">
        <x:f>IF(T304="","",I304*T304)</x:f>
        <x:v>0.4396199362191811</x:v>
      </x:c>
    </x:row>
    <x:row r="305" ht="18" customHeight="1">
      <x:c r="A305" s="24" t="str">
        <x:v>EEZ_963</x:v>
      </x:c>
      <x:c r="B305" s="24" t="str">
        <x:v>Spain (Northwest)</x:v>
      </x:c>
      <x:c r="C305" s="24" t="str">
        <x:v>EEZ</x:v>
      </x:c>
      <x:c r="D305" s="30" t="n">
        <x:v>2019</x:v>
      </x:c>
      <x:c r="E305" s="24" t="str">
        <x:v>Cetorhinus maximus</x:v>
      </x:c>
      <x:c r="F305" s="24" t="str">
        <x:v>Basking shark</x:v>
      </x:c>
      <x:c r="G305" s="24" t="str">
        <x:v>Large sharks (&gt;=90 cm)</x:v>
      </x:c>
      <x:c r="H305" s="24" t="str">
        <x:v>Sharks &amp; rays</x:v>
      </x:c>
      <x:c r="I305" s="31" t="n">
        <x:v>0.0044214247</x:v>
      </x:c>
      <x:c r="J305" s="31" t="n">
        <x:v>0.0044214247</x:v>
      </x:c>
      <x:c r="K305" s="31" t="n">
        <x:v>0</x:v>
      </x:c>
      <x:c r="L305" s="31" t="n">
        <x:v>0.0044214247</x:v>
      </x:c>
      <x:c r="M305" s="31" t="n">
        <x:v>0</x:v>
      </x:c>
      <x:c r="N305" s="24" t="str">
        <x:v>cetorhinus maximus</x:v>
      </x:c>
      <x:c r="O305" s="32" t="n">
        <x:v>3.2</x:v>
      </x:c>
      <x:c r="P305" s="24" t="str">
        <x:v>exact_2020_supplement</x:v>
      </x:c>
      <x:c r="Q305" s="32" t="str">
        <x:v>2020 supplement MeanTL</x:v>
      </x:c>
      <x:c r="R305" s="24" t="str">
        <x:v>high</x:v>
      </x:c>
      <x:c r="S305" s="24" t="str">
        <x:v>Cetorhinus maximus</x:v>
      </x:c>
      <x:c r="T305" s="32" t="n">
        <x:f>IF(O305="","",(1/'Metadata'!$B$5)^(O305-1))</x:f>
        <x:v>158.48931924611142</x:v>
      </x:c>
      <x:c r="U305" s="31" t="n">
        <x:f>IF(T305="","",I305*T305)</x:f>
        <x:v>0.7007485908009424</x:v>
      </x:c>
    </x:row>
    <x:row r="306" ht="18" customHeight="1">
      <x:c r="A306" s="24" t="str">
        <x:v>EEZ_963</x:v>
      </x:c>
      <x:c r="B306" s="24" t="str">
        <x:v>Spain (Northwest)</x:v>
      </x:c>
      <x:c r="C306" s="24" t="str">
        <x:v>EEZ</x:v>
      </x:c>
      <x:c r="D306" s="30" t="n">
        <x:v>2019</x:v>
      </x:c>
      <x:c r="E306" s="24" t="str">
        <x:v>Gadiculus thori</x:v>
      </x:c>
      <x:c r="F306" s="24" t="str">
        <x:v>Silvery cod</x:v>
      </x:c>
      <x:c r="G306" s="24" t="str">
        <x:v>Small pelagics (&lt;30 cm)</x:v>
      </x:c>
      <x:c r="H306" s="24" t="str">
        <x:v>Cod-likes</x:v>
      </x:c>
      <x:c r="I306" s="31" t="n">
        <x:v>0.0036176103</x:v>
      </x:c>
      <x:c r="J306" s="31" t="n">
        <x:v>0.0036176103</x:v>
      </x:c>
      <x:c r="K306" s="31" t="n">
        <x:v>0</x:v>
      </x:c>
      <x:c r="L306" s="31" t="n">
        <x:v>0.0036176103</x:v>
      </x:c>
      <x:c r="M306" s="31" t="n">
        <x:v>0</x:v>
      </x:c>
      <x:c r="N306" s="24" t="str">
        <x:v>gadiculus thori</x:v>
      </x:c>
      <x:c r="O306" s="32" t="n">
        <x:v>3.51</x:v>
      </x:c>
      <x:c r="P306" s="24" t="str">
        <x:v>exact_2020_supplement</x:v>
      </x:c>
      <x:c r="Q306" s="32" t="str">
        <x:v>2020 supplement MeanTL</x:v>
      </x:c>
      <x:c r="R306" s="24" t="str">
        <x:v>high</x:v>
      </x:c>
      <x:c r="S306" s="24" t="str">
        <x:v>Gadiculus thori</x:v>
      </x:c>
      <x:c r="T306" s="32" t="n">
        <x:f>IF(O306="","",(1/'Metadata'!$B$5)^(O306-1))</x:f>
        <x:v>323.5936569296281</x:v>
      </x:c>
      <x:c r="U306" s="31" t="n">
        <x:f>IF(T306="","",I306*T306)</x:f>
        <x:v>1.1706357463232888</x:v>
      </x:c>
    </x:row>
    <x:row r="307" ht="18" customHeight="1">
      <x:c r="A307" s="24" t="str">
        <x:v>EEZ_963</x:v>
      </x:c>
      <x:c r="B307" s="24" t="str">
        <x:v>Spain (Northwest)</x:v>
      </x:c>
      <x:c r="C307" s="24" t="str">
        <x:v>EEZ</x:v>
      </x:c>
      <x:c r="D307" s="30" t="n">
        <x:v>2019</x:v>
      </x:c>
      <x:c r="E307" s="24" t="str">
        <x:v>Clupea harengus</x:v>
      </x:c>
      <x:c r="F307" s="24" t="str">
        <x:v>Atlantic herring</x:v>
      </x:c>
      <x:c r="G307" s="24" t="str">
        <x:v>Medium pelagics (30 - 89 cm)</x:v>
      </x:c>
      <x:c r="H307" s="24" t="str">
        <x:v>Herring-likes</x:v>
      </x:c>
      <x:c r="I307" s="31" t="n">
        <x:v>0.0021641365</x:v>
      </x:c>
      <x:c r="J307" s="31" t="n">
        <x:v>0.0021641365</x:v>
      </x:c>
      <x:c r="K307" s="31" t="n">
        <x:v>0</x:v>
      </x:c>
      <x:c r="L307" s="31" t="n">
        <x:v>0.0021641365</x:v>
      </x:c>
      <x:c r="M307" s="31" t="n">
        <x:v>0</x:v>
      </x:c>
      <x:c r="N307" s="24" t="str">
        <x:v>clupea harengus</x:v>
      </x:c>
      <x:c r="O307" s="32" t="n">
        <x:v>3.38</x:v>
      </x:c>
      <x:c r="P307" s="24" t="str">
        <x:v>exact_2020_supplement</x:v>
      </x:c>
      <x:c r="Q307" s="32" t="str">
        <x:v>2020 supplement MeanTL</x:v>
      </x:c>
      <x:c r="R307" s="24" t="str">
        <x:v>high</x:v>
      </x:c>
      <x:c r="S307" s="24" t="str">
        <x:v>Clupea harengus</x:v>
      </x:c>
      <x:c r="T307" s="32" t="n">
        <x:f>IF(O307="","",(1/'Metadata'!$B$5)^(O307-1))</x:f>
        <x:v>239.88329190194898</x:v>
      </x:c>
      <x:c r="U307" s="31" t="n">
        <x:f>IF(T307="","",I307*T307)</x:f>
        <x:v>0.5191401877451621</x:v>
      </x:c>
    </x:row>
    <x:row r="308" ht="18" customHeight="1">
      <x:c r="A308" s="24" t="str">
        <x:v>EEZ_963</x:v>
      </x:c>
      <x:c r="B308" s="24" t="str">
        <x:v>Spain (Northwest)</x:v>
      </x:c>
      <x:c r="C308" s="24" t="str">
        <x:v>EEZ</x:v>
      </x:c>
      <x:c r="D308" s="30" t="n">
        <x:v>2019</x:v>
      </x:c>
      <x:c r="E308" s="24" t="str">
        <x:v>Ruditapes philippinarum</x:v>
      </x:c>
      <x:c r="F308" s="24" t="str">
        <x:v>Japanese carpet shell</x:v>
      </x:c>
      <x:c r="G308" s="24" t="str">
        <x:v>Other demersal invertebrates</x:v>
      </x:c>
      <x:c r="H308" s="24" t="str">
        <x:v>Molluscs</x:v>
      </x:c>
      <x:c r="I308" s="31" t="n">
        <x:v>0.0018699001</x:v>
      </x:c>
      <x:c r="J308" s="31" t="n">
        <x:v>0.0018699001</x:v>
      </x:c>
      <x:c r="K308" s="31" t="n">
        <x:v>0</x:v>
      </x:c>
      <x:c r="L308" s="31" t="n">
        <x:v>0.0018699001</x:v>
      </x:c>
      <x:c r="M308" s="31" t="n">
        <x:v>0</x:v>
      </x:c>
      <x:c r="N308" s="24" t="str">
        <x:v>ruditapes philippinarum</x:v>
      </x:c>
      <x:c r="O308" s="32" t="n">
        <x:v>2</x:v>
      </x:c>
      <x:c r="P308" s="24" t="str">
        <x:v>exact_sea_around_us</x:v>
      </x:c>
      <x:c r="Q308" s="32" t="str">
        <x:v>Sea Around Us exploited organisms</x:v>
      </x:c>
      <x:c r="R308" s="24" t="str">
        <x:v>high</x:v>
      </x:c>
      <x:c r="S308" s="24" t="str">
        <x:v>Ruditapes philippinarum</x:v>
      </x:c>
      <x:c r="T308" s="32" t="n">
        <x:f>IF(O308="","",(1/'Metadata'!$B$5)^(O308-1))</x:f>
        <x:v>10</x:v>
      </x:c>
      <x:c r="U308" s="31" t="n">
        <x:f>IF(T308="","",I308*T308)</x:f>
        <x:v>0.018699001</x:v>
      </x:c>
    </x:row>
    <x:row r="309" ht="18" customHeight="1">
      <x:c r="A309" s="24" t="str">
        <x:v>EEZ_963</x:v>
      </x:c>
      <x:c r="B309" s="24" t="str">
        <x:v>Spain (Northwest)</x:v>
      </x:c>
      <x:c r="C309" s="24" t="str">
        <x:v>EEZ</x:v>
      </x:c>
      <x:c r="D309" s="30" t="n">
        <x:v>2019</x:v>
      </x:c>
      <x:c r="E309" s="24" t="str">
        <x:v>Etmopterus spinax</x:v>
      </x:c>
      <x:c r="F309" s="24" t="str">
        <x:v>Velvet belly</x:v>
      </x:c>
      <x:c r="G309" s="24" t="str">
        <x:v>Small to medium sharks (&lt;90 cm)</x:v>
      </x:c>
      <x:c r="H309" s="24" t="str">
        <x:v>Sharks &amp; rays</x:v>
      </x:c>
      <x:c r="I309" s="31" t="n">
        <x:v>0.0018698996</x:v>
      </x:c>
      <x:c r="J309" s="31" t="n">
        <x:v>0.0018698996</x:v>
      </x:c>
      <x:c r="K309" s="31" t="n">
        <x:v>0</x:v>
      </x:c>
      <x:c r="L309" s="31" t="n">
        <x:v>0.0018698996</x:v>
      </x:c>
      <x:c r="M309" s="31" t="n">
        <x:v>0</x:v>
      </x:c>
      <x:c r="N309" s="24" t="str">
        <x:v>etmopterus spinax</x:v>
      </x:c>
      <x:c r="O309" s="32" t="n">
        <x:v>4.14</x:v>
      </x:c>
      <x:c r="P309" s="24" t="str">
        <x:v>exact_2020_supplement</x:v>
      </x:c>
      <x:c r="Q309" s="32" t="str">
        <x:v>2020 supplement MeanTL</x:v>
      </x:c>
      <x:c r="R309" s="24" t="str">
        <x:v>high</x:v>
      </x:c>
      <x:c r="S309" s="24" t="str">
        <x:v>Etmopterus spinax</x:v>
      </x:c>
      <x:c r="T309" s="32" t="n">
        <x:f>IF(O309="","",(1/'Metadata'!$B$5)^(O309-1))</x:f>
        <x:v>1380.3842646028838</x:v>
      </x:c>
      <x:c r="U309" s="31" t="n">
        <x:f>IF(T309="","",I309*T309)</x:f>
        <x:v>2.5811799842272265</x:v>
      </x:c>
    </x:row>
    <x:row r="310" ht="18" customHeight="1">
      <x:c r="A310" s="24" t="str">
        <x:v>EEZ_963</x:v>
      </x:c>
      <x:c r="B310" s="24" t="str">
        <x:v>Spain (Northwest)</x:v>
      </x:c>
      <x:c r="C310" s="24" t="str">
        <x:v>EEZ</x:v>
      </x:c>
      <x:c r="D310" s="30" t="n">
        <x:v>2019</x:v>
      </x:c>
      <x:c r="E310" s="24" t="str">
        <x:v>Spisula ovalis</x:v>
      </x:c>
      <x:c r="F310" s="24" t="str">
        <x:v>Venus clam</x:v>
      </x:c>
      <x:c r="G310" s="24" t="str">
        <x:v>Other demersal invertebrates</x:v>
      </x:c>
      <x:c r="H310" s="24" t="str">
        <x:v>Molluscs</x:v>
      </x:c>
      <x:c r="I310" s="31" t="n">
        <x:v>0.001626</x:v>
      </x:c>
      <x:c r="J310" s="31" t="n">
        <x:v>0.001626</x:v>
      </x:c>
      <x:c r="K310" s="31" t="n">
        <x:v>0</x:v>
      </x:c>
      <x:c r="L310" s="31" t="n">
        <x:v>0.001626</x:v>
      </x:c>
      <x:c r="M310" s="31" t="n">
        <x:v>0</x:v>
      </x:c>
      <x:c r="N310" s="24" t="str">
        <x:v>spisula ovalis</x:v>
      </x:c>
      <x:c r="O310" s="32" t="n">
        <x:v>2</x:v>
      </x:c>
      <x:c r="P310" s="24" t="str">
        <x:v>exact_sea_around_us</x:v>
      </x:c>
      <x:c r="Q310" s="32" t="str">
        <x:v>Sea Around Us exploited organisms</x:v>
      </x:c>
      <x:c r="R310" s="24" t="str">
        <x:v>high</x:v>
      </x:c>
      <x:c r="S310" s="24" t="str">
        <x:v>Spisula ovalis</x:v>
      </x:c>
      <x:c r="T310" s="32" t="n">
        <x:f>IF(O310="","",(1/'Metadata'!$B$5)^(O310-1))</x:f>
        <x:v>10</x:v>
      </x:c>
      <x:c r="U310" s="31" t="n">
        <x:f>IF(T310="","",I310*T310)</x:f>
        <x:v>0.01626</x:v>
      </x:c>
    </x:row>
    <x:row r="311" ht="18" customHeight="1">
      <x:c r="A311" s="24" t="str">
        <x:v>EEZ_963</x:v>
      </x:c>
      <x:c r="B311" s="24" t="str">
        <x:v>Spain (Northwest)</x:v>
      </x:c>
      <x:c r="C311" s="24" t="str">
        <x:v>EEZ</x:v>
      </x:c>
      <x:c r="D311" s="30" t="n">
        <x:v>2019</x:v>
      </x:c>
      <x:c r="E311" s="24" t="str">
        <x:v>Palinuridae</x:v>
      </x:c>
      <x:c r="F311" s="24" t="str">
        <x:v>Spiny lobsters</x:v>
      </x:c>
      <x:c r="G311" s="24" t="str">
        <x:v>Lobsters, crabs</x:v>
      </x:c>
      <x:c r="H311" s="24" t="str">
        <x:v>Crustaceans</x:v>
      </x:c>
      <x:c r="I311" s="31" t="n">
        <x:v>0.001626</x:v>
      </x:c>
      <x:c r="J311" s="31" t="n">
        <x:v>0.001626</x:v>
      </x:c>
      <x:c r="K311" s="31" t="n">
        <x:v>0</x:v>
      </x:c>
      <x:c r="L311" s="31" t="n">
        <x:v>0.001626</x:v>
      </x:c>
      <x:c r="M311" s="31" t="n">
        <x:v>0</x:v>
      </x:c>
      <x:c r="N311" s="24" t="str">
        <x:v>palinuridae</x:v>
      </x:c>
      <x:c r="O311" s="32" t="n">
        <x:v>3.14</x:v>
      </x:c>
      <x:c r="P311" s="24" t="str">
        <x:v>exact_sea_around_us</x:v>
      </x:c>
      <x:c r="Q311" s="32" t="str">
        <x:v>Sea Around Us exploited organisms</x:v>
      </x:c>
      <x:c r="R311" s="24" t="str">
        <x:v>high</x:v>
      </x:c>
      <x:c r="S311" s="24" t="str">
        <x:v>Palinuridae</x:v>
      </x:c>
      <x:c r="T311" s="32" t="n">
        <x:f>IF(O311="","",(1/'Metadata'!$B$5)^(O311-1))</x:f>
        <x:v>138.03842646028852</x:v>
      </x:c>
      <x:c r="U311" s="31" t="n">
        <x:f>IF(T311="","",I311*T311)</x:f>
        <x:v>0.22445048142442914</x:v>
      </x:c>
    </x:row>
    <x:row r="312" ht="18" customHeight="1">
      <x:c r="A312" s="24" t="str">
        <x:v>EEZ_963</x:v>
      </x:c>
      <x:c r="B312" s="24" t="str">
        <x:v>Spain (Northwest)</x:v>
      </x:c>
      <x:c r="C312" s="24" t="str">
        <x:v>EEZ</x:v>
      </x:c>
      <x:c r="D312" s="30" t="n">
        <x:v>2019</x:v>
      </x:c>
      <x:c r="E312" s="24" t="str">
        <x:v>Alloteuthis subulata</x:v>
      </x:c>
      <x:c r="F312" s="24" t="str">
        <x:v>European common squid</x:v>
      </x:c>
      <x:c r="G312" s="24" t="str">
        <x:v>Cephalopods</x:v>
      </x:c>
      <x:c r="H312" s="24" t="str">
        <x:v>Other fishes &amp; inverts</x:v>
      </x:c>
      <x:c r="I312" s="31" t="n">
        <x:v>0.001626</x:v>
      </x:c>
      <x:c r="J312" s="31" t="n">
        <x:v>0.001626</x:v>
      </x:c>
      <x:c r="K312" s="31" t="n">
        <x:v>0</x:v>
      </x:c>
      <x:c r="L312" s="31" t="n">
        <x:v>0.001626</x:v>
      </x:c>
      <x:c r="M312" s="31" t="n">
        <x:v>0</x:v>
      </x:c>
      <x:c r="N312" s="24" t="str">
        <x:v>alloteuthis subulata</x:v>
      </x:c>
      <x:c r="O312" s="32" t="n">
        <x:v>4.5</x:v>
      </x:c>
      <x:c r="P312" s="24" t="str">
        <x:v>exact_sea_around_us</x:v>
      </x:c>
      <x:c r="Q312" s="32" t="str">
        <x:v>Sea Around Us exploited organisms</x:v>
      </x:c>
      <x:c r="R312" s="24" t="str">
        <x:v>high</x:v>
      </x:c>
      <x:c r="S312" s="24" t="str">
        <x:v>Alloteuthis subulata</x:v>
      </x:c>
      <x:c r="T312" s="32" t="n">
        <x:f>IF(O312="","",(1/'Metadata'!$B$5)^(O312-1))</x:f>
        <x:v>3162.2776601683795</x:v>
      </x:c>
      <x:c r="U312" s="31" t="n">
        <x:f>IF(T312="","",I312*T312)</x:f>
        <x:v>5.1418634754337855</x:v>
      </x:c>
    </x:row>
    <x:row r="313" ht="18" customHeight="1">
      <x:c r="A313" s="24" t="str">
        <x:v>EEZ_963</x:v>
      </x:c>
      <x:c r="B313" s="24" t="str">
        <x:v>Spain (Northwest)</x:v>
      </x:c>
      <x:c r="C313" s="24" t="str">
        <x:v>EEZ</x:v>
      </x:c>
      <x:c r="D313" s="30" t="n">
        <x:v>2019</x:v>
      </x:c>
      <x:c r="E313" s="24" t="str">
        <x:v>Malacostraca</x:v>
      </x:c>
      <x:c r="F313" s="24" t="str">
        <x:v>Lobsters, crabs, shrimps, krill</x:v>
      </x:c>
      <x:c r="G313" s="24" t="str">
        <x:v>Shrimps</x:v>
      </x:c>
      <x:c r="H313" s="24" t="str">
        <x:v>Crustaceans</x:v>
      </x:c>
      <x:c r="I313" s="31" t="n">
        <x:v>0.0000931657</x:v>
      </x:c>
      <x:c r="J313" s="31" t="n">
        <x:v>0.0000931657</x:v>
      </x:c>
      <x:c r="K313" s="31" t="n">
        <x:v>0</x:v>
      </x:c>
      <x:c r="L313" s="31" t="n">
        <x:v>0.0000931657</x:v>
      </x:c>
      <x:c r="M313" s="31" t="n">
        <x:v>0</x:v>
      </x:c>
      <x:c r="N313" s="24" t="str">
        <x:v>malacostraca</x:v>
      </x:c>
      <x:c r="O313" s="32" t="n">
        <x:v>3</x:v>
      </x:c>
      <x:c r="P313" s="24" t="str">
        <x:v>exact_sea_around_us</x:v>
      </x:c>
      <x:c r="Q313" s="32" t="str">
        <x:v>Sea Around Us exploited organisms</x:v>
      </x:c>
      <x:c r="R313" s="24" t="str">
        <x:v>high</x:v>
      </x:c>
      <x:c r="S313" s="24" t="str">
        <x:v>Malacostraca</x:v>
      </x:c>
      <x:c r="T313" s="32" t="n">
        <x:f>IF(O313="","",(1/'Metadata'!$B$5)^(O313-1))</x:f>
        <x:v>100</x:v>
      </x:c>
      <x:c r="U313" s="31" t="n">
        <x:f>IF(T313="","",I313*T313)</x:f>
        <x:v>0.00931657</x:v>
      </x:c>
    </x:row>
  </x:sheetData>
  <x:conditionalFormatting sqref="R2:R31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79eeb1865fc4ec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12442.0459115962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1602846.006775919</x:v>
      </x:c>
    </x:row>
    <x:row r="3" ht="18" customHeight="1">
      <x:c r="A3" s="24" t="str">
        <x:v>Cod-likes</x:v>
      </x:c>
      <x:c r="B3" s="31" t="n">
        <x:v>62407.6279853657</x:v>
      </x:c>
      <x:c r="C3" s="32" t="n">
        <x:v>4.333772830621041</x:v>
      </x:c>
      <x:c r="D3" s="32" t="n">
        <x:f>IF(C3="","",(1/'Metadata'!$B$5)^(C3-1))</x:f>
        <x:v>2156.6160381948002</x:v>
      </x:c>
      <x:c r="E3" s="31" t="n">
        <x:f>IF(B3=0,"",B3*D3)</x:f>
        <x:v>134589291.41893432</x:v>
      </x:c>
    </x:row>
    <x:row r="4" ht="18" customHeight="1">
      <x:c r="A4" s="24" t="str">
        <x:v>Crustaceans</x:v>
      </x:c>
      <x:c r="B4" s="31" t="n">
        <x:v>412.31370274359995</x:v>
      </x:c>
      <x:c r="C4" s="32" t="n">
        <x:v>2.928795602519935</x:v>
      </x:c>
      <x:c r="D4" s="32" t="n">
        <x:f>IF(C4="","",(1/'Metadata'!$B$5)^(C4-1))</x:f>
        <x:v>84.87809085714925</x:v>
      </x:c>
      <x:c r="E4" s="31" t="n">
        <x:f>IF(B4=0,"",B4*D4)</x:f>
        <x:v>34996.3999231189</x:v>
      </x:c>
    </x:row>
    <x:row r="5" ht="18" customHeight="1">
      <x:c r="A5" s="24" t="str">
        <x:v>Flatfishes</x:v>
      </x:c>
      <x:c r="B5" s="31" t="n">
        <x:v>2660.0517784703998</x:v>
      </x:c>
      <x:c r="C5" s="32" t="n">
        <x:v>3.9160556545960485</x:v>
      </x:c>
      <x:c r="D5" s="32" t="n">
        <x:f>IF(C5="","",(1/'Metadata'!$B$5)^(C5-1))</x:f>
        <x:v>824.2437346209783</x:v>
      </x:c>
      <x:c r="E5" s="31" t="n">
        <x:f>IF(B5=0,"",B5*D5)</x:f>
        <x:v>2192531.0121716177</x:v>
      </x:c>
    </x:row>
    <x:row r="6" ht="18" customHeight="1">
      <x:c r="A6" s="24" t="str">
        <x:v>Herring-likes</x:v>
      </x:c>
      <x:c r="B6" s="31" t="n">
        <x:v>8079.4288996141</x:v>
      </x:c>
      <x:c r="C6" s="32" t="n">
        <x:v>3.077152207027848</x:v>
      </x:c>
      <x:c r="D6" s="32" t="n">
        <x:f>IF(C6="","",(1/'Metadata'!$B$5)^(C6-1))</x:f>
        <x:v>119.44066343742233</x:v>
      </x:c>
      <x:c r="E6" s="31" t="n">
        <x:f>IF(B6=0,"",B6*D6)</x:f>
        <x:v>965012.3479653912</x:v>
      </x:c>
    </x:row>
    <x:row r="7" ht="18" customHeight="1">
      <x:c r="A7" s="24" t="str">
        <x:v>Molluscs</x:v>
      </x:c>
      <x:c r="B7" s="31" t="n">
        <x:v>566.8937692769</x:v>
      </x:c>
      <x:c r="C7" s="32" t="n">
        <x:v>2.06389673225753</x:v>
      </x:c>
      <x:c r="D7" s="32" t="n">
        <x:f>IF(C7="","",(1/'Metadata'!$B$5)^(C7-1))</x:f>
        <x:v>11.585018516284688</x:v>
      </x:c>
      <x:c r="E7" s="31" t="n">
        <x:f>IF(B7=0,"",B7*D7)</x:f>
        <x:v>6567.474813839306</x:v>
      </x:c>
    </x:row>
    <x:row r="8" ht="18" customHeight="1">
      <x:c r="A8" s="24" t="str">
        <x:v>Other fishes &amp; inverts</x:v>
      </x:c>
      <x:c r="B8" s="31" t="n">
        <x:v>42886.8511639813</x:v>
      </x:c>
      <x:c r="C8" s="32" t="n">
        <x:v>3.4939335002799514</x:v>
      </x:c>
      <x:c r="D8" s="32" t="n">
        <x:f>IF(C8="","",(1/'Metadata'!$B$5)^(C8-1))</x:f>
        <x:v>311.8412052339385</x:v>
      </x:c>
      <x:c r="E8" s="31" t="n">
        <x:f>IF(B8=0,"",B8*D8)</x:f>
        <x:v>13373887.355664467</x:v>
      </x:c>
    </x:row>
    <x:row r="9" ht="18" customHeight="1">
      <x:c r="A9" s="24" t="str">
        <x:v>Perch-likes</x:v>
      </x:c>
      <x:c r="B9" s="31" t="n">
        <x:v>55098.35376173869</x:v>
      </x:c>
      <x:c r="C9" s="32" t="n">
        <x:v>3.588520519425852</x:v>
      </x:c>
      <x:c r="D9" s="32" t="n">
        <x:f>IF(C9="","",(1/'Metadata'!$B$5)^(C9-1))</x:f>
        <x:v>387.7220670628703</x:v>
      </x:c>
      <x:c r="E9" s="31" t="n">
        <x:f>IF(B9=0,"",B9*D9)</x:f>
        <x:v>21362847.6122626</x:v>
      </x:c>
    </x:row>
    <x:row r="10" ht="18" customHeight="1">
      <x:c r="A10" s="24" t="str">
        <x:v>Salmon, smelts, etc</x:v>
      </x:c>
      <x:c r="B10" s="31" t="n">
        <x:v>625.1618504999</x:v>
      </x:c>
      <x:c r="C10" s="32" t="n">
        <x:v>4.176479989298119</x:v>
      </x:c>
      <x:c r="D10" s="32" t="n">
        <x:f>IF(C10="","",(1/'Metadata'!$B$5)^(C10-1))</x:f>
        <x:v>1501.3432277536133</x:v>
      </x:c>
      <x:c r="E10" s="31" t="n">
        <x:f>IF(B10=0,"",B10*D10)</x:f>
        <x:v>938582.5104979416</x:v>
      </x:c>
    </x:row>
    <x:row r="11" ht="18" customHeight="1">
      <x:c r="A11" s="24" t="str">
        <x:v>Scorpionfishes</x:v>
      </x:c>
      <x:c r="B11" s="31" t="n">
        <x:v>1344.0071435886998</x:v>
      </x:c>
      <x:c r="C11" s="32" t="n">
        <x:v>3.708175323353763</x:v>
      </x:c>
      <x:c r="D11" s="32" t="n">
        <x:f>IF(C11="","",(1/'Metadata'!$B$5)^(C11-1))</x:f>
        <x:v>510.7111308865837</x:v>
      </x:c>
      <x:c r="E11" s="31" t="n">
        <x:f>IF(B11=0,"",B11*D11)</x:f>
        <x:v>686399.408221832</x:v>
      </x:c>
    </x:row>
    <x:row r="12" ht="18" customHeight="1">
      <x:c r="A12" s="24" t="str">
        <x:v>Sharks &amp; rays</x:v>
      </x:c>
      <x:c r="B12" s="31" t="n">
        <x:v>4594.6461932521</x:v>
      </x:c>
      <x:c r="C12" s="32" t="n">
        <x:v>4.174207857830393</x:v>
      </x:c>
      <x:c r="D12" s="32" t="n">
        <x:f>IF(C12="","",(1/'Metadata'!$B$5)^(C12-1))</x:f>
        <x:v>1493.5090474243812</x:v>
      </x:c>
      <x:c r="E12" s="31" t="n">
        <x:f>IF(B12=0,"",B12*D12)</x:f>
        <x:v>6862145.659336003</x:v>
      </x:c>
    </x:row>
    <x:row r="13" ht="18" customHeight="1">
      <x:c r="A13" s="24" t="str">
        <x:v>Tuna &amp; billfishes</x:v>
      </x:c>
      <x:c r="B13" s="31" t="n">
        <x:v>3374.6031431352003</x:v>
      </x:c>
      <x:c r="C13" s="32" t="n">
        <x:v>4.369286119273141</x:v>
      </x:c>
      <x:c r="D13" s="32" t="n">
        <x:f>IF(C13="","",(1/'Metadata'!$B$5)^(C13-1))</x:f>
        <x:v>2340.3786049942046</x:v>
      </x:c>
      <x:c r="E13" s="31" t="n">
        <x:f>IF(B13=0,"",B13*D13)</x:f>
        <x:v>7897848.996539818</x:v>
      </x:c>
    </x:row>
  </x:sheetData>
  <x:pageMargins left="0.7" right="0.7" top="0.75" bottom="0.75" header="0.3" footer="0.3"/>
  <x:tableParts count="1">
    <x:tablePart xmlns:r="http://schemas.openxmlformats.org/officeDocument/2006/relationships" r:id="Rd5a1f0632a9447e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2241.6243983747004</x:v>
      </x:c>
      <x:c r="C2" s="32" t="n">
        <x:v>3.7811031385969356</x:v>
      </x:c>
      <x:c r="D2" s="32" t="n">
        <x:f>IF(C2="","",(1/'Metadata'!$B$5)^(C2-1))</x:f>
        <x:v>604.0920753881721</x:v>
      </x:c>
      <x:c r="E2" s="31" t="n">
        <x:f>IF(B2=0,"",B2*D2)</x:f>
        <x:v>1354147.5350549356</x:v>
      </x:c>
    </x:row>
    <x:row r="3" ht="18" customHeight="1">
      <x:c r="A3" s="24" t="str">
        <x:v>Large bathydemersals (&gt;=90 cm)</x:v>
      </x:c>
      <x:c r="B3" s="31" t="n">
        <x:v>681.9247341896</x:v>
      </x:c>
      <x:c r="C3" s="32" t="n">
        <x:v>4.066741975909677</x:v>
      </x:c>
      <x:c r="D3" s="32" t="n">
        <x:f>IF(C3="","",(1/'Metadata'!$B$5)^(C3-1))</x:f>
        <x:v>1166.1165951932162</x:v>
      </x:c>
      <x:c r="E3" s="31" t="n">
        <x:f>IF(B3=0,"",B3*D3)</x:f>
        <x:v>795203.7492112154</x:v>
      </x:c>
    </x:row>
    <x:row r="4" ht="18" customHeight="1">
      <x:c r="A4" s="24" t="str">
        <x:v>Large bathypelagics (&gt;=90 cm)</x:v>
      </x:c>
      <x:c r="B4" s="31" t="n">
        <x:v>937.4597887527999</x:v>
      </x:c>
      <x:c r="C4" s="32" t="n">
        <x:v>3.547206638772614</x:v>
      </x:c>
      <x:c r="D4" s="32" t="n">
        <x:f>IF(C4="","",(1/'Metadata'!$B$5)^(C4-1))</x:f>
        <x:v>352.538570178741</x:v>
      </x:c>
      <x:c r="E4" s="31" t="n">
        <x:f>IF(B4=0,"",B4*D4)</x:f>
        <x:v>330490.73352697666</x:v>
      </x:c>
    </x:row>
    <x:row r="5" ht="18" customHeight="1">
      <x:c r="A5" s="24" t="str">
        <x:v>Large benthopelagics (&gt;=90 cm)</x:v>
      </x:c>
      <x:c r="B5" s="31" t="n">
        <x:v>1070.5532269508</x:v>
      </x:c>
      <x:c r="C5" s="32" t="n">
        <x:v>4.2280909367080985</x:v>
      </x:c>
      <x:c r="D5" s="32" t="n">
        <x:f>IF(C5="","",(1/'Metadata'!$B$5)^(C5-1))</x:f>
        <x:v>1690.794929299449</x:v>
      </x:c>
      <x:c r="E5" s="31" t="n">
        <x:f>IF(B5=0,"",B5*D5)</x:f>
        <x:v>1810085.967673575</x:v>
      </x:c>
    </x:row>
    <x:row r="6" ht="18" customHeight="1">
      <x:c r="A6" s="24" t="str">
        <x:v>Large demersals (&gt;=90 cm)</x:v>
      </x:c>
      <x:c r="B6" s="31" t="n">
        <x:v>49800.1762052275</x:v>
      </x:c>
      <x:c r="C6" s="32" t="n">
        <x:v>4.410726791137418</x:v>
      </x:c>
      <x:c r="D6" s="32" t="n">
        <x:f>IF(C6="","",(1/'Metadata'!$B$5)^(C6-1))</x:f>
        <x:v>2574.70093742832</x:v>
      </x:c>
      <x:c r="E6" s="31" t="n">
        <x:f>IF(B6=0,"",B6*D6)</x:f>
        <x:v>128220560.35969475</x:v>
      </x:c>
    </x:row>
    <x:row r="7" ht="18" customHeight="1">
      <x:c r="A7" s="24" t="str">
        <x:v>Large flatfishes (&gt;=90 cm)</x:v>
      </x:c>
      <x:c r="B7" s="31" t="n">
        <x:v>31.2457568114</x:v>
      </x:c>
      <x:c r="C7" s="32" t="n">
        <x:v>4.247783131895826</x:v>
      </x:c>
      <x:c r="D7" s="32" t="n">
        <x:f>IF(C7="","",(1/'Metadata'!$B$5)^(C7-1))</x:f>
        <x:v>1769.2252622097358</x:v>
      </x:c>
      <x:c r="E7" s="31" t="n">
        <x:f>IF(B7=0,"",B7*D7)</x:f>
        <x:v>55280.7822875908</x:v>
      </x:c>
    </x:row>
    <x:row r="8" ht="18" customHeight="1">
      <x:c r="A8" s="24" t="str">
        <x:v>Large pelagics (&gt;=90 cm)</x:v>
      </x:c>
      <x:c r="B8" s="31" t="n">
        <x:v>2778.5083673227996</x:v>
      </x:c>
      <x:c r="C8" s="32" t="n">
        <x:v>4.3544099564307235</x:v>
      </x:c>
      <x:c r="D8" s="32" t="n">
        <x:f>IF(C8="","",(1/'Metadata'!$B$5)^(C8-1))</x:f>
        <x:v>2261.5695931932605</x:v>
      </x:c>
      <x:c r="E8" s="31" t="n">
        <x:f>IF(B8=0,"",B8*D8)</x:f>
        <x:v>6283790.037970294</x:v>
      </x:c>
    </x:row>
    <x:row r="9" ht="18" customHeight="1">
      <x:c r="A9" s="24" t="str">
        <x:v>Large rays (&gt;=90 cm)</x:v>
      </x:c>
      <x:c r="B9" s="31" t="n">
        <x:v>272.4915182246</x:v>
      </x:c>
      <x:c r="C9" s="32" t="n">
        <x:v>3.717770901335181</x:v>
      </x:c>
      <x:c r="D9" s="32" t="n">
        <x:f>IF(C9="","",(1/'Metadata'!$B$5)^(C9-1))</x:f>
        <x:v>522.1206876673652</x:v>
      </x:c>
      <x:c r="E9" s="31" t="n">
        <x:f>IF(B9=0,"",B9*D9)</x:f>
        <x:v>142273.45887895254</x:v>
      </x:c>
    </x:row>
    <x:row r="10" ht="18" customHeight="1">
      <x:c r="A10" s="24" t="str">
        <x:v>Large reef assoc. fish (&gt;=90 cm)</x:v>
      </x:c>
      <x:c r="B10" s="31" t="n">
        <x:v>248.10719224660002</x:v>
      </x:c>
      <x:c r="C10" s="32" t="n">
        <x:v>3.8845532072884095</x:v>
      </x:c>
      <x:c r="D10" s="32" t="n">
        <x:f>IF(C10="","",(1/'Metadata'!$B$5)^(C10-1))</x:f>
        <x:v>766.5724505039651</x:v>
      </x:c>
      <x:c r="E10" s="31" t="n">
        <x:f>IF(B10=0,"",B10*D10)</x:f>
        <x:v>190192.13834813455</x:v>
      </x:c>
    </x:row>
    <x:row r="11" ht="18" customHeight="1">
      <x:c r="A11" s="24" t="str">
        <x:v>Large sharks (&gt;=90 cm)</x:v>
      </x:c>
      <x:c r="B11" s="31" t="n">
        <x:v>3568.6031928701996</x:v>
      </x:c>
      <x:c r="C11" s="32" t="n">
        <x:v>4.267842865306506</x:v>
      </x:c>
      <x:c r="D11" s="32" t="n">
        <x:f>IF(C11="","",(1/'Metadata'!$B$5)^(C11-1))</x:f>
        <x:v>1852.8611073207485</x:v>
      </x:c>
      <x:c r="E11" s="31" t="n">
        <x:f>IF(B11=0,"",B11*D11)</x:f>
        <x:v>6612126.063529837</x:v>
      </x:c>
    </x:row>
    <x:row r="12" ht="18" customHeight="1">
      <x:c r="A12" s="24" t="str">
        <x:v>Lobsters, crabs</x:v>
      </x:c>
      <x:c r="B12" s="31" t="n">
        <x:v>125.91583559539998</x:v>
      </x:c>
      <x:c r="C12" s="32" t="n">
        <x:v>2.9567459054928364</x:v>
      </x:c>
      <x:c r="D12" s="32" t="n">
        <x:f>IF(C12="","",(1/'Metadata'!$B$5)^(C12-1))</x:f>
        <x:v>90.52028350904816</x:v>
      </x:c>
      <x:c r="E12" s="31" t="n">
        <x:f>IF(B12=0,"",B12*D12)</x:f>
        <x:v>11397.937136374303</x:v>
      </x:c>
    </x:row>
    <x:row r="13" ht="18" customHeight="1">
      <x:c r="A13" s="24" t="str">
        <x:v>Medium bathydemersals (30 - 89 cm)</x:v>
      </x:c>
      <x:c r="B13" s="31" t="n">
        <x:v>3871.2439286924</x:v>
      </x:c>
      <x:c r="C13" s="32" t="n">
        <x:v>4.312866309860233</x:v>
      </x:c>
      <x:c r="D13" s="32" t="n">
        <x:f>IF(C13="","",(1/'Metadata'!$B$5)^(C13-1))</x:f>
        <x:v>2055.257822572043</x:v>
      </x:c>
      <x:c r="E13" s="31" t="n">
        <x:f>IF(B13=0,"",B13*D13)</x:f>
        <x:v>7956404.367529584</x:v>
      </x:c>
    </x:row>
    <x:row r="14" ht="18" customHeight="1">
      <x:c r="A14" s="24" t="str">
        <x:v>Medium bathypelagics (30 - 89 cm)</x:v>
      </x:c>
      <x:c r="B14" s="31" t="n">
        <x:v>615.6789092289</x:v>
      </x:c>
      <x:c r="C14" s="32" t="n">
        <x:v>4.067358755277863</x:v>
      </x:c>
      <x:c r="D14" s="32" t="n">
        <x:f>IF(C14="","",(1/'Metadata'!$B$5)^(C14-1))</x:f>
        <x:v>1167.7738753428246</x:v>
      </x:c>
      <x:c r="E14" s="31" t="n">
        <x:f>IF(B14=0,"",B14*D14)</x:f>
        <x:v>718973.7457970757</x:v>
      </x:c>
    </x:row>
    <x:row r="15" ht="18" customHeight="1">
      <x:c r="A15" s="24" t="str">
        <x:v>Medium benthopelagics (30 - 89 cm)</x:v>
      </x:c>
      <x:c r="B15" s="31" t="n">
        <x:v>15425.8079455942</x:v>
      </x:c>
      <x:c r="C15" s="32" t="n">
        <x:v>4.034502634409837</x:v>
      </x:c>
      <x:c r="D15" s="32" t="n">
        <x:f>IF(C15="","",(1/'Metadata'!$B$5)^(C15-1))</x:f>
        <x:v>1082.6862826312902</x:v>
      </x:c>
      <x:c r="E15" s="31" t="n">
        <x:f>IF(B15=0,"",B15*D15)</x:f>
        <x:v>16701310.661199605</x:v>
      </x:c>
    </x:row>
    <x:row r="16" ht="18" customHeight="1">
      <x:c r="A16" s="24" t="str">
        <x:v>Medium demersals (30 - 89 cm)</x:v>
      </x:c>
      <x:c r="B16" s="31" t="n">
        <x:v>36366.3618913217</x:v>
      </x:c>
      <x:c r="C16" s="32" t="n">
        <x:v>3.215740700131075</x:v>
      </x:c>
      <x:c r="D16" s="32" t="n">
        <x:f>IF(C16="","",(1/'Metadata'!$B$5)^(C16-1))</x:f>
        <x:v>164.3390227647853</x:v>
      </x:c>
      <x:c r="E16" s="31" t="n">
        <x:f>IF(B16=0,"",B16*D16)</x:f>
        <x:v>5976412.374730337</x:v>
      </x:c>
    </x:row>
    <x:row r="17" ht="18" customHeight="1">
      <x:c r="A17" s="24" t="str">
        <x:v>Medium pelagics (30 - 89 cm)</x:v>
      </x:c>
      <x:c r="B17" s="31" t="n">
        <x:v>51096.8257245943</x:v>
      </x:c>
      <x:c r="C17" s="32" t="n">
        <x:v>3.686970340957808</x:v>
      </x:c>
      <x:c r="D17" s="32" t="n">
        <x:f>IF(C17="","",(1/'Metadata'!$B$5)^(C17-1))</x:f>
        <x:v>486.37398887696764</x:v>
      </x:c>
      <x:c r="E17" s="31" t="n">
        <x:f>IF(B17=0,"",B17*D17)</x:f>
        <x:v>24852166.94662218</x:v>
      </x:c>
    </x:row>
    <x:row r="18" ht="18" customHeight="1">
      <x:c r="A18" s="24" t="str">
        <x:v>Medium reef assoc. fish (30 - 89 cm)</x:v>
      </x:c>
      <x:c r="B18" s="31" t="n">
        <x:v>121.41927163299998</x:v>
      </x:c>
      <x:c r="C18" s="32" t="n">
        <x:v>3.110857400883434</x:v>
      </x:c>
      <x:c r="D18" s="32" t="n">
        <x:f>IF(C18="","",(1/'Metadata'!$B$5)^(C18-1))</x:f>
        <x:v>129.07953757516066</x:v>
      </x:c>
      <x:c r="E18" s="31" t="n">
        <x:f>IF(B18=0,"",B18*D18)</x:f>
        <x:v>15672.74343510046</x:v>
      </x:c>
    </x:row>
    <x:row r="19" ht="18" customHeight="1">
      <x:c r="A19" s="24" t="str">
        <x:v>Other demersal invertebrates</x:v>
      </x:c>
      <x:c r="B19" s="31" t="n">
        <x:v>823.18277635</x:v>
      </x:c>
      <x:c r="C19" s="32" t="n">
        <x:v>2.2716252062201554</x:v>
      </x:c>
      <x:c r="D19" s="32" t="n">
        <x:f>IF(C19="","",(1/'Metadata'!$B$5)^(C19-1))</x:f>
        <x:v>18.690684482396115</x:v>
      </x:c>
      <x:c r="E19" s="31" t="n">
        <x:f>IF(B19=0,"",B19*D19)</x:f>
        <x:v>15385.849544100698</x:v>
      </x:c>
    </x:row>
    <x:row r="20" ht="18" customHeight="1">
      <x:c r="A20" s="24" t="str">
        <x:v>Shrimps</x:v>
      </x:c>
      <x:c r="B20" s="31" t="n">
        <x:v>120.51899080410001</x:v>
      </x:c>
      <x:c r="C20" s="32" t="n">
        <x:v>2.801589997026199</x:v>
      </x:c>
      <x:c r="D20" s="32" t="n">
        <x:f>IF(C20="","",(1/'Metadata'!$B$5)^(C20-1))</x:f>
        <x:v>63.327157833097544</x:v>
      </x:c>
      <x:c r="E20" s="31" t="n">
        <x:f>IF(B20=0,"",B20*D20)</x:f>
        <x:v>7632.125152536873</x:v>
      </x:c>
    </x:row>
    <x:row r="21" ht="18" customHeight="1">
      <x:c r="A21" s="24" t="str">
        <x:v>Small benthopelagics (&lt;30 cm)</x:v>
      </x:c>
      <x:c r="B21" s="31" t="n">
        <x:v>200.9776691875</x:v>
      </x:c>
      <x:c r="C21" s="32" t="n">
        <x:v>3.3802978178359115</x:v>
      </x:c>
      <x:c r="D21" s="32" t="n">
        <x:f>IF(C21="","",(1/'Metadata'!$B$5)^(C21-1))</x:f>
        <x:v>240.04784850349108</x:v>
      </x:c>
      <x:c r="E21" s="31" t="n">
        <x:f>IF(B21=0,"",B21*D21)</x:f>
        <x:v>48244.25708570575</x:v>
      </x:c>
    </x:row>
    <x:row r="22" ht="18" customHeight="1">
      <x:c r="A22" s="24" t="str">
        <x:v>Small demersals (&lt;30 cm)</x:v>
      </x:c>
      <x:c r="B22" s="31" t="n">
        <x:v>12.1018857225</x:v>
      </x:c>
      <x:c r="C22" s="32" t="n">
        <x:v>3.919184401791727</x:v>
      </x:c>
      <x:c r="D22" s="32" t="n">
        <x:f>IF(C22="","",(1/'Metadata'!$B$5)^(C22-1))</x:f>
        <x:v>830.2031976438569</x:v>
      </x:c>
      <x:c r="E22" s="31" t="n">
        <x:f>IF(B22=0,"",B22*D22)</x:f>
        <x:v>10047.024224340039</x:v>
      </x:c>
    </x:row>
    <x:row r="23" ht="18" customHeight="1">
      <x:c r="A23" s="24" t="str">
        <x:v>Small pelagics (&lt;30 cm)</x:v>
      </x:c>
      <x:c r="B23" s="31" t="n">
        <x:v>20697.422386034403</x:v>
      </x:c>
      <x:c r="C23" s="32" t="n">
        <x:v>3.0930394357235365</x:v>
      </x:c>
      <x:c r="D23" s="32" t="n">
        <x:f>IF(C23="","",(1/'Metadata'!$B$5)^(C23-1))</x:f>
        <x:v>123.89090794581554</x:v>
      </x:c>
      <x:c r="E23" s="31" t="n">
        <x:f>IF(B23=0,"",B23*D23)</x:f>
        <x:v>2564222.45154385</x:v>
      </x:c>
    </x:row>
    <x:row r="24" ht="18" customHeight="1">
      <x:c r="A24" s="24" t="str">
        <x:v>Small reef assoc. fish (&lt;30 cm)</x:v>
      </x:c>
      <x:c r="B24" s="31" t="n">
        <x:v>1.4762037171</x:v>
      </x:c>
      <x:c r="C24" s="32" t="n">
        <x:v>3.723990357904376</x:v>
      </x:c>
      <x:c r="D24" s="32" t="n">
        <x:f>IF(C24="","",(1/'Metadata'!$B$5)^(C24-1))</x:f>
        <x:v>529.6516845691363</x:v>
      </x:c>
      <x:c r="E24" s="31" t="n">
        <x:f>IF(B24=0,"",B24*D24)</x:f>
        <x:v>781.8737855292356</x:v>
      </x:c>
    </x:row>
    <x:row r="25" ht="18" customHeight="1">
      <x:c r="A25" s="24" t="str">
        <x:v>Small to medium flatfishes (&lt;90 cm)</x:v>
      </x:c>
      <x:c r="B25" s="31" t="n">
        <x:v>2628.8060216589997</x:v>
      </x:c>
      <x:c r="C25" s="32" t="n">
        <x:v>3.91211277102154</x:v>
      </x:c>
      <x:c r="D25" s="32" t="n">
        <x:f>IF(C25="","",(1/'Metadata'!$B$5)^(C25-1))</x:f>
        <x:v>816.7944366482047</x:v>
      </x:c>
      <x:c r="E25" s="31" t="n">
        <x:f>IF(B25=0,"",B25*D25)</x:f>
        <x:v>2147194.133518371</x:v>
      </x:c>
    </x:row>
    <x:row r="26" ht="18" customHeight="1">
      <x:c r="A26" s="24" t="str">
        <x:v>Small to medium rays (&lt;90 cm)</x:v>
      </x:c>
      <x:c r="B26" s="31" t="n">
        <x:v>415.28426105319994</x:v>
      </x:c>
      <x:c r="C26" s="32" t="n">
        <x:v>3.895759125476255</x:v>
      </x:c>
      <x:c r="D26" s="32" t="n">
        <x:f>IF(C26="","",(1/'Metadata'!$B$5)^(C26-1))</x:f>
        <x:v>786.6093883043176</x:v>
      </x:c>
      <x:c r="E26" s="31" t="n">
        <x:f>IF(B26=0,"",B26*D26)</x:f>
        <x:v>326666.49855946813</x:v>
      </x:c>
    </x:row>
    <x:row r="27" ht="18" customHeight="1">
      <x:c r="A27" s="24" t="str">
        <x:v>Small to medium sharks (&lt;90 cm)</x:v>
      </x:c>
      <x:c r="B27" s="31" t="n">
        <x:v>338.2672211041</x:v>
      </x:c>
      <x:c r="C27" s="32" t="n">
        <x:v>3.8959201448491068</x:v>
      </x:c>
      <x:c r="D27" s="32" t="n">
        <x:f>IF(C27="","",(1/'Metadata'!$B$5)^(C27-1))</x:f>
        <x:v>786.9010863081522</x:v>
      </x:c>
      <x:c r="E27" s="31" t="n">
        <x:f>IF(B27=0,"",B27*D27)</x:f>
        <x:v>266182.84374925616</x:v>
      </x:c>
    </x:row>
  </x:sheetData>
  <x:pageMargins left="0.7" right="0.7" top="0.75" bottom="0.75" header="0.3" footer="0.3"/>
  <x:tableParts count="1">
    <x:tablePart xmlns:r="http://schemas.openxmlformats.org/officeDocument/2006/relationships" r:id="R321464b0ec1c451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EEZ_963</x:v>
      </x:c>
      <x:c r="B2" s="24" t="str">
        <x:v>raw_filtered_tonnes</x:v>
      </x:c>
      <x:c r="C2" s="24" t="n">
        <x:v>194491.9853032628</x:v>
      </x:c>
      <x:c r="D2" s="24" t="str">
        <x:v>tonnes</x:v>
      </x:c>
    </x:row>
    <x:row r="3" ht="18" customHeight="1">
      <x:c r="A3" s="24" t="str">
        <x:v>EEZ_963</x:v>
      </x:c>
      <x:c r="B3" s="24" t="str">
        <x:v>species_catch_tonnes</x:v>
      </x:c>
      <x:c r="C3" s="24" t="n">
        <x:v>194491.9853032628</x:v>
      </x:c>
      <x:c r="D3" s="24" t="str">
        <x:v>tonnes</x:v>
      </x:c>
    </x:row>
    <x:row r="4" ht="18" customHeight="1">
      <x:c r="A4" s="24" t="str">
        <x:v>EEZ_963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EEZ_963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EEZ_963</x:v>
      </x:c>
      <x:c r="B6" s="24" t="str">
        <x:v>matched_catch_tonnes</x:v>
      </x:c>
      <x:c r="C6" s="24" t="n">
        <x:v>194491.9853032628</x:v>
      </x:c>
      <x:c r="D6" s="24" t="str">
        <x:v>tonnes</x:v>
      </x:c>
    </x:row>
    <x:row r="7" ht="18" customHeight="1">
      <x:c r="A7" s="24" t="str">
        <x:v>EEZ_963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EEZ_963</x:v>
      </x:c>
      <x:c r="B8" s="24" t="str">
        <x:v>taxa_count</x:v>
      </x:c>
      <x:c r="C8" s="24" t="n">
        <x:v>312</x:v>
      </x:c>
      <x:c r="D8" s="24" t="str">
        <x:v>count</x:v>
      </x:c>
    </x:row>
    <x:row r="9" ht="18" customHeight="1">
      <x:c r="A9" s="24" t="str">
        <x:v>EEZ_963</x:v>
      </x:c>
      <x:c r="B9" s="24" t="str">
        <x:v>matched_taxa_count</x:v>
      </x:c>
      <x:c r="C9" s="24" t="n">
        <x:v>312</x:v>
      </x:c>
      <x:c r="D9" s="24" t="str">
        <x:v>count</x:v>
      </x:c>
    </x:row>
    <x:row r="10" ht="18" customHeight="1">
      <x:c r="A10" s="24" t="str">
        <x:v>EEZ_963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EEZ_963</x:v>
      </x:c>
      <x:c r="B11" s="24" t="str">
        <x:v>species_ppr</x:v>
      </x:c>
      <x:c r="C11" s="24" t="n">
        <x:v>218230163.06143558</x:v>
      </x:c>
      <x:c r="D11" s="24" t="str">
        <x:v>tonnes_primary_production_equivalent</x:v>
      </x:c>
    </x:row>
    <x:row r="12" ht="18" customHeight="1">
      <x:c r="A12" s="24" t="str">
        <x:v>EEZ_963</x:v>
      </x:c>
      <x:c r="B12" s="24" t="str">
        <x:v>commercial_ppr</x:v>
      </x:c>
      <x:c r="C12" s="24" t="n">
        <x:v>190512956.20310688</x:v>
      </x:c>
      <x:c r="D12" s="24" t="str">
        <x:v>tonnes_primary_production_equivalent</x:v>
      </x:c>
    </x:row>
    <x:row r="13" ht="18" customHeight="1">
      <x:c r="A13" s="24" t="str">
        <x:v>EEZ_963</x:v>
      </x:c>
      <x:c r="B13" s="24" t="str">
        <x:v>functional_ppr</x:v>
      </x:c>
      <x:c r="C13" s="24" t="n">
        <x:v>207412846.6597897</x:v>
      </x:c>
      <x:c r="D13" s="24" t="str">
        <x:v>tonnes_primary_production_equivalent</x:v>
      </x:c>
    </x:row>
    <x:row r="14" ht="18" customHeight="1">
      <x:c r="A14" s="24" t="str">
        <x:v>EEZ_963</x:v>
      </x:c>
      <x:c r="B14" s="24" t="str">
        <x:v>commercial_ppr_difference</x:v>
      </x:c>
      <x:c r="C14" s="24" t="n">
        <x:v>-27717206.8583287</x:v>
      </x:c>
      <x:c r="D14" s="24" t="str">
        <x:v>tonnes_primary_production_equivalent</x:v>
      </x:c>
    </x:row>
    <x:row r="15" ht="18" customHeight="1">
      <x:c r="A15" s="24" t="str">
        <x:v>EEZ_963</x:v>
      </x:c>
      <x:c r="B15" s="24" t="str">
        <x:v>functional_ppr_difference</x:v>
      </x:c>
      <x:c r="C15" s="24" t="n">
        <x:v>-10817316.401645869</x:v>
      </x:c>
      <x:c r="D15" s="24" t="str">
        <x:v>tonnes_primary_production_equivalent</x:v>
      </x:c>
    </x:row>
    <x:row r="16" ht="18" customHeight="1">
      <x:c r="A16" s="24" t="str">
        <x:v>EEZ_963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EEZ_963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0b0860e0bce4f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EEZ_963 - Spain (Northwest)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EEZ_963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raw_data/SAU_downloads/EEZ_963-catch.zip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