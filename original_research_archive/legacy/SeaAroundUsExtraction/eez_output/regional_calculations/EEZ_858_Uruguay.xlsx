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fb35f1d32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a2923be6cab4d9d"/>
    <x:sheet xmlns:r="http://schemas.openxmlformats.org/officeDocument/2006/relationships" name="Commercial" sheetId="2" r:id="Ra6a5ec93abe642a2"/>
    <x:sheet xmlns:r="http://schemas.openxmlformats.org/officeDocument/2006/relationships" name="Functional" sheetId="3" r:id="Rc38512e0b2434432"/>
    <x:sheet xmlns:r="http://schemas.openxmlformats.org/officeDocument/2006/relationships" name="Missing TL" sheetId="4" r:id="R367452f542b94457"/>
    <x:sheet xmlns:r="http://schemas.openxmlformats.org/officeDocument/2006/relationships" name="Validation" sheetId="5" r:id="R42b71c8bb0b94e2f"/>
    <x:sheet xmlns:r="http://schemas.openxmlformats.org/officeDocument/2006/relationships" name="Metadata" sheetId="6" r:id="R730d0e0cecd7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69c4704c84548" /><Relationship Type="http://schemas.openxmlformats.org/officeDocument/2006/relationships/theme" Target="/xl/theme/theme1.xml" Id="R2818abf42bde4b8a" /><Relationship Type="http://schemas.microsoft.com/office/2022/11/relationships/FeaturePropertyBag" Target="/xl/featurePropertyBag/featurePropertyBag.xml" Id="Ra371fab1d34a44e7" /><Relationship Type="http://schemas.openxmlformats.org/officeDocument/2006/relationships/sharedStrings" Target="/xl/sharedStrings.xml" Id="R4cb6af78577c4b99" /><Relationship Type="http://schemas.openxmlformats.org/officeDocument/2006/relationships/worksheet" Target="/xl/worksheets/sheet1.xml" Id="Rea2923be6cab4d9d" /><Relationship Type="http://schemas.openxmlformats.org/officeDocument/2006/relationships/worksheet" Target="/xl/worksheets/sheet2.xml" Id="Ra6a5ec93abe642a2" /><Relationship Type="http://schemas.openxmlformats.org/officeDocument/2006/relationships/worksheet" Target="/xl/worksheets/sheet3.xml" Id="Rc38512e0b2434432" /><Relationship Type="http://schemas.openxmlformats.org/officeDocument/2006/relationships/worksheet" Target="/xl/worksheets/sheet4.xml" Id="R367452f542b94457" /><Relationship Type="http://schemas.openxmlformats.org/officeDocument/2006/relationships/worksheet" Target="/xl/worksheets/sheet5.xml" Id="R42b71c8bb0b94e2f" /><Relationship Type="http://schemas.openxmlformats.org/officeDocument/2006/relationships/worksheet" Target="/xl/worksheets/sheet6.xml" Id="R730d0e0cecd740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58SpeciesTable" displayName="EEZ858SpeciesTable" ref="A1:U61" headerRowCount="1" totalsRowCount="0" totalsRowShown="0">
  <x:autoFilter ref="A1:U6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58CommercialTable" displayName="EEZ858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58FunctionalTable" displayName="EEZ858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58ValidationTable" displayName="EEZ85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de4795b3a043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744879d64940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ffc0ae9d334b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748b7502a24ea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EEZ_858</x:v>
      </x:c>
      <x:c r="B2" s="24" t="str">
        <x:v>Uruguay</x:v>
      </x:c>
      <x:c r="C2" s="24" t="str">
        <x:v>EEZ</x:v>
      </x:c>
      <x:c r="D2" s="30" t="n">
        <x:v>2019</x:v>
      </x:c>
      <x:c r="E2" s="24" t="str">
        <x:v>Micropogonias furnieri</x:v>
      </x:c>
      <x:c r="F2" s="24" t="str">
        <x:v>Whitemouth croaker</x:v>
      </x:c>
      <x:c r="G2" s="24" t="str">
        <x:v>Medium demersals (30 - 89 cm)</x:v>
      </x:c>
      <x:c r="H2" s="24" t="str">
        <x:v>Perch-likes</x:v>
      </x:c>
      <x:c r="I2" s="31" t="n">
        <x:v>36962.6991599205</x:v>
      </x:c>
      <x:c r="J2" s="31" t="n">
        <x:v>36050.240125638404</x:v>
      </x:c>
      <x:c r="K2" s="31" t="n">
        <x:v>912.4590342821</x:v>
      </x:c>
      <x:c r="L2" s="31" t="n">
        <x:v>23145.000000000102</x:v>
      </x:c>
      <x:c r="M2" s="31" t="n">
        <x:v>13817.6991599204</x:v>
      </x:c>
      <x:c r="N2" s="24" t="str">
        <x:v>micropogonias furnieri</x:v>
      </x:c>
      <x:c r="O2" s="32" t="n">
        <x:v>3.09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Micropogonias furnieri</x:v>
      </x:c>
      <x:c r="T2" s="32" t="n">
        <x:f>IF(O2="","",(1/'Metadata'!$B$5)^(O2-1))</x:f>
        <x:v>123.02687708123811</x:v>
      </x:c>
      <x:c r="U2" s="31" t="n">
        <x:f>IF(T2="","",I2*T2)</x:f>
        <x:v>4547405.446138322</x:v>
      </x:c>
    </x:row>
    <x:row r="3" ht="18" customHeight="1">
      <x:c r="A3" s="24" t="str">
        <x:v>EEZ_858</x:v>
      </x:c>
      <x:c r="B3" s="24" t="str">
        <x:v>Uruguay</x:v>
      </x:c>
      <x:c r="C3" s="24" t="str">
        <x:v>EEZ</x:v>
      </x:c>
      <x:c r="D3" s="30" t="n">
        <x:v>2019</x:v>
      </x:c>
      <x:c r="E3" s="24" t="str">
        <x:v>Merluccius hubbsi</x:v>
      </x:c>
      <x:c r="F3" s="24" t="str">
        <x:v>Argentine hake</x:v>
      </x:c>
      <x:c r="G3" s="24" t="str">
        <x:v>Medium benthopelagics (30 - 89 cm)</x:v>
      </x:c>
      <x:c r="H3" s="24" t="str">
        <x:v>Cod-likes</x:v>
      </x:c>
      <x:c r="I3" s="31" t="n">
        <x:v>19195.6373911588</x:v>
      </x:c>
      <x:c r="J3" s="31" t="n">
        <x:v>16078.894110723899</x:v>
      </x:c>
      <x:c r="K3" s="31" t="n">
        <x:v>3116.7432804349</x:v>
      </x:c>
      <x:c r="L3" s="31" t="n">
        <x:v>16078.894110723899</x:v>
      </x:c>
      <x:c r="M3" s="31" t="n">
        <x:v>3116.7432804349</x:v>
      </x:c>
      <x:c r="N3" s="24" t="str">
        <x:v>merluccius hubbsi</x:v>
      </x:c>
      <x:c r="O3" s="32" t="n">
        <x:v>4.23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Merluccius hubbsi</x:v>
      </x:c>
      <x:c r="T3" s="32" t="n">
        <x:f>IF(O3="","",(1/'Metadata'!$B$5)^(O3-1))</x:f>
        <x:v>1698.243652461746</x:v>
      </x:c>
      <x:c r="U3" s="31" t="n">
        <x:f>IF(T3="","",I3*T3)</x:f>
        <x:v>32598869.354492784</x:v>
      </x:c>
    </x:row>
    <x:row r="4" ht="18" customHeight="1">
      <x:c r="A4" s="24" t="str">
        <x:v>EEZ_858</x:v>
      </x:c>
      <x:c r="B4" s="24" t="str">
        <x:v>Uruguay</x:v>
      </x:c>
      <x:c r="C4" s="24" t="str">
        <x:v>EEZ</x:v>
      </x:c>
      <x:c r="D4" s="30" t="n">
        <x:v>2019</x:v>
      </x:c>
      <x:c r="E4" s="24" t="str">
        <x:v>Illex argentinus</x:v>
      </x:c>
      <x:c r="F4" s="24" t="str">
        <x:v>Argentine shortfin squid</x:v>
      </x:c>
      <x:c r="G4" s="24" t="str">
        <x:v>Cephalopods</x:v>
      </x:c>
      <x:c r="H4" s="24" t="str">
        <x:v>Other fishes &amp; inverts</x:v>
      </x:c>
      <x:c r="I4" s="31" t="n">
        <x:v>18658.866331593</x:v>
      </x:c>
      <x:c r="J4" s="31" t="n">
        <x:v>18658.866331593</x:v>
      </x:c>
      <x:c r="K4" s="31" t="n">
        <x:v>0</x:v>
      </x:c>
      <x:c r="L4" s="31" t="n">
        <x:v>18658.866331593</x:v>
      </x:c>
      <x:c r="M4" s="31" t="n">
        <x:v>0</x:v>
      </x:c>
      <x:c r="N4" s="24" t="str">
        <x:v>illex argentinus</x:v>
      </x:c>
      <x:c r="O4" s="32" t="n">
        <x:v>3.82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Illex argentinus</x:v>
      </x:c>
      <x:c r="T4" s="32" t="n">
        <x:f>IF(O4="","",(1/'Metadata'!$B$5)^(O4-1))</x:f>
        <x:v>660.6934480075957</x:v>
      </x:c>
      <x:c r="U4" s="31" t="n">
        <x:f>IF(T4="","",I4*T4)</x:f>
        <x:v>12327790.732533017</x:v>
      </x:c>
    </x:row>
    <x:row r="5" ht="18" customHeight="1">
      <x:c r="A5" s="24" t="str">
        <x:v>EEZ_858</x:v>
      </x:c>
      <x:c r="B5" s="24" t="str">
        <x:v>Uruguay</x:v>
      </x:c>
      <x:c r="C5" s="24" t="str">
        <x:v>EEZ</x:v>
      </x:c>
      <x:c r="D5" s="30" t="n">
        <x:v>2019</x:v>
      </x:c>
      <x:c r="E5" s="24" t="str">
        <x:v>Cynoscion guatucupa</x:v>
      </x:c>
      <x:c r="F5" s="24" t="str">
        <x:v>Stripped weakfish</x:v>
      </x:c>
      <x:c r="G5" s="24" t="str">
        <x:v>Medium demersals (30 - 89 cm)</x:v>
      </x:c>
      <x:c r="H5" s="24" t="str">
        <x:v>Perch-likes</x:v>
      </x:c>
      <x:c r="I5" s="31" t="n">
        <x:v>8343.8664407319</x:v>
      </x:c>
      <x:c r="J5" s="31" t="n">
        <x:v>7617.4427435364</x:v>
      </x:c>
      <x:c r="K5" s="31" t="n">
        <x:v>726.4236971955</x:v>
      </x:c>
      <x:c r="L5" s="31" t="n">
        <x:v>6139</x:v>
      </x:c>
      <x:c r="M5" s="31" t="n">
        <x:v>2204.8664407319</x:v>
      </x:c>
      <x:c r="N5" s="24" t="str">
        <x:v>cynoscion guatucupa</x:v>
      </x:c>
      <x:c r="O5" s="32" t="n">
        <x:v>3.72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Cynoscion guatucupa</x:v>
      </x:c>
      <x:c r="T5" s="32" t="n">
        <x:f>IF(O5="","",(1/'Metadata'!$B$5)^(O5-1))</x:f>
        <x:v>524.8074602497728</x:v>
      </x:c>
      <x:c r="U5" s="31" t="n">
        <x:f>IF(T5="","",I5*T5)</x:f>
        <x:v>4378923.355423819</x:v>
      </x:c>
    </x:row>
    <x:row r="6" ht="18" customHeight="1">
      <x:c r="A6" s="24" t="str">
        <x:v>EEZ_858</x:v>
      </x:c>
      <x:c r="B6" s="24" t="str">
        <x:v>Uruguay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5585.7114325447</x:v>
      </x:c>
      <x:c r="J6" s="31" t="n">
        <x:v>5396.0375897485</x:v>
      </x:c>
      <x:c r="K6" s="31" t="n">
        <x:v>189.6738427962</x:v>
      </x:c>
      <x:c r="L6" s="31" t="n">
        <x:v>4536.2134642061</x:v>
      </x:c>
      <x:c r="M6" s="31" t="n">
        <x:v>1049.4979683386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1064335.3716592137</x:v>
      </x:c>
    </x:row>
    <x:row r="7" ht="18" customHeight="1">
      <x:c r="A7" s="24" t="str">
        <x:v>EEZ_858</x:v>
      </x:c>
      <x:c r="B7" s="24" t="str">
        <x:v>Uruguay</x:v>
      </x:c>
      <x:c r="C7" s="24" t="str">
        <x:v>EEZ</x:v>
      </x:c>
      <x:c r="D7" s="30" t="n">
        <x:v>2019</x:v>
      </x:c>
      <x:c r="E7" s="24" t="str">
        <x:v>Brevoortia pectinata</x:v>
      </x:c>
      <x:c r="F7" s="24" t="str">
        <x:v>Argentine menhaden</x:v>
      </x:c>
      <x:c r="G7" s="24" t="str">
        <x:v>Medium pelagics (30 - 89 cm)</x:v>
      </x:c>
      <x:c r="H7" s="24" t="str">
        <x:v>Herring-likes</x:v>
      </x:c>
      <x:c r="I7" s="31" t="n">
        <x:v>3370</x:v>
      </x:c>
      <x:c r="J7" s="31" t="n">
        <x:v>3370</x:v>
      </x:c>
      <x:c r="K7" s="31" t="n">
        <x:v>0</x:v>
      </x:c>
      <x:c r="L7" s="31" t="n">
        <x:v>3370</x:v>
      </x:c>
      <x:c r="M7" s="31" t="n">
        <x:v>0</x:v>
      </x:c>
      <x:c r="N7" s="24" t="str">
        <x:v>brevoortia pectinata</x:v>
      </x:c>
      <x:c r="O7" s="32" t="n">
        <x:v>3.4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Brevoortia pectinata</x:v>
      </x:c>
      <x:c r="T7" s="32" t="n">
        <x:f>IF(O7="","",(1/'Metadata'!$B$5)^(O7-1))</x:f>
        <x:v>251.18864315095797</x:v>
      </x:c>
      <x:c r="U7" s="31" t="n">
        <x:f>IF(T7="","",I7*T7)</x:f>
        <x:v>846505.7274187284</x:v>
      </x:c>
    </x:row>
    <x:row r="8" ht="18" customHeight="1">
      <x:c r="A8" s="24" t="str">
        <x:v>EEZ_858</x:v>
      </x:c>
      <x:c r="B8" s="24" t="str">
        <x:v>Uruguay</x:v>
      </x:c>
      <x:c r="C8" s="24" t="str">
        <x:v>EEZ</x:v>
      </x:c>
      <x:c r="D8" s="30" t="n">
        <x:v>2019</x:v>
      </x:c>
      <x:c r="E8" s="24" t="str">
        <x:v>Brevoortia aurea</x:v>
      </x:c>
      <x:c r="F8" s="24" t="str">
        <x:v>Brazilian menhaden</x:v>
      </x:c>
      <x:c r="G8" s="24" t="str">
        <x:v>Small pelagics (&lt;30 cm)</x:v>
      </x:c>
      <x:c r="H8" s="24" t="str">
        <x:v>Herring-likes</x:v>
      </x:c>
      <x:c r="I8" s="31" t="n">
        <x:v>2820.5982481865</x:v>
      </x:c>
      <x:c r="J8" s="31" t="n">
        <x:v>2820.5982481865</x:v>
      </x:c>
      <x:c r="K8" s="31" t="n">
        <x:v>0</x:v>
      </x:c>
      <x:c r="L8" s="31" t="n">
        <x:v>0</x:v>
      </x:c>
      <x:c r="M8" s="31" t="n">
        <x:v>2820.5982481865</x:v>
      </x:c>
      <x:c r="N8" s="24" t="str">
        <x:v>brevoortia aurea</x:v>
      </x:c>
      <x:c r="O8" s="32" t="n">
        <x:v>2.75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Brevoortia aurea</x:v>
      </x:c>
      <x:c r="T8" s="32" t="n">
        <x:f>IF(O8="","",(1/'Metadata'!$B$5)^(O8-1))</x:f>
        <x:v>56.23413251903491</x:v>
      </x:c>
      <x:c r="U8" s="31" t="n">
        <x:f>IF(T8="","",I8*T8)</x:f>
        <x:v>158613.89567147734</x:v>
      </x:c>
    </x:row>
    <x:row r="9" ht="18" customHeight="1">
      <x:c r="A9" s="24" t="str">
        <x:v>EEZ_858</x:v>
      </x:c>
      <x:c r="B9" s="24" t="str">
        <x:v>Uruguay</x:v>
      </x:c>
      <x:c r="C9" s="24" t="str">
        <x:v>EEZ</x:v>
      </x:c>
      <x:c r="D9" s="30" t="n">
        <x:v>2019</x:v>
      </x:c>
      <x:c r="E9" s="24" t="str">
        <x:v>Urophycis brasiliensis</x:v>
      </x:c>
      <x:c r="F9" s="24" t="str">
        <x:v>Brazilian codling</x:v>
      </x:c>
      <x:c r="G9" s="24" t="str">
        <x:v>Medium demersals (30 - 89 cm)</x:v>
      </x:c>
      <x:c r="H9" s="24" t="str">
        <x:v>Cod-likes</x:v>
      </x:c>
      <x:c r="I9" s="31" t="n">
        <x:v>2209.7109888949</x:v>
      </x:c>
      <x:c r="J9" s="31" t="n">
        <x:v>2209.7109888949</x:v>
      </x:c>
      <x:c r="K9" s="31" t="n">
        <x:v>0</x:v>
      </x:c>
      <x:c r="L9" s="31" t="n">
        <x:v>1010</x:v>
      </x:c>
      <x:c r="M9" s="31" t="n">
        <x:v>1199.7109888949</x:v>
      </x:c>
      <x:c r="N9" s="24" t="str">
        <x:v>urophycis brasiliensis</x:v>
      </x:c>
      <x:c r="O9" s="32" t="n">
        <x:v>3.79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Urophycis brasiliensis</x:v>
      </x:c>
      <x:c r="T9" s="32" t="n">
        <x:f>IF(O9="","",(1/'Metadata'!$B$5)^(O9-1))</x:f>
        <x:v>616.5950018614822</x:v>
      </x:c>
      <x:c r="U9" s="31" t="n">
        <x:f>IF(T9="","",I9*T9)</x:f>
        <x:v>1362496.7513109883</x:v>
      </x:c>
    </x:row>
    <x:row r="10" ht="18" customHeight="1">
      <x:c r="A10" s="24" t="str">
        <x:v>EEZ_858</x:v>
      </x:c>
      <x:c r="B10" s="24" t="str">
        <x:v>Uruguay</x:v>
      </x:c>
      <x:c r="C10" s="24" t="str">
        <x:v>EEZ</x:v>
      </x:c>
      <x:c r="D10" s="30" t="n">
        <x:v>2019</x:v>
      </x:c>
      <x:c r="E10" s="24" t="str">
        <x:v>Macrodon ancylodon</x:v>
      </x:c>
      <x:c r="F10" s="24" t="str">
        <x:v>King weakfish</x:v>
      </x:c>
      <x:c r="G10" s="24" t="str">
        <x:v>Medium demersals (30 - 89 cm)</x:v>
      </x:c>
      <x:c r="H10" s="24" t="str">
        <x:v>Perch-likes</x:v>
      </x:c>
      <x:c r="I10" s="31" t="n">
        <x:v>1682.5995084514</x:v>
      </x:c>
      <x:c r="J10" s="31" t="n">
        <x:v>1682.5995084514</x:v>
      </x:c>
      <x:c r="K10" s="31" t="n">
        <x:v>0</x:v>
      </x:c>
      <x:c r="L10" s="31" t="n">
        <x:v>1547</x:v>
      </x:c>
      <x:c r="M10" s="31" t="n">
        <x:v>135.5995084514</x:v>
      </x:c>
      <x:c r="N10" s="24" t="str">
        <x:v>macrodon ancylodon</x:v>
      </x:c>
      <x:c r="O10" s="32" t="n">
        <x:v>3.9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Macrodon ancylodon</x:v>
      </x:c>
      <x:c r="T10" s="32" t="n">
        <x:f>IF(O10="","",(1/'Metadata'!$B$5)^(O10-1))</x:f>
        <x:v>794.3282347242813</x:v>
      </x:c>
      <x:c r="U10" s="31" t="n">
        <x:f>IF(T10="","",I10*T10)</x:f>
        <x:v>1336536.2972961438</x:v>
      </x:c>
    </x:row>
    <x:row r="11" ht="18" customHeight="1">
      <x:c r="A11" s="24" t="str">
        <x:v>EEZ_858</x:v>
      </x:c>
      <x:c r="B11" s="24" t="str">
        <x:v>Uruguay</x:v>
      </x:c>
      <x:c r="C11" s="24" t="str">
        <x:v>EEZ</x:v>
      </x:c>
      <x:c r="D11" s="30" t="n">
        <x:v>2019</x:v>
      </x:c>
      <x:c r="E11" s="24" t="str">
        <x:v>Dissostichus eleginoides</x:v>
      </x:c>
      <x:c r="F11" s="24" t="str">
        <x:v>Patagonian toothfish</x:v>
      </x:c>
      <x:c r="G11" s="24" t="str">
        <x:v>Large bathydemersals (&gt;=90 cm)</x:v>
      </x:c>
      <x:c r="H11" s="24" t="str">
        <x:v>Perch-likes</x:v>
      </x:c>
      <x:c r="I11" s="31" t="n">
        <x:v>1107.3581308313</x:v>
      </x:c>
      <x:c r="J11" s="31" t="n">
        <x:v>1107.3581308313</x:v>
      </x:c>
      <x:c r="K11" s="31" t="n">
        <x:v>0</x:v>
      </x:c>
      <x:c r="L11" s="31" t="n">
        <x:v>1107.3581308313</x:v>
      </x:c>
      <x:c r="M11" s="31" t="n">
        <x:v>0</x:v>
      </x:c>
      <x:c r="N11" s="24" t="str">
        <x:v>dissostichus eleginoides</x:v>
      </x:c>
      <x:c r="O11" s="32" t="n">
        <x:v>3.96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Dissostichus eleginoides</x:v>
      </x:c>
      <x:c r="T11" s="32" t="n">
        <x:f>IF(O11="","",(1/'Metadata'!$B$5)^(O11-1))</x:f>
        <x:v>912.0108393559096</x:v>
      </x:c>
      <x:c r="U11" s="31" t="n">
        <x:f>IF(T11="","",I11*T11)</x:f>
        <x:v>1009922.6183670452</x:v>
      </x:c>
    </x:row>
    <x:row r="12" ht="18" customHeight="1">
      <x:c r="A12" s="24" t="str">
        <x:v>EEZ_858</x:v>
      </x:c>
      <x:c r="B12" s="24" t="str">
        <x:v>Uruguay</x:v>
      </x:c>
      <x:c r="C12" s="24" t="str">
        <x:v>EEZ</x:v>
      </x:c>
      <x:c r="D12" s="30" t="n">
        <x:v>2019</x:v>
      </x:c>
      <x:c r="E12" s="24" t="str">
        <x:v>Chaceon notialis</x:v>
      </x:c>
      <x:c r="F12" s="24" t="str">
        <x:v>Red crab</x:v>
      </x:c>
      <x:c r="G12" s="24" t="str">
        <x:v>Lobsters, crabs</x:v>
      </x:c>
      <x:c r="H12" s="24" t="str">
        <x:v>Crustaceans</x:v>
      </x:c>
      <x:c r="I12" s="31" t="n">
        <x:v>935</x:v>
      </x:c>
      <x:c r="J12" s="31" t="n">
        <x:v>935</x:v>
      </x:c>
      <x:c r="K12" s="31" t="n">
        <x:v>0</x:v>
      </x:c>
      <x:c r="L12" s="31" t="n">
        <x:v>935</x:v>
      </x:c>
      <x:c r="M12" s="31" t="n">
        <x:v>0</x:v>
      </x:c>
      <x:c r="N12" s="24" t="str">
        <x:v>chaceon notialis</x:v>
      </x:c>
      <x:c r="O12" s="32" t="n">
        <x:v>3.57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Chaceon notialis</x:v>
      </x:c>
      <x:c r="T12" s="32" t="n">
        <x:f>IF(O12="","",(1/'Metadata'!$B$5)^(O12-1))</x:f>
        <x:v>371.5352290971724</x:v>
      </x:c>
      <x:c r="U12" s="31" t="n">
        <x:f>IF(T12="","",I12*T12)</x:f>
        <x:v>347385.43920585624</x:v>
      </x:c>
    </x:row>
    <x:row r="13" ht="18" customHeight="1">
      <x:c r="A13" s="24" t="str">
        <x:v>EEZ_858</x:v>
      </x:c>
      <x:c r="B13" s="24" t="str">
        <x:v>Uruguay</x:v>
      </x:c>
      <x:c r="C13" s="24" t="str">
        <x:v>EEZ</x:v>
      </x:c>
      <x:c r="D13" s="30" t="n">
        <x:v>2019</x:v>
      </x:c>
      <x:c r="E13" s="24" t="str">
        <x:v>Rajiformes</x:v>
      </x:c>
      <x:c r="F13" s="24" t="str">
        <x:v>Skates and rays</x:v>
      </x:c>
      <x:c r="G13" s="24" t="str">
        <x:v>Large rays (&gt;=90 cm)</x:v>
      </x:c>
      <x:c r="H13" s="24" t="str">
        <x:v>Sharks &amp; rays</x:v>
      </x:c>
      <x:c r="I13" s="31" t="n">
        <x:v>794.5581149289</x:v>
      </x:c>
      <x:c r="J13" s="31" t="n">
        <x:v>794.5581149289</x:v>
      </x:c>
      <x:c r="K13" s="31" t="n">
        <x:v>0</x:v>
      </x:c>
      <x:c r="L13" s="31" t="n">
        <x:v>794.5581149289</x:v>
      </x:c>
      <x:c r="M13" s="31" t="n">
        <x:v>0</x:v>
      </x:c>
      <x:c r="N13" s="24" t="str">
        <x:v>rajiformes</x:v>
      </x:c>
      <x:c r="O13" s="32" t="n">
        <x:v>3.61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Rajiformes</x:v>
      </x:c>
      <x:c r="T13" s="32" t="n">
        <x:f>IF(O13="","",(1/'Metadata'!$B$5)^(O13-1))</x:f>
        <x:v>407.3802778041126</x:v>
      </x:c>
      <x:c r="U13" s="31" t="n">
        <x:f>IF(T13="","",I13*T13)</x:f>
        <x:v>323687.3055912473</x:v>
      </x:c>
    </x:row>
    <x:row r="14" ht="18" customHeight="1">
      <x:c r="A14" s="24" t="str">
        <x:v>EEZ_858</x:v>
      </x:c>
      <x:c r="B14" s="24" t="str">
        <x:v>Uruguay</x:v>
      </x:c>
      <x:c r="C14" s="24" t="str">
        <x:v>EEZ</x:v>
      </x:c>
      <x:c r="D14" s="30" t="n">
        <x:v>2019</x:v>
      </x:c>
      <x:c r="E14" s="24" t="str">
        <x:v>Umbrina canosai</x:v>
      </x:c>
      <x:c r="F14" s="24" t="str">
        <x:v>Argentine croaker</x:v>
      </x:c>
      <x:c r="G14" s="24" t="str">
        <x:v>Medium demersals (30 - 89 cm)</x:v>
      </x:c>
      <x:c r="H14" s="24" t="str">
        <x:v>Perch-likes</x:v>
      </x:c>
      <x:c r="I14" s="31" t="n">
        <x:v>605.965818481</x:v>
      </x:c>
      <x:c r="J14" s="31" t="n">
        <x:v>585.1215230091</x:v>
      </x:c>
      <x:c r="K14" s="31" t="n">
        <x:v>20.8442954719</x:v>
      </x:c>
      <x:c r="L14" s="31" t="n">
        <x:v>312</x:v>
      </x:c>
      <x:c r="M14" s="31" t="n">
        <x:v>293.965818481</x:v>
      </x:c>
      <x:c r="N14" s="24" t="str">
        <x:v>umbrina canosai</x:v>
      </x:c>
      <x:c r="O14" s="32" t="n">
        <x:v>3.85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Umbrina canosai</x:v>
      </x:c>
      <x:c r="T14" s="32" t="n">
        <x:f>IF(O14="","",(1/'Metadata'!$B$5)^(O14-1))</x:f>
        <x:v>707.945784384138</x:v>
      </x:c>
      <x:c r="U14" s="31" t="n">
        <x:f>IF(T14="","",I14*T14)</x:f>
        <x:v>428990.9466745078</x:v>
      </x:c>
    </x:row>
    <x:row r="15" ht="18" customHeight="1">
      <x:c r="A15" s="24" t="str">
        <x:v>EEZ_858</x:v>
      </x:c>
      <x:c r="B15" s="24" t="str">
        <x:v>Uruguay</x:v>
      </x:c>
      <x:c r="C15" s="24" t="str">
        <x:v>EEZ</x:v>
      </x:c>
      <x:c r="D15" s="30" t="n">
        <x:v>2019</x:v>
      </x:c>
      <x:c r="E15" s="24" t="str">
        <x:v>Seriolella porosa</x:v>
      </x:c>
      <x:c r="F15" s="24" t="str">
        <x:v>Choicy ruff</x:v>
      </x:c>
      <x:c r="G15" s="24" t="str">
        <x:v>Medium benthopelagics (30 - 89 cm)</x:v>
      </x:c>
      <x:c r="H15" s="24" t="str">
        <x:v>Perch-likes</x:v>
      </x:c>
      <x:c r="I15" s="31" t="n">
        <x:v>590.8392056970999</x:v>
      </x:c>
      <x:c r="J15" s="31" t="n">
        <x:v>590.8392056970999</x:v>
      </x:c>
      <x:c r="K15" s="31" t="n">
        <x:v>0</x:v>
      </x:c>
      <x:c r="L15" s="31" t="n">
        <x:v>590.8392056970999</x:v>
      </x:c>
      <x:c r="M15" s="31" t="n">
        <x:v>0</x:v>
      </x:c>
      <x:c r="N15" s="24" t="str">
        <x:v>seriolella porosa</x:v>
      </x:c>
      <x:c r="O15" s="32" t="n">
        <x:v>3.4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Seriolella porosa</x:v>
      </x:c>
      <x:c r="T15" s="32" t="n">
        <x:f>IF(O15="","",(1/'Metadata'!$B$5)^(O15-1))</x:f>
        <x:v>251.18864315095797</x:v>
      </x:c>
      <x:c r="U15" s="31" t="n">
        <x:f>IF(T15="","",I15*T15)</x:f>
        <x:v>148412.09839944428</x:v>
      </x:c>
    </x:row>
    <x:row r="16" ht="18" customHeight="1">
      <x:c r="A16" s="24" t="str">
        <x:v>EEZ_858</x:v>
      </x:c>
      <x:c r="B16" s="24" t="str">
        <x:v>Uruguay</x:v>
      </x:c>
      <x:c r="C16" s="24" t="str">
        <x:v>EEZ</x:v>
      </x:c>
      <x:c r="D16" s="30" t="n">
        <x:v>2019</x:v>
      </x:c>
      <x:c r="E16" s="24" t="str">
        <x:v>Pomatomus saltatrix</x:v>
      </x:c>
      <x:c r="F16" s="24" t="str">
        <x:v>Bluefish</x:v>
      </x:c>
      <x:c r="G16" s="24" t="str">
        <x:v>Large pelagics (&gt;=90 cm)</x:v>
      </x:c>
      <x:c r="H16" s="24" t="str">
        <x:v>Perch-likes</x:v>
      </x:c>
      <x:c r="I16" s="31" t="n">
        <x:v>540</x:v>
      </x:c>
      <x:c r="J16" s="31" t="n">
        <x:v>540</x:v>
      </x:c>
      <x:c r="K16" s="31" t="n">
        <x:v>0</x:v>
      </x:c>
      <x:c r="L16" s="31" t="n">
        <x:v>540</x:v>
      </x:c>
      <x:c r="M16" s="31" t="n">
        <x:v>0</x:v>
      </x:c>
      <x:c r="N16" s="24" t="str">
        <x:v>pomatomus saltatrix</x:v>
      </x:c>
      <x:c r="O16" s="32" t="n">
        <x:v>4.53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Pomatomus saltatrix</x:v>
      </x:c>
      <x:c r="T16" s="32" t="n">
        <x:f>IF(O16="","",(1/'Metadata'!$B$5)^(O16-1))</x:f>
        <x:v>3388.4415613920273</x:v>
      </x:c>
      <x:c r="U16" s="31" t="n">
        <x:f>IF(T16="","",I16*T16)</x:f>
        <x:v>1829758.4431516947</x:v>
      </x:c>
    </x:row>
    <x:row r="17" ht="18" customHeight="1">
      <x:c r="A17" s="24" t="str">
        <x:v>EEZ_858</x:v>
      </x:c>
      <x:c r="B17" s="24" t="str">
        <x:v>Uruguay</x:v>
      </x:c>
      <x:c r="C17" s="24" t="str">
        <x:v>EEZ</x:v>
      </x:c>
      <x:c r="D17" s="30" t="n">
        <x:v>2019</x:v>
      </x:c>
      <x:c r="E17" s="24" t="str">
        <x:v>Nemadactylus bergi</x:v>
      </x:c>
      <x:c r="F17" s="24" t="str">
        <x:v>Castaneta</x:v>
      </x:c>
      <x:c r="G17" s="24" t="str">
        <x:v>Medium demersals (30 - 89 cm)</x:v>
      </x:c>
      <x:c r="H17" s="24" t="str">
        <x:v>Perch-likes</x:v>
      </x:c>
      <x:c r="I17" s="31" t="n">
        <x:v>536.8996648118</x:v>
      </x:c>
      <x:c r="J17" s="31" t="n">
        <x:v>490</x:v>
      </x:c>
      <x:c r="K17" s="31" t="n">
        <x:v>46.8996648118</x:v>
      </x:c>
      <x:c r="L17" s="31" t="n">
        <x:v>490</x:v>
      </x:c>
      <x:c r="M17" s="31" t="n">
        <x:v>46.8996648118</x:v>
      </x:c>
      <x:c r="N17" s="24" t="str">
        <x:v>nemadactylus bergi</x:v>
      </x:c>
      <x:c r="O17" s="32" t="n">
        <x:v>3.24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Nemadactylus bergi</x:v>
      </x:c>
      <x:c r="T17" s="32" t="n">
        <x:f>IF(O17="","",(1/'Metadata'!$B$5)^(O17-1))</x:f>
        <x:v>173.78008287493762</x:v>
      </x:c>
      <x:c r="U17" s="31" t="n">
        <x:f>IF(T17="","",I17*T17)</x:f>
        <x:v>93302.46824652083</x:v>
      </x:c>
    </x:row>
    <x:row r="18" ht="18" customHeight="1">
      <x:c r="A18" s="24" t="str">
        <x:v>EEZ_858</x:v>
      </x:c>
      <x:c r="B18" s="24" t="str">
        <x:v>Uruguay</x:v>
      </x:c>
      <x:c r="C18" s="24" t="str">
        <x:v>EEZ</x:v>
      </x:c>
      <x:c r="D18" s="30" t="n">
        <x:v>2019</x:v>
      </x:c>
      <x:c r="E18" s="24" t="str">
        <x:v>Squatinidae</x:v>
      </x:c>
      <x:c r="F18" s="24" t="str">
        <x:v>Angel sharks</x:v>
      </x:c>
      <x:c r="G18" s="24" t="str">
        <x:v>Large sharks (&gt;=90 cm)</x:v>
      </x:c>
      <x:c r="H18" s="24" t="str">
        <x:v>Sharks &amp; rays</x:v>
      </x:c>
      <x:c r="I18" s="31" t="n">
        <x:v>492.2080729135</x:v>
      </x:c>
      <x:c r="J18" s="31" t="n">
        <x:v>492.2080729135</x:v>
      </x:c>
      <x:c r="K18" s="31" t="n">
        <x:v>0</x:v>
      </x:c>
      <x:c r="L18" s="31" t="n">
        <x:v>36.112357825800004</x:v>
      </x:c>
      <x:c r="M18" s="31" t="n">
        <x:v>456.0957150877</x:v>
      </x:c>
      <x:c r="N18" s="24" t="str">
        <x:v>squatinidae</x:v>
      </x:c>
      <x:c r="O18" s="32" t="n">
        <x:v>4.13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Squatinidae</x:v>
      </x:c>
      <x:c r="T18" s="32" t="n">
        <x:f>IF(O18="","",(1/'Metadata'!$B$5)^(O18-1))</x:f>
        <x:v>1348.9628825916532</x:v>
      </x:c>
      <x:c r="U18" s="31" t="n">
        <x:f>IF(T18="","",I18*T18)</x:f>
        <x:v>663970.4208722776</x:v>
      </x:c>
    </x:row>
    <x:row r="19" ht="18" customHeight="1">
      <x:c r="A19" s="24" t="str">
        <x:v>EEZ_858</x:v>
      </x:c>
      <x:c r="B19" s="24" t="str">
        <x:v>Uruguay</x:v>
      </x:c>
      <x:c r="C19" s="24" t="str">
        <x:v>EEZ</x:v>
      </x:c>
      <x:c r="D19" s="30" t="n">
        <x:v>2019</x:v>
      </x:c>
      <x:c r="E19" s="24" t="str">
        <x:v>Parona signata</x:v>
      </x:c>
      <x:c r="F19" s="24" t="str">
        <x:v>Parona leatherjacket</x:v>
      </x:c>
      <x:c r="G19" s="24" t="str">
        <x:v>Medium demersals (30 - 89 cm)</x:v>
      </x:c>
      <x:c r="H19" s="24" t="str">
        <x:v>Perch-likes</x:v>
      </x:c>
      <x:c r="I19" s="31" t="n">
        <x:v>456.4358620577</x:v>
      </x:c>
      <x:c r="J19" s="31" t="n">
        <x:v>456.4358620577</x:v>
      </x:c>
      <x:c r="K19" s="31" t="n">
        <x:v>0</x:v>
      </x:c>
      <x:c r="L19" s="31" t="n">
        <x:v>260</x:v>
      </x:c>
      <x:c r="M19" s="31" t="n">
        <x:v>196.4358620577</x:v>
      </x:c>
      <x:c r="N19" s="24" t="str">
        <x:v>parona signata</x:v>
      </x:c>
      <x:c r="O19" s="32" t="n">
        <x:v>3.4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Parona signata</x:v>
      </x:c>
      <x:c r="T19" s="32" t="n">
        <x:f>IF(O19="","",(1/'Metadata'!$B$5)^(O19-1))</x:f>
        <x:v>251.18864315095797</x:v>
      </x:c>
      <x:c r="U19" s="31" t="n">
        <x:f>IF(T19="","",I19*T19)</x:f>
        <x:v>114651.50487571147</x:v>
      </x:c>
    </x:row>
    <x:row r="20" ht="18" customHeight="1">
      <x:c r="A20" s="24" t="str">
        <x:v>EEZ_858</x:v>
      </x:c>
      <x:c r="B20" s="24" t="str">
        <x:v>Uruguay</x:v>
      </x:c>
      <x:c r="C20" s="24" t="str">
        <x:v>EEZ</x:v>
      </x:c>
      <x:c r="D20" s="30" t="n">
        <x:v>2019</x:v>
      </x:c>
      <x:c r="E20" s="24" t="str">
        <x:v>Rajidae</x:v>
      </x:c>
      <x:c r="F20" s="24" t="str">
        <x:v>Stingrays</x:v>
      </x:c>
      <x:c r="G20" s="24" t="str">
        <x:v>Large rays (&gt;=90 cm)</x:v>
      </x:c>
      <x:c r="H20" s="24" t="str">
        <x:v>Sharks &amp; rays</x:v>
      </x:c>
      <x:c r="I20" s="31" t="n">
        <x:v>387.8400257834</x:v>
      </x:c>
      <x:c r="J20" s="31" t="n">
        <x:v>3.7838817138</x:v>
      </x:c>
      <x:c r="K20" s="31" t="n">
        <x:v>384.0561440696</x:v>
      </x:c>
      <x:c r="L20" s="31" t="n">
        <x:v>0.3053407353</x:v>
      </x:c>
      <x:c r="M20" s="31" t="n">
        <x:v>387.5346850481</x:v>
      </x:c>
      <x:c r="N20" s="24" t="str">
        <x:v>rajidae</x:v>
      </x:c>
      <x:c r="O20" s="32" t="n">
        <x:v>3.82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Rajidae</x:v>
      </x:c>
      <x:c r="T20" s="32" t="n">
        <x:f>IF(O20="","",(1/'Metadata'!$B$5)^(O20-1))</x:f>
        <x:v>660.6934480075957</x:v>
      </x:c>
      <x:c r="U20" s="31" t="n">
        <x:f>IF(T20="","",I20*T20)</x:f>
        <x:v>256243.36391018936</x:v>
      </x:c>
    </x:row>
    <x:row r="21" ht="18" customHeight="1">
      <x:c r="A21" s="24" t="str">
        <x:v>EEZ_858</x:v>
      </x:c>
      <x:c r="B21" s="24" t="str">
        <x:v>Uruguay</x:v>
      </x:c>
      <x:c r="C21" s="24" t="str">
        <x:v>EEZ</x:v>
      </x:c>
      <x:c r="D21" s="30" t="n">
        <x:v>2019</x:v>
      </x:c>
      <x:c r="E21" s="24" t="str">
        <x:v>Pogonias courbina</x:v>
      </x:c>
      <x:c r="F21" s="24" t="str">
        <x:v>Black drum</x:v>
      </x:c>
      <x:c r="G21" s="24" t="str">
        <x:v>Large demersals (&gt;=90 cm)</x:v>
      </x:c>
      <x:c r="H21" s="24" t="str">
        <x:v>Perch-likes</x:v>
      </x:c>
      <x:c r="I21" s="31" t="n">
        <x:v>363.7364800834</x:v>
      </x:c>
      <x:c r="J21" s="31" t="n">
        <x:v>363.7364800834</x:v>
      </x:c>
      <x:c r="K21" s="31" t="n">
        <x:v>0</x:v>
      </x:c>
      <x:c r="L21" s="31" t="n">
        <x:v>280</x:v>
      </x:c>
      <x:c r="M21" s="31" t="n">
        <x:v>83.73648008340001</x:v>
      </x:c>
      <x:c r="N21" s="24" t="str">
        <x:v>pogonias courbina</x:v>
      </x:c>
      <x:c r="O21" s="32" t="n">
        <x:v>3.89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Pogonias courbina</x:v>
      </x:c>
      <x:c r="T21" s="32" t="n">
        <x:f>IF(O21="","",(1/'Metadata'!$B$5)^(O21-1))</x:f>
        <x:v>776.247116628692</x:v>
      </x:c>
      <x:c r="U21" s="31" t="n">
        <x:f>IF(T21="","",I21*T21)</x:f>
        <x:v>282349.3938774089</x:v>
      </x:c>
    </x:row>
    <x:row r="22" ht="18" customHeight="1">
      <x:c r="A22" s="24" t="str">
        <x:v>EEZ_858</x:v>
      </x:c>
      <x:c r="B22" s="24" t="str">
        <x:v>Uruguay</x:v>
      </x:c>
      <x:c r="C22" s="24" t="str">
        <x:v>EEZ</x:v>
      </x:c>
      <x:c r="D22" s="30" t="n">
        <x:v>2019</x:v>
      </x:c>
      <x:c r="E22" s="24" t="str">
        <x:v>Mustelus schmitti</x:v>
      </x:c>
      <x:c r="F22" s="24" t="str">
        <x:v>Narrownose smooth-hound</x:v>
      </x:c>
      <x:c r="G22" s="24" t="str">
        <x:v>Small to medium sharks (&lt;90 cm)</x:v>
      </x:c>
      <x:c r="H22" s="24" t="str">
        <x:v>Sharks &amp; rays</x:v>
      </x:c>
      <x:c r="I22" s="31" t="n">
        <x:v>263.8994188413</x:v>
      </x:c>
      <x:c r="J22" s="31" t="n">
        <x:v>261.29388190730003</x:v>
      </x:c>
      <x:c r="K22" s="31" t="n">
        <x:v>2.605536934</x:v>
      </x:c>
      <x:c r="L22" s="31" t="n">
        <x:v>261.29388190730003</x:v>
      </x:c>
      <x:c r="M22" s="31" t="n">
        <x:v>2.605536934</x:v>
      </x:c>
      <x:c r="N22" s="24" t="str">
        <x:v>mustelus schmitti</x:v>
      </x:c>
      <x:c r="O22" s="32" t="n">
        <x:v>3.59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Mustelus schmitti</x:v>
      </x:c>
      <x:c r="T22" s="32" t="n">
        <x:f>IF(O22="","",(1/'Metadata'!$B$5)^(O22-1))</x:f>
        <x:v>389.04514499428046</x:v>
      </x:c>
      <x:c r="U22" s="31" t="n">
        <x:f>IF(T22="","",I22*T22)</x:f>
        <x:v>102668.78766701992</x:v>
      </x:c>
    </x:row>
    <x:row r="23" ht="18" customHeight="1">
      <x:c r="A23" s="24" t="str">
        <x:v>EEZ_858</x:v>
      </x:c>
      <x:c r="B23" s="24" t="str">
        <x:v>Uruguay</x:v>
      </x:c>
      <x:c r="C23" s="24" t="str">
        <x:v>EEZ</x:v>
      </x:c>
      <x:c r="D23" s="30" t="n">
        <x:v>2019</x:v>
      </x:c>
      <x:c r="E23" s="24" t="str">
        <x:v>Katsuwonus pelamis</x:v>
      </x:c>
      <x:c r="F23" s="24" t="str">
        <x:v>Skipjack tuna</x:v>
      </x:c>
      <x:c r="G23" s="24" t="str">
        <x:v>Large pelagics (&gt;=90 cm)</x:v>
      </x:c>
      <x:c r="H23" s="24" t="str">
        <x:v>Tuna &amp; billfishes</x:v>
      </x:c>
      <x:c r="I23" s="31" t="n">
        <x:v>258.8096610929</x:v>
      </x:c>
      <x:c r="J23" s="31" t="n">
        <x:v>258.8096610929</x:v>
      </x:c>
      <x:c r="K23" s="31" t="n">
        <x:v>0</x:v>
      </x:c>
      <x:c r="L23" s="31" t="n">
        <x:v>258.8096610929</x:v>
      </x:c>
      <x:c r="M23" s="31" t="n">
        <x:v>0</x:v>
      </x:c>
      <x:c r="N23" s="24" t="str">
        <x:v>katsuwonus pelamis</x:v>
      </x:c>
      <x:c r="O23" s="32" t="n">
        <x:v>4.43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Katsuwonus pelamis</x:v>
      </x:c>
      <x:c r="T23" s="32" t="n">
        <x:f>IF(O23="","",(1/'Metadata'!$B$5)^(O23-1))</x:f>
        <x:v>2691.534803926914</x:v>
      </x:c>
      <x:c r="U23" s="31" t="n">
        <x:f>IF(T23="","",I23*T23)</x:f>
        <x:v>696595.2104240697</x:v>
      </x:c>
    </x:row>
    <x:row r="24" ht="18" customHeight="1">
      <x:c r="A24" s="24" t="str">
        <x:v>EEZ_858</x:v>
      </x:c>
      <x:c r="B24" s="24" t="str">
        <x:v>Uruguay</x:v>
      </x:c>
      <x:c r="C24" s="24" t="str">
        <x:v>EEZ</x:v>
      </x:c>
      <x:c r="D24" s="30" t="n">
        <x:v>2019</x:v>
      </x:c>
      <x:c r="E24" s="24" t="str">
        <x:v>Mugilidae</x:v>
      </x:c>
      <x:c r="F24" s="24" t="str">
        <x:v>Mullets, grey mullets</x:v>
      </x:c>
      <x:c r="G24" s="24" t="str">
        <x:v>Medium reef assoc. fish (30 - 89 cm)</x:v>
      </x:c>
      <x:c r="H24" s="24" t="str">
        <x:v>Perch-likes</x:v>
      </x:c>
      <x:c r="I24" s="31" t="n">
        <x:v>232.2137891893</x:v>
      </x:c>
      <x:c r="J24" s="31" t="n">
        <x:v>232.2137891893</x:v>
      </x:c>
      <x:c r="K24" s="31" t="n">
        <x:v>0</x:v>
      </x:c>
      <x:c r="L24" s="31" t="n">
        <x:v>232.2137891893</x:v>
      </x:c>
      <x:c r="M24" s="31" t="n">
        <x:v>0</x:v>
      </x:c>
      <x:c r="N24" s="24" t="str">
        <x:v>mugilidae</x:v>
      </x:c>
      <x:c r="O24" s="32" t="n">
        <x:v>2.53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Mugilidae</x:v>
      </x:c>
      <x:c r="T24" s="32" t="n">
        <x:f>IF(O24="","",(1/'Metadata'!$B$5)^(O24-1))</x:f>
        <x:v>33.88441561392024</x:v>
      </x:c>
      <x:c r="U24" s="31" t="n">
        <x:f>IF(T24="","",I24*T24)</x:f>
        <x:v>7868.4285441735</x:v>
      </x:c>
    </x:row>
    <x:row r="25" ht="18" customHeight="1">
      <x:c r="A25" s="24" t="str">
        <x:v>EEZ_858</x:v>
      </x:c>
      <x:c r="B25" s="24" t="str">
        <x:v>Uruguay</x:v>
      </x:c>
      <x:c r="C25" s="24" t="str">
        <x:v>EEZ</x:v>
      </x:c>
      <x:c r="D25" s="30" t="n">
        <x:v>2019</x:v>
      </x:c>
      <x:c r="E25" s="24" t="str">
        <x:v>Genypterus blacodes</x:v>
      </x:c>
      <x:c r="F25" s="24" t="str">
        <x:v>Pink cusk-eel</x:v>
      </x:c>
      <x:c r="G25" s="24" t="str">
        <x:v>Large bathydemersals (&gt;=90 cm)</x:v>
      </x:c>
      <x:c r="H25" s="24" t="str">
        <x:v>Other fishes &amp; inverts</x:v>
      </x:c>
      <x:c r="I25" s="31" t="n">
        <x:v>198.90370690210003</x:v>
      </x:c>
      <x:c r="J25" s="31" t="n">
        <x:v>198.90370690210003</x:v>
      </x:c>
      <x:c r="K25" s="31" t="n">
        <x:v>0</x:v>
      </x:c>
      <x:c r="L25" s="31" t="n">
        <x:v>198.90370690210003</x:v>
      </x:c>
      <x:c r="M25" s="31" t="n">
        <x:v>0</x:v>
      </x:c>
      <x:c r="N25" s="24" t="str">
        <x:v>genypterus blacodes</x:v>
      </x:c>
      <x:c r="O25" s="32" t="n">
        <x:v>4.22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Genypterus blacodes</x:v>
      </x:c>
      <x:c r="T25" s="32" t="n">
        <x:f>IF(O25="","",(1/'Metadata'!$B$5)^(O25-1))</x:f>
        <x:v>1659.5869074375596</x:v>
      </x:c>
      <x:c r="U25" s="31" t="n">
        <x:f>IF(T25="","",I25*T25)</x:f>
        <x:v>330097.98781552294</x:v>
      </x:c>
    </x:row>
    <x:row r="26" ht="18" customHeight="1">
      <x:c r="A26" s="24" t="str">
        <x:v>EEZ_858</x:v>
      </x:c>
      <x:c r="B26" s="24" t="str">
        <x:v>Uruguay</x:v>
      </x:c>
      <x:c r="C26" s="24" t="str">
        <x:v>EEZ</x:v>
      </x:c>
      <x:c r="D26" s="30" t="n">
        <x:v>2019</x:v>
      </x:c>
      <x:c r="E26" s="24" t="str">
        <x:v>Merluccius</x:v>
      </x:c>
      <x:c r="F26" s="24" t="str">
        <x:v>Hakes</x:v>
      </x:c>
      <x:c r="G26" s="24" t="str">
        <x:v>Medium bathydemersals (30 - 89 cm)</x:v>
      </x:c>
      <x:c r="H26" s="24" t="str">
        <x:v>Cod-likes</x:v>
      </x:c>
      <x:c r="I26" s="31" t="n">
        <x:v>180.8537740001</x:v>
      </x:c>
      <x:c r="J26" s="31" t="n">
        <x:v>180.8537740001</x:v>
      </x:c>
      <x:c r="K26" s="31" t="n">
        <x:v>0</x:v>
      </x:c>
      <x:c r="L26" s="31" t="n">
        <x:v>180.8537740001</x:v>
      </x:c>
      <x:c r="M26" s="31" t="n">
        <x:v>0</x:v>
      </x:c>
      <x:c r="N26" s="24" t="str">
        <x:v>merluccius</x:v>
      </x:c>
      <x:c r="O26" s="32" t="n">
        <x:v>4.27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Merluccius</x:v>
      </x:c>
      <x:c r="T26" s="32" t="n">
        <x:f>IF(O26="","",(1/'Metadata'!$B$5)^(O26-1))</x:f>
        <x:v>1862.0871366628655</x:v>
      </x:c>
      <x:c r="U26" s="31" t="n">
        <x:f>IF(T26="","",I26*T26)</x:f>
        <x:v>336765.48618251923</x:v>
      </x:c>
    </x:row>
    <x:row r="27" ht="18" customHeight="1">
      <x:c r="A27" s="24" t="str">
        <x:v>EEZ_858</x:v>
      </x:c>
      <x:c r="B27" s="24" t="str">
        <x:v>Uruguay</x:v>
      </x:c>
      <x:c r="C27" s="24" t="str">
        <x:v>EEZ</x:v>
      </x:c>
      <x:c r="D27" s="30" t="n">
        <x:v>2019</x:v>
      </x:c>
      <x:c r="E27" s="24" t="str">
        <x:v>Gadiformes</x:v>
      </x:c>
      <x:c r="F27" s="24" t="str">
        <x:v>Cods</x:v>
      </x:c>
      <x:c r="G27" s="24" t="str">
        <x:v>Medium benthopelagics (30 - 89 cm)</x:v>
      </x:c>
      <x:c r="H27" s="24" t="str">
        <x:v>Cod-likes</x:v>
      </x:c>
      <x:c r="I27" s="31" t="n">
        <x:v>148.82232273099999</x:v>
      </x:c>
      <x:c r="J27" s="31" t="n">
        <x:v>148.82232273099999</x:v>
      </x:c>
      <x:c r="K27" s="31" t="n">
        <x:v>0</x:v>
      </x:c>
      <x:c r="L27" s="31" t="n">
        <x:v>148.82232273099999</x:v>
      </x:c>
      <x:c r="M27" s="31" t="n">
        <x:v>0</x:v>
      </x:c>
      <x:c r="N27" s="24" t="str">
        <x:v>gadiformes</x:v>
      </x:c>
      <x:c r="O27" s="32" t="n">
        <x:v>3.91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Gadiformes</x:v>
      </x:c>
      <x:c r="T27" s="32" t="n">
        <x:f>IF(O27="","",(1/'Metadata'!$B$5)^(O27-1))</x:f>
        <x:v>812.8305161640995</x:v>
      </x:c>
      <x:c r="U27" s="31" t="n">
        <x:f>IF(T27="","",I27*T27)</x:f>
        <x:v>120967.32540217892</x:v>
      </x:c>
    </x:row>
    <x:row r="28" ht="18" customHeight="1">
      <x:c r="A28" s="24" t="str">
        <x:v>EEZ_858</x:v>
      </x:c>
      <x:c r="B28" s="24" t="str">
        <x:v>Uruguay</x:v>
      </x:c>
      <x:c r="C28" s="24" t="str">
        <x:v>EEZ</x:v>
      </x:c>
      <x:c r="D28" s="30" t="n">
        <x:v>2019</x:v>
      </x:c>
      <x:c r="E28" s="24" t="str">
        <x:v>Macrourus</x:v>
      </x:c>
      <x:c r="F28" s="24" t="str">
        <x:v>Rattails</x:v>
      </x:c>
      <x:c r="G28" s="24" t="str">
        <x:v>Medium benthopelagics (30 - 89 cm)</x:v>
      </x:c>
      <x:c r="H28" s="24" t="str">
        <x:v>Cod-likes</x:v>
      </x:c>
      <x:c r="I28" s="31" t="n">
        <x:v>124.1289395259</x:v>
      </x:c>
      <x:c r="J28" s="31" t="n">
        <x:v>124.1289395259</x:v>
      </x:c>
      <x:c r="K28" s="31" t="n">
        <x:v>0</x:v>
      </x:c>
      <x:c r="L28" s="31" t="n">
        <x:v>124.1289395259</x:v>
      </x:c>
      <x:c r="M28" s="31" t="n">
        <x:v>0</x:v>
      </x:c>
      <x:c r="N28" s="24" t="str">
        <x:v>macrourus</x:v>
      </x:c>
      <x:c r="O28" s="32" t="n">
        <x:v>3.58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Macrourus</x:v>
      </x:c>
      <x:c r="T28" s="32" t="n">
        <x:f>IF(O28="","",(1/'Metadata'!$B$5)^(O28-1))</x:f>
        <x:v>380.1893963205613</x:v>
      </x:c>
      <x:c r="U28" s="31" t="n">
        <x:f>IF(T28="","",I28*T28)</x:f>
        <x:v>47192.50658426338</x:v>
      </x:c>
    </x:row>
    <x:row r="29" ht="18" customHeight="1">
      <x:c r="A29" s="24" t="str">
        <x:v>EEZ_858</x:v>
      </x:c>
      <x:c r="B29" s="24" t="str">
        <x:v>Uruguay</x:v>
      </x:c>
      <x:c r="C29" s="24" t="str">
        <x:v>EEZ</x:v>
      </x:c>
      <x:c r="D29" s="30" t="n">
        <x:v>2019</x:v>
      </x:c>
      <x:c r="E29" s="24" t="str">
        <x:v>Squatina argentina</x:v>
      </x:c>
      <x:c r="F29" s="24" t="str">
        <x:v>Argentine angelshark</x:v>
      </x:c>
      <x:c r="G29" s="24" t="str">
        <x:v>Large sharks (&gt;=90 cm)</x:v>
      </x:c>
      <x:c r="H29" s="24" t="str">
        <x:v>Sharks &amp; rays</x:v>
      </x:c>
      <x:c r="I29" s="31" t="n">
        <x:v>123.8876421742</x:v>
      </x:c>
      <x:c r="J29" s="31" t="n">
        <x:v>123.8876421742</x:v>
      </x:c>
      <x:c r="K29" s="31" t="n">
        <x:v>0</x:v>
      </x:c>
      <x:c r="L29" s="31" t="n">
        <x:v>123.8876421742</x:v>
      </x:c>
      <x:c r="M29" s="31" t="n">
        <x:v>0</x:v>
      </x:c>
      <x:c r="N29" s="24" t="str">
        <x:v>squatina argentina</x:v>
      </x:c>
      <x:c r="O29" s="32" t="n">
        <x:v>4.11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Squatina argentina</x:v>
      </x:c>
      <x:c r="T29" s="32" t="n">
        <x:f>IF(O29="","",(1/'Metadata'!$B$5)^(O29-1))</x:f>
        <x:v>1288.249551693135</x:v>
      </x:c>
      <x:c r="U29" s="31" t="n">
        <x:f>IF(T29="","",I29*T29)</x:f>
        <x:v>159598.19949123266</x:v>
      </x:c>
    </x:row>
    <x:row r="30" ht="18" customHeight="1">
      <x:c r="A30" s="24" t="str">
        <x:v>EEZ_858</x:v>
      </x:c>
      <x:c r="B30" s="24" t="str">
        <x:v>Uruguay</x:v>
      </x:c>
      <x:c r="C30" s="24" t="str">
        <x:v>EEZ</x:v>
      </x:c>
      <x:c r="D30" s="30" t="n">
        <x:v>2019</x:v>
      </x:c>
      <x:c r="E30" s="24" t="str">
        <x:v>Mugil</x:v>
      </x:c>
      <x:c r="F30" s="24" t="str">
        <x:v>Grey mullets</x:v>
      </x:c>
      <x:c r="G30" s="24" t="str">
        <x:v>Medium demersals (30 - 89 cm)</x:v>
      </x:c>
      <x:c r="H30" s="24" t="str">
        <x:v>Perch-likes</x:v>
      </x:c>
      <x:c r="I30" s="31" t="n">
        <x:v>97.671306013</x:v>
      </x:c>
      <x:c r="J30" s="31" t="n">
        <x:v>97.671306013</x:v>
      </x:c>
      <x:c r="K30" s="31" t="n">
        <x:v>0</x:v>
      </x:c>
      <x:c r="L30" s="31" t="n">
        <x:v>7.7862108107</x:v>
      </x:c>
      <x:c r="M30" s="31" t="n">
        <x:v>89.88509520230001</x:v>
      </x:c>
      <x:c r="N30" s="24" t="str">
        <x:v>mugil</x:v>
      </x:c>
      <x:c r="O30" s="32" t="n">
        <x:v>2.26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Mugil</x:v>
      </x:c>
      <x:c r="T30" s="32" t="n">
        <x:f>IF(O30="","",(1/'Metadata'!$B$5)^(O30-1))</x:f>
        <x:v>18.197008586099827</x:v>
      </x:c>
      <x:c r="U30" s="31" t="n">
        <x:f>IF(T30="","",I30*T30)</x:f>
        <x:v>1777.3255941341447</x:v>
      </x:c>
    </x:row>
    <x:row r="31" ht="18" customHeight="1">
      <x:c r="A31" s="24" t="str">
        <x:v>EEZ_858</x:v>
      </x:c>
      <x:c r="B31" s="24" t="str">
        <x:v>Uruguay</x:v>
      </x:c>
      <x:c r="C31" s="24" t="str">
        <x:v>EEZ</x:v>
      </x:c>
      <x:c r="D31" s="30" t="n">
        <x:v>2019</x:v>
      </x:c>
      <x:c r="E31" s="24" t="str">
        <x:v>Diplodus argenteus</x:v>
      </x:c>
      <x:c r="F31" s="24" t="str">
        <x:v>South American silver porgy</x:v>
      </x:c>
      <x:c r="G31" s="24" t="str">
        <x:v>Medium demersals (30 - 89 cm)</x:v>
      </x:c>
      <x:c r="H31" s="24" t="str">
        <x:v>Perch-likes</x:v>
      </x:c>
      <x:c r="I31" s="31" t="n">
        <x:v>70</x:v>
      </x:c>
      <x:c r="J31" s="31" t="n">
        <x:v>70</x:v>
      </x:c>
      <x:c r="K31" s="31" t="n">
        <x:v>0</x:v>
      </x:c>
      <x:c r="L31" s="31" t="n">
        <x:v>70</x:v>
      </x:c>
      <x:c r="M31" s="31" t="n">
        <x:v>0</x:v>
      </x:c>
      <x:c r="N31" s="24" t="str">
        <x:v>diplodus argenteus</x:v>
      </x:c>
      <x:c r="O31" s="32" t="n">
        <x:v>3.13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Diplodus argenteus</x:v>
      </x:c>
      <x:c r="T31" s="32" t="n">
        <x:f>IF(O31="","",(1/'Metadata'!$B$5)^(O31-1))</x:f>
        <x:v>134.89628825916532</x:v>
      </x:c>
      <x:c r="U31" s="31" t="n">
        <x:f>IF(T31="","",I31*T31)</x:f>
        <x:v>9442.740178141572</x:v>
      </x:c>
    </x:row>
    <x:row r="32" ht="18" customHeight="1">
      <x:c r="A32" s="24" t="str">
        <x:v>EEZ_858</x:v>
      </x:c>
      <x:c r="B32" s="24" t="str">
        <x:v>Uruguay</x:v>
      </x:c>
      <x:c r="C32" s="24" t="str">
        <x:v>EEZ</x:v>
      </x:c>
      <x:c r="D32" s="30" t="n">
        <x:v>2019</x:v>
      </x:c>
      <x:c r="E32" s="24" t="str">
        <x:v>Nototheniidae</x:v>
      </x:c>
      <x:c r="F32" s="24" t="str">
        <x:v>Cod icefishes</x:v>
      </x:c>
      <x:c r="G32" s="24" t="str">
        <x:v>Large bathydemersals (&gt;=90 cm)</x:v>
      </x:c>
      <x:c r="H32" s="24" t="str">
        <x:v>Perch-likes</x:v>
      </x:c>
      <x:c r="I32" s="31" t="n">
        <x:v>64.32283467399999</x:v>
      </x:c>
      <x:c r="J32" s="31" t="n">
        <x:v>64.32283467399999</x:v>
      </x:c>
      <x:c r="K32" s="31" t="n">
        <x:v>0</x:v>
      </x:c>
      <x:c r="L32" s="31" t="n">
        <x:v>64.32283467399999</x:v>
      </x:c>
      <x:c r="M32" s="31" t="n">
        <x:v>0</x:v>
      </x:c>
      <x:c r="N32" s="24" t="str">
        <x:v>nototheniidae</x:v>
      </x:c>
      <x:c r="O32" s="32" t="n">
        <x:v>3.43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Nototheniidae</x:v>
      </x:c>
      <x:c r="T32" s="32" t="n">
        <x:f>IF(O32="","",(1/'Metadata'!$B$5)^(O32-1))</x:f>
        <x:v>269.1534803926917</x:v>
      </x:c>
      <x:c r="U32" s="31" t="n">
        <x:f>IF(T32="","",I32*T32)</x:f>
        <x:v>17312.714821230806</x:v>
      </x:c>
    </x:row>
    <x:row r="33" ht="18" customHeight="1">
      <x:c r="A33" s="24" t="str">
        <x:v>EEZ_858</x:v>
      </x:c>
      <x:c r="B33" s="24" t="str">
        <x:v>Uruguay</x:v>
      </x:c>
      <x:c r="C33" s="24" t="str">
        <x:v>EEZ</x:v>
      </x:c>
      <x:c r="D33" s="30" t="n">
        <x:v>2019</x:v>
      </x:c>
      <x:c r="E33" s="24" t="str">
        <x:v>Macruronus magellanicus</x:v>
      </x:c>
      <x:c r="F33" s="24" t="str">
        <x:v>Patagonian grenadier</x:v>
      </x:c>
      <x:c r="G33" s="24" t="str">
        <x:v>Large benthopelagics (&gt;=90 cm)</x:v>
      </x:c>
      <x:c r="H33" s="24" t="str">
        <x:v>Cod-likes</x:v>
      </x:c>
      <x:c r="I33" s="31" t="n">
        <x:v>57.2825692619</x:v>
      </x:c>
      <x:c r="J33" s="31" t="n">
        <x:v>57.2825692619</x:v>
      </x:c>
      <x:c r="K33" s="31" t="n">
        <x:v>0</x:v>
      </x:c>
      <x:c r="L33" s="31" t="n">
        <x:v>57.2825692619</x:v>
      </x:c>
      <x:c r="M33" s="31" t="n">
        <x:v>0</x:v>
      </x:c>
      <x:c r="N33" s="24" t="str">
        <x:v>macruronus magellanicus</x:v>
      </x:c>
      <x:c r="O33" s="32" t="n">
        <x:v>3.93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Macruronus magellanicus</x:v>
      </x:c>
      <x:c r="T33" s="32" t="n">
        <x:f>IF(O33="","",(1/'Metadata'!$B$5)^(O33-1))</x:f>
        <x:v>851.1380382023768</x:v>
      </x:c>
      <x:c r="U33" s="31" t="n">
        <x:f>IF(T33="","",I33*T33)</x:f>
        <x:v>48755.37362476534</x:v>
      </x:c>
    </x:row>
    <x:row r="34" ht="18" customHeight="1">
      <x:c r="A34" s="24" t="str">
        <x:v>EEZ_858</x:v>
      </x:c>
      <x:c r="B34" s="24" t="str">
        <x:v>Uruguay</x:v>
      </x:c>
      <x:c r="C34" s="24" t="str">
        <x:v>EEZ</x:v>
      </x:c>
      <x:c r="D34" s="30" t="n">
        <x:v>2019</x:v>
      </x:c>
      <x:c r="E34" s="24" t="str">
        <x:v>Conger orbignianus</x:v>
      </x:c>
      <x:c r="F34" s="24" t="str">
        <x:v>Argentine conger</x:v>
      </x:c>
      <x:c r="G34" s="24" t="str">
        <x:v>Large demersals (&gt;=90 cm)</x:v>
      </x:c>
      <x:c r="H34" s="24" t="str">
        <x:v>Other fishes &amp; inverts</x:v>
      </x:c>
      <x:c r="I34" s="31" t="n">
        <x:v>51.1221539766</x:v>
      </x:c>
      <x:c r="J34" s="31" t="n">
        <x:v>51.1221539766</x:v>
      </x:c>
      <x:c r="K34" s="31" t="n">
        <x:v>0</x:v>
      </x:c>
      <x:c r="L34" s="31" t="n">
        <x:v>30</x:v>
      </x:c>
      <x:c r="M34" s="31" t="n">
        <x:v>21.122153976599996</x:v>
      </x:c>
      <x:c r="N34" s="24" t="str">
        <x:v>conger orbignianus</x:v>
      </x:c>
      <x:c r="O34" s="32" t="n">
        <x:v>3.72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Conger orbignianus</x:v>
      </x:c>
      <x:c r="T34" s="32" t="n">
        <x:f>IF(O34="","",(1/'Metadata'!$B$5)^(O34-1))</x:f>
        <x:v>524.8074602497728</x:v>
      </x:c>
      <x:c r="U34" s="31" t="n">
        <x:f>IF(T34="","",I34*T34)</x:f>
        <x:v>26829.28779095727</x:v>
      </x:c>
    </x:row>
    <x:row r="35" ht="18" customHeight="1">
      <x:c r="A35" s="24" t="str">
        <x:v>EEZ_858</x:v>
      </x:c>
      <x:c r="B35" s="24" t="str">
        <x:v>Uruguay</x:v>
      </x:c>
      <x:c r="C35" s="24" t="str">
        <x:v>EEZ</x:v>
      </x:c>
      <x:c r="D35" s="30" t="n">
        <x:v>2019</x:v>
      </x:c>
      <x:c r="E35" s="24" t="str">
        <x:v>Pseudobatos percellens</x:v>
      </x:c>
      <x:c r="F35" s="24" t="str">
        <x:v>Chola guitarfish</x:v>
      </x:c>
      <x:c r="G35" s="24" t="str">
        <x:v>Small to medium rays (&lt;90 cm)</x:v>
      </x:c>
      <x:c r="H35" s="24" t="str">
        <x:v>Sharks &amp; rays</x:v>
      </x:c>
      <x:c r="I35" s="31" t="n">
        <x:v>50</x:v>
      </x:c>
      <x:c r="J35" s="31" t="n">
        <x:v>50</x:v>
      </x:c>
      <x:c r="K35" s="31" t="n">
        <x:v>0</x:v>
      </x:c>
      <x:c r="L35" s="31" t="n">
        <x:v>50</x:v>
      </x:c>
      <x:c r="M35" s="31" t="n">
        <x:v>0</x:v>
      </x:c>
      <x:c r="N35" s="24" t="str">
        <x:v>pseudobatos percellens</x:v>
      </x:c>
      <x:c r="O35" s="32" t="n">
        <x:v>3.58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Pseudobatos percellens</x:v>
      </x:c>
      <x:c r="T35" s="32" t="n">
        <x:f>IF(O35="","",(1/'Metadata'!$B$5)^(O35-1))</x:f>
        <x:v>380.1893963205613</x:v>
      </x:c>
      <x:c r="U35" s="31" t="n">
        <x:f>IF(T35="","",I35*T35)</x:f>
        <x:v>19009.469816028064</x:v>
      </x:c>
    </x:row>
    <x:row r="36" ht="18" customHeight="1">
      <x:c r="A36" s="24" t="str">
        <x:v>EEZ_858</x:v>
      </x:c>
      <x:c r="B36" s="24" t="str">
        <x:v>Uruguay</x:v>
      </x:c>
      <x:c r="C36" s="24" t="str">
        <x:v>EEZ</x:v>
      </x:c>
      <x:c r="D36" s="30" t="n">
        <x:v>2019</x:v>
      </x:c>
      <x:c r="E36" s="24" t="str">
        <x:v>Stromateidae</x:v>
      </x:c>
      <x:c r="F36" s="24" t="str">
        <x:v>Butterfishes</x:v>
      </x:c>
      <x:c r="G36" s="24" t="str">
        <x:v>Small benthopelagics (&lt;30 cm)</x:v>
      </x:c>
      <x:c r="H36" s="24" t="str">
        <x:v>Perch-likes</x:v>
      </x:c>
      <x:c r="I36" s="31" t="n">
        <x:v>38.0815144005</x:v>
      </x:c>
      <x:c r="J36" s="31" t="n">
        <x:v>38.0815144005</x:v>
      </x:c>
      <x:c r="K36" s="31" t="n">
        <x:v>0</x:v>
      </x:c>
      <x:c r="L36" s="31" t="n">
        <x:v>38.0815144005</x:v>
      </x:c>
      <x:c r="M36" s="31" t="n">
        <x:v>0</x:v>
      </x:c>
      <x:c r="N36" s="24" t="str">
        <x:v>stromateidae</x:v>
      </x:c>
      <x:c r="O36" s="32" t="n">
        <x:v>3.62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Stromateidae</x:v>
      </x:c>
      <x:c r="T36" s="32" t="n">
        <x:f>IF(O36="","",(1/'Metadata'!$B$5)^(O36-1))</x:f>
        <x:v>416.8693834703355</x:v>
      </x:c>
      <x:c r="U36" s="31" t="n">
        <x:f>IF(T36="","",I36*T36)</x:f>
        <x:v>15875.017429753138</x:v>
      </x:c>
    </x:row>
    <x:row r="37" ht="18" customHeight="1">
      <x:c r="A37" s="24" t="str">
        <x:v>EEZ_858</x:v>
      </x:c>
      <x:c r="B37" s="24" t="str">
        <x:v>Uruguay</x:v>
      </x:c>
      <x:c r="C37" s="24" t="str">
        <x:v>EEZ</x:v>
      </x:c>
      <x:c r="D37" s="30" t="n">
        <x:v>2019</x:v>
      </x:c>
      <x:c r="E37" s="24" t="str">
        <x:v>Lepidocybium flavobrunneum</x:v>
      </x:c>
      <x:c r="F37" s="24" t="str">
        <x:v>Escolar</x:v>
      </x:c>
      <x:c r="G37" s="24" t="str">
        <x:v>Large bathypelagics (&gt;=90 cm)</x:v>
      </x:c>
      <x:c r="H37" s="24" t="str">
        <x:v>Perch-likes</x:v>
      </x:c>
      <x:c r="I37" s="31" t="n">
        <x:v>37.6124370399</x:v>
      </x:c>
      <x:c r="J37" s="31" t="n">
        <x:v>37.6124370399</x:v>
      </x:c>
      <x:c r="K37" s="31" t="n">
        <x:v>0</x:v>
      </x:c>
      <x:c r="L37" s="31" t="n">
        <x:v>37.6124370399</x:v>
      </x:c>
      <x:c r="M37" s="31" t="n">
        <x:v>0</x:v>
      </x:c>
      <x:c r="N37" s="24" t="str">
        <x:v>lepidocybium flavobrunneum</x:v>
      </x:c>
      <x:c r="O37" s="32" t="n">
        <x:v>4.34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Lepidocybium flavobrunneum</x:v>
      </x:c>
      <x:c r="T37" s="32" t="n">
        <x:f>IF(O37="","",(1/'Metadata'!$B$5)^(O37-1))</x:f>
        <x:v>2187.761623949552</x:v>
      </x:c>
      <x:c r="U37" s="31" t="n">
        <x:f>IF(T37="","",I37*T37)</x:f>
        <x:v>82287.0463391119</x:v>
      </x:c>
    </x:row>
    <x:row r="38" ht="18" customHeight="1">
      <x:c r="A38" s="24" t="str">
        <x:v>EEZ_858</x:v>
      </x:c>
      <x:c r="B38" s="24" t="str">
        <x:v>Uruguay</x:v>
      </x:c>
      <x:c r="C38" s="24" t="str">
        <x:v>EEZ</x:v>
      </x:c>
      <x:c r="D38" s="30" t="n">
        <x:v>2019</x:v>
      </x:c>
      <x:c r="E38" s="24" t="str">
        <x:v>Stromateus brasiliensis</x:v>
      </x:c>
      <x:c r="F38" s="24" t="str">
        <x:v>Southwest Atlantic butterfish</x:v>
      </x:c>
      <x:c r="G38" s="24" t="str">
        <x:v>Medium benthopelagics (30 - 89 cm)</x:v>
      </x:c>
      <x:c r="H38" s="24" t="str">
        <x:v>Perch-likes</x:v>
      </x:c>
      <x:c r="I38" s="31" t="n">
        <x:v>35.7524023157</x:v>
      </x:c>
      <x:c r="J38" s="31" t="n">
        <x:v>35.7524023157</x:v>
      </x:c>
      <x:c r="K38" s="31" t="n">
        <x:v>0</x:v>
      </x:c>
      <x:c r="L38" s="31" t="n">
        <x:v>35.7524023157</x:v>
      </x:c>
      <x:c r="M38" s="31" t="n">
        <x:v>0</x:v>
      </x:c>
      <x:c r="N38" s="24" t="str">
        <x:v>stromateus brasiliensis</x:v>
      </x:c>
      <x:c r="O38" s="32" t="n">
        <x:v>3.4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Stromateus brasiliensis</x:v>
      </x:c>
      <x:c r="T38" s="32" t="n">
        <x:f>IF(O38="","",(1/'Metadata'!$B$5)^(O38-1))</x:f>
        <x:v>251.18864315095797</x:v>
      </x:c>
      <x:c r="U38" s="31" t="n">
        <x:f>IF(T38="","",I38*T38)</x:f>
        <x:v>8980.59742706785</x:v>
      </x:c>
    </x:row>
    <x:row r="39" ht="18" customHeight="1">
      <x:c r="A39" s="24" t="str">
        <x:v>EEZ_858</x:v>
      </x:c>
      <x:c r="B39" s="24" t="str">
        <x:v>Uruguay</x:v>
      </x:c>
      <x:c r="C39" s="24" t="str">
        <x:v>EEZ</x:v>
      </x:c>
      <x:c r="D39" s="30" t="n">
        <x:v>2019</x:v>
      </x:c>
      <x:c r="E39" s="24" t="str">
        <x:v>Elasmobranchii</x:v>
      </x:c>
      <x:c r="F39" s="24" t="str">
        <x:v>Sharks, rays, skates</x:v>
      </x:c>
      <x:c r="G39" s="24" t="str">
        <x:v>Large sharks (&gt;=90 cm)</x:v>
      </x:c>
      <x:c r="H39" s="24" t="str">
        <x:v>Sharks &amp; rays</x:v>
      </x:c>
      <x:c r="I39" s="31" t="n">
        <x:v>30</x:v>
      </x:c>
      <x:c r="J39" s="31" t="n">
        <x:v>30</x:v>
      </x:c>
      <x:c r="K39" s="31" t="n">
        <x:v>0</x:v>
      </x:c>
      <x:c r="L39" s="31" t="n">
        <x:v>30</x:v>
      </x:c>
      <x:c r="M39" s="31" t="n">
        <x:v>0</x:v>
      </x:c>
      <x:c r="N39" s="24" t="str">
        <x:v>elasmobranchii</x:v>
      </x:c>
      <x:c r="O39" s="32" t="n">
        <x:v>4.05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Elasmobranchii</x:v>
      </x:c>
      <x:c r="T39" s="32" t="n">
        <x:f>IF(O39="","",(1/'Metadata'!$B$5)^(O39-1))</x:f>
        <x:v>1122.018454301963</x:v>
      </x:c>
      <x:c r="U39" s="31" t="n">
        <x:f>IF(T39="","",I39*T39)</x:f>
        <x:v>33660.553629058886</x:v>
      </x:c>
    </x:row>
    <x:row r="40" ht="18" customHeight="1">
      <x:c r="A40" s="24" t="str">
        <x:v>EEZ_858</x:v>
      </x:c>
      <x:c r="B40" s="24" t="str">
        <x:v>Uruguay</x:v>
      </x:c>
      <x:c r="C40" s="24" t="str">
        <x:v>EEZ</x:v>
      </x:c>
      <x:c r="D40" s="30" t="n">
        <x:v>2019</x:v>
      </x:c>
      <x:c r="E40" s="24" t="str">
        <x:v>Pagrus pagrus</x:v>
      </x:c>
      <x:c r="F40" s="24" t="str">
        <x:v>Red porgy</x:v>
      </x:c>
      <x:c r="G40" s="24" t="str">
        <x:v>Medium benthopelagics (30 - 89 cm)</x:v>
      </x:c>
      <x:c r="H40" s="24" t="str">
        <x:v>Perch-likes</x:v>
      </x:c>
      <x:c r="I40" s="31" t="n">
        <x:v>21.0349816786</x:v>
      </x:c>
      <x:c r="J40" s="31" t="n">
        <x:v>21.0349816786</x:v>
      </x:c>
      <x:c r="K40" s="31" t="n">
        <x:v>0</x:v>
      </x:c>
      <x:c r="L40" s="31" t="n">
        <x:v>20</x:v>
      </x:c>
      <x:c r="M40" s="31" t="n">
        <x:v>1.0349816786000001</x:v>
      </x:c>
      <x:c r="N40" s="24" t="str">
        <x:v>pagrus pagrus</x:v>
      </x:c>
      <x:c r="O40" s="32" t="n">
        <x:v>3.86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Pagrus pagrus</x:v>
      </x:c>
      <x:c r="T40" s="32" t="n">
        <x:f>IF(O40="","",(1/'Metadata'!$B$5)^(O40-1))</x:f>
        <x:v>724.4359600749899</x:v>
      </x:c>
      <x:c r="U40" s="31" t="n">
        <x:f>IF(T40="","",I40*T40)</x:f>
        <x:v>15238.497147496415</x:v>
      </x:c>
    </x:row>
    <x:row r="41" ht="18" customHeight="1">
      <x:c r="A41" s="24" t="str">
        <x:v>EEZ_858</x:v>
      </x:c>
      <x:c r="B41" s="24" t="str">
        <x:v>Uruguay</x:v>
      </x:c>
      <x:c r="C41" s="24" t="str">
        <x:v>EEZ</x:v>
      </x:c>
      <x:c r="D41" s="30" t="n">
        <x:v>2019</x:v>
      </x:c>
      <x:c r="E41" s="24" t="str">
        <x:v>Penaeidae</x:v>
      </x:c>
      <x:c r="F41" s="24" t="str">
        <x:v>Commercial shrimps and prawns</x:v>
      </x:c>
      <x:c r="G41" s="24" t="str">
        <x:v>Shrimps</x:v>
      </x:c>
      <x:c r="H41" s="24" t="str">
        <x:v>Crustaceans</x:v>
      </x:c>
      <x:c r="I41" s="31" t="n">
        <x:v>15.517861054900001</x:v>
      </x:c>
      <x:c r="J41" s="31" t="n">
        <x:v>15.517861054900001</x:v>
      </x:c>
      <x:c r="K41" s="31" t="n">
        <x:v>0</x:v>
      </x:c>
      <x:c r="L41" s="31" t="n">
        <x:v>10</x:v>
      </x:c>
      <x:c r="M41" s="31" t="n">
        <x:v>5.5178610549</x:v>
      </x:c>
      <x:c r="N41" s="24" t="str">
        <x:v>penaeidae</x:v>
      </x:c>
      <x:c r="O41" s="32" t="n">
        <x:v>3.31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Penaeidae</x:v>
      </x:c>
      <x:c r="T41" s="32" t="n">
        <x:f>IF(O41="","",(1/'Metadata'!$B$5)^(O41-1))</x:f>
        <x:v>204.17379446695296</x:v>
      </x:c>
      <x:c r="U41" s="31" t="n">
        <x:f>IF(T41="","",I41*T41)</x:f>
        <x:v>3168.3405735898864</x:v>
      </x:c>
    </x:row>
    <x:row r="42" ht="18" customHeight="1">
      <x:c r="A42" s="24" t="str">
        <x:v>EEZ_858</x:v>
      </x:c>
      <x:c r="B42" s="24" t="str">
        <x:v>Uruguay</x:v>
      </x:c>
      <x:c r="C42" s="24" t="str">
        <x:v>EEZ</x:v>
      </x:c>
      <x:c r="D42" s="30" t="n">
        <x:v>2019</x:v>
      </x:c>
      <x:c r="E42" s="24" t="str">
        <x:v>Gempylidae</x:v>
      </x:c>
      <x:c r="F42" s="24" t="str">
        <x:v>Snake mackerels</x:v>
      </x:c>
      <x:c r="G42" s="24" t="str">
        <x:v>Large benthopelagics (&gt;=90 cm)</x:v>
      </x:c>
      <x:c r="H42" s="24" t="str">
        <x:v>Perch-likes</x:v>
      </x:c>
      <x:c r="I42" s="31" t="n">
        <x:v>14.182720147000001</x:v>
      </x:c>
      <x:c r="J42" s="31" t="n">
        <x:v>14.182720147000001</x:v>
      </x:c>
      <x:c r="K42" s="31" t="n">
        <x:v>0</x:v>
      </x:c>
      <x:c r="L42" s="31" t="n">
        <x:v>14.182720147000001</x:v>
      </x:c>
      <x:c r="M42" s="31" t="n">
        <x:v>0</x:v>
      </x:c>
      <x:c r="N42" s="24" t="str">
        <x:v>gempylidae</x:v>
      </x:c>
      <x:c r="O42" s="32" t="n">
        <x:v>4.21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Gempylidae</x:v>
      </x:c>
      <x:c r="T42" s="32" t="n">
        <x:f>IF(O42="","",(1/'Metadata'!$B$5)^(O42-1))</x:f>
        <x:v>1621.8100973589299</x:v>
      </x:c>
      <x:c r="U42" s="31" t="n">
        <x:f>IF(T42="","",I42*T42)</x:f>
        <x:v>23001.67874242053</x:v>
      </x:c>
    </x:row>
    <x:row r="43" ht="18" customHeight="1">
      <x:c r="A43" s="24" t="str">
        <x:v>EEZ_858</x:v>
      </x:c>
      <x:c r="B43" s="24" t="str">
        <x:v>Uruguay</x:v>
      </x:c>
      <x:c r="C43" s="24" t="str">
        <x:v>EEZ</x:v>
      </x:c>
      <x:c r="D43" s="30" t="n">
        <x:v>2019</x:v>
      </x:c>
      <x:c r="E43" s="24" t="str">
        <x:v>Anchoa hepsetus</x:v>
      </x:c>
      <x:c r="F43" s="24" t="str">
        <x:v>Broad-striped anchovy</x:v>
      </x:c>
      <x:c r="G43" s="24" t="str">
        <x:v>Small pelagics (&lt;30 cm)</x:v>
      </x:c>
      <x:c r="H43" s="24" t="str">
        <x:v>Anchovies</x:v>
      </x:c>
      <x:c r="I43" s="31" t="n">
        <x:v>13.9369821417</x:v>
      </x:c>
      <x:c r="J43" s="31" t="n">
        <x:v>13.9369821417</x:v>
      </x:c>
      <x:c r="K43" s="31" t="n">
        <x:v>0</x:v>
      </x:c>
      <x:c r="L43" s="31" t="n">
        <x:v>0</x:v>
      </x:c>
      <x:c r="M43" s="31" t="n">
        <x:v>13.9369821417</x:v>
      </x:c>
      <x:c r="N43" s="24" t="str">
        <x:v>anchoa hepsetus</x:v>
      </x:c>
      <x:c r="O43" s="32" t="n">
        <x:v>3.34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Anchoa hepsetus</x:v>
      </x:c>
      <x:c r="T43" s="32" t="n">
        <x:f>IF(O43="","",(1/'Metadata'!$B$5)^(O43-1))</x:f>
        <x:v>218.77616239495518</x:v>
      </x:c>
      <x:c r="U43" s="31" t="n">
        <x:f>IF(T43="","",I43*T43)</x:f>
        <x:v>3049.0794683281492</x:v>
      </x:c>
    </x:row>
    <x:row r="44" ht="18" customHeight="1">
      <x:c r="A44" s="24" t="str">
        <x:v>EEZ_858</x:v>
      </x:c>
      <x:c r="B44" s="24" t="str">
        <x:v>Uruguay</x:v>
      </x:c>
      <x:c r="C44" s="24" t="str">
        <x:v>EEZ</x:v>
      </x:c>
      <x:c r="D44" s="30" t="n">
        <x:v>2019</x:v>
      </x:c>
      <x:c r="E44" s="24" t="str">
        <x:v>Menticirrhus americanus</x:v>
      </x:c>
      <x:c r="F44" s="24" t="str">
        <x:v>Southern kingcroaker</x:v>
      </x:c>
      <x:c r="G44" s="24" t="str">
        <x:v>Medium demersals (30 - 89 cm)</x:v>
      </x:c>
      <x:c r="H44" s="24" t="str">
        <x:v>Perch-likes</x:v>
      </x:c>
      <x:c r="I44" s="31" t="n">
        <x:v>12.0151224623</x:v>
      </x:c>
      <x:c r="J44" s="31" t="n">
        <x:v>12.0151224623</x:v>
      </x:c>
      <x:c r="K44" s="31" t="n">
        <x:v>0</x:v>
      </x:c>
      <x:c r="L44" s="31" t="n">
        <x:v>0</x:v>
      </x:c>
      <x:c r="M44" s="31" t="n">
        <x:v>12.0151224623</x:v>
      </x:c>
      <x:c r="N44" s="24" t="str">
        <x:v>menticirrhus americanus</x:v>
      </x:c>
      <x:c r="O44" s="32" t="n">
        <x:v>3.5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Menticirrhus americanus</x:v>
      </x:c>
      <x:c r="T44" s="32" t="n">
        <x:f>IF(O44="","",(1/'Metadata'!$B$5)^(O44-1))</x:f>
        <x:v>316.22776601683796</x:v>
      </x:c>
      <x:c r="U44" s="31" t="n">
        <x:f>IF(T44="","",I44*T44)</x:f>
        <x:v>3799.5153346718585</x:v>
      </x:c>
    </x:row>
    <x:row r="45" ht="18" customHeight="1">
      <x:c r="A45" s="24" t="str">
        <x:v>EEZ_858</x:v>
      </x:c>
      <x:c r="B45" s="24" t="str">
        <x:v>Uruguay</x:v>
      </x:c>
      <x:c r="C45" s="24" t="str">
        <x:v>EEZ</x:v>
      </x:c>
      <x:c r="D45" s="30" t="n">
        <x:v>2019</x:v>
      </x:c>
      <x:c r="E45" s="24" t="str">
        <x:v>Engraulis anchoita</x:v>
      </x:c>
      <x:c r="F45" s="24" t="str">
        <x:v>Argentine anchovy</x:v>
      </x:c>
      <x:c r="G45" s="24" t="str">
        <x:v>Small pelagics (&lt;30 cm)</x:v>
      </x:c>
      <x:c r="H45" s="24" t="str">
        <x:v>Anchovies</x:v>
      </x:c>
      <x:c r="I45" s="31" t="n">
        <x:v>10</x:v>
      </x:c>
      <x:c r="J45" s="31" t="n">
        <x:v>10</x:v>
      </x:c>
      <x:c r="K45" s="31" t="n">
        <x:v>0</x:v>
      </x:c>
      <x:c r="L45" s="31" t="n">
        <x:v>10</x:v>
      </x:c>
      <x:c r="M45" s="31" t="n">
        <x:v>0</x:v>
      </x:c>
      <x:c r="N45" s="24" t="str">
        <x:v>engraulis anchoita</x:v>
      </x:c>
      <x:c r="O45" s="32" t="n">
        <x:v>2.51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Engraulis anchoita</x:v>
      </x:c>
      <x:c r="T45" s="32" t="n">
        <x:f>IF(O45="","",(1/'Metadata'!$B$5)^(O45-1))</x:f>
        <x:v>32.35936569296281</x:v>
      </x:c>
      <x:c r="U45" s="31" t="n">
        <x:f>IF(T45="","",I45*T45)</x:f>
        <x:v>323.5936569296281</x:v>
      </x:c>
    </x:row>
    <x:row r="46" ht="18" customHeight="1">
      <x:c r="A46" s="24" t="str">
        <x:v>EEZ_858</x:v>
      </x:c>
      <x:c r="B46" s="24" t="str">
        <x:v>Uruguay</x:v>
      </x:c>
      <x:c r="C46" s="24" t="str">
        <x:v>EEZ</x:v>
      </x:c>
      <x:c r="D46" s="30" t="n">
        <x:v>2019</x:v>
      </x:c>
      <x:c r="E46" s="24" t="str">
        <x:v>Mytilus platensis</x:v>
      </x:c>
      <x:c r="F46" s="24" t="str">
        <x:v>River Plata mussel</x:v>
      </x:c>
      <x:c r="G46" s="24" t="str">
        <x:v>Other demersal invertebrates</x:v>
      </x:c>
      <x:c r="H46" s="24" t="str">
        <x:v>Molluscs</x:v>
      </x:c>
      <x:c r="I46" s="31" t="n">
        <x:v>10</x:v>
      </x:c>
      <x:c r="J46" s="31" t="n">
        <x:v>10</x:v>
      </x:c>
      <x:c r="K46" s="31" t="n">
        <x:v>0</x:v>
      </x:c>
      <x:c r="L46" s="31" t="n">
        <x:v>10</x:v>
      </x:c>
      <x:c r="M46" s="31" t="n">
        <x:v>0</x:v>
      </x:c>
      <x:c r="N46" s="24" t="str">
        <x:v>mytilus platensis</x:v>
      </x:c>
      <x:c r="O46" s="32" t="n">
        <x:v>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Mytilus platensis</x:v>
      </x:c>
      <x:c r="T46" s="32" t="n">
        <x:f>IF(O46="","",(1/'Metadata'!$B$5)^(O46-1))</x:f>
        <x:v>10</x:v>
      </x:c>
      <x:c r="U46" s="31" t="n">
        <x:f>IF(T46="","",I46*T46)</x:f>
        <x:v>100</x:v>
      </x:c>
    </x:row>
    <x:row r="47" ht="18" customHeight="1">
      <x:c r="A47" s="24" t="str">
        <x:v>EEZ_858</x:v>
      </x:c>
      <x:c r="B47" s="24" t="str">
        <x:v>Uruguay</x:v>
      </x:c>
      <x:c r="C47" s="24" t="str">
        <x:v>EEZ</x:v>
      </x:c>
      <x:c r="D47" s="30" t="n">
        <x:v>2019</x:v>
      </x:c>
      <x:c r="E47" s="24" t="str">
        <x:v>Scomber</x:v>
      </x:c>
      <x:c r="F47" s="24" t="str">
        <x:v>Chub mackerels</x:v>
      </x:c>
      <x:c r="G47" s="24" t="str">
        <x:v>Medium pelagics (30 - 89 cm)</x:v>
      </x:c>
      <x:c r="H47" s="24" t="str">
        <x:v>Perch-likes</x:v>
      </x:c>
      <x:c r="I47" s="31" t="n">
        <x:v>9.841488799199999</x:v>
      </x:c>
      <x:c r="J47" s="31" t="n">
        <x:v>9.841488799199999</x:v>
      </x:c>
      <x:c r="K47" s="31" t="n">
        <x:v>0</x:v>
      </x:c>
      <x:c r="L47" s="31" t="n">
        <x:v>9.841488799199999</x:v>
      </x:c>
      <x:c r="M47" s="31" t="n">
        <x:v>0</x:v>
      </x:c>
      <x:c r="N47" s="24" t="str">
        <x:v>scomber</x:v>
      </x:c>
      <x:c r="O47" s="32" t="n">
        <x:v>3.65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Scomber</x:v>
      </x:c>
      <x:c r="T47" s="32" t="n">
        <x:f>IF(O47="","",(1/'Metadata'!$B$5)^(O47-1))</x:f>
        <x:v>446.683592150963</x:v>
      </x:c>
      <x:c r="U47" s="31" t="n">
        <x:f>IF(T47="","",I47*T47)</x:f>
        <x:v>4396.031568940123</x:v>
      </x:c>
    </x:row>
    <x:row r="48" ht="18" customHeight="1">
      <x:c r="A48" s="24" t="str">
        <x:v>EEZ_858</x:v>
      </x:c>
      <x:c r="B48" s="24" t="str">
        <x:v>Uruguay</x:v>
      </x:c>
      <x:c r="C48" s="24" t="str">
        <x:v>EEZ</x:v>
      </x:c>
      <x:c r="D48" s="30" t="n">
        <x:v>2019</x:v>
      </x:c>
      <x:c r="E48" s="24" t="str">
        <x:v>Prionace glauca</x:v>
      </x:c>
      <x:c r="F48" s="24" t="str">
        <x:v>Blue shark</x:v>
      </x:c>
      <x:c r="G48" s="24" t="str">
        <x:v>Large sharks (&gt;=90 cm)</x:v>
      </x:c>
      <x:c r="H48" s="24" t="str">
        <x:v>Sharks &amp; rays</x:v>
      </x:c>
      <x:c r="I48" s="31" t="n">
        <x:v>8.6496269704</x:v>
      </x:c>
      <x:c r="J48" s="31" t="n">
        <x:v>8.6496269704</x:v>
      </x:c>
      <x:c r="K48" s="31" t="n">
        <x:v>0</x:v>
      </x:c>
      <x:c r="L48" s="31" t="n">
        <x:v>8.6496269704</x:v>
      </x:c>
      <x:c r="M48" s="31" t="n">
        <x:v>0</x:v>
      </x:c>
      <x:c r="N48" s="24" t="str">
        <x:v>prionace glauca</x:v>
      </x:c>
      <x:c r="O48" s="32" t="n">
        <x:v>4.35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Prionace glauca</x:v>
      </x:c>
      <x:c r="T48" s="32" t="n">
        <x:f>IF(O48="","",(1/'Metadata'!$B$5)^(O48-1))</x:f>
        <x:v>2238.7211385683377</x:v>
      </x:c>
      <x:c r="U48" s="31" t="n">
        <x:f>IF(T48="","",I48*T48)</x:f>
        <x:v>19364.102739365288</x:v>
      </x:c>
    </x:row>
    <x:row r="49" ht="18" customHeight="1">
      <x:c r="A49" s="24" t="str">
        <x:v>EEZ_858</x:v>
      </x:c>
      <x:c r="B49" s="24" t="str">
        <x:v>Uruguay</x:v>
      </x:c>
      <x:c r="C49" s="24" t="str">
        <x:v>EEZ</x:v>
      </x:c>
      <x:c r="D49" s="30" t="n">
        <x:v>2019</x:v>
      </x:c>
      <x:c r="E49" s="24" t="str">
        <x:v>Marine pelagic fishes not identified</x:v>
      </x:c>
      <x:c r="F49" s="24" t="str">
        <x:v>Pelagic fishes</x:v>
      </x:c>
      <x:c r="G49" s="24" t="str">
        <x:v>Medium pelagics (30 - 89 cm)</x:v>
      </x:c>
      <x:c r="H49" s="24" t="str">
        <x:v>Other fishes &amp; inverts</x:v>
      </x:c>
      <x:c r="I49" s="31" t="n">
        <x:v>7.177436689</x:v>
      </x:c>
      <x:c r="J49" s="31" t="n">
        <x:v>7.177436689</x:v>
      </x:c>
      <x:c r="K49" s="31" t="n">
        <x:v>0</x:v>
      </x:c>
      <x:c r="L49" s="31" t="n">
        <x:v>7.177436689</x:v>
      </x:c>
      <x:c r="M49" s="31" t="n">
        <x:v>0</x:v>
      </x:c>
      <x:c r="N49" s="24" t="str">
        <x:v>marine pelagic fishes not identified</x:v>
      </x:c>
      <x:c r="O49" s="32" t="n">
        <x:v>3.35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Marine pelagic fishes not identified</x:v>
      </x:c>
      <x:c r="T49" s="32" t="n">
        <x:f>IF(O49="","",(1/'Metadata'!$B$5)^(O49-1))</x:f>
        <x:v>223.872113856834</x:v>
      </x:c>
      <x:c r="U49" s="31" t="n">
        <x:f>IF(T49="","",I49*T49)</x:f>
        <x:v>1606.8279236400258</x:v>
      </x:c>
    </x:row>
    <x:row r="50" ht="18" customHeight="1">
      <x:c r="A50" s="24" t="str">
        <x:v>EEZ_858</x:v>
      </x:c>
      <x:c r="B50" s="24" t="str">
        <x:v>Uruguay</x:v>
      </x:c>
      <x:c r="C50" s="24" t="str">
        <x:v>EEZ</x:v>
      </x:c>
      <x:c r="D50" s="30" t="n">
        <x:v>2019</x:v>
      </x:c>
      <x:c r="E50" s="24" t="str">
        <x:v>Hyperoglyphe</x:v>
      </x:c>
      <x:c r="F50" s="24" t="str">
        <x:v>Warehous, barrelfishes</x:v>
      </x:c>
      <x:c r="G50" s="24" t="str">
        <x:v>Medium pelagics (30 - 89 cm)</x:v>
      </x:c>
      <x:c r="H50" s="24" t="str">
        <x:v>Perch-likes</x:v>
      </x:c>
      <x:c r="I50" s="31" t="n">
        <x:v>6.5010120454</x:v>
      </x:c>
      <x:c r="J50" s="31" t="n">
        <x:v>6.5010120454</x:v>
      </x:c>
      <x:c r="K50" s="31" t="n">
        <x:v>0</x:v>
      </x:c>
      <x:c r="L50" s="31" t="n">
        <x:v>6.5010120454</x:v>
      </x:c>
      <x:c r="M50" s="31" t="n">
        <x:v>0</x:v>
      </x:c>
      <x:c r="N50" s="24" t="str">
        <x:v>hyperoglyphe</x:v>
      </x:c>
      <x:c r="O50" s="32" t="n">
        <x:v>3.71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Hyperoglyphe</x:v>
      </x:c>
      <x:c r="T50" s="32" t="n">
        <x:f>IF(O50="","",(1/'Metadata'!$B$5)^(O50-1))</x:f>
        <x:v>512.8613839913648</x:v>
      </x:c>
      <x:c r="U50" s="31" t="n">
        <x:f>IF(T50="","",I50*T50)</x:f>
        <x:v>3334.118034948378</x:v>
      </x:c>
    </x:row>
    <x:row r="51" ht="18" customHeight="1">
      <x:c r="A51" s="24" t="str">
        <x:v>EEZ_858</x:v>
      </x:c>
      <x:c r="B51" s="24" t="str">
        <x:v>Uruguay</x:v>
      </x:c>
      <x:c r="C51" s="24" t="str">
        <x:v>EEZ</x:v>
      </x:c>
      <x:c r="D51" s="30" t="n">
        <x:v>2019</x:v>
      </x:c>
      <x:c r="E51" s="24" t="str">
        <x:v>Scombridae</x:v>
      </x:c>
      <x:c r="F51" s="24" t="str">
        <x:v>Mackerels, tunas, bonitos</x:v>
      </x:c>
      <x:c r="G51" s="24" t="str">
        <x:v>Medium pelagics (30 - 89 cm)</x:v>
      </x:c>
      <x:c r="H51" s="24" t="str">
        <x:v>Perch-likes</x:v>
      </x:c>
      <x:c r="I51" s="31" t="n">
        <x:v>1.3289863424</x:v>
      </x:c>
      <x:c r="J51" s="31" t="n">
        <x:v>1.3289863424</x:v>
      </x:c>
      <x:c r="K51" s="31" t="n">
        <x:v>0</x:v>
      </x:c>
      <x:c r="L51" s="31" t="n">
        <x:v>1.3289863424</x:v>
      </x:c>
      <x:c r="M51" s="31" t="n">
        <x:v>0</x:v>
      </x:c>
      <x:c r="N51" s="24" t="str">
        <x:v>scombridae</x:v>
      </x:c>
      <x:c r="O51" s="32" t="n">
        <x:v>4.26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Scombridae</x:v>
      </x:c>
      <x:c r="T51" s="32" t="n">
        <x:f>IF(O51="","",(1/'Metadata'!$B$5)^(O51-1))</x:f>
        <x:v>1819.7008586099826</x:v>
      </x:c>
      <x:c r="U51" s="31" t="n">
        <x:f>IF(T51="","",I51*T51)</x:f>
        <x:v>2418.35758834622</x:v>
      </x:c>
    </x:row>
    <x:row r="52" ht="18" customHeight="1">
      <x:c r="A52" s="24" t="str">
        <x:v>EEZ_858</x:v>
      </x:c>
      <x:c r="B52" s="24" t="str">
        <x:v>Uruguay</x:v>
      </x:c>
      <x:c r="C52" s="24" t="str">
        <x:v>EEZ</x:v>
      </x:c>
      <x:c r="D52" s="30" t="n">
        <x:v>2019</x:v>
      </x:c>
      <x:c r="E52" s="24" t="str">
        <x:v>Gadidae</x:v>
      </x:c>
      <x:c r="F52" s="24" t="str">
        <x:v>Cods, haddocks</x:v>
      </x:c>
      <x:c r="G52" s="24" t="str">
        <x:v>Medium demersals (30 - 89 cm)</x:v>
      </x:c>
      <x:c r="H52" s="24" t="str">
        <x:v>Cod-likes</x:v>
      </x:c>
      <x:c r="I52" s="31" t="n">
        <x:v>1.2997326998999998</x:v>
      </x:c>
      <x:c r="J52" s="31" t="n">
        <x:v>1.2997326998999998</x:v>
      </x:c>
      <x:c r="K52" s="31" t="n">
        <x:v>0</x:v>
      </x:c>
      <x:c r="L52" s="31" t="n">
        <x:v>1.2997326998999998</x:v>
      </x:c>
      <x:c r="M52" s="31" t="n">
        <x:v>0</x:v>
      </x:c>
      <x:c r="N52" s="24" t="str">
        <x:v>gadidae</x:v>
      </x:c>
      <x:c r="O52" s="32" t="n">
        <x:v>3.84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Gadidae</x:v>
      </x:c>
      <x:c r="T52" s="32" t="n">
        <x:f>IF(O52="","",(1/'Metadata'!$B$5)^(O52-1))</x:f>
        <x:v>691.8309709189363</x:v>
      </x:c>
      <x:c r="U52" s="31" t="n">
        <x:f>IF(T52="","",I52*T52)</x:f>
        <x:v>899.1953357069073</x:v>
      </x:c>
    </x:row>
    <x:row r="53" ht="18" customHeight="1">
      <x:c r="A53" s="24" t="str">
        <x:v>EEZ_858</x:v>
      </x:c>
      <x:c r="B53" s="24" t="str">
        <x:v>Uruguay</x:v>
      </x:c>
      <x:c r="C53" s="24" t="str">
        <x:v>EEZ</x:v>
      </x:c>
      <x:c r="D53" s="30" t="n">
        <x:v>2019</x:v>
      </x:c>
      <x:c r="E53" s="24" t="str">
        <x:v>Squatina guggenheim</x:v>
      </x:c>
      <x:c r="F53" s="24" t="str">
        <x:v>Angular angel shark</x:v>
      </x:c>
      <x:c r="G53" s="24" t="str">
        <x:v>Large sharks (&gt;=90 cm)</x:v>
      </x:c>
      <x:c r="H53" s="24" t="str">
        <x:v>Sharks &amp; rays</x:v>
      </x:c>
      <x:c r="I53" s="31" t="n">
        <x:v>1.0422147736</x:v>
      </x:c>
      <x:c r="J53" s="31" t="n">
        <x:v>0</x:v>
      </x:c>
      <x:c r="K53" s="31" t="n">
        <x:v>1.0422147736</x:v>
      </x:c>
      <x:c r="L53" s="31" t="n">
        <x:v>0</x:v>
      </x:c>
      <x:c r="M53" s="31" t="n">
        <x:v>1.0422147736</x:v>
      </x:c>
      <x:c r="N53" s="24" t="str">
        <x:v>squatina guggenheim</x:v>
      </x:c>
      <x:c r="O53" s="32" t="n">
        <x:v>4.39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Squatina guggenheim</x:v>
      </x:c>
      <x:c r="T53" s="32" t="n">
        <x:f>IF(O53="","",(1/'Metadata'!$B$5)^(O53-1))</x:f>
        <x:v>2454.7089156850284</x:v>
      </x:c>
      <x:c r="U53" s="31" t="n">
        <x:f>IF(T53="","",I53*T53)</x:f>
        <x:v>2558.3338968145736</x:v>
      </x:c>
    </x:row>
    <x:row r="54" ht="18" customHeight="1">
      <x:c r="A54" s="24" t="str">
        <x:v>EEZ_858</x:v>
      </x:c>
      <x:c r="B54" s="24" t="str">
        <x:v>Uruguay</x:v>
      </x:c>
      <x:c r="C54" s="24" t="str">
        <x:v>EEZ</x:v>
      </x:c>
      <x:c r="D54" s="30" t="n">
        <x:v>2019</x:v>
      </x:c>
      <x:c r="E54" s="24" t="str">
        <x:v>Auxis thazard</x:v>
      </x:c>
      <x:c r="F54" s="24" t="str">
        <x:v>Frigate tuna</x:v>
      </x:c>
      <x:c r="G54" s="24" t="str">
        <x:v>Medium pelagics (30 - 89 cm)</x:v>
      </x:c>
      <x:c r="H54" s="24" t="str">
        <x:v>Tuna &amp; billfishes</x:v>
      </x:c>
      <x:c r="I54" s="31" t="n">
        <x:v>0.6697967076</x:v>
      </x:c>
      <x:c r="J54" s="31" t="n">
        <x:v>0.6697967076</x:v>
      </x:c>
      <x:c r="K54" s="31" t="n">
        <x:v>0</x:v>
      </x:c>
      <x:c r="L54" s="31" t="n">
        <x:v>0.6697967076</x:v>
      </x:c>
      <x:c r="M54" s="31" t="n">
        <x:v>0</x:v>
      </x:c>
      <x:c r="N54" s="24" t="str">
        <x:v>auxis thazard</x:v>
      </x:c>
      <x:c r="O54" s="32" t="n">
        <x:v>4.37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Auxis thazard</x:v>
      </x:c>
      <x:c r="T54" s="32" t="n">
        <x:f>IF(O54="","",(1/'Metadata'!$B$5)^(O54-1))</x:f>
        <x:v>2344.228815319923</x:v>
      </x:c>
      <x:c r="U54" s="31" t="n">
        <x:f>IF(T54="","",I54*T54)</x:f>
        <x:v>1570.1567423623328</x:v>
      </x:c>
    </x:row>
    <x:row r="55" ht="18" customHeight="1">
      <x:c r="A55" s="24" t="str">
        <x:v>EEZ_858</x:v>
      </x:c>
      <x:c r="B55" s="24" t="str">
        <x:v>Uruguay</x:v>
      </x:c>
      <x:c r="C55" s="24" t="str">
        <x:v>EEZ</x:v>
      </x:c>
      <x:c r="D55" s="30" t="n">
        <x:v>2019</x:v>
      </x:c>
      <x:c r="E55" s="24" t="str">
        <x:v>Auxis</x:v>
      </x:c>
      <x:c r="F55" s="24" t="str">
        <x:v>Bullet and frigate tunas</x:v>
      </x:c>
      <x:c r="G55" s="24" t="str">
        <x:v>Medium pelagics (30 - 89 cm)</x:v>
      </x:c>
      <x:c r="H55" s="24" t="str">
        <x:v>Tuna &amp; billfishes</x:v>
      </x:c>
      <x:c r="I55" s="31" t="n">
        <x:v>0.5866225249</x:v>
      </x:c>
      <x:c r="J55" s="31" t="n">
        <x:v>0.5866225249</x:v>
      </x:c>
      <x:c r="K55" s="31" t="n">
        <x:v>0</x:v>
      </x:c>
      <x:c r="L55" s="31" t="n">
        <x:v>0.5866225249</x:v>
      </x:c>
      <x:c r="M55" s="31" t="n">
        <x:v>0</x:v>
      </x:c>
      <x:c r="N55" s="24" t="str">
        <x:v>auxis</x:v>
      </x:c>
      <x:c r="O55" s="32" t="n">
        <x:v>4.24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Auxis</x:v>
      </x:c>
      <x:c r="T55" s="32" t="n">
        <x:f>IF(O55="","",(1/'Metadata'!$B$5)^(O55-1))</x:f>
        <x:v>1737.8008287493763</x:v>
      </x:c>
      <x:c r="U55" s="31" t="n">
        <x:f>IF(T55="","",I55*T55)</x:f>
        <x:v>1019.4331099342716</x:v>
      </x:c>
    </x:row>
    <x:row r="56" ht="18" customHeight="1">
      <x:c r="A56" s="24" t="str">
        <x:v>EEZ_858</x:v>
      </x:c>
      <x:c r="B56" s="24" t="str">
        <x:v>Uruguay</x:v>
      </x:c>
      <x:c r="C56" s="24" t="str">
        <x:v>EEZ</x:v>
      </x:c>
      <x:c r="D56" s="30" t="n">
        <x:v>2019</x:v>
      </x:c>
      <x:c r="E56" s="24" t="str">
        <x:v>Trachurus lathami</x:v>
      </x:c>
      <x:c r="F56" s="24" t="str">
        <x:v>Rough scad</x:v>
      </x:c>
      <x:c r="G56" s="24" t="str">
        <x:v>Medium benthopelagics (30 - 89 cm)</x:v>
      </x:c>
      <x:c r="H56" s="24" t="str">
        <x:v>Perch-likes</x:v>
      </x:c>
      <x:c r="I56" s="31" t="n">
        <x:v>0.5444139645</x:v>
      </x:c>
      <x:c r="J56" s="31" t="n">
        <x:v>0.5444139645</x:v>
      </x:c>
      <x:c r="K56" s="31" t="n">
        <x:v>0</x:v>
      </x:c>
      <x:c r="L56" s="31" t="n">
        <x:v>0</x:v>
      </x:c>
      <x:c r="M56" s="31" t="n">
        <x:v>0.5444139645</x:v>
      </x:c>
      <x:c r="N56" s="24" t="str">
        <x:v>trachurus lathami</x:v>
      </x:c>
      <x:c r="O56" s="32" t="n">
        <x:v>3.99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Trachurus lathami</x:v>
      </x:c>
      <x:c r="T56" s="32" t="n">
        <x:f>IF(O56="","",(1/'Metadata'!$B$5)^(O56-1))</x:f>
        <x:v>977.2372209558112</x:v>
      </x:c>
      <x:c r="U56" s="31" t="n">
        <x:f>IF(T56="","",I56*T56)</x:f>
        <x:v>532.0215897175157</x:v>
      </x:c>
    </x:row>
    <x:row r="57" ht="18" customHeight="1">
      <x:c r="A57" s="24" t="str">
        <x:v>EEZ_858</x:v>
      </x:c>
      <x:c r="B57" s="24" t="str">
        <x:v>Uruguay</x:v>
      </x:c>
      <x:c r="C57" s="24" t="str">
        <x:v>EEZ</x:v>
      </x:c>
      <x:c r="D57" s="30" t="n">
        <x:v>2019</x:v>
      </x:c>
      <x:c r="E57" s="24" t="str">
        <x:v>Sarda sarda</x:v>
      </x:c>
      <x:c r="F57" s="24" t="str">
        <x:v>Atlantic bonito</x:v>
      </x:c>
      <x:c r="G57" s="24" t="str">
        <x:v>Medium pelagics (30 - 89 cm)</x:v>
      </x:c>
      <x:c r="H57" s="24" t="str">
        <x:v>Tuna &amp; billfishes</x:v>
      </x:c>
      <x:c r="I57" s="31" t="n">
        <x:v>0.3070027582</x:v>
      </x:c>
      <x:c r="J57" s="31" t="n">
        <x:v>0.3070027582</x:v>
      </x:c>
      <x:c r="K57" s="31" t="n">
        <x:v>0</x:v>
      </x:c>
      <x:c r="L57" s="31" t="n">
        <x:v>0.3070027582</x:v>
      </x:c>
      <x:c r="M57" s="31" t="n">
        <x:v>0</x:v>
      </x:c>
      <x:c r="N57" s="24" t="str">
        <x:v>sarda sarda</x:v>
      </x:c>
      <x:c r="O57" s="32" t="n">
        <x:v>4.5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Sarda sarda</x:v>
      </x:c>
      <x:c r="T57" s="32" t="n">
        <x:f>IF(O57="","",(1/'Metadata'!$B$5)^(O57-1))</x:f>
        <x:v>3162.2776601683795</x:v>
      </x:c>
      <x:c r="U57" s="31" t="n">
        <x:f>IF(T57="","",I57*T57)</x:f>
        <x:v>970.8279638659347</x:v>
      </x:c>
    </x:row>
    <x:row r="58" ht="18" customHeight="1">
      <x:c r="A58" s="24" t="str">
        <x:v>EEZ_858</x:v>
      </x:c>
      <x:c r="B58" s="24" t="str">
        <x:v>Uruguay</x:v>
      </x:c>
      <x:c r="C58" s="24" t="str">
        <x:v>EEZ</x:v>
      </x:c>
      <x:c r="D58" s="30" t="n">
        <x:v>2019</x:v>
      </x:c>
      <x:c r="E58" s="24" t="str">
        <x:v>Sparidae</x:v>
      </x:c>
      <x:c r="F58" s="24" t="str">
        <x:v>Porgies, seabreams</x:v>
      </x:c>
      <x:c r="G58" s="24" t="str">
        <x:v>Medium benthopelagics (30 - 89 cm)</x:v>
      </x:c>
      <x:c r="H58" s="24" t="str">
        <x:v>Perch-likes</x:v>
      </x:c>
      <x:c r="I58" s="31" t="n">
        <x:v>0.20869685429999998</x:v>
      </x:c>
      <x:c r="J58" s="31" t="n">
        <x:v>0.20869685429999998</x:v>
      </x:c>
      <x:c r="K58" s="31" t="n">
        <x:v>0</x:v>
      </x:c>
      <x:c r="L58" s="31" t="n">
        <x:v>0.20869685429999998</x:v>
      </x:c>
      <x:c r="M58" s="31" t="n">
        <x:v>0</x:v>
      </x:c>
      <x:c r="N58" s="24" t="str">
        <x:v>sparidae</x:v>
      </x:c>
      <x:c r="O58" s="32" t="n">
        <x:v>3.31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Sparidae</x:v>
      </x:c>
      <x:c r="T58" s="32" t="n">
        <x:f>IF(O58="","",(1/'Metadata'!$B$5)^(O58-1))</x:f>
        <x:v>204.17379446695296</x:v>
      </x:c>
      <x:c r="U58" s="31" t="n">
        <x:f>IF(T58="","",I58*T58)</x:f>
        <x:v>42.61042863574782</x:v>
      </x:c>
    </x:row>
    <x:row r="59" ht="18" customHeight="1">
      <x:c r="A59" s="24" t="str">
        <x:v>EEZ_858</x:v>
      </x:c>
      <x:c r="B59" s="24" t="str">
        <x:v>Uruguay</x:v>
      </x:c>
      <x:c r="C59" s="24" t="str">
        <x:v>EEZ</x:v>
      </x:c>
      <x:c r="D59" s="30" t="n">
        <x:v>2019</x:v>
      </x:c>
      <x:c r="E59" s="24" t="str">
        <x:v>Merluccius australis</x:v>
      </x:c>
      <x:c r="F59" s="24" t="str">
        <x:v>Southern hake</x:v>
      </x:c>
      <x:c r="G59" s="24" t="str">
        <x:v>Large benthopelagics (&gt;=90 cm)</x:v>
      </x:c>
      <x:c r="H59" s="24" t="str">
        <x:v>Cod-likes</x:v>
      </x:c>
      <x:c r="I59" s="31" t="n">
        <x:v>0.16361203130000002</x:v>
      </x:c>
      <x:c r="J59" s="31" t="n">
        <x:v>0.16361203130000002</x:v>
      </x:c>
      <x:c r="K59" s="31" t="n">
        <x:v>0</x:v>
      </x:c>
      <x:c r="L59" s="31" t="n">
        <x:v>0.16361203130000002</x:v>
      </x:c>
      <x:c r="M59" s="31" t="n">
        <x:v>0</x:v>
      </x:c>
      <x:c r="N59" s="24" t="str">
        <x:v>merluccius australis</x:v>
      </x:c>
      <x:c r="O59" s="32" t="n">
        <x:v>4.45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Merluccius australis</x:v>
      </x:c>
      <x:c r="T59" s="32" t="n">
        <x:f>IF(O59="","",(1/'Metadata'!$B$5)^(O59-1))</x:f>
        <x:v>2818.382931264455</x:v>
      </x:c>
      <x:c r="U59" s="31" t="n">
        <x:f>IF(T59="","",I59*T59)</x:f>
        <x:v>461.12135636542575</x:v>
      </x:c>
    </x:row>
    <x:row r="60" ht="18" customHeight="1">
      <x:c r="A60" s="24" t="str">
        <x:v>EEZ_858</x:v>
      </x:c>
      <x:c r="B60" s="24" t="str">
        <x:v>Uruguay</x:v>
      </x:c>
      <x:c r="C60" s="24" t="str">
        <x:v>EEZ</x:v>
      </x:c>
      <x:c r="D60" s="30" t="n">
        <x:v>2019</x:v>
      </x:c>
      <x:c r="E60" s="24" t="str">
        <x:v>Seriola</x:v>
      </x:c>
      <x:c r="F60" s="24" t="str">
        <x:v>Amberjacks</x:v>
      </x:c>
      <x:c r="G60" s="24" t="str">
        <x:v>Large benthopelagics (&gt;=90 cm)</x:v>
      </x:c>
      <x:c r="H60" s="24" t="str">
        <x:v>Perch-likes</x:v>
      </x:c>
      <x:c r="I60" s="31" t="n">
        <x:v>0.076390673</x:v>
      </x:c>
      <x:c r="J60" s="31" t="n">
        <x:v>0.076390673</x:v>
      </x:c>
      <x:c r="K60" s="31" t="n">
        <x:v>0</x:v>
      </x:c>
      <x:c r="L60" s="31" t="n">
        <x:v>0.076390673</x:v>
      </x:c>
      <x:c r="M60" s="31" t="n">
        <x:v>0</x:v>
      </x:c>
      <x:c r="N60" s="24" t="str">
        <x:v>seriola</x:v>
      </x:c>
      <x:c r="O60" s="32" t="n">
        <x:v>4.39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Seriola</x:v>
      </x:c>
      <x:c r="T60" s="32" t="n">
        <x:f>IF(O60="","",(1/'Metadata'!$B$5)^(O60-1))</x:f>
        <x:v>2454.7089156850284</x:v>
      </x:c>
      <x:c r="U60" s="31" t="n">
        <x:f>IF(T60="","",I60*T60)</x:f>
        <x:v>187.51686608827958</x:v>
      </x:c>
    </x:row>
    <x:row r="61" ht="18" customHeight="1">
      <x:c r="A61" s="24" t="str">
        <x:v>EEZ_858</x:v>
      </x:c>
      <x:c r="B61" s="24" t="str">
        <x:v>Uruguay</x:v>
      </x:c>
      <x:c r="C61" s="24" t="str">
        <x:v>EEZ</x:v>
      </x:c>
      <x:c r="D61" s="30" t="n">
        <x:v>2019</x:v>
      </x:c>
      <x:c r="E61" s="24" t="str">
        <x:v>Micromesistius australis</x:v>
      </x:c>
      <x:c r="F61" s="24" t="str">
        <x:v>Southern blue whiting</x:v>
      </x:c>
      <x:c r="G61" s="24" t="str">
        <x:v>Medium benthopelagics (30 - 89 cm)</x:v>
      </x:c>
      <x:c r="H61" s="24" t="str">
        <x:v>Cod-likes</x:v>
      </x:c>
      <x:c r="I61" s="31" t="n">
        <x:v>0.013817569</x:v>
      </x:c>
      <x:c r="J61" s="31" t="n">
        <x:v>0.013817569</x:v>
      </x:c>
      <x:c r="K61" s="31" t="n">
        <x:v>0</x:v>
      </x:c>
      <x:c r="L61" s="31" t="n">
        <x:v>0.013817569</x:v>
      </x:c>
      <x:c r="M61" s="31" t="n">
        <x:v>0</x:v>
      </x:c>
      <x:c r="N61" s="24" t="str">
        <x:v>micromesistius australis</x:v>
      </x:c>
      <x:c r="O61" s="32" t="n">
        <x:v>3.76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Micromesistius australis</x:v>
      </x:c>
      <x:c r="T61" s="32" t="n">
        <x:f>IF(O61="","",(1/'Metadata'!$B$5)^(O61-1))</x:f>
        <x:v>575.4399373371566</x:v>
      </x:c>
      <x:c r="U61" s="31" t="n">
        <x:f>IF(T61="","",I61*T61)</x:f>
        <x:v>7.951181039511837</x:v>
      </x:c>
    </x:row>
  </x:sheetData>
  <x:conditionalFormatting sqref="R2:R6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0de4795b3a0436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23.9369821417</x:v>
      </x:c>
      <x:c r="C2" s="32" t="n">
        <x:v>2.993256206197322</x:v>
      </x:c>
      <x:c r="D2" s="32" t="n">
        <x:f>IF(C2="","",(1/'Metadata'!$B$5)^(C2-1))</x:f>
        <x:v>98.45917811623704</x:v>
      </x:c>
      <x:c r="E2" s="31" t="n">
        <x:f>IF(B2=0,"",B2*D2)</x:f>
        <x:v>2356.8155882548253</x:v>
      </x:c>
    </x:row>
    <x:row r="3" ht="18" customHeight="1">
      <x:c r="A3" s="24" t="str">
        <x:v>Cod-likes</x:v>
      </x:c>
      <x:c r="B3" s="31" t="n">
        <x:v>21917.913147872798</x:v>
      </x:c>
      <x:c r="C3" s="32" t="n">
        <x:v>4.179310511599988</x:v>
      </x:c>
      <x:c r="D3" s="32" t="n">
        <x:f>IF(C3="","",(1/'Metadata'!$B$5)^(C3-1))</x:f>
        <x:v>1511.160216403644</x:v>
      </x:c>
      <x:c r="E3" s="31" t="n">
        <x:f>IF(B3=0,"",B3*D3)</x:f>
        <x:v>33121478.37565573</x:v>
      </x:c>
    </x:row>
    <x:row r="4" ht="18" customHeight="1">
      <x:c r="A4" s="24" t="str">
        <x:v>Crustaceans</x:v>
      </x:c>
      <x:c r="B4" s="31" t="n">
        <x:v>950.5178610549</x:v>
      </x:c>
      <x:c r="C4" s="32" t="n">
        <x:v>3.5657553202947745</x:v>
      </x:c>
      <x:c r="D4" s="32" t="n">
        <x:f>IF(C4="","",(1/'Metadata'!$B$5)^(C4-1))</x:f>
        <x:v>367.9216297233667</x:v>
      </x:c>
      <x:c r="E4" s="31" t="n">
        <x:f>IF(B4=0,"",B4*D4)</x:f>
        <x:v>349716.08052048745</x:v>
      </x:c>
    </x:row>
    <x:row r="5" ht="18" customHeight="1">
      <x:c r="A5" s="24" t="str">
        <x:v>Herring-likes</x:v>
      </x:c>
      <x:c r="B5" s="31" t="n">
        <x:v>6190.598248186499</x:v>
      </x:c>
      <x:c r="C5" s="32" t="n">
        <x:v>3.103843023271894</x:v>
      </x:c>
      <x:c r="D5" s="32" t="n">
        <x:f>IF(C5="","",(1/'Metadata'!$B$5)^(C5-1))</x:f>
        <x:v>127.01149362976449</x:v>
      </x:c>
      <x:c r="E5" s="31" t="n">
        <x:f>IF(B5=0,"",B5*D5)</x:f>
        <x:v>786277.1299639707</x:v>
      </x:c>
    </x:row>
    <x:row r="6" ht="18" customHeight="1">
      <x:c r="A6" s="24" t="str">
        <x:v>Molluscs</x:v>
      </x:c>
      <x:c r="B6" s="31" t="n">
        <x:v>10</x:v>
      </x:c>
      <x:c r="C6" s="32" t="n">
        <x:v>2</x:v>
      </x:c>
      <x:c r="D6" s="32" t="n">
        <x:f>IF(C6="","",(1/'Metadata'!$B$5)^(C6-1))</x:f>
        <x:v>10</x:v>
      </x:c>
      <x:c r="E6" s="31" t="n">
        <x:f>IF(B6=0,"",B6*D6)</x:f>
        <x:v>100</x:v>
      </x:c>
    </x:row>
    <x:row r="7" ht="18" customHeight="1">
      <x:c r="A7" s="24" t="str">
        <x:v>Other fishes &amp; inverts</x:v>
      </x:c>
      <x:c r="B7" s="31" t="n">
        <x:v>24501.7810617054</x:v>
      </x:c>
      <x:c r="C7" s="32" t="n">
        <x:v>3.69979615465351</x:v>
      </x:c>
      <x:c r="D7" s="32" t="n">
        <x:f>IF(C7="","",(1/'Metadata'!$B$5)^(C7-1))</x:f>
        <x:v>500.95204594536807</x:v>
      </x:c>
      <x:c r="E7" s="31" t="n">
        <x:f>IF(B7=0,"",B7*D7)</x:f>
        <x:v>12274217.352166792</x:v>
      </x:c>
    </x:row>
    <x:row r="8" ht="18" customHeight="1">
      <x:c r="A8" s="24" t="str">
        <x:v>Perch-likes</x:v>
      </x:c>
      <x:c r="B8" s="31" t="n">
        <x:v>51831.788367665205</x:v>
      </x:c>
      <x:c r="C8" s="32" t="n">
        <x:v>3.272471825903743</x:v>
      </x:c>
      <x:c r="D8" s="32" t="n">
        <x:f>IF(C8="","",(1/'Metadata'!$B$5)^(C8-1))</x:f>
        <x:v>187.2715589922537</x:v>
      </x:c>
      <x:c r="E8" s="31" t="n">
        <x:f>IF(B8=0,"",B8*D8)</x:f>
        <x:v>9706619.812969223</x:v>
      </x:c>
    </x:row>
    <x:row r="9" ht="18" customHeight="1">
      <x:c r="A9" s="24" t="str">
        <x:v>Sharks &amp; rays</x:v>
      </x:c>
      <x:c r="B9" s="31" t="n">
        <x:v>2152.0851163853</x:v>
      </x:c>
      <x:c r="C9" s="32" t="n">
        <x:v>3.8018948671579285</x:v>
      </x:c>
      <x:c r="D9" s="32" t="n">
        <x:f>IF(C9="","",(1/'Metadata'!$B$5)^(C9-1))</x:f>
        <x:v>633.7162843505413</x:v>
      </x:c>
      <x:c r="E9" s="31" t="n">
        <x:f>IF(B9=0,"",B9*D9)</x:f>
        <x:v>1363811.3835617944</x:v>
      </x:c>
    </x:row>
    <x:row r="10" ht="18" customHeight="1">
      <x:c r="A10" s="24" t="str">
        <x:v>Tuna &amp; billfishes</x:v>
      </x:c>
      <x:c r="B10" s="31" t="n">
        <x:v>260.3730830836</x:v>
      </x:c>
      <x:c r="C10" s="32" t="n">
        <x:v>4.429500117725029</x:v>
      </x:c>
      <x:c r="D10" s="32" t="n">
        <x:f>IF(C10="","",(1/'Metadata'!$B$5)^(C10-1))</x:f>
        <x:v>2688.438571824618</x:v>
      </x:c>
      <x:c r="E10" s="31" t="n">
        <x:f>IF(B10=0,"",B10*D10)</x:f>
        <x:v>699997.0396268463</x:v>
      </x:c>
    </x:row>
  </x:sheetData>
  <x:pageMargins left="0.7" right="0.7" top="0.75" bottom="0.75" header="0.3" footer="0.3"/>
  <x:tableParts count="1">
    <x:tablePart xmlns:r="http://schemas.openxmlformats.org/officeDocument/2006/relationships" r:id="R1d744879d649405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18658.866331593</x:v>
      </x:c>
      <x:c r="C2" s="32" t="n">
        <x:v>3.82</x:v>
      </x:c>
      <x:c r="D2" s="32" t="n">
        <x:f>IF(C2="","",(1/'Metadata'!$B$5)^(C2-1))</x:f>
        <x:v>660.6934480075957</x:v>
      </x:c>
      <x:c r="E2" s="31" t="n">
        <x:f>IF(B2=0,"",B2*D2)</x:f>
        <x:v>12327790.732533017</x:v>
      </x:c>
    </x:row>
    <x:row r="3" ht="18" customHeight="1">
      <x:c r="A3" s="24" t="str">
        <x:v>Large bathydemersals (&gt;=90 cm)</x:v>
      </x:c>
      <x:c r="B3" s="31" t="n">
        <x:v>1370.5846724074001</x:v>
      </x:c>
      <x:c r="C3" s="32" t="n">
        <x:v>3.9728586447609757</x:v>
      </x:c>
      <x:c r="D3" s="32" t="n">
        <x:f>IF(C3="","",(1/'Metadata'!$B$5)^(C3-1))</x:f>
        <x:v>939.4174968751721</x:v>
      </x:c>
      <x:c r="E3" s="31" t="n">
        <x:f>IF(B3=0,"",B3*D3)</x:f>
        <x:v>1287551.2222084375</x:v>
      </x:c>
    </x:row>
    <x:row r="4" ht="18" customHeight="1">
      <x:c r="A4" s="24" t="str">
        <x:v>Large bathypelagics (&gt;=90 cm)</x:v>
      </x:c>
      <x:c r="B4" s="31" t="n">
        <x:v>37.6124370399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82287.0463391119</x:v>
      </x:c>
    </x:row>
    <x:row r="5" ht="18" customHeight="1">
      <x:c r="A5" s="24" t="str">
        <x:v>Large benthopelagics (&gt;=90 cm)</x:v>
      </x:c>
      <x:c r="B5" s="31" t="n">
        <x:v>71.70529211320002</x:v>
      </x:c>
      <x:c r="C5" s="32" t="n">
        <x:v>3.9870582656654823</x:v>
      </x:c>
      <x:c r="D5" s="32" t="n">
        <x:f>IF(C5="","",(1/'Metadata'!$B$5)^(C5-1))</x:f>
        <x:v>970.6401812013922</x:v>
      </x:c>
      <x:c r="E5" s="31" t="n">
        <x:f>IF(B5=0,"",B5*D5)</x:f>
        <x:v>69600.03772985522</x:v>
      </x:c>
    </x:row>
    <x:row r="6" ht="18" customHeight="1">
      <x:c r="A6" s="24" t="str">
        <x:v>Large demersals (&gt;=90 cm)</x:v>
      </x:c>
      <x:c r="B6" s="31" t="n">
        <x:v>414.85863406</x:v>
      </x:c>
      <x:c r="C6" s="32" t="n">
        <x:v>3.8690512587601953</x:v>
      </x:c>
      <x:c r="D6" s="32" t="n">
        <x:f>IF(C6="","",(1/'Metadata'!$B$5)^(C6-1))</x:f>
        <x:v>739.6925740877886</x:v>
      </x:c>
      <x:c r="E6" s="31" t="n">
        <x:f>IF(B6=0,"",B6*D6)</x:f>
        <x:v>306867.8509103853</x:v>
      </x:c>
    </x:row>
    <x:row r="7" ht="18" customHeight="1">
      <x:c r="A7" s="24" t="str">
        <x:v>Large pelagics (&gt;=90 cm)</x:v>
      </x:c>
      <x:c r="B7" s="31" t="n">
        <x:v>798.8096610929</x:v>
      </x:c>
      <x:c r="C7" s="32" t="n">
        <x:v>4.497600584507352</x:v>
      </x:c>
      <x:c r="D7" s="32" t="n">
        <x:f>IF(C7="","",(1/'Metadata'!$B$5)^(C7-1))</x:f>
        <x:v>3144.854698064599</x:v>
      </x:c>
      <x:c r="E7" s="31" t="n">
        <x:f>IF(B7=0,"",B7*D7)</x:f>
        <x:v>2512140.3155473964</x:v>
      </x:c>
    </x:row>
    <x:row r="8" ht="18" customHeight="1">
      <x:c r="A8" s="24" t="str">
        <x:v>Large rays (&gt;=90 cm)</x:v>
      </x:c>
      <x:c r="B8" s="31" t="n">
        <x:v>1182.3981407123</x:v>
      </x:c>
      <x:c r="C8" s="32" t="n">
        <x:v>3.67888238623705</x:v>
      </x:c>
      <x:c r="D8" s="32" t="n">
        <x:f>IF(C8="","",(1/'Metadata'!$B$5)^(C8-1))</x:f>
        <x:v>477.3999687441548</x:v>
      </x:c>
      <x:c r="E8" s="31" t="n">
        <x:f>IF(B8=0,"",B8*D8)</x:f>
        <x:v>564476.8354191987</x:v>
      </x:c>
    </x:row>
    <x:row r="9" ht="18" customHeight="1">
      <x:c r="A9" s="24" t="str">
        <x:v>Large sharks (&gt;=90 cm)</x:v>
      </x:c>
      <x:c r="B9" s="31" t="n">
        <x:v>655.7875568317</x:v>
      </x:c>
      <x:c r="C9" s="32" t="n">
        <x:v>4.12587692837308</x:v>
      </x:c>
      <x:c r="D9" s="32" t="n">
        <x:f>IF(C9="","",(1/'Metadata'!$B$5)^(C9-1))</x:f>
        <x:v>1336.2168019046608</x:v>
      </x:c>
      <x:c r="E9" s="31" t="n">
        <x:f>IF(B9=0,"",B9*D9)</x:f>
        <x:v>876274.3519185252</x:v>
      </x:c>
    </x:row>
    <x:row r="10" ht="18" customHeight="1">
      <x:c r="A10" s="24" t="str">
        <x:v>Lobsters, crabs</x:v>
      </x:c>
      <x:c r="B10" s="31" t="n">
        <x:v>935</x:v>
      </x:c>
      <x:c r="C10" s="32" t="n">
        <x:v>3.57</x:v>
      </x:c>
      <x:c r="D10" s="32" t="n">
        <x:f>IF(C10="","",(1/'Metadata'!$B$5)^(C10-1))</x:f>
        <x:v>371.5352290971724</x:v>
      </x:c>
      <x:c r="E10" s="31" t="n">
        <x:f>IF(B10=0,"",B10*D10)</x:f>
        <x:v>347385.43920585624</x:v>
      </x:c>
    </x:row>
    <x:row r="11" ht="18" customHeight="1">
      <x:c r="A11" s="24" t="str">
        <x:v>Medium bathydemersals (30 - 89 cm)</x:v>
      </x:c>
      <x:c r="B11" s="31" t="n">
        <x:v>180.8537740001</x:v>
      </x:c>
      <x:c r="C11" s="32" t="n">
        <x:v>4.27</x:v>
      </x:c>
      <x:c r="D11" s="32" t="n">
        <x:f>IF(C11="","",(1/'Metadata'!$B$5)^(C11-1))</x:f>
        <x:v>1862.0871366628655</x:v>
      </x:c>
      <x:c r="E11" s="31" t="n">
        <x:f>IF(B11=0,"",B11*D11)</x:f>
        <x:v>336765.48618251923</x:v>
      </x:c>
    </x:row>
    <x:row r="12" ht="18" customHeight="1">
      <x:c r="A12" s="24" t="str">
        <x:v>Medium benthopelagics (30 - 89 cm)</x:v>
      </x:c>
      <x:c r="B12" s="31" t="n">
        <x:v>20116.982171494903</x:v>
      </x:c>
      <x:c r="C12" s="32" t="n">
        <x:v>4.19736637329815</x:v>
      </x:c>
      <x:c r="D12" s="32" t="n">
        <x:f>IF(C12="","",(1/'Metadata'!$B$5)^(C12-1))</x:f>
        <x:v>1575.3112456103563</x:v>
      </x:c>
      <x:c r="E12" s="31" t="n">
        <x:f>IF(B12=0,"",B12*D12)</x:f>
        <x:v>31690508.242498968</x:v>
      </x:c>
    </x:row>
    <x:row r="13" ht="18" customHeight="1">
      <x:c r="A13" s="24" t="str">
        <x:v>Medium demersals (30 - 89 cm)</x:v>
      </x:c>
      <x:c r="B13" s="31" t="n">
        <x:v>56564.8750370691</x:v>
      </x:c>
      <x:c r="C13" s="32" t="n">
        <x:v>3.2639210459179564</x:v>
      </x:c>
      <x:c r="D13" s="32" t="n">
        <x:f>IF(C13="","",(1/'Metadata'!$B$5)^(C13-1))</x:f>
        <x:v>183.62044937939848</x:v>
      </x:c>
      <x:c r="E13" s="31" t="n">
        <x:f>IF(B13=0,"",B13*D13)</x:f>
        <x:v>10386467.773396147</x:v>
      </x:c>
    </x:row>
    <x:row r="14" ht="18" customHeight="1">
      <x:c r="A14" s="24" t="str">
        <x:v>Medium pelagics (30 - 89 cm)</x:v>
      </x:c>
      <x:c r="B14" s="31" t="n">
        <x:v>3396.4123458666995</x:v>
      </x:c>
      <x:c r="C14" s="32" t="n">
        <x:v>3.401984420744259</x:v>
      </x:c>
      <x:c r="D14" s="32" t="n">
        <x:f>IF(C14="","",(1/'Metadata'!$B$5)^(C14-1))</x:f>
        <x:v>252.33902503836745</x:v>
      </x:c>
      <x:c r="E14" s="31" t="n">
        <x:f>IF(B14=0,"",B14*D14)</x:f>
        <x:v>857047.3799842774</x:v>
      </x:c>
    </x:row>
    <x:row r="15" ht="18" customHeight="1">
      <x:c r="A15" s="24" t="str">
        <x:v>Medium reef assoc. fish (30 - 89 cm)</x:v>
      </x:c>
      <x:c r="B15" s="31" t="n">
        <x:v>232.2137891893</x:v>
      </x:c>
      <x:c r="C15" s="32" t="n">
        <x:v>2.53</x:v>
      </x:c>
      <x:c r="D15" s="32" t="n">
        <x:f>IF(C15="","",(1/'Metadata'!$B$5)^(C15-1))</x:f>
        <x:v>33.88441561392024</x:v>
      </x:c>
      <x:c r="E15" s="31" t="n">
        <x:f>IF(B15=0,"",B15*D15)</x:f>
        <x:v>7868.4285441735</x:v>
      </x:c>
    </x:row>
    <x:row r="16" ht="18" customHeight="1">
      <x:c r="A16" s="24" t="str">
        <x:v>Other demersal invertebrates</x:v>
      </x:c>
      <x:c r="B16" s="31" t="n">
        <x:v>10</x:v>
      </x:c>
      <x:c r="C16" s="32" t="n">
        <x:v>2</x:v>
      </x:c>
      <x:c r="D16" s="32" t="n">
        <x:f>IF(C16="","",(1/'Metadata'!$B$5)^(C16-1))</x:f>
        <x:v>10</x:v>
      </x:c>
      <x:c r="E16" s="31" t="n">
        <x:f>IF(B16=0,"",B16*D16)</x:f>
        <x:v>100</x:v>
      </x:c>
    </x:row>
    <x:row r="17" ht="18" customHeight="1">
      <x:c r="A17" s="24" t="str">
        <x:v>Shrimps</x:v>
      </x:c>
      <x:c r="B17" s="31" t="n">
        <x:v>15.517861054900001</x:v>
      </x:c>
      <x:c r="C17" s="32" t="n">
        <x:v>3.31</x:v>
      </x:c>
      <x:c r="D17" s="32" t="n">
        <x:f>IF(C17="","",(1/'Metadata'!$B$5)^(C17-1))</x:f>
        <x:v>204.17379446695296</x:v>
      </x:c>
      <x:c r="E17" s="31" t="n">
        <x:f>IF(B17=0,"",B17*D17)</x:f>
        <x:v>3168.3405735898864</x:v>
      </x:c>
    </x:row>
    <x:row r="18" ht="18" customHeight="1">
      <x:c r="A18" s="24" t="str">
        <x:v>Small benthopelagics (&lt;30 cm)</x:v>
      </x:c>
      <x:c r="B18" s="31" t="n">
        <x:v>38.0815144005</x:v>
      </x:c>
      <x:c r="C18" s="32" t="n">
        <x:v>3.62</x:v>
      </x:c>
      <x:c r="D18" s="32" t="n">
        <x:f>IF(C18="","",(1/'Metadata'!$B$5)^(C18-1))</x:f>
        <x:v>416.8693834703355</x:v>
      </x:c>
      <x:c r="E18" s="31" t="n">
        <x:f>IF(B18=0,"",B18*D18)</x:f>
        <x:v>15875.017429753138</x:v>
      </x:c>
    </x:row>
    <x:row r="19" ht="18" customHeight="1">
      <x:c r="A19" s="24" t="str">
        <x:v>Small pelagics (&lt;30 cm)</x:v>
      </x:c>
      <x:c r="B19" s="31" t="n">
        <x:v>2844.5352303281998</x:v>
      </x:c>
      <x:c r="C19" s="32" t="n">
        <x:v>2.7520470196331273</x:v>
      </x:c>
      <x:c r="D19" s="32" t="n">
        <x:f>IF(C19="","",(1/'Metadata'!$B$5)^(C19-1))</x:f>
        <x:v>56.49981419889667</x:v>
      </x:c>
      <x:c r="E19" s="31" t="n">
        <x:f>IF(B19=0,"",B19*D19)</x:f>
        <x:v>160715.71199575905</x:v>
      </x:c>
    </x:row>
    <x:row r="20" ht="18" customHeight="1">
      <x:c r="A20" s="24" t="str">
        <x:v>Small to medium rays (&lt;90 cm)</x:v>
      </x:c>
      <x:c r="B20" s="31" t="n">
        <x:v>50</x:v>
      </x:c>
      <x:c r="C20" s="32" t="n">
        <x:v>3.58</x:v>
      </x:c>
      <x:c r="D20" s="32" t="n">
        <x:f>IF(C20="","",(1/'Metadata'!$B$5)^(C20-1))</x:f>
        <x:v>380.1893963205613</x:v>
      </x:c>
      <x:c r="E20" s="31" t="n">
        <x:f>IF(B20=0,"",B20*D20)</x:f>
        <x:v>19009.469816028064</x:v>
      </x:c>
    </x:row>
    <x:row r="21" ht="18" customHeight="1">
      <x:c r="A21" s="24" t="str">
        <x:v>Small to medium sharks (&lt;90 cm)</x:v>
      </x:c>
      <x:c r="B21" s="31" t="n">
        <x:v>263.8994188413</x:v>
      </x:c>
      <x:c r="C21" s="32" t="n">
        <x:v>3.59</x:v>
      </x:c>
      <x:c r="D21" s="32" t="n">
        <x:f>IF(C21="","",(1/'Metadata'!$B$5)^(C21-1))</x:f>
        <x:v>389.04514499428046</x:v>
      </x:c>
      <x:c r="E21" s="31" t="n">
        <x:f>IF(B21=0,"",B21*D21)</x:f>
        <x:v>102668.78766701992</x:v>
      </x:c>
    </x:row>
  </x:sheetData>
  <x:pageMargins left="0.7" right="0.7" top="0.75" bottom="0.75" header="0.3" footer="0.3"/>
  <x:tableParts count="1">
    <x:tablePart xmlns:r="http://schemas.openxmlformats.org/officeDocument/2006/relationships" r:id="Raaffc0ae9d334b4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EEZ_858</x:v>
      </x:c>
      <x:c r="B2" s="24" t="str">
        <x:v>raw_filtered_tonnes</x:v>
      </x:c>
      <x:c r="C2" s="24" t="n">
        <x:v>107838.99386809541</x:v>
      </x:c>
      <x:c r="D2" s="24" t="str">
        <x:v>tonnes</x:v>
      </x:c>
    </x:row>
    <x:row r="3" ht="18" customHeight="1">
      <x:c r="A3" s="24" t="str">
        <x:v>EEZ_858</x:v>
      </x:c>
      <x:c r="B3" s="24" t="str">
        <x:v>species_catch_tonnes</x:v>
      </x:c>
      <x:c r="C3" s="24" t="n">
        <x:v>107838.9938680954</x:v>
      </x:c>
      <x:c r="D3" s="24" t="str">
        <x:v>tonnes</x:v>
      </x:c>
    </x:row>
    <x:row r="4" ht="18" customHeight="1">
      <x:c r="A4" s="24" t="str">
        <x:v>EEZ_858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EEZ_858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EEZ_858</x:v>
      </x:c>
      <x:c r="B6" s="24" t="str">
        <x:v>matched_catch_tonnes</x:v>
      </x:c>
      <x:c r="C6" s="24" t="n">
        <x:v>107838.9938680954</x:v>
      </x:c>
      <x:c r="D6" s="24" t="str">
        <x:v>tonnes</x:v>
      </x:c>
    </x:row>
    <x:row r="7" ht="18" customHeight="1">
      <x:c r="A7" s="24" t="str">
        <x:v>EEZ_858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EEZ_858</x:v>
      </x:c>
      <x:c r="B8" s="24" t="str">
        <x:v>taxa_count</x:v>
      </x:c>
      <x:c r="C8" s="24" t="n">
        <x:v>60</x:v>
      </x:c>
      <x:c r="D8" s="24" t="str">
        <x:v>count</x:v>
      </x:c>
    </x:row>
    <x:row r="9" ht="18" customHeight="1">
      <x:c r="A9" s="24" t="str">
        <x:v>EEZ_858</x:v>
      </x:c>
      <x:c r="B9" s="24" t="str">
        <x:v>matched_taxa_count</x:v>
      </x:c>
      <x:c r="C9" s="24" t="n">
        <x:v>60</x:v>
      </x:c>
      <x:c r="D9" s="24" t="str">
        <x:v>count</x:v>
      </x:c>
    </x:row>
    <x:row r="10" ht="18" customHeight="1">
      <x:c r="A10" s="24" t="str">
        <x:v>EEZ_858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EEZ_858</x:v>
      </x:c>
      <x:c r="B11" s="24" t="str">
        <x:v>species_ppr</x:v>
      </x:c>
      <x:c r="C11" s="24" t="n">
        <x:v>66273884.30512683</x:v>
      </x:c>
      <x:c r="D11" s="24" t="str">
        <x:v>tonnes_primary_production_equivalent</x:v>
      </x:c>
    </x:row>
    <x:row r="12" ht="18" customHeight="1">
      <x:c r="A12" s="24" t="str">
        <x:v>EEZ_858</x:v>
      </x:c>
      <x:c r="B12" s="24" t="str">
        <x:v>commercial_ppr</x:v>
      </x:c>
      <x:c r="C12" s="24" t="n">
        <x:v>58304573.990053095</x:v>
      </x:c>
      <x:c r="D12" s="24" t="str">
        <x:v>tonnes_primary_production_equivalent</x:v>
      </x:c>
    </x:row>
    <x:row r="13" ht="18" customHeight="1">
      <x:c r="A13" s="24" t="str">
        <x:v>EEZ_858</x:v>
      </x:c>
      <x:c r="B13" s="24" t="str">
        <x:v>functional_ppr</x:v>
      </x:c>
      <x:c r="C13" s="24" t="n">
        <x:v>61954568.46990002</x:v>
      </x:c>
      <x:c r="D13" s="24" t="str">
        <x:v>tonnes_primary_production_equivalent</x:v>
      </x:c>
    </x:row>
    <x:row r="14" ht="18" customHeight="1">
      <x:c r="A14" s="24" t="str">
        <x:v>EEZ_858</x:v>
      </x:c>
      <x:c r="B14" s="24" t="str">
        <x:v>commercial_ppr_difference</x:v>
      </x:c>
      <x:c r="C14" s="24" t="n">
        <x:v>-7969310.315073736</x:v>
      </x:c>
      <x:c r="D14" s="24" t="str">
        <x:v>tonnes_primary_production_equivalent</x:v>
      </x:c>
    </x:row>
    <x:row r="15" ht="18" customHeight="1">
      <x:c r="A15" s="24" t="str">
        <x:v>EEZ_858</x:v>
      </x:c>
      <x:c r="B15" s="24" t="str">
        <x:v>functional_ppr_difference</x:v>
      </x:c>
      <x:c r="C15" s="24" t="n">
        <x:v>-4319315.8352268115</x:v>
      </x:c>
      <x:c r="D15" s="24" t="str">
        <x:v>tonnes_primary_production_equivalent</x:v>
      </x:c>
    </x:row>
    <x:row r="16" ht="18" customHeight="1">
      <x:c r="A16" s="24" t="str">
        <x:v>EEZ_858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EEZ_858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5748b7502a24e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EEZ_858 - Uruguay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EEZ_858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raw_data/SAU_downloads/EEZ_858-catch.zip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