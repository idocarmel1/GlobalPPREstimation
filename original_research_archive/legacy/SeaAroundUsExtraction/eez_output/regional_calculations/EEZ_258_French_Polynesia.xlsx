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035d0c02e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1078d3c2fe74b42"/>
    <x:sheet xmlns:r="http://schemas.openxmlformats.org/officeDocument/2006/relationships" name="Commercial" sheetId="2" r:id="Rd5b3816f2e69475a"/>
    <x:sheet xmlns:r="http://schemas.openxmlformats.org/officeDocument/2006/relationships" name="Functional" sheetId="3" r:id="Rd25aeebb83554161"/>
    <x:sheet xmlns:r="http://schemas.openxmlformats.org/officeDocument/2006/relationships" name="Missing TL" sheetId="4" r:id="R565aa16466774cf2"/>
    <x:sheet xmlns:r="http://schemas.openxmlformats.org/officeDocument/2006/relationships" name="Validation" sheetId="5" r:id="R78de1ba9c6654d8d"/>
    <x:sheet xmlns:r="http://schemas.openxmlformats.org/officeDocument/2006/relationships" name="Metadata" sheetId="6" r:id="Rb7e3e9000b33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6dbd565f34482" /><Relationship Type="http://schemas.openxmlformats.org/officeDocument/2006/relationships/theme" Target="/xl/theme/theme1.xml" Id="R59525d7c6d014c95" /><Relationship Type="http://schemas.microsoft.com/office/2022/11/relationships/FeaturePropertyBag" Target="/xl/featurePropertyBag/featurePropertyBag.xml" Id="R9ef1149bfa1643ed" /><Relationship Type="http://schemas.openxmlformats.org/officeDocument/2006/relationships/sharedStrings" Target="/xl/sharedStrings.xml" Id="R00a84a6663f34f34" /><Relationship Type="http://schemas.openxmlformats.org/officeDocument/2006/relationships/worksheet" Target="/xl/worksheets/sheet1.xml" Id="Rf1078d3c2fe74b42" /><Relationship Type="http://schemas.openxmlformats.org/officeDocument/2006/relationships/worksheet" Target="/xl/worksheets/sheet2.xml" Id="Rd5b3816f2e69475a" /><Relationship Type="http://schemas.openxmlformats.org/officeDocument/2006/relationships/worksheet" Target="/xl/worksheets/sheet3.xml" Id="Rd25aeebb83554161" /><Relationship Type="http://schemas.openxmlformats.org/officeDocument/2006/relationships/worksheet" Target="/xl/worksheets/sheet4.xml" Id="R565aa16466774cf2" /><Relationship Type="http://schemas.openxmlformats.org/officeDocument/2006/relationships/worksheet" Target="/xl/worksheets/sheet5.xml" Id="R78de1ba9c6654d8d" /><Relationship Type="http://schemas.openxmlformats.org/officeDocument/2006/relationships/worksheet" Target="/xl/worksheets/sheet6.xml" Id="Rb7e3e9000b3346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8SpeciesTable" displayName="EEZ258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8CommercialTable" displayName="EEZ258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8FunctionalTable" displayName="EEZ258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8ValidationTable" displayName="EEZ25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8c199f52314b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f2326877a84c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a4d7c380a84a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4eccb59d3a40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EEZ_258</x:v>
      </x:c>
      <x:c r="B2" s="24" t="str">
        <x:v>French Polynesia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5981.2508778066995</x:v>
      </x:c>
      <x:c r="J2" s="31" t="n">
        <x:v>5980.0239223206</x:v>
      </x:c>
      <x:c r="K2" s="31" t="n">
        <x:v>1.2269554861</x:v>
      </x:c>
      <x:c r="L2" s="31" t="n">
        <x:v>5862.271119217699</x:v>
      </x:c>
      <x:c r="M2" s="31" t="n">
        <x:v>118.979758589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11934164.472862234</x:v>
      </x:c>
    </x:row>
    <x:row r="3" ht="18" customHeight="1">
      <x:c r="A3" s="24" t="str">
        <x:v>EEZ_258</x:v>
      </x:c>
      <x:c r="B3" s="24" t="str">
        <x:v>French Polynesia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5561.9703879256995</x:v>
      </x:c>
      <x:c r="J3" s="31" t="n">
        <x:v>4741.0248251163</x:v>
      </x:c>
      <x:c r="K3" s="31" t="n">
        <x:v>820.9455628094</x:v>
      </x:c>
      <x:c r="L3" s="31" t="n">
        <x:v>3077.7709898514</x:v>
      </x:c>
      <x:c r="M3" s="31" t="n">
        <x:v>2484.1993980743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1059811.6088667219</x:v>
      </x:c>
    </x:row>
    <x:row r="4" ht="18" customHeight="1">
      <x:c r="A4" s="24" t="str">
        <x:v>EEZ_258</x:v>
      </x:c>
      <x:c r="B4" s="24" t="str">
        <x:v>French Polynesia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4071.7025790345</x:v>
      </x:c>
      <x:c r="J4" s="31" t="n">
        <x:v>2319.2052648665003</x:v>
      </x:c>
      <x:c r="K4" s="31" t="n">
        <x:v>1752.497314168</x:v>
      </x:c>
      <x:c r="L4" s="31" t="n">
        <x:v>2319.2052648665003</x:v>
      </x:c>
      <x:c r="M4" s="31" t="n">
        <x:v>1752.497314168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9115406.633647753</x:v>
      </x:c>
    </x:row>
    <x:row r="5" ht="18" customHeight="1">
      <x:c r="A5" s="24" t="str">
        <x:v>EEZ_258</x:v>
      </x:c>
      <x:c r="B5" s="24" t="str">
        <x:v>French Polynesia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2493.2117190638</x:v>
      </x:c>
      <x:c r="J5" s="31" t="n">
        <x:v>2482.1040974243</x:v>
      </x:c>
      <x:c r="K5" s="31" t="n">
        <x:v>11.107621639500001</x:v>
      </x:c>
      <x:c r="L5" s="31" t="n">
        <x:v>2364.3512943214</x:v>
      </x:c>
      <x:c r="M5" s="31" t="n">
        <x:v>128.8604247424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6408540.888231503</x:v>
      </x:c>
    </x:row>
    <x:row r="6" ht="18" customHeight="1">
      <x:c r="A6" s="24" t="str">
        <x:v>EEZ_258</x:v>
      </x:c>
      <x:c r="B6" s="24" t="str">
        <x:v>French Polynesia</x:v>
      </x:c>
      <x:c r="C6" s="24" t="str">
        <x:v>EEZ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1427.8499033579</x:v>
      </x:c>
      <x:c r="J6" s="31" t="n">
        <x:v>1400.7965994259</x:v>
      </x:c>
      <x:c r="K6" s="31" t="n">
        <x:v>27.053303932</x:v>
      </x:c>
      <x:c r="L6" s="31" t="n">
        <x:v>1400.7965994259</x:v>
      </x:c>
      <x:c r="M6" s="31" t="n">
        <x:v>27.053303932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4412478.034661893</x:v>
      </x:c>
    </x:row>
    <x:row r="7" ht="18" customHeight="1">
      <x:c r="A7" s="24" t="str">
        <x:v>EEZ_258</x:v>
      </x:c>
      <x:c r="B7" s="24" t="str">
        <x:v>French Polynesia</x:v>
      </x:c>
      <x:c r="C7" s="24" t="str">
        <x:v>EEZ</x:v>
      </x:c>
      <x:c r="D7" s="30" t="n">
        <x:v>2019</x:v>
      </x:c>
      <x:c r="E7" s="24" t="str">
        <x:v>Selar crumenophthalmus</x:v>
      </x:c>
      <x:c r="F7" s="24" t="str">
        <x:v>Bigeye scad</x:v>
      </x:c>
      <x:c r="G7" s="24" t="str">
        <x:v>Medium pelagics (30 - 89 cm)</x:v>
      </x:c>
      <x:c r="H7" s="24" t="str">
        <x:v>Perch-likes</x:v>
      </x:c>
      <x:c r="I7" s="31" t="n">
        <x:v>1172.2876580136</x:v>
      </x:c>
      <x:c r="J7" s="31" t="n">
        <x:v>1172.2876580136</x:v>
      </x:c>
      <x:c r="K7" s="31" t="n">
        <x:v>0</x:v>
      </x:c>
      <x:c r="L7" s="31" t="n">
        <x:v>0</x:v>
      </x:c>
      <x:c r="M7" s="31" t="n">
        <x:v>1172.2876580136</x:v>
      </x:c>
      <x:c r="N7" s="24" t="str">
        <x:v>selar crumenophthalmus</x:v>
      </x:c>
      <x:c r="O7" s="32" t="n">
        <x:v>3.81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Selar crumenophthalmus</x:v>
      </x:c>
      <x:c r="T7" s="32" t="n">
        <x:f>IF(O7="","",(1/'Metadata'!$B$5)^(O7-1))</x:f>
        <x:v>645.6542290346556</x:v>
      </x:c>
      <x:c r="U7" s="31" t="n">
        <x:f>IF(T7="","",I7*T7)</x:f>
        <x:v>756892.484041613</x:v>
      </x:c>
    </x:row>
    <x:row r="8" ht="18" customHeight="1">
      <x:c r="A8" s="24" t="str">
        <x:v>EEZ_258</x:v>
      </x:c>
      <x:c r="B8" s="24" t="str">
        <x:v>French Polynesia</x:v>
      </x:c>
      <x:c r="C8" s="24" t="str">
        <x:v>EEZ</x:v>
      </x:c>
      <x:c r="D8" s="30" t="n">
        <x:v>2019</x:v>
      </x:c>
      <x:c r="E8" s="24" t="str">
        <x:v>Lethrinus xanthochilus</x:v>
      </x:c>
      <x:c r="F8" s="24" t="str">
        <x:v>Yellowlip emperor</x:v>
      </x:c>
      <x:c r="G8" s="24" t="str">
        <x:v>Medium reef assoc. fish (30 - 89 cm)</x:v>
      </x:c>
      <x:c r="H8" s="24" t="str">
        <x:v>Perch-likes</x:v>
      </x:c>
      <x:c r="I8" s="31" t="n">
        <x:v>738.3508577588</x:v>
      </x:c>
      <x:c r="J8" s="31" t="n">
        <x:v>738.3508577588</x:v>
      </x:c>
      <x:c r="K8" s="31" t="n">
        <x:v>0</x:v>
      </x:c>
      <x:c r="L8" s="31" t="n">
        <x:v>466.1396940011</x:v>
      </x:c>
      <x:c r="M8" s="31" t="n">
        <x:v>272.21116375770004</x:v>
      </x:c>
      <x:c r="N8" s="24" t="str">
        <x:v>lethrinus xanthochilus</x:v>
      </x:c>
      <x:c r="O8" s="32" t="n">
        <x:v>3.78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xanthochilus</x:v>
      </x:c>
      <x:c r="T8" s="32" t="n">
        <x:f>IF(O8="","",(1/'Metadata'!$B$5)^(O8-1))</x:f>
        <x:v>602.5595860743575</x:v>
      </x:c>
      <x:c r="U8" s="31" t="n">
        <x:f>IF(T8="","",I8*T8)</x:f>
        <x:v>444900.38722878933</x:v>
      </x:c>
    </x:row>
    <x:row r="9" ht="18" customHeight="1">
      <x:c r="A9" s="24" t="str">
        <x:v>EEZ_258</x:v>
      </x:c>
      <x:c r="B9" s="24" t="str">
        <x:v>French Polynesia</x:v>
      </x:c>
      <x:c r="C9" s="24" t="str">
        <x:v>EEZ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630.7815590554</x:v>
      </x:c>
      <x:c r="J9" s="31" t="n">
        <x:v>523.1220222848</x:v>
      </x:c>
      <x:c r="K9" s="31" t="n">
        <x:v>107.6595367706</x:v>
      </x:c>
      <x:c r="L9" s="31" t="n">
        <x:v>523.1220222848</x:v>
      </x:c>
      <x:c r="M9" s="31" t="n">
        <x:v>107.6595367706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141214.40100764175</x:v>
      </x:c>
    </x:row>
    <x:row r="10" ht="18" customHeight="1">
      <x:c r="A10" s="24" t="str">
        <x:v>EEZ_258</x:v>
      </x:c>
      <x:c r="B10" s="24" t="str">
        <x:v>French Polynesia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622.7110557538</x:v>
      </x:c>
      <x:c r="J10" s="31" t="n">
        <x:v>352.1095248543</x:v>
      </x:c>
      <x:c r="K10" s="31" t="n">
        <x:v>270.6015308995</x:v>
      </x:c>
      <x:c r="L10" s="31" t="n">
        <x:v>352.1095248543</x:v>
      </x:c>
      <x:c r="M10" s="31" t="n">
        <x:v>270.6015308995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2110020.0220544836</x:v>
      </x:c>
    </x:row>
    <x:row r="11" ht="18" customHeight="1">
      <x:c r="A11" s="24" t="str">
        <x:v>EEZ_258</x:v>
      </x:c>
      <x:c r="B11" s="24" t="str">
        <x:v>French Polynesia</x:v>
      </x:c>
      <x:c r="C11" s="24" t="str">
        <x:v>EEZ</x:v>
      </x:c>
      <x:c r="D11" s="30" t="n">
        <x:v>2019</x:v>
      </x:c>
      <x:c r="E11" s="24" t="str">
        <x:v>Lutjanus gibbus</x:v>
      </x:c>
      <x:c r="F11" s="24" t="str">
        <x:v>Humpback red snapper</x:v>
      </x:c>
      <x:c r="G11" s="24" t="str">
        <x:v>Medium reef assoc. fish (30 - 89 cm)</x:v>
      </x:c>
      <x:c r="H11" s="24" t="str">
        <x:v>Perch-likes</x:v>
      </x:c>
      <x:c r="I11" s="31" t="n">
        <x:v>601.6412723142</x:v>
      </x:c>
      <x:c r="J11" s="31" t="n">
        <x:v>601.6412723142</x:v>
      </x:c>
      <x:c r="K11" s="31" t="n">
        <x:v>0</x:v>
      </x:c>
      <x:c r="L11" s="31" t="n">
        <x:v>245.33270818120002</x:v>
      </x:c>
      <x:c r="M11" s="31" t="n">
        <x:v>356.308564133</x:v>
      </x:c>
      <x:c r="N11" s="24" t="str">
        <x:v>lutjanus gibbus</x:v>
      </x:c>
      <x:c r="O11" s="32" t="n">
        <x:v>4.12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Lutjanus gibbus</x:v>
      </x:c>
      <x:c r="T11" s="32" t="n">
        <x:f>IF(O11="","",(1/'Metadata'!$B$5)^(O11-1))</x:f>
        <x:v>1318.2567385564075</x:v>
      </x:c>
      <x:c r="U11" s="31" t="n">
        <x:f>IF(T11="","",I11*T11)</x:f>
        <x:v>793117.6614218447</x:v>
      </x:c>
    </x:row>
    <x:row r="12" ht="18" customHeight="1">
      <x:c r="A12" s="24" t="str">
        <x:v>EEZ_258</x:v>
      </x:c>
      <x:c r="B12" s="24" t="str">
        <x:v>French Polynesia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592.5130230539</x:v>
      </x:c>
      <x:c r="J12" s="31" t="n">
        <x:v>508.7528031029</x:v>
      </x:c>
      <x:c r="K12" s="31" t="n">
        <x:v>83.760219951</x:v>
      </x:c>
      <x:c r="L12" s="31" t="n">
        <x:v>391</x:v>
      </x:c>
      <x:c r="M12" s="31" t="n">
        <x:v>201.5130230539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1388986.1020952703</x:v>
      </x:c>
    </x:row>
    <x:row r="13" ht="18" customHeight="1">
      <x:c r="A13" s="24" t="str">
        <x:v>EEZ_258</x:v>
      </x:c>
      <x:c r="B13" s="24" t="str">
        <x:v>French Polynesia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483.70663917</x:v>
      </x:c>
      <x:c r="J13" s="31" t="n">
        <x:v>477.1563112431</x:v>
      </x:c>
      <x:c r="K13" s="31" t="n">
        <x:v>6.5503279269000005</x:v>
      </x:c>
      <x:c r="L13" s="31" t="n">
        <x:v>477.1563112431</x:v>
      </x:c>
      <x:c r="M13" s="31" t="n">
        <x:v>6.5503279269000005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1301913.2542165725</x:v>
      </x:c>
    </x:row>
    <x:row r="14" ht="18" customHeight="1">
      <x:c r="A14" s="24" t="str">
        <x:v>EEZ_258</x:v>
      </x:c>
      <x:c r="B14" s="24" t="str">
        <x:v>French Polynesia</x:v>
      </x:c>
      <x:c r="C14" s="24" t="str">
        <x:v>EEZ</x:v>
      </x:c>
      <x:c r="D14" s="30" t="n">
        <x:v>2019</x:v>
      </x:c>
      <x:c r="E14" s="24" t="str">
        <x:v>Lutjanus fulvus</x:v>
      </x:c>
      <x:c r="F14" s="24" t="str">
        <x:v>Blacktail snapper</x:v>
      </x:c>
      <x:c r="G14" s="24" t="str">
        <x:v>Medium reef assoc. fish (30 - 89 cm)</x:v>
      </x:c>
      <x:c r="H14" s="24" t="str">
        <x:v>Perch-likes</x:v>
      </x:c>
      <x:c r="I14" s="31" t="n">
        <x:v>421.5089006094</x:v>
      </x:c>
      <x:c r="J14" s="31" t="n">
        <x:v>421.5089006094</x:v>
      </x:c>
      <x:c r="K14" s="31" t="n">
        <x:v>0</x:v>
      </x:c>
      <x:c r="L14" s="31" t="n">
        <x:v>172.2947263608</x:v>
      </x:c>
      <x:c r="M14" s="31" t="n">
        <x:v>249.21417424860002</x:v>
      </x:c>
      <x:c r="N14" s="24" t="str">
        <x:v>lutjanus fulvus</x:v>
      </x:c>
      <x:c r="O14" s="32" t="n">
        <x:v>3.61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Lutjanus fulvus</x:v>
      </x:c>
      <x:c r="T14" s="32" t="n">
        <x:f>IF(O14="","",(1/'Metadata'!$B$5)^(O14-1))</x:f>
        <x:v>407.3802778041126</x:v>
      </x:c>
      <x:c r="U14" s="31" t="n">
        <x:f>IF(T14="","",I14*T14)</x:f>
        <x:v>171714.41302716345</x:v>
      </x:c>
    </x:row>
    <x:row r="15" ht="18" customHeight="1">
      <x:c r="A15" s="24" t="str">
        <x:v>EEZ_258</x:v>
      </x:c>
      <x:c r="B15" s="24" t="str">
        <x:v>French Polynesia</x:v>
      </x:c>
      <x:c r="C15" s="24" t="str">
        <x:v>EEZ</x:v>
      </x:c>
      <x:c r="D15" s="30" t="n">
        <x:v>2019</x:v>
      </x:c>
      <x:c r="E15" s="24" t="str">
        <x:v>Caranx melampygus</x:v>
      </x:c>
      <x:c r="F15" s="24" t="str">
        <x:v>Bluefin trevally</x:v>
      </x:c>
      <x:c r="G15" s="24" t="str">
        <x:v>Large reef assoc. fish (&gt;=90 cm)</x:v>
      </x:c>
      <x:c r="H15" s="24" t="str">
        <x:v>Perch-likes</x:v>
      </x:c>
      <x:c r="I15" s="31" t="n">
        <x:v>386.9580090687</x:v>
      </x:c>
      <x:c r="J15" s="31" t="n">
        <x:v>386.9580090687</x:v>
      </x:c>
      <x:c r="K15" s="31" t="n">
        <x:v>0</x:v>
      </x:c>
      <x:c r="L15" s="31" t="n">
        <x:v>0</x:v>
      </x:c>
      <x:c r="M15" s="31" t="n">
        <x:v>386.9580090687</x:v>
      </x:c>
      <x:c r="N15" s="24" t="str">
        <x:v>caranx melampygus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melampygus</x:v>
      </x:c>
      <x:c r="T15" s="32" t="n">
        <x:f>IF(O15="","",(1/'Metadata'!$B$5)^(O15-1))</x:f>
        <x:v>3090.295432513592</x:v>
      </x:c>
      <x:c r="U15" s="31" t="n">
        <x:f>IF(T15="","",I15*T15)</x:f>
        <x:v>1195814.5679995567</x:v>
      </x:c>
    </x:row>
    <x:row r="16" ht="18" customHeight="1">
      <x:c r="A16" s="24" t="str">
        <x:v>EEZ_258</x:v>
      </x:c>
      <x:c r="B16" s="24" t="str">
        <x:v>French Polynesia</x:v>
      </x:c>
      <x:c r="C16" s="24" t="str">
        <x:v>EEZ</x:v>
      </x:c>
      <x:c r="D16" s="30" t="n">
        <x:v>2019</x:v>
      </x:c>
      <x:c r="E16" s="24" t="str">
        <x:v>Epinephelus polyphekadion</x:v>
      </x:c>
      <x:c r="F16" s="24" t="str">
        <x:v>Camouflage grouper</x:v>
      </x:c>
      <x:c r="G16" s="24" t="str">
        <x:v>Large reef assoc. fish (&gt;=90 cm)</x:v>
      </x:c>
      <x:c r="H16" s="24" t="str">
        <x:v>Perch-likes</x:v>
      </x:c>
      <x:c r="I16" s="31" t="n">
        <x:v>313.3473381716</x:v>
      </x:c>
      <x:c r="J16" s="31" t="n">
        <x:v>313.3473381716</x:v>
      </x:c>
      <x:c r="K16" s="31" t="n">
        <x:v>0</x:v>
      </x:c>
      <x:c r="L16" s="31" t="n">
        <x:v>197.9707095949</x:v>
      </x:c>
      <x:c r="M16" s="31" t="n">
        <x:v>115.3766285767</x:v>
      </x:c>
      <x:c r="N16" s="24" t="str">
        <x:v>epinephelus polyphekadion</x:v>
      </x:c>
      <x:c r="O16" s="32" t="n">
        <x:v>3.99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Epinephelus polyphekadion</x:v>
      </x:c>
      <x:c r="T16" s="32" t="n">
        <x:f>IF(O16="","",(1/'Metadata'!$B$5)^(O16-1))</x:f>
        <x:v>977.2372209558112</x:v>
      </x:c>
      <x:c r="U16" s="31" t="n">
        <x:f>IF(T16="","",I16*T16)</x:f>
        <x:v>306214.6819487151</x:v>
      </x:c>
    </x:row>
    <x:row r="17" ht="18" customHeight="1">
      <x:c r="A17" s="24" t="str">
        <x:v>EEZ_258</x:v>
      </x:c>
      <x:c r="B17" s="24" t="str">
        <x:v>French Polynesia</x:v>
      </x:c>
      <x:c r="C17" s="24" t="str">
        <x:v>EEZ</x:v>
      </x:c>
      <x:c r="D17" s="30" t="n">
        <x:v>2019</x:v>
      </x:c>
      <x:c r="E17" s="24" t="str">
        <x:v>Mullidae</x:v>
      </x:c>
      <x:c r="F17" s="24" t="str">
        <x:v>Goatfishes</x:v>
      </x:c>
      <x:c r="G17" s="24" t="str">
        <x:v>Medium reef assoc. fish (30 - 89 cm)</x:v>
      </x:c>
      <x:c r="H17" s="24" t="str">
        <x:v>Perch-likes</x:v>
      </x:c>
      <x:c r="I17" s="31" t="n">
        <x:v>301.5309401019</x:v>
      </x:c>
      <x:c r="J17" s="31" t="n">
        <x:v>301.5309401019</x:v>
      </x:c>
      <x:c r="K17" s="31" t="n">
        <x:v>0</x:v>
      </x:c>
      <x:c r="L17" s="31" t="n">
        <x:v>124.098788548</x:v>
      </x:c>
      <x:c r="M17" s="31" t="n">
        <x:v>177.4321515539</x:v>
      </x:c>
      <x:c r="N17" s="24" t="str">
        <x:v>mullidae</x:v>
      </x:c>
      <x:c r="O17" s="32" t="n">
        <x:v>3.46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Mullidae</x:v>
      </x:c>
      <x:c r="T17" s="32" t="n">
        <x:f>IF(O17="","",(1/'Metadata'!$B$5)^(O17-1))</x:f>
        <x:v>288.40315031266056</x:v>
      </x:c>
      <x:c r="U17" s="31" t="n">
        <x:f>IF(T17="","",I17*T17)</x:f>
        <x:v>86962.47304212612</x:v>
      </x:c>
    </x:row>
    <x:row r="18" ht="18" customHeight="1">
      <x:c r="A18" s="24" t="str">
        <x:v>EEZ_258</x:v>
      </x:c>
      <x:c r="B18" s="24" t="str">
        <x:v>French Polynesia</x:v>
      </x:c>
      <x:c r="C18" s="24" t="str">
        <x:v>EEZ</x:v>
      </x:c>
      <x:c r="D18" s="30" t="n">
        <x:v>2019</x:v>
      </x:c>
      <x:c r="E18" s="24" t="str">
        <x:v>Albula vulpes</x:v>
      </x:c>
      <x:c r="F18" s="24" t="str">
        <x:v>Bonefish</x:v>
      </x:c>
      <x:c r="G18" s="24" t="str">
        <x:v>Medium reef assoc. fish (30 - 89 cm)</x:v>
      </x:c>
      <x:c r="H18" s="24" t="str">
        <x:v>Other fishes &amp; inverts</x:v>
      </x:c>
      <x:c r="I18" s="31" t="n">
        <x:v>279.8005498012</x:v>
      </x:c>
      <x:c r="J18" s="31" t="n">
        <x:v>279.8005498012</x:v>
      </x:c>
      <x:c r="K18" s="31" t="n">
        <x:v>0</x:v>
      </x:c>
      <x:c r="L18" s="31" t="n">
        <x:v>113.8434924247</x:v>
      </x:c>
      <x:c r="M18" s="31" t="n">
        <x:v>165.95705737650002</x:v>
      </x:c>
      <x:c r="N18" s="24" t="str">
        <x:v>albula vulpes</x:v>
      </x:c>
      <x:c r="O18" s="32" t="n">
        <x:v>3.73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Albula vulpes</x:v>
      </x:c>
      <x:c r="T18" s="32" t="n">
        <x:f>IF(O18="","",(1/'Metadata'!$B$5)^(O18-1))</x:f>
        <x:v>537.0317963702527</x:v>
      </x:c>
      <x:c r="U18" s="31" t="n">
        <x:f>IF(T18="","",I18*T18)</x:f>
        <x:v>150261.7918851228</x:v>
      </x:c>
    </x:row>
    <x:row r="19" ht="18" customHeight="1">
      <x:c r="A19" s="24" t="str">
        <x:v>EEZ_258</x:v>
      </x:c>
      <x:c r="B19" s="24" t="str">
        <x:v>French Polynesia</x:v>
      </x:c>
      <x:c r="C19" s="24" t="str">
        <x:v>EEZ</x:v>
      </x:c>
      <x:c r="D19" s="30" t="n">
        <x:v>2019</x:v>
      </x:c>
      <x:c r="E19" s="24" t="str">
        <x:v>Carcharhinus longimanus</x:v>
      </x:c>
      <x:c r="F19" s="24" t="str">
        <x:v>Oceanic whitetip shark</x:v>
      </x:c>
      <x:c r="G19" s="24" t="str">
        <x:v>Large sharks (&gt;=90 cm)</x:v>
      </x:c>
      <x:c r="H19" s="24" t="str">
        <x:v>Sharks &amp; rays</x:v>
      </x:c>
      <x:c r="I19" s="31" t="n">
        <x:v>272.9965761652</x:v>
      </x:c>
      <x:c r="J19" s="31" t="n">
        <x:v>191.4094861616</x:v>
      </x:c>
      <x:c r="K19" s="31" t="n">
        <x:v>81.5870900036</x:v>
      </x:c>
      <x:c r="L19" s="31" t="n">
        <x:v>191.4094861616</x:v>
      </x:c>
      <x:c r="M19" s="31" t="n">
        <x:v>81.5870900036</x:v>
      </x:c>
      <x:c r="N19" s="24" t="str">
        <x:v>carcharhinus longimanus</x:v>
      </x:c>
      <x:c r="O19" s="32" t="n">
        <x:v>4.16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Carcharhinus longimanus</x:v>
      </x:c>
      <x:c r="T19" s="32" t="n">
        <x:f>IF(O19="","",(1/'Metadata'!$B$5)^(O19-1))</x:f>
        <x:v>1445.439770745928</x:v>
      </x:c>
      <x:c r="U19" s="31" t="n">
        <x:f>IF(T19="","",I19*T19)</x:f>
        <x:v>394600.10846664995</x:v>
      </x:c>
    </x:row>
    <x:row r="20" ht="18" customHeight="1">
      <x:c r="A20" s="24" t="str">
        <x:v>EEZ_258</x:v>
      </x:c>
      <x:c r="B20" s="24" t="str">
        <x:v>French Polynesia</x:v>
      </x:c>
      <x:c r="C20" s="24" t="str">
        <x:v>EEZ</x:v>
      </x:c>
      <x:c r="D20" s="30" t="n">
        <x:v>2019</x:v>
      </x:c>
      <x:c r="E20" s="24" t="str">
        <x:v>Isurus</x:v>
      </x:c>
      <x:c r="F20" s="24" t="str">
        <x:v>Mako sharks</x:v>
      </x:c>
      <x:c r="G20" s="24" t="str">
        <x:v>Large sharks (&gt;=90 cm)</x:v>
      </x:c>
      <x:c r="H20" s="24" t="str">
        <x:v>Sharks &amp; rays</x:v>
      </x:c>
      <x:c r="I20" s="31" t="n">
        <x:v>272.4108427921</x:v>
      </x:c>
      <x:c r="J20" s="31" t="n">
        <x:v>60.661757843000004</x:v>
      </x:c>
      <x:c r="K20" s="31" t="n">
        <x:v>211.7490849491</x:v>
      </x:c>
      <x:c r="L20" s="31" t="n">
        <x:v>60.661757843000004</x:v>
      </x:c>
      <x:c r="M20" s="31" t="n">
        <x:v>211.7490849491</x:v>
      </x:c>
      <x:c r="N20" s="24" t="str">
        <x:v>isurus</x:v>
      </x:c>
      <x:c r="O20" s="32" t="n">
        <x:v>4.5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Isurus</x:v>
      </x:c>
      <x:c r="T20" s="32" t="n">
        <x:f>IF(O20="","",(1/'Metadata'!$B$5)^(O20-1))</x:f>
        <x:v>3162.2776601683795</x:v>
      </x:c>
      <x:c r="U20" s="31" t="n">
        <x:f>IF(T20="","",I20*T20)</x:f>
        <x:v>861438.7225490983</x:v>
      </x:c>
    </x:row>
    <x:row r="21" ht="18" customHeight="1">
      <x:c r="A21" s="24" t="str">
        <x:v>EEZ_258</x:v>
      </x:c>
      <x:c r="B21" s="24" t="str">
        <x:v>French Polynesia</x:v>
      </x:c>
      <x:c r="C21" s="24" t="str">
        <x:v>EEZ</x:v>
      </x:c>
      <x:c r="D21" s="30" t="n">
        <x:v>2019</x:v>
      </x:c>
      <x:c r="E21" s="24" t="str">
        <x:v>Carcharhinus falciformis</x:v>
      </x:c>
      <x:c r="F21" s="24" t="str">
        <x:v>Silky shark</x:v>
      </x:c>
      <x:c r="G21" s="24" t="str">
        <x:v>Large sharks (&gt;=90 cm)</x:v>
      </x:c>
      <x:c r="H21" s="24" t="str">
        <x:v>Sharks &amp; rays</x:v>
      </x:c>
      <x:c r="I21" s="31" t="n">
        <x:v>261.18219061030004</x:v>
      </x:c>
      <x:c r="J21" s="31" t="n">
        <x:v>25.3568195509</x:v>
      </x:c>
      <x:c r="K21" s="31" t="n">
        <x:v>235.82537105940003</x:v>
      </x:c>
      <x:c r="L21" s="31" t="n">
        <x:v>25.3568195509</x:v>
      </x:c>
      <x:c r="M21" s="31" t="n">
        <x:v>235.82537105940003</x:v>
      </x:c>
      <x:c r="N21" s="24" t="str">
        <x:v>carcharhinus falciformis</x:v>
      </x:c>
      <x:c r="O21" s="32" t="n">
        <x:v>4.51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Carcharhinus falciformis</x:v>
      </x:c>
      <x:c r="T21" s="32" t="n">
        <x:f>IF(O21="","",(1/'Metadata'!$B$5)^(O21-1))</x:f>
        <x:v>3235.936569296281</x:v>
      </x:c>
      <x:c r="U21" s="31" t="n">
        <x:f>IF(T21="","",I21*T21)</x:f>
        <x:v>845169.0018447817</x:v>
      </x:c>
    </x:row>
    <x:row r="22" ht="18" customHeight="1">
      <x:c r="A22" s="24" t="str">
        <x:v>EEZ_258</x:v>
      </x:c>
      <x:c r="B22" s="24" t="str">
        <x:v>French Polynesia</x:v>
      </x:c>
      <x:c r="C22" s="24" t="str">
        <x:v>EEZ</x:v>
      </x:c>
      <x:c r="D22" s="30" t="n">
        <x:v>2019</x:v>
      </x:c>
      <x:c r="E22" s="24" t="str">
        <x:v>Holocentridae</x:v>
      </x:c>
      <x:c r="F22" s="24" t="str">
        <x:v>Squirrel-, soldierfishes</x:v>
      </x:c>
      <x:c r="G22" s="24" t="str">
        <x:v>Small reef assoc. fish (&lt;30 cm)</x:v>
      </x:c>
      <x:c r="H22" s="24" t="str">
        <x:v>Other fishes &amp; inverts</x:v>
      </x:c>
      <x:c r="I22" s="31" t="n">
        <x:v>259.4129367338</x:v>
      </x:c>
      <x:c r="J22" s="31" t="n">
        <x:v>259.4129367338</x:v>
      </x:c>
      <x:c r="K22" s="31" t="n">
        <x:v>0</x:v>
      </x:c>
      <x:c r="L22" s="31" t="n">
        <x:v>110.42721913999999</x:v>
      </x:c>
      <x:c r="M22" s="31" t="n">
        <x:v>148.9857175938</x:v>
      </x:c>
      <x:c r="N22" s="24" t="str">
        <x:v>holocentridae</x:v>
      </x:c>
      <x:c r="O22" s="32" t="n">
        <x:v>3.49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Holocentridae</x:v>
      </x:c>
      <x:c r="T22" s="32" t="n">
        <x:f>IF(O22="","",(1/'Metadata'!$B$5)^(O22-1))</x:f>
        <x:v>309.0295432513592</x:v>
      </x:c>
      <x:c r="U22" s="31" t="n">
        <x:f>IF(T22="","",I22*T22)</x:f>
        <x:v>80166.26135233995</x:v>
      </x:c>
    </x:row>
    <x:row r="23" ht="18" customHeight="1">
      <x:c r="A23" s="24" t="str">
        <x:v>EEZ_258</x:v>
      </x:c>
      <x:c r="B23" s="24" t="str">
        <x:v>French Polynesia</x:v>
      </x:c>
      <x:c r="C23" s="24" t="str">
        <x:v>EEZ</x:v>
      </x:c>
      <x:c r="D23" s="30" t="n">
        <x:v>2019</x:v>
      </x:c>
      <x:c r="E23" s="24" t="str">
        <x:v>Scombridae</x:v>
      </x:c>
      <x:c r="F23" s="24" t="str">
        <x:v>Mackerels, tunas, bonitos</x:v>
      </x:c>
      <x:c r="G23" s="24" t="str">
        <x:v>Medium pelagics (30 - 89 cm)</x:v>
      </x:c>
      <x:c r="H23" s="24" t="str">
        <x:v>Perch-likes</x:v>
      </x:c>
      <x:c r="I23" s="31" t="n">
        <x:v>259.2868237425</x:v>
      </x:c>
      <x:c r="J23" s="31" t="n">
        <x:v>39.7007955388</x:v>
      </x:c>
      <x:c r="K23" s="31" t="n">
        <x:v>219.58602820369998</x:v>
      </x:c>
      <x:c r="L23" s="31" t="n">
        <x:v>0</x:v>
      </x:c>
      <x:c r="M23" s="31" t="n">
        <x:v>259.2868237425</x:v>
      </x:c>
      <x:c r="N23" s="24" t="str">
        <x:v>scombridae</x:v>
      </x:c>
      <x:c r="O23" s="32" t="n">
        <x:v>4.26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Scombridae</x:v>
      </x:c>
      <x:c r="T23" s="32" t="n">
        <x:f>IF(O23="","",(1/'Metadata'!$B$5)^(O23-1))</x:f>
        <x:v>1819.7008586099826</x:v>
      </x:c>
      <x:c r="U23" s="31" t="n">
        <x:f>IF(T23="","",I23*T23)</x:f>
        <x:v>471824.4557904825</x:v>
      </x:c>
    </x:row>
    <x:row r="24" ht="18" customHeight="1">
      <x:c r="A24" s="24" t="str">
        <x:v>EEZ_258</x:v>
      </x:c>
      <x:c r="B24" s="24" t="str">
        <x:v>French Polynesia</x:v>
      </x:c>
      <x:c r="C24" s="24" t="str">
        <x:v>EEZ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249.24217742119998</x:v>
      </x:c>
      <x:c r="J24" s="31" t="n">
        <x:v>242.7935851051</x:v>
      </x:c>
      <x:c r="K24" s="31" t="n">
        <x:v>6.4485923161</x:v>
      </x:c>
      <x:c r="L24" s="31" t="n">
        <x:v>242.7935851051</x:v>
      </x:c>
      <x:c r="M24" s="31" t="n">
        <x:v>6.4485923161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279654.32265699044</x:v>
      </x:c>
    </x:row>
    <x:row r="25" ht="18" customHeight="1">
      <x:c r="A25" s="24" t="str">
        <x:v>EEZ_258</x:v>
      </x:c>
      <x:c r="B25" s="24" t="str">
        <x:v>French Polynesia</x:v>
      </x:c>
      <x:c r="C25" s="24" t="str">
        <x:v>EEZ</x:v>
      </x:c>
      <x:c r="D25" s="30" t="n">
        <x:v>2019</x:v>
      </x:c>
      <x:c r="E25" s="24" t="str">
        <x:v>Isurus oxyrinchus</x:v>
      </x:c>
      <x:c r="F25" s="24" t="str">
        <x:v>Shortfin mako</x:v>
      </x:c>
      <x:c r="G25" s="24" t="str">
        <x:v>Large sharks (&gt;=90 cm)</x:v>
      </x:c>
      <x:c r="H25" s="24" t="str">
        <x:v>Sharks &amp; rays</x:v>
      </x:c>
      <x:c r="I25" s="31" t="n">
        <x:v>239.7519004727</x:v>
      </x:c>
      <x:c r="J25" s="31" t="n">
        <x:v>239.7519004727</x:v>
      </x:c>
      <x:c r="K25" s="31" t="n">
        <x:v>0</x:v>
      </x:c>
      <x:c r="L25" s="31" t="n">
        <x:v>239.7519004727</x:v>
      </x:c>
      <x:c r="M25" s="31" t="n">
        <x:v>0</x:v>
      </x:c>
      <x:c r="N25" s="24" t="str">
        <x:v>isurus oxyrinchus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Isurus oxyrinchus</x:v>
      </x:c>
      <x:c r="T25" s="32" t="n">
        <x:f>IF(O25="","",(1/'Metadata'!$B$5)^(O25-1))</x:f>
        <x:v>3162.2776601683795</x:v>
      </x:c>
      <x:c r="U25" s="31" t="n">
        <x:f>IF(T25="","",I25*T25)</x:f>
        <x:v>758162.0788477319</x:v>
      </x:c>
    </x:row>
    <x:row r="26" ht="18" customHeight="1">
      <x:c r="A26" s="24" t="str">
        <x:v>EEZ_258</x:v>
      </x:c>
      <x:c r="B26" s="24" t="str">
        <x:v>French Polynesia</x:v>
      </x:c>
      <x:c r="C26" s="24" t="str">
        <x:v>EEZ</x:v>
      </x:c>
      <x:c r="D26" s="30" t="n">
        <x:v>2019</x:v>
      </x:c>
      <x:c r="E26" s="24" t="str">
        <x:v>Naso</x:v>
      </x:c>
      <x:c r="F26" s="24" t="str">
        <x:v>Unicornfishes</x:v>
      </x:c>
      <x:c r="G26" s="24" t="str">
        <x:v>Medium reef assoc. fish (30 - 89 cm)</x:v>
      </x:c>
      <x:c r="H26" s="24" t="str">
        <x:v>Perch-likes</x:v>
      </x:c>
      <x:c r="I26" s="31" t="n">
        <x:v>227.3168136714</x:v>
      </x:c>
      <x:c r="J26" s="31" t="n">
        <x:v>227.3168136714</x:v>
      </x:c>
      <x:c r="K26" s="31" t="n">
        <x:v>0</x:v>
      </x:c>
      <x:c r="L26" s="31" t="n">
        <x:v>143.7898198084</x:v>
      </x:c>
      <x:c r="M26" s="31" t="n">
        <x:v>83.526993863</x:v>
      </x:c>
      <x:c r="N26" s="24" t="str">
        <x:v>naso</x:v>
      </x:c>
      <x:c r="O26" s="32" t="n">
        <x:v>3.28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Naso</x:v>
      </x:c>
      <x:c r="T26" s="32" t="n">
        <x:f>IF(O26="","",(1/'Metadata'!$B$5)^(O26-1))</x:f>
        <x:v>190.54607179632464</x:v>
      </x:c>
      <x:c r="U26" s="31" t="n">
        <x:f>IF(T26="","",I26*T26)</x:f>
        <x:v>43314.32589834234</x:v>
      </x:c>
    </x:row>
    <x:row r="27" ht="18" customHeight="1">
      <x:c r="A27" s="24" t="str">
        <x:v>EEZ_258</x:v>
      </x:c>
      <x:c r="B27" s="24" t="str">
        <x:v>French Polynesia</x:v>
      </x:c>
      <x:c r="C27" s="24" t="str">
        <x:v>EEZ</x:v>
      </x:c>
      <x:c r="D27" s="30" t="n">
        <x:v>2019</x:v>
      </x:c>
      <x:c r="E27" s="24" t="str">
        <x:v>Naso unicornis</x:v>
      </x:c>
      <x:c r="F27" s="24" t="str">
        <x:v>Bluespine unicornfish</x:v>
      </x:c>
      <x:c r="G27" s="24" t="str">
        <x:v>Medium reef assoc. fish (30 - 89 cm)</x:v>
      </x:c>
      <x:c r="H27" s="24" t="str">
        <x:v>Perch-likes</x:v>
      </x:c>
      <x:c r="I27" s="31" t="n">
        <x:v>197.172951112</x:v>
      </x:c>
      <x:c r="J27" s="31" t="n">
        <x:v>197.172951112</x:v>
      </x:c>
      <x:c r="K27" s="31" t="n">
        <x:v>0</x:v>
      </x:c>
      <x:c r="L27" s="31" t="n">
        <x:v>47.9271905496</x:v>
      </x:c>
      <x:c r="M27" s="31" t="n">
        <x:v>149.2457605624</x:v>
      </x:c>
      <x:c r="N27" s="24" t="str">
        <x:v>naso unicornis</x:v>
      </x:c>
      <x:c r="O27" s="32" t="n">
        <x:v>2.17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Naso unicornis</x:v>
      </x:c>
      <x:c r="T27" s="32" t="n">
        <x:f>IF(O27="","",(1/'Metadata'!$B$5)^(O27-1))</x:f>
        <x:v>14.791083881682072</x:v>
      </x:c>
      <x:c r="U27" s="31" t="n">
        <x:f>IF(T27="","",I27*T27)</x:f>
        <x:v>2916.40165909639</x:v>
      </x:c>
    </x:row>
    <x:row r="28" ht="18" customHeight="1">
      <x:c r="A28" s="24" t="str">
        <x:v>EEZ_258</x:v>
      </x:c>
      <x:c r="B28" s="24" t="str">
        <x:v>French Polynesia</x:v>
      </x:c>
      <x:c r="C28" s="24" t="str">
        <x:v>EEZ</x:v>
      </x:c>
      <x:c r="D28" s="30" t="n">
        <x:v>2019</x:v>
      </x:c>
      <x:c r="E28" s="24" t="str">
        <x:v>Epinephelus</x:v>
      </x:c>
      <x:c r="F28" s="24" t="str">
        <x:v>Seabasses, hinds</x:v>
      </x:c>
      <x:c r="G28" s="24" t="str">
        <x:v>Medium reef assoc. fish (30 - 89 cm)</x:v>
      </x:c>
      <x:c r="H28" s="24" t="str">
        <x:v>Perch-likes</x:v>
      </x:c>
      <x:c r="I28" s="31" t="n">
        <x:v>167.812561057</x:v>
      </x:c>
      <x:c r="J28" s="31" t="n">
        <x:v>167.812561057</x:v>
      </x:c>
      <x:c r="K28" s="31" t="n">
        <x:v>0</x:v>
      </x:c>
      <x:c r="L28" s="31" t="n">
        <x:v>0</x:v>
      </x:c>
      <x:c r="M28" s="31" t="n">
        <x:v>167.812561057</x:v>
      </x:c>
      <x:c r="N28" s="24" t="str">
        <x:v>epinephelus</x:v>
      </x:c>
      <x:c r="O28" s="32" t="n">
        <x:v>3.84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Epinephelus</x:v>
      </x:c>
      <x:c r="T28" s="32" t="n">
        <x:f>IF(O28="","",(1/'Metadata'!$B$5)^(O28-1))</x:f>
        <x:v>691.8309709189363</x:v>
      </x:c>
      <x:c r="U28" s="31" t="n">
        <x:f>IF(T28="","",I28*T28)</x:f>
        <x:v>116097.92704845758</x:v>
      </x:c>
    </x:row>
    <x:row r="29" ht="18" customHeight="1">
      <x:c r="A29" s="24" t="str">
        <x:v>EEZ_258</x:v>
      </x:c>
      <x:c r="B29" s="24" t="str">
        <x:v>French Polynesia</x:v>
      </x:c>
      <x:c r="C29" s="24" t="str">
        <x:v>EEZ</x:v>
      </x:c>
      <x:c r="D29" s="30" t="n">
        <x:v>2019</x:v>
      </x:c>
      <x:c r="E29" s="24" t="str">
        <x:v>Mollusca</x:v>
      </x:c>
      <x:c r="F29" s="24" t="str">
        <x:v>Clams, seasnails, squids, octopuses</x:v>
      </x:c>
      <x:c r="G29" s="24" t="str">
        <x:v>Other demersal invertebrates</x:v>
      </x:c>
      <x:c r="H29" s="24" t="str">
        <x:v>Molluscs</x:v>
      </x:c>
      <x:c r="I29" s="31" t="n">
        <x:v>150</x:v>
      </x:c>
      <x:c r="J29" s="31" t="n">
        <x:v>150</x:v>
      </x:c>
      <x:c r="K29" s="31" t="n">
        <x:v>0</x:v>
      </x:c>
      <x:c r="L29" s="31" t="n">
        <x:v>150</x:v>
      </x:c>
      <x:c r="M29" s="31" t="n">
        <x:v>0</x:v>
      </x:c>
      <x:c r="N29" s="24" t="str">
        <x:v>mollusca</x:v>
      </x:c>
      <x:c r="O29" s="32" t="n">
        <x:v>2.1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Mollusca</x:v>
      </x:c>
      <x:c r="T29" s="32" t="n">
        <x:f>IF(O29="","",(1/'Metadata'!$B$5)^(O29-1))</x:f>
        <x:v>12.589254117941675</x:v>
      </x:c>
      <x:c r="U29" s="31" t="n">
        <x:f>IF(T29="","",I29*T29)</x:f>
        <x:v>1888.3881176912512</x:v>
      </x:c>
    </x:row>
    <x:row r="30" ht="18" customHeight="1">
      <x:c r="A30" s="24" t="str">
        <x:v>EEZ_258</x:v>
      </x:c>
      <x:c r="B30" s="24" t="str">
        <x:v>French Polynesia</x:v>
      </x:c>
      <x:c r="C30" s="24" t="str">
        <x:v>EEZ</x:v>
      </x:c>
      <x:c r="D30" s="30" t="n">
        <x:v>2019</x:v>
      </x:c>
      <x:c r="E30" s="24" t="str">
        <x:v>Acanthocybium solandri</x:v>
      </x:c>
      <x:c r="F30" s="24" t="str">
        <x:v>Wahoo</x:v>
      </x:c>
      <x:c r="G30" s="24" t="str">
        <x:v>Large pelagics (&gt;=90 cm)</x:v>
      </x:c>
      <x:c r="H30" s="24" t="str">
        <x:v>Perch-likes</x:v>
      </x:c>
      <x:c r="I30" s="31" t="n">
        <x:v>142.2444480169</x:v>
      </x:c>
      <x:c r="J30" s="31" t="n">
        <x:v>140.2805567007</x:v>
      </x:c>
      <x:c r="K30" s="31" t="n">
        <x:v>1.9638913162</x:v>
      </x:c>
      <x:c r="L30" s="31" t="n">
        <x:v>0</x:v>
      </x:c>
      <x:c r="M30" s="31" t="n">
        <x:v>142.2444480169</x:v>
      </x:c>
      <x:c r="N30" s="24" t="str">
        <x:v>acanthocybium solandri</x:v>
      </x:c>
      <x:c r="O30" s="32" t="n">
        <x:v>4.26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Acanthocybium solandri</x:v>
      </x:c>
      <x:c r="T30" s="32" t="n">
        <x:f>IF(O30="","",(1/'Metadata'!$B$5)^(O30-1))</x:f>
        <x:v>1819.7008586099826</x:v>
      </x:c>
      <x:c r="U30" s="31" t="n">
        <x:f>IF(T30="","",I30*T30)</x:f>
        <x:v>258842.344188856</x:v>
      </x:c>
    </x:row>
    <x:row r="31" ht="18" customHeight="1">
      <x:c r="A31" s="24" t="str">
        <x:v>EEZ_258</x:v>
      </x:c>
      <x:c r="B31" s="24" t="str">
        <x:v>French Polynesia</x:v>
      </x:c>
      <x:c r="C31" s="24" t="str">
        <x:v>EEZ</x:v>
      </x:c>
      <x:c r="D31" s="30" t="n">
        <x:v>2019</x:v>
      </x:c>
      <x:c r="E31" s="24" t="str">
        <x:v>Lampris guttatus</x:v>
      </x:c>
      <x:c r="F31" s="24" t="str">
        <x:v>Opah</x:v>
      </x:c>
      <x:c r="G31" s="24" t="str">
        <x:v>Large bathypelagics (&gt;=90 cm)</x:v>
      </x:c>
      <x:c r="H31" s="24" t="str">
        <x:v>Other fishes &amp; inverts</x:v>
      </x:c>
      <x:c r="I31" s="31" t="n">
        <x:v>138</x:v>
      </x:c>
      <x:c r="J31" s="31" t="n">
        <x:v>138</x:v>
      </x:c>
      <x:c r="K31" s="31" t="n">
        <x:v>0</x:v>
      </x:c>
      <x:c r="L31" s="31" t="n">
        <x:v>138</x:v>
      </x:c>
      <x:c r="M31" s="31" t="n">
        <x:v>0</x:v>
      </x:c>
      <x:c r="N31" s="24" t="str">
        <x:v>lampris guttatus</x:v>
      </x:c>
      <x:c r="O31" s="32" t="n">
        <x:v>4.22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Lampris guttatus</x:v>
      </x:c>
      <x:c r="T31" s="32" t="n">
        <x:f>IF(O31="","",(1/'Metadata'!$B$5)^(O31-1))</x:f>
        <x:v>1659.5869074375596</x:v>
      </x:c>
      <x:c r="U31" s="31" t="n">
        <x:f>IF(T31="","",I31*T31)</x:f>
        <x:v>229022.99322638323</x:v>
      </x:c>
    </x:row>
    <x:row r="32" ht="18" customHeight="1">
      <x:c r="A32" s="24" t="str">
        <x:v>EEZ_258</x:v>
      </x:c>
      <x:c r="B32" s="24" t="str">
        <x:v>French Polynesia</x:v>
      </x:c>
      <x:c r="C32" s="24" t="str">
        <x:v>EEZ</x:v>
      </x:c>
      <x:c r="D32" s="30" t="n">
        <x:v>2019</x:v>
      </x:c>
      <x:c r="E32" s="24" t="str">
        <x:v>Naso brevirostris</x:v>
      </x:c>
      <x:c r="F32" s="24" t="str">
        <x:v>Spotted unicornfish</x:v>
      </x:c>
      <x:c r="G32" s="24" t="str">
        <x:v>Medium reef assoc. fish (30 - 89 cm)</x:v>
      </x:c>
      <x:c r="H32" s="24" t="str">
        <x:v>Perch-likes</x:v>
      </x:c>
      <x:c r="I32" s="31" t="n">
        <x:v>124.1868817726</x:v>
      </x:c>
      <x:c r="J32" s="31" t="n">
        <x:v>124.1868817726</x:v>
      </x:c>
      <x:c r="K32" s="31" t="n">
        <x:v>0</x:v>
      </x:c>
      <x:c r="L32" s="31" t="n">
        <x:v>0</x:v>
      </x:c>
      <x:c r="M32" s="31" t="n">
        <x:v>124.1868817726</x:v>
      </x:c>
      <x:c r="N32" s="24" t="str">
        <x:v>naso brevirostris</x:v>
      </x:c>
      <x:c r="O32" s="32" t="n">
        <x:v>2.22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Naso brevirostris</x:v>
      </x:c>
      <x:c r="T32" s="32" t="n">
        <x:f>IF(O32="","",(1/'Metadata'!$B$5)^(O32-1))</x:f>
        <x:v>16.595869074375614</x:v>
      </x:c>
      <x:c r="U32" s="31" t="n">
        <x:f>IF(T32="","",I32*T32)</x:f>
        <x:v>2060.989230653033</x:v>
      </x:c>
    </x:row>
    <x:row r="33" ht="18" customHeight="1">
      <x:c r="A33" s="24" t="str">
        <x:v>EEZ_258</x:v>
      </x:c>
      <x:c r="B33" s="24" t="str">
        <x:v>French Polynesia</x:v>
      </x:c>
      <x:c r="C33" s="24" t="str">
        <x:v>EEZ</x:v>
      </x:c>
      <x:c r="D33" s="30" t="n">
        <x:v>2019</x:v>
      </x:c>
      <x:c r="E33" s="24" t="str">
        <x:v>Epinephelus merra</x:v>
      </x:c>
      <x:c r="F33" s="24" t="str">
        <x:v>Honeycomb grouper</x:v>
      </x:c>
      <x:c r="G33" s="24" t="str">
        <x:v>Small reef assoc. fish (&lt;30 cm)</x:v>
      </x:c>
      <x:c r="H33" s="24" t="str">
        <x:v>Perch-likes</x:v>
      </x:c>
      <x:c r="I33" s="31" t="n">
        <x:v>117.82925068259999</x:v>
      </x:c>
      <x:c r="J33" s="31" t="n">
        <x:v>117.82925068259999</x:v>
      </x:c>
      <x:c r="K33" s="31" t="n">
        <x:v>0</x:v>
      </x:c>
      <x:c r="L33" s="31" t="n">
        <x:v>32.522022158</x:v>
      </x:c>
      <x:c r="M33" s="31" t="n">
        <x:v>85.30722852459999</x:v>
      </x:c>
      <x:c r="N33" s="24" t="str">
        <x:v>epinephelus merra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merra</x:v>
      </x:c>
      <x:c r="T33" s="32" t="n">
        <x:f>IF(O33="","",(1/'Metadata'!$B$5)^(O33-1))</x:f>
        <x:v>660.6934480075957</x:v>
      </x:c>
      <x:c r="U33" s="31" t="n">
        <x:f>IF(T33="","",I33*T33)</x:f>
        <x:v>77849.01390963835</x:v>
      </x:c>
    </x:row>
    <x:row r="34" ht="18" customHeight="1">
      <x:c r="A34" s="24" t="str">
        <x:v>EEZ_258</x:v>
      </x:c>
      <x:c r="B34" s="24" t="str">
        <x:v>French Polynesia</x:v>
      </x:c>
      <x:c r="C34" s="24" t="str">
        <x:v>EEZ</x:v>
      </x:c>
      <x:c r="D34" s="30" t="n">
        <x:v>2019</x:v>
      </x:c>
      <x:c r="E34" s="24" t="str">
        <x:v>Kajikia audax</x:v>
      </x:c>
      <x:c r="F34" s="24" t="str">
        <x:v>Striped marlin</x:v>
      </x:c>
      <x:c r="G34" s="24" t="str">
        <x:v>Large pelagics (&gt;=90 cm)</x:v>
      </x:c>
      <x:c r="H34" s="24" t="str">
        <x:v>Tuna &amp; billfishes</x:v>
      </x:c>
      <x:c r="I34" s="31" t="n">
        <x:v>113.8965520022</x:v>
      </x:c>
      <x:c r="J34" s="31" t="n">
        <x:v>113.8965520022</x:v>
      </x:c>
      <x:c r="K34" s="31" t="n">
        <x:v>0</x:v>
      </x:c>
      <x:c r="L34" s="31" t="n">
        <x:v>113.8965520022</x:v>
      </x:c>
      <x:c r="M34" s="31" t="n">
        <x:v>0</x:v>
      </x:c>
      <x:c r="N34" s="24" t="str">
        <x:v>kajikia audax</x:v>
      </x:c>
      <x:c r="O34" s="32" t="n">
        <x:v>4.58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Kajikia audax</x:v>
      </x:c>
      <x:c r="T34" s="32" t="n">
        <x:f>IF(O34="","",(1/'Metadata'!$B$5)^(O34-1))</x:f>
        <x:v>3801.8939632056126</x:v>
      </x:c>
      <x:c r="U34" s="31" t="n">
        <x:f>IF(T34="","",I34*T34)</x:f>
        <x:v>433022.6134870983</x:v>
      </x:c>
    </x:row>
    <x:row r="35" ht="18" customHeight="1">
      <x:c r="A35" s="24" t="str">
        <x:v>EEZ_258</x:v>
      </x:c>
      <x:c r="B35" s="24" t="str">
        <x:v>French Polynesia</x:v>
      </x:c>
      <x:c r="C35" s="24" t="str">
        <x:v>EEZ</x:v>
      </x:c>
      <x:c r="D35" s="30" t="n">
        <x:v>2019</x:v>
      </x:c>
      <x:c r="E35" s="24" t="str">
        <x:v>Scarus</x:v>
      </x:c>
      <x:c r="F35" s="24" t="str">
        <x:v>Parrots</x:v>
      </x:c>
      <x:c r="G35" s="24" t="str">
        <x:v>Medium reef assoc. fish (30 - 89 cm)</x:v>
      </x:c>
      <x:c r="H35" s="24" t="str">
        <x:v>Perch-likes</x:v>
      </x:c>
      <x:c r="I35" s="31" t="n">
        <x:v>111.5971427331</x:v>
      </x:c>
      <x:c r="J35" s="31" t="n">
        <x:v>111.5971427331</x:v>
      </x:c>
      <x:c r="K35" s="31" t="n">
        <x:v>0</x:v>
      </x:c>
      <x:c r="L35" s="31" t="n">
        <x:v>41.9362917246</x:v>
      </x:c>
      <x:c r="M35" s="31" t="n">
        <x:v>69.6608510085</x:v>
      </x:c>
      <x:c r="N35" s="24" t="str">
        <x:v>scarus</x:v>
      </x:c>
      <x:c r="O35" s="32" t="n">
        <x:v>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Scarus</x:v>
      </x:c>
      <x:c r="T35" s="32" t="n">
        <x:f>IF(O35="","",(1/'Metadata'!$B$5)^(O35-1))</x:f>
        <x:v>10</x:v>
      </x:c>
      <x:c r="U35" s="31" t="n">
        <x:f>IF(T35="","",I35*T35)</x:f>
        <x:v>1115.971427331</x:v>
      </x:c>
    </x:row>
    <x:row r="36" ht="18" customHeight="1">
      <x:c r="A36" s="24" t="str">
        <x:v>EEZ_258</x:v>
      </x:c>
      <x:c r="B36" s="24" t="str">
        <x:v>French Polynesia</x:v>
      </x:c>
      <x:c r="C36" s="24" t="str">
        <x:v>EEZ</x:v>
      </x:c>
      <x:c r="D36" s="30" t="n">
        <x:v>2019</x:v>
      </x:c>
      <x:c r="E36" s="24" t="str">
        <x:v>Myripristis</x:v>
      </x:c>
      <x:c r="F36" s="24" t="str">
        <x:v>Soldierfishes</x:v>
      </x:c>
      <x:c r="G36" s="24" t="str">
        <x:v>Small reef assoc. fish (&lt;30 cm)</x:v>
      </x:c>
      <x:c r="H36" s="24" t="str">
        <x:v>Other fishes &amp; inverts</x:v>
      </x:c>
      <x:c r="I36" s="31" t="n">
        <x:v>102.6486642238</x:v>
      </x:c>
      <x:c r="J36" s="31" t="n">
        <x:v>102.6486642238</x:v>
      </x:c>
      <x:c r="K36" s="31" t="n">
        <x:v>0</x:v>
      </x:c>
      <x:c r="L36" s="31" t="n">
        <x:v>0</x:v>
      </x:c>
      <x:c r="M36" s="31" t="n">
        <x:v>102.6486642238</x:v>
      </x:c>
      <x:c r="N36" s="24" t="str">
        <x:v>myripristis</x:v>
      </x:c>
      <x:c r="O36" s="32" t="n">
        <x:v>3.42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Myripristis</x:v>
      </x:c>
      <x:c r="T36" s="32" t="n">
        <x:f>IF(O36="","",(1/'Metadata'!$B$5)^(O36-1))</x:f>
        <x:v>263.02679918953817</x:v>
      </x:c>
      <x:c r="U36" s="31" t="n">
        <x:f>IF(T36="","",I36*T36)</x:f>
        <x:v>26999.349591867773</x:v>
      </x:c>
    </x:row>
    <x:row r="37" ht="18" customHeight="1">
      <x:c r="A37" s="24" t="str">
        <x:v>EEZ_258</x:v>
      </x:c>
      <x:c r="B37" s="24" t="str">
        <x:v>French Polynesia</x:v>
      </x:c>
      <x:c r="C37" s="24" t="str">
        <x:v>EEZ</x:v>
      </x:c>
      <x:c r="D37" s="30" t="n">
        <x:v>2019</x:v>
      </x:c>
      <x:c r="E37" s="24" t="str">
        <x:v>Upeneus</x:v>
      </x:c>
      <x:c r="F37" s="24" t="str">
        <x:v>Upeneid goatfishes</x:v>
      </x:c>
      <x:c r="G37" s="24" t="str">
        <x:v>Small reef assoc. fish (&lt;30 cm)</x:v>
      </x:c>
      <x:c r="H37" s="24" t="str">
        <x:v>Perch-likes</x:v>
      </x:c>
      <x:c r="I37" s="31" t="n">
        <x:v>100.7064809236</x:v>
      </x:c>
      <x:c r="J37" s="31" t="n">
        <x:v>100.7064809236</x:v>
      </x:c>
      <x:c r="K37" s="31" t="n">
        <x:v>0</x:v>
      </x:c>
      <x:c r="L37" s="31" t="n">
        <x:v>63.3614107794</x:v>
      </x:c>
      <x:c r="M37" s="31" t="n">
        <x:v>37.3450701442</x:v>
      </x:c>
      <x:c r="N37" s="24" t="str">
        <x:v>upeneus</x:v>
      </x:c>
      <x:c r="O37" s="32" t="n">
        <x:v>3.54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Upeneus</x:v>
      </x:c>
      <x:c r="T37" s="32" t="n">
        <x:f>IF(O37="","",(1/'Metadata'!$B$5)^(O37-1))</x:f>
        <x:v>346.73685045253166</x:v>
      </x:c>
      <x:c r="U37" s="31" t="n">
        <x:f>IF(T37="","",I37*T37)</x:f>
        <x:v>34918.648015607025</x:v>
      </x:c>
    </x:row>
    <x:row r="38" ht="18" customHeight="1">
      <x:c r="A38" s="24" t="str">
        <x:v>EEZ_258</x:v>
      </x:c>
      <x:c r="B38" s="24" t="str">
        <x:v>French Polynesia</x:v>
      </x:c>
      <x:c r="C38" s="24" t="str">
        <x:v>EEZ</x:v>
      </x:c>
      <x:c r="D38" s="30" t="n">
        <x:v>2019</x:v>
      </x:c>
      <x:c r="E38" s="24" t="str">
        <x:v>Serranidae</x:v>
      </x:c>
      <x:c r="F38" s="24" t="str">
        <x:v>Basses, groupers, hinds</x:v>
      </x:c>
      <x:c r="G38" s="24" t="str">
        <x:v>Medium reef assoc. fish (30 - 89 cm)</x:v>
      </x:c>
      <x:c r="H38" s="24" t="str">
        <x:v>Perch-likes</x:v>
      </x:c>
      <x:c r="I38" s="31" t="n">
        <x:v>94.5288554067</x:v>
      </x:c>
      <x:c r="J38" s="31" t="n">
        <x:v>94.5288554067</x:v>
      </x:c>
      <x:c r="K38" s="31" t="n">
        <x:v>0</x:v>
      </x:c>
      <x:c r="L38" s="31" t="n">
        <x:v>0</x:v>
      </x:c>
      <x:c r="M38" s="31" t="n">
        <x:v>94.5288554067</x:v>
      </x:c>
      <x:c r="N38" s="24" t="str">
        <x:v>serranidae</x:v>
      </x:c>
      <x:c r="O38" s="32" t="n">
        <x:v>3.98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Serranidae</x:v>
      </x:c>
      <x:c r="T38" s="32" t="n">
        <x:f>IF(O38="","",(1/'Metadata'!$B$5)^(O38-1))</x:f>
        <x:v>954.992586021436</x:v>
      </x:c>
      <x:c r="U38" s="31" t="n">
        <x:f>IF(T38="","",I38*T38)</x:f>
        <x:v>90274.35607849083</x:v>
      </x:c>
    </x:row>
    <x:row r="39" ht="18" customHeight="1">
      <x:c r="A39" s="24" t="str">
        <x:v>EEZ_258</x:v>
      </x:c>
      <x:c r="B39" s="24" t="str">
        <x:v>French Polynesia</x:v>
      </x:c>
      <x:c r="C39" s="24" t="str">
        <x:v>EEZ</x:v>
      </x:c>
      <x:c r="D39" s="30" t="n">
        <x:v>2019</x:v>
      </x:c>
      <x:c r="E39" s="24" t="str">
        <x:v>Acanthurus xanthopterus</x:v>
      </x:c>
      <x:c r="F39" s="24" t="str">
        <x:v>Yellowfin surgeonfish</x:v>
      </x:c>
      <x:c r="G39" s="24" t="str">
        <x:v>Medium reef assoc. fish (30 - 89 cm)</x:v>
      </x:c>
      <x:c r="H39" s="24" t="str">
        <x:v>Perch-likes</x:v>
      </x:c>
      <x:c r="I39" s="31" t="n">
        <x:v>92.1002989248</x:v>
      </x:c>
      <x:c r="J39" s="31" t="n">
        <x:v>92.1002989248</x:v>
      </x:c>
      <x:c r="K39" s="31" t="n">
        <x:v>0</x:v>
      </x:c>
      <x:c r="L39" s="31" t="n">
        <x:v>36.9593252173</x:v>
      </x:c>
      <x:c r="M39" s="31" t="n">
        <x:v>55.140973707499995</x:v>
      </x:c>
      <x:c r="N39" s="24" t="str">
        <x:v>acanthurus xanthopterus</x:v>
      </x:c>
      <x:c r="O39" s="32" t="n">
        <x:v>2.87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Acanthurus xanthopterus</x:v>
      </x:c>
      <x:c r="T39" s="32" t="n">
        <x:f>IF(O39="","",(1/'Metadata'!$B$5)^(O39-1))</x:f>
        <x:v>74.13102413009177</x:v>
      </x:c>
      <x:c r="U39" s="31" t="n">
        <x:f>IF(T39="","",I39*T39)</x:f>
        <x:v>6827.489481983014</x:v>
      </x:c>
    </x:row>
    <x:row r="40" ht="18" customHeight="1">
      <x:c r="A40" s="24" t="str">
        <x:v>EEZ_258</x:v>
      </x:c>
      <x:c r="B40" s="24" t="str">
        <x:v>French Polynesia</x:v>
      </x:c>
      <x:c r="C40" s="24" t="str">
        <x:v>EEZ</x:v>
      </x:c>
      <x:c r="D40" s="30" t="n">
        <x:v>2019</x:v>
      </x:c>
      <x:c r="E40" s="24" t="str">
        <x:v>Lutjanidae</x:v>
      </x:c>
      <x:c r="F40" s="24" t="str">
        <x:v>Snappers</x:v>
      </x:c>
      <x:c r="G40" s="24" t="str">
        <x:v>Medium reef assoc. fish (30 - 89 cm)</x:v>
      </x:c>
      <x:c r="H40" s="24" t="str">
        <x:v>Perch-likes</x:v>
      </x:c>
      <x:c r="I40" s="31" t="n">
        <x:v>91.5034025586</x:v>
      </x:c>
      <x:c r="J40" s="31" t="n">
        <x:v>91.5034025586</x:v>
      </x:c>
      <x:c r="K40" s="31" t="n">
        <x:v>0</x:v>
      </x:c>
      <x:c r="L40" s="31" t="n">
        <x:v>0</x:v>
      </x:c>
      <x:c r="M40" s="31" t="n">
        <x:v>91.5034025586</x:v>
      </x:c>
      <x:c r="N40" s="24" t="str">
        <x:v>lutjanidae</x:v>
      </x:c>
      <x:c r="O40" s="32" t="n">
        <x:v>4.02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Lutjanidae</x:v>
      </x:c>
      <x:c r="T40" s="32" t="n">
        <x:f>IF(O40="","",(1/'Metadata'!$B$5)^(O40-1))</x:f>
        <x:v>1047.1285480508984</x:v>
      </x:c>
      <x:c r="U40" s="31" t="n">
        <x:f>IF(T40="","",I40*T40)</x:f>
        <x:v>95815.82506290368</x:v>
      </x:c>
    </x:row>
    <x:row r="41" ht="18" customHeight="1">
      <x:c r="A41" s="24" t="str">
        <x:v>EEZ_258</x:v>
      </x:c>
      <x:c r="B41" s="24" t="str">
        <x:v>French Polynesia</x:v>
      </x:c>
      <x:c r="C41" s="24" t="str">
        <x:v>EEZ</x:v>
      </x:c>
      <x:c r="D41" s="30" t="n">
        <x:v>2019</x:v>
      </x:c>
      <x:c r="E41" s="24" t="str">
        <x:v>Ctenochaetus striatus</x:v>
      </x:c>
      <x:c r="F41" s="24" t="str">
        <x:v>Striated surgeonfish</x:v>
      </x:c>
      <x:c r="G41" s="24" t="str">
        <x:v>Small reef assoc. fish (&lt;30 cm)</x:v>
      </x:c>
      <x:c r="H41" s="24" t="str">
        <x:v>Perch-likes</x:v>
      </x:c>
      <x:c r="I41" s="31" t="n">
        <x:v>86.8215559227</x:v>
      </x:c>
      <x:c r="J41" s="31" t="n">
        <x:v>86.8215559227</x:v>
      </x:c>
      <x:c r="K41" s="31" t="n">
        <x:v>0</x:v>
      </x:c>
      <x:c r="L41" s="31" t="n">
        <x:v>23.963595269800003</x:v>
      </x:c>
      <x:c r="M41" s="31" t="n">
        <x:v>62.8579606529</x:v>
      </x:c>
      <x:c r="N41" s="24" t="str">
        <x:v>ctenochaetus striatus</x:v>
      </x:c>
      <x:c r="O41" s="32" t="n">
        <x:v>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Ctenochaetus striatus</x:v>
      </x:c>
      <x:c r="T41" s="32" t="n">
        <x:f>IF(O41="","",(1/'Metadata'!$B$5)^(O41-1))</x:f>
        <x:v>10</x:v>
      </x:c>
      <x:c r="U41" s="31" t="n">
        <x:f>IF(T41="","",I41*T41)</x:f>
        <x:v>868.215559227</x:v>
      </x:c>
    </x:row>
    <x:row r="42" ht="18" customHeight="1">
      <x:c r="A42" s="24" t="str">
        <x:v>EEZ_258</x:v>
      </x:c>
      <x:c r="B42" s="24" t="str">
        <x:v>French Polynesia</x:v>
      </x:c>
      <x:c r="C42" s="24" t="str">
        <x:v>EEZ</x:v>
      </x:c>
      <x:c r="D42" s="30" t="n">
        <x:v>2019</x:v>
      </x:c>
      <x:c r="E42" s="24" t="str">
        <x:v>Sphyraena</x:v>
      </x:c>
      <x:c r="F42" s="24" t="str">
        <x:v>Barracudas, sennets</x:v>
      </x:c>
      <x:c r="G42" s="24" t="str">
        <x:v>Large pelagics (&gt;=90 cm)</x:v>
      </x:c>
      <x:c r="H42" s="24" t="str">
        <x:v>Perch-likes</x:v>
      </x:c>
      <x:c r="I42" s="31" t="n">
        <x:v>86.6513127061</x:v>
      </x:c>
      <x:c r="J42" s="31" t="n">
        <x:v>86.6513127061</x:v>
      </x:c>
      <x:c r="K42" s="31" t="n">
        <x:v>0</x:v>
      </x:c>
      <x:c r="L42" s="31" t="n">
        <x:v>45.6833363337</x:v>
      </x:c>
      <x:c r="M42" s="31" t="n">
        <x:v>40.9679763724</x:v>
      </x:c>
      <x:c r="N42" s="24" t="str">
        <x:v>sphyraena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Sphyraena</x:v>
      </x:c>
      <x:c r="T42" s="32" t="n">
        <x:f>IF(O42="","",(1/'Metadata'!$B$5)^(O42-1))</x:f>
        <x:v>2511.886431509582</x:v>
      </x:c>
      <x:c r="U42" s="31" t="n">
        <x:f>IF(T42="","",I42*T42)</x:f>
        <x:v>217658.25665894643</x:v>
      </x:c>
    </x:row>
    <x:row r="43" ht="18" customHeight="1">
      <x:c r="A43" s="24" t="str">
        <x:v>EEZ_258</x:v>
      </x:c>
      <x:c r="B43" s="24" t="str">
        <x:v>French Polynesia</x:v>
      </x:c>
      <x:c r="C43" s="24" t="str">
        <x:v>EEZ</x:v>
      </x:c>
      <x:c r="D43" s="30" t="n">
        <x:v>2019</x:v>
      </x:c>
      <x:c r="E43" s="24" t="str">
        <x:v>Palinuridae</x:v>
      </x:c>
      <x:c r="F43" s="24" t="str">
        <x:v>Spiny lobsters</x:v>
      </x:c>
      <x:c r="G43" s="24" t="str">
        <x:v>Lobsters, crabs</x:v>
      </x:c>
      <x:c r="H43" s="24" t="str">
        <x:v>Crustaceans</x:v>
      </x:c>
      <x:c r="I43" s="31" t="n">
        <x:v>60</x:v>
      </x:c>
      <x:c r="J43" s="31" t="n">
        <x:v>60</x:v>
      </x:c>
      <x:c r="K43" s="31" t="n">
        <x:v>0</x:v>
      </x:c>
      <x:c r="L43" s="31" t="n">
        <x:v>60</x:v>
      </x:c>
      <x:c r="M43" s="31" t="n">
        <x:v>0</x:v>
      </x:c>
      <x:c r="N43" s="24" t="str">
        <x:v>palinuridae</x:v>
      </x:c>
      <x:c r="O43" s="32" t="n">
        <x:v>3.14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Palinuridae</x:v>
      </x:c>
      <x:c r="T43" s="32" t="n">
        <x:f>IF(O43="","",(1/'Metadata'!$B$5)^(O43-1))</x:f>
        <x:v>138.03842646028852</x:v>
      </x:c>
      <x:c r="U43" s="31" t="n">
        <x:f>IF(T43="","",I43*T43)</x:f>
        <x:v>8282.305587617311</x:v>
      </x:c>
    </x:row>
    <x:row r="44" ht="18" customHeight="1">
      <x:c r="A44" s="24" t="str">
        <x:v>EEZ_258</x:v>
      </x:c>
      <x:c r="B44" s="24" t="str">
        <x:v>French Polynesia</x:v>
      </x:c>
      <x:c r="C44" s="24" t="str">
        <x:v>EEZ</x:v>
      </x:c>
      <x:c r="D44" s="30" t="n">
        <x:v>2019</x:v>
      </x:c>
      <x:c r="E44" s="24" t="str">
        <x:v>Upeneus vittatus</x:v>
      </x:c>
      <x:c r="F44" s="24" t="str">
        <x:v>Yellowstriped goatfish</x:v>
      </x:c>
      <x:c r="G44" s="24" t="str">
        <x:v>Small reef assoc. fish (&lt;30 cm)</x:v>
      </x:c>
      <x:c r="H44" s="24" t="str">
        <x:v>Perch-likes</x:v>
      </x:c>
      <x:c r="I44" s="31" t="n">
        <x:v>55.8840967977</x:v>
      </x:c>
      <x:c r="J44" s="31" t="n">
        <x:v>55.8840967977</x:v>
      </x:c>
      <x:c r="K44" s="31" t="n">
        <x:v>0</x:v>
      </x:c>
      <x:c r="L44" s="31" t="n">
        <x:v>0</x:v>
      </x:c>
      <x:c r="M44" s="31" t="n">
        <x:v>55.8840967977</x:v>
      </x:c>
      <x:c r="N44" s="24" t="str">
        <x:v>upeneus vittatus</x:v>
      </x:c>
      <x:c r="O44" s="32" t="n">
        <x:v>3.62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Upeneus vittatus</x:v>
      </x:c>
      <x:c r="T44" s="32" t="n">
        <x:f>IF(O44="","",(1/'Metadata'!$B$5)^(O44-1))</x:f>
        <x:v>416.8693834703355</x:v>
      </x:c>
      <x:c r="U44" s="31" t="n">
        <x:f>IF(T44="","",I44*T44)</x:f>
        <x:v>23296.368977853752</x:v>
      </x:c>
    </x:row>
    <x:row r="45" ht="18" customHeight="1">
      <x:c r="A45" s="24" t="str">
        <x:v>EEZ_258</x:v>
      </x:c>
      <x:c r="B45" s="24" t="str">
        <x:v>French Polynesia</x:v>
      </x:c>
      <x:c r="C45" s="24" t="str">
        <x:v>EEZ</x:v>
      </x:c>
      <x:c r="D45" s="30" t="n">
        <x:v>2019</x:v>
      </x:c>
      <x:c r="E45" s="24" t="str">
        <x:v>Alopias</x:v>
      </x:c>
      <x:c r="F45" s="24" t="str">
        <x:v>Thresher sharks</x:v>
      </x:c>
      <x:c r="G45" s="24" t="str">
        <x:v>Large sharks (&gt;=90 cm)</x:v>
      </x:c>
      <x:c r="H45" s="24" t="str">
        <x:v>Sharks &amp; rays</x:v>
      </x:c>
      <x:c r="I45" s="31" t="n">
        <x:v>53.529601547700004</x:v>
      </x:c>
      <x:c r="J45" s="31" t="n">
        <x:v>10.7639020541</x:v>
      </x:c>
      <x:c r="K45" s="31" t="n">
        <x:v>42.7656994936</x:v>
      </x:c>
      <x:c r="L45" s="31" t="n">
        <x:v>10.7639020541</x:v>
      </x:c>
      <x:c r="M45" s="31" t="n">
        <x:v>42.7656994936</x:v>
      </x:c>
      <x:c r="N45" s="24" t="str">
        <x:v>alopias</x:v>
      </x:c>
      <x:c r="O45" s="32" t="n">
        <x:v>4.5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Alopias</x:v>
      </x:c>
      <x:c r="T45" s="32" t="n">
        <x:f>IF(O45="","",(1/'Metadata'!$B$5)^(O45-1))</x:f>
        <x:v>3162.2776601683795</x:v>
      </x:c>
      <x:c r="U45" s="31" t="n">
        <x:f>IF(T45="","",I45*T45)</x:f>
        <x:v>169275.46313200644</x:v>
      </x:c>
    </x:row>
    <x:row r="46" ht="18" customHeight="1">
      <x:c r="A46" s="24" t="str">
        <x:v>EEZ_258</x:v>
      </x:c>
      <x:c r="B46" s="24" t="str">
        <x:v>French Polynesia</x:v>
      </x:c>
      <x:c r="C46" s="24" t="str">
        <x:v>EEZ</x:v>
      </x:c>
      <x:c r="D46" s="30" t="n">
        <x:v>2019</x:v>
      </x:c>
      <x:c r="E46" s="24" t="str">
        <x:v>Thunnus orientalis</x:v>
      </x:c>
      <x:c r="F46" s="24" t="str">
        <x:v>Pacific bluefin tuna</x:v>
      </x:c>
      <x:c r="G46" s="24" t="str">
        <x:v>Large pelagics (&gt;=90 cm)</x:v>
      </x:c>
      <x:c r="H46" s="24" t="str">
        <x:v>Tuna &amp; billfishes</x:v>
      </x:c>
      <x:c r="I46" s="31" t="n">
        <x:v>41.8236000921</x:v>
      </x:c>
      <x:c r="J46" s="31" t="n">
        <x:v>41.4907205521</x:v>
      </x:c>
      <x:c r="K46" s="31" t="n">
        <x:v>0.33287954</x:v>
      </x:c>
      <x:c r="L46" s="31" t="n">
        <x:v>41.4907205521</x:v>
      </x:c>
      <x:c r="M46" s="31" t="n">
        <x:v>0.33287954</x:v>
      </x:c>
      <x:c r="N46" s="24" t="str">
        <x:v>thunnus orientalis</x:v>
      </x:c>
      <x:c r="O46" s="32" t="n">
        <x:v>4.05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orientalis</x:v>
      </x:c>
      <x:c r="T46" s="32" t="n">
        <x:f>IF(O46="","",(1/'Metadata'!$B$5)^(O46-1))</x:f>
        <x:v>1122.018454301963</x:v>
      </x:c>
      <x:c r="U46" s="31" t="n">
        <x:f>IF(T46="","",I46*T46)</x:f>
        <x:v>46926.851128681476</x:v>
      </x:c>
    </x:row>
    <x:row r="47" ht="18" customHeight="1">
      <x:c r="A47" s="24" t="str">
        <x:v>EEZ_258</x:v>
      </x:c>
      <x:c r="B47" s="24" t="str">
        <x:v>French Polynesia</x:v>
      </x:c>
      <x:c r="C47" s="24" t="str">
        <x:v>EEZ</x:v>
      </x:c>
      <x:c r="D47" s="30" t="n">
        <x:v>2019</x:v>
      </x:c>
      <x:c r="E47" s="24" t="str">
        <x:v>Scarus oviceps</x:v>
      </x:c>
      <x:c r="F47" s="24" t="str">
        <x:v>Darkcapped parrotfish</x:v>
      </x:c>
      <x:c r="G47" s="24" t="str">
        <x:v>Medium reef assoc. fish (30 - 89 cm)</x:v>
      </x:c>
      <x:c r="H47" s="24" t="str">
        <x:v>Perch-likes</x:v>
      </x:c>
      <x:c r="I47" s="31" t="n">
        <x:v>40.3405849871</x:v>
      </x:c>
      <x:c r="J47" s="31" t="n">
        <x:v>40.3405849871</x:v>
      </x:c>
      <x:c r="K47" s="31" t="n">
        <x:v>0</x:v>
      </x:c>
      <x:c r="L47" s="31" t="n">
        <x:v>0</x:v>
      </x:c>
      <x:c r="M47" s="31" t="n">
        <x:v>40.3405849871</x:v>
      </x:c>
      <x:c r="N47" s="24" t="str">
        <x:v>scarus oviceps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Scarus oviceps</x:v>
      </x:c>
      <x:c r="T47" s="32" t="n">
        <x:f>IF(O47="","",(1/'Metadata'!$B$5)^(O47-1))</x:f>
        <x:v>10</x:v>
      </x:c>
      <x:c r="U47" s="31" t="n">
        <x:f>IF(T47="","",I47*T47)</x:f>
        <x:v>403.405849871</x:v>
      </x:c>
    </x:row>
    <x:row r="48" ht="18" customHeight="1">
      <x:c r="A48" s="24" t="str">
        <x:v>EEZ_258</x:v>
      </x:c>
      <x:c r="B48" s="24" t="str">
        <x:v>French Polynesia</x:v>
      </x:c>
      <x:c r="C48" s="24" t="str">
        <x:v>EEZ</x:v>
      </x:c>
      <x:c r="D48" s="30" t="n">
        <x:v>2019</x:v>
      </x:c>
      <x:c r="E48" s="24" t="str">
        <x:v>Istiophoridae</x:v>
      </x:c>
      <x:c r="F48" s="24" t="str">
        <x:v>Billfishes</x:v>
      </x:c>
      <x:c r="G48" s="24" t="str">
        <x:v>Large pelagics (&gt;=90 cm)</x:v>
      </x:c>
      <x:c r="H48" s="24" t="str">
        <x:v>Tuna &amp; billfishes</x:v>
      </x:c>
      <x:c r="I48" s="31" t="n">
        <x:v>37.6743669371</x:v>
      </x:c>
      <x:c r="J48" s="31" t="n">
        <x:v>0.9868643333</x:v>
      </x:c>
      <x:c r="K48" s="31" t="n">
        <x:v>36.6875026038</x:v>
      </x:c>
      <x:c r="L48" s="31" t="n">
        <x:v>0.9868643333</x:v>
      </x:c>
      <x:c r="M48" s="31" t="n">
        <x:v>36.6875026038</x:v>
      </x:c>
      <x:c r="N48" s="24" t="str">
        <x:v>istiophoridae</x:v>
      </x:c>
      <x:c r="O48" s="32" t="n">
        <x:v>4.48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Istiophoridae</x:v>
      </x:c>
      <x:c r="T48" s="32" t="n">
        <x:f>IF(O48="","",(1/'Metadata'!$B$5)^(O48-1))</x:f>
        <x:v>3019.951720402019</x:v>
      </x:c>
      <x:c r="U48" s="31" t="n">
        <x:f>IF(T48="","",I48*T48)</x:f>
        <x:v>113774.76924675208</x:v>
      </x:c>
    </x:row>
    <x:row r="49" ht="18" customHeight="1">
      <x:c r="A49" s="24" t="str">
        <x:v>EEZ_258</x:v>
      </x:c>
      <x:c r="B49" s="24" t="str">
        <x:v>French Polynesia</x:v>
      </x:c>
      <x:c r="C49" s="24" t="str">
        <x:v>EEZ</x:v>
      </x:c>
      <x:c r="D49" s="30" t="n">
        <x:v>2019</x:v>
      </x:c>
      <x:c r="E49" s="24" t="str">
        <x:v>Sphyraena forsteri</x:v>
      </x:c>
      <x:c r="F49" s="24" t="str">
        <x:v>Bigeye barracuda</x:v>
      </x:c>
      <x:c r="G49" s="24" t="str">
        <x:v>Medium reef assoc. fish (30 - 89 cm)</x:v>
      </x:c>
      <x:c r="H49" s="24" t="str">
        <x:v>Perch-likes</x:v>
      </x:c>
      <x:c r="I49" s="31" t="n">
        <x:v>27.1359911867</x:v>
      </x:c>
      <x:c r="J49" s="31" t="n">
        <x:v>27.1359911867</x:v>
      </x:c>
      <x:c r="K49" s="31" t="n">
        <x:v>0</x:v>
      </x:c>
      <x:c r="L49" s="31" t="n">
        <x:v>0</x:v>
      </x:c>
      <x:c r="M49" s="31" t="n">
        <x:v>27.1359911867</x:v>
      </x:c>
      <x:c r="N49" s="24" t="str">
        <x:v>sphyraena forsteri</x:v>
      </x:c>
      <x:c r="O49" s="32" t="n">
        <x:v>4.42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Sphyraena forsteri</x:v>
      </x:c>
      <x:c r="T49" s="32" t="n">
        <x:f>IF(O49="","",(1/'Metadata'!$B$5)^(O49-1))</x:f>
        <x:v>2630.2679918953813</x:v>
      </x:c>
      <x:c r="U49" s="31" t="n">
        <x:f>IF(T49="","",I49*T49)</x:f>
        <x:v>71374.92904673217</x:v>
      </x:c>
    </x:row>
    <x:row r="50" ht="18" customHeight="1">
      <x:c r="A50" s="24" t="str">
        <x:v>EEZ_258</x:v>
      </x:c>
      <x:c r="B50" s="24" t="str">
        <x:v>French Polynesia</x:v>
      </x:c>
      <x:c r="C50" s="24" t="str">
        <x:v>EEZ</x:v>
      </x:c>
      <x:c r="D50" s="30" t="n">
        <x:v>2019</x:v>
      </x:c>
      <x:c r="E50" s="24" t="str">
        <x:v>Taractichthys steindachneri</x:v>
      </x:c>
      <x:c r="F50" s="24" t="str">
        <x:v>Sickle pomfret</x:v>
      </x:c>
      <x:c r="G50" s="24" t="str">
        <x:v>Medium benthopelagics (30 - 89 cm)</x:v>
      </x:c>
      <x:c r="H50" s="24" t="str">
        <x:v>Perch-likes</x:v>
      </x:c>
      <x:c r="I50" s="31" t="n">
        <x:v>27</x:v>
      </x:c>
      <x:c r="J50" s="31" t="n">
        <x:v>27</x:v>
      </x:c>
      <x:c r="K50" s="31" t="n">
        <x:v>0</x:v>
      </x:c>
      <x:c r="L50" s="31" t="n">
        <x:v>27</x:v>
      </x:c>
      <x:c r="M50" s="31" t="n">
        <x:v>0</x:v>
      </x:c>
      <x:c r="N50" s="24" t="str">
        <x:v>taractichthys steindachneri</x:v>
      </x:c>
      <x:c r="O50" s="32" t="n">
        <x:v>4.09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Taractichthys steindachneri</x:v>
      </x:c>
      <x:c r="T50" s="32" t="n">
        <x:f>IF(O50="","",(1/'Metadata'!$B$5)^(O50-1))</x:f>
        <x:v>1230.268770812381</x:v>
      </x:c>
      <x:c r="U50" s="31" t="n">
        <x:f>IF(T50="","",I50*T50)</x:f>
        <x:v>33217.25681193429</x:v>
      </x:c>
    </x:row>
    <x:row r="51" ht="18" customHeight="1">
      <x:c r="A51" s="24" t="str">
        <x:v>EEZ_258</x:v>
      </x:c>
      <x:c r="B51" s="24" t="str">
        <x:v>French Polynesia</x:v>
      </x:c>
      <x:c r="C51" s="24" t="str">
        <x:v>EEZ</x:v>
      </x:c>
      <x:c r="D51" s="30" t="n">
        <x:v>2019</x:v>
      </x:c>
      <x:c r="E51" s="24" t="str">
        <x:v>Exocoetidae</x:v>
      </x:c>
      <x:c r="F51" s="24" t="str">
        <x:v>Flyingfishes</x:v>
      </x:c>
      <x:c r="G51" s="24" t="str">
        <x:v>Small pelagics (&lt;30 cm)</x:v>
      </x:c>
      <x:c r="H51" s="24" t="str">
        <x:v>Other fishes &amp; inverts</x:v>
      </x:c>
      <x:c r="I51" s="31" t="n">
        <x:v>27</x:v>
      </x:c>
      <x:c r="J51" s="31" t="n">
        <x:v>27</x:v>
      </x:c>
      <x:c r="K51" s="31" t="n">
        <x:v>0</x:v>
      </x:c>
      <x:c r="L51" s="31" t="n">
        <x:v>27</x:v>
      </x:c>
      <x:c r="M51" s="31" t="n">
        <x:v>0</x:v>
      </x:c>
      <x:c r="N51" s="24" t="str">
        <x:v>exocoetidae</x:v>
      </x:c>
      <x:c r="O51" s="32" t="n">
        <x:v>3.57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Exocoetidae</x:v>
      </x:c>
      <x:c r="T51" s="32" t="n">
        <x:f>IF(O51="","",(1/'Metadata'!$B$5)^(O51-1))</x:f>
        <x:v>371.5352290971724</x:v>
      </x:c>
      <x:c r="U51" s="31" t="n">
        <x:f>IF(T51="","",I51*T51)</x:f>
        <x:v>10031.451185623655</x:v>
      </x:c>
    </x:row>
    <x:row r="52" ht="18" customHeight="1">
      <x:c r="A52" s="24" t="str">
        <x:v>EEZ_258</x:v>
      </x:c>
      <x:c r="B52" s="24" t="str">
        <x:v>French Polynesia</x:v>
      </x:c>
      <x:c r="C52" s="24" t="str">
        <x:v>EEZ</x:v>
      </x:c>
      <x:c r="D52" s="30" t="n">
        <x:v>2019</x:v>
      </x:c>
      <x:c r="E52" s="24" t="str">
        <x:v>Decapterus</x:v>
      </x:c>
      <x:c r="F52" s="24" t="str">
        <x:v>Scads</x:v>
      </x:c>
      <x:c r="G52" s="24" t="str">
        <x:v>Medium pelagics (30 - 89 cm)</x:v>
      </x:c>
      <x:c r="H52" s="24" t="str">
        <x:v>Perch-likes</x:v>
      </x:c>
      <x:c r="I52" s="31" t="n">
        <x:v>26.2838951053</x:v>
      </x:c>
      <x:c r="J52" s="31" t="n">
        <x:v>26.2838951053</x:v>
      </x:c>
      <x:c r="K52" s="31" t="n">
        <x:v>0</x:v>
      </x:c>
      <x:c r="L52" s="31" t="n">
        <x:v>0</x:v>
      </x:c>
      <x:c r="M52" s="31" t="n">
        <x:v>26.2838951053</x:v>
      </x:c>
      <x:c r="N52" s="24" t="str">
        <x:v>decapterus</x:v>
      </x:c>
      <x:c r="O52" s="32" t="n">
        <x:v>3.63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Decapterus</x:v>
      </x:c>
      <x:c r="T52" s="32" t="n">
        <x:f>IF(O52="","",(1/'Metadata'!$B$5)^(O52-1))</x:f>
        <x:v>426.57951880159254</x:v>
      </x:c>
      <x:c r="U52" s="31" t="n">
        <x:f>IF(T52="","",I52*T52)</x:f>
        <x:v>11212.171326250407</x:v>
      </x:c>
    </x:row>
    <x:row r="53" ht="18" customHeight="1">
      <x:c r="A53" s="24" t="str">
        <x:v>EEZ_258</x:v>
      </x:c>
      <x:c r="B53" s="24" t="str">
        <x:v>French Polynesia</x:v>
      </x:c>
      <x:c r="C53" s="24" t="str">
        <x:v>EEZ</x:v>
      </x:c>
      <x:c r="D53" s="30" t="n">
        <x:v>2019</x:v>
      </x:c>
      <x:c r="E53" s="24" t="str">
        <x:v>Istiompax indica</x:v>
      </x:c>
      <x:c r="F53" s="24" t="str">
        <x:v>Black marlin</x:v>
      </x:c>
      <x:c r="G53" s="24" t="str">
        <x:v>Large pelagics (&gt;=90 cm)</x:v>
      </x:c>
      <x:c r="H53" s="24" t="str">
        <x:v>Tuna &amp; billfishes</x:v>
      </x:c>
      <x:c r="I53" s="31" t="n">
        <x:v>19.324693843200002</x:v>
      </x:c>
      <x:c r="J53" s="31" t="n">
        <x:v>19.324693843200002</x:v>
      </x:c>
      <x:c r="K53" s="31" t="n">
        <x:v>0</x:v>
      </x:c>
      <x:c r="L53" s="31" t="n">
        <x:v>19.324693843200002</x:v>
      </x:c>
      <x:c r="M53" s="31" t="n">
        <x:v>0</x:v>
      </x:c>
      <x:c r="N53" s="24" t="str">
        <x:v>istiompax indica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Istiompax indica</x:v>
      </x:c>
      <x:c r="T53" s="32" t="n">
        <x:f>IF(O53="","",(1/'Metadata'!$B$5)^(O53-1))</x:f>
        <x:v>3162.2776601683795</x:v>
      </x:c>
      <x:c r="U53" s="31" t="n">
        <x:f>IF(T53="","",I53*T53)</x:f>
        <x:v>61110.04762994479</x:v>
      </x:c>
    </x:row>
    <x:row r="54" ht="18" customHeight="1">
      <x:c r="A54" s="24" t="str">
        <x:v>EEZ_258</x:v>
      </x:c>
      <x:c r="B54" s="24" t="str">
        <x:v>French Polynesia</x:v>
      </x:c>
      <x:c r="C54" s="24" t="str">
        <x:v>EEZ</x:v>
      </x:c>
      <x:c r="D54" s="30" t="n">
        <x:v>2019</x:v>
      </x:c>
      <x:c r="E54" s="24" t="str">
        <x:v>Decapterus macarellus</x:v>
      </x:c>
      <x:c r="F54" s="24" t="str">
        <x:v>Mackerel scad</x:v>
      </x:c>
      <x:c r="G54" s="24" t="str">
        <x:v>Medium pelagics (30 - 89 cm)</x:v>
      </x:c>
      <x:c r="H54" s="24" t="str">
        <x:v>Perch-likes</x:v>
      </x:c>
      <x:c r="I54" s="31" t="n">
        <x:v>16.455498497</x:v>
      </x:c>
      <x:c r="J54" s="31" t="n">
        <x:v>16.455498497</x:v>
      </x:c>
      <x:c r="K54" s="31" t="n">
        <x:v>0</x:v>
      </x:c>
      <x:c r="L54" s="31" t="n">
        <x:v>0</x:v>
      </x:c>
      <x:c r="M54" s="31" t="n">
        <x:v>16.455498497</x:v>
      </x:c>
      <x:c r="N54" s="24" t="str">
        <x:v>decapterus macarellus</x:v>
      </x:c>
      <x:c r="O54" s="32" t="n">
        <x:v>3.96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Decapterus macarellus</x:v>
      </x:c>
      <x:c r="T54" s="32" t="n">
        <x:f>IF(O54="","",(1/'Metadata'!$B$5)^(O54-1))</x:f>
        <x:v>912.0108393559096</x:v>
      </x:c>
      <x:c r="U54" s="31" t="n">
        <x:f>IF(T54="","",I54*T54)</x:f>
        <x:v>15007.59299626888</x:v>
      </x:c>
    </x:row>
    <x:row r="55" ht="18" customHeight="1">
      <x:c r="A55" s="24" t="str">
        <x:v>EEZ_258</x:v>
      </x:c>
      <x:c r="B55" s="24" t="str">
        <x:v>French Polynesia</x:v>
      </x:c>
      <x:c r="C55" s="24" t="str">
        <x:v>EEZ</x:v>
      </x:c>
      <x:c r="D55" s="30" t="n">
        <x:v>2019</x:v>
      </x:c>
      <x:c r="E55" s="24" t="str">
        <x:v>Promethichthys prometheus</x:v>
      </x:c>
      <x:c r="F55" s="24" t="str">
        <x:v>Roudi escolar</x:v>
      </x:c>
      <x:c r="G55" s="24" t="str">
        <x:v>Large benthopelagics (&gt;=90 cm)</x:v>
      </x:c>
      <x:c r="H55" s="24" t="str">
        <x:v>Perch-likes</x:v>
      </x:c>
      <x:c r="I55" s="31" t="n">
        <x:v>7</x:v>
      </x:c>
      <x:c r="J55" s="31" t="n">
        <x:v>7</x:v>
      </x:c>
      <x:c r="K55" s="31" t="n">
        <x:v>0</x:v>
      </x:c>
      <x:c r="L55" s="31" t="n">
        <x:v>7</x:v>
      </x:c>
      <x:c r="M55" s="31" t="n">
        <x:v>0</x:v>
      </x:c>
      <x:c r="N55" s="24" t="str">
        <x:v>promethichthys prometheus</x:v>
      </x:c>
      <x:c r="O55" s="32" t="n">
        <x:v>4.18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Promethichthys prometheus</x:v>
      </x:c>
      <x:c r="T55" s="32" t="n">
        <x:f>IF(O55="","",(1/'Metadata'!$B$5)^(O55-1))</x:f>
        <x:v>1513.5612484362073</x:v>
      </x:c>
      <x:c r="U55" s="31" t="n">
        <x:f>IF(T55="","",I55*T55)</x:f>
        <x:v>10594.928739053452</x:v>
      </x:c>
    </x:row>
    <x:row r="56" ht="18" customHeight="1">
      <x:c r="A56" s="24" t="str">
        <x:v>EEZ_258</x:v>
      </x:c>
      <x:c r="B56" s="24" t="str">
        <x:v>French Polynesia</x:v>
      </x:c>
      <x:c r="C56" s="24" t="str">
        <x:v>EEZ</x:v>
      </x:c>
      <x:c r="D56" s="30" t="n">
        <x:v>2019</x:v>
      </x:c>
      <x:c r="E56" s="24" t="str">
        <x:v>Scylla serrata</x:v>
      </x:c>
      <x:c r="F56" s="24" t="str">
        <x:v>Indo-Pacific swamp crab</x:v>
      </x:c>
      <x:c r="G56" s="24" t="str">
        <x:v>Lobsters, crabs</x:v>
      </x:c>
      <x:c r="H56" s="24" t="str">
        <x:v>Crustaceans</x:v>
      </x:c>
      <x:c r="I56" s="31" t="n">
        <x:v>6</x:v>
      </x:c>
      <x:c r="J56" s="31" t="n">
        <x:v>6</x:v>
      </x:c>
      <x:c r="K56" s="31" t="n">
        <x:v>0</x:v>
      </x:c>
      <x:c r="L56" s="31" t="n">
        <x:v>6</x:v>
      </x:c>
      <x:c r="M56" s="31" t="n">
        <x:v>0</x:v>
      </x:c>
      <x:c r="N56" s="24" t="str">
        <x:v>scylla serrata</x:v>
      </x:c>
      <x:c r="O56" s="32" t="n">
        <x:v>3.17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Scylla serrata</x:v>
      </x:c>
      <x:c r="T56" s="32" t="n">
        <x:f>IF(O56="","",(1/'Metadata'!$B$5)^(O56-1))</x:f>
        <x:v>147.91083881682073</x:v>
      </x:c>
      <x:c r="U56" s="31" t="n">
        <x:f>IF(T56="","",I56*T56)</x:f>
        <x:v>887.4650329009244</x:v>
      </x:c>
    </x:row>
    <x:row r="57" ht="18" customHeight="1">
      <x:c r="A57" s="24" t="str">
        <x:v>EEZ_258</x:v>
      </x:c>
      <x:c r="B57" s="24" t="str">
        <x:v>French Polynesia</x:v>
      </x:c>
      <x:c r="C57" s="24" t="str">
        <x:v>EEZ</x:v>
      </x:c>
      <x:c r="D57" s="30" t="n">
        <x:v>2019</x:v>
      </x:c>
      <x:c r="E57" s="24" t="str">
        <x:v>Sphyrna</x:v>
      </x:c>
      <x:c r="F57" s="24" t="str">
        <x:v>Hammerhead sharks</x:v>
      </x:c>
      <x:c r="G57" s="24" t="str">
        <x:v>Large sharks (&gt;=90 cm)</x:v>
      </x:c>
      <x:c r="H57" s="24" t="str">
        <x:v>Sharks &amp; rays</x:v>
      </x:c>
      <x:c r="I57" s="31" t="n">
        <x:v>5.7629830826</x:v>
      </x:c>
      <x:c r="J57" s="31" t="n">
        <x:v>5.7629830826</x:v>
      </x:c>
      <x:c r="K57" s="31" t="n">
        <x:v>0</x:v>
      </x:c>
      <x:c r="L57" s="31" t="n">
        <x:v>5.7629830826</x:v>
      </x:c>
      <x:c r="M57" s="31" t="n">
        <x:v>0</x:v>
      </x:c>
      <x:c r="N57" s="24" t="str">
        <x:v>sphyrna</x:v>
      </x:c>
      <x:c r="O57" s="32" t="n">
        <x:v>4.2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Sphyrna</x:v>
      </x:c>
      <x:c r="T57" s="32" t="n">
        <x:f>IF(O57="","",(1/'Metadata'!$B$5)^(O57-1))</x:f>
        <x:v>1584.893192461114</x:v>
      </x:c>
      <x:c r="U57" s="31" t="n">
        <x:f>IF(T57="","",I57*T57)</x:f>
        <x:v>9133.712655881305</x:v>
      </x:c>
    </x:row>
    <x:row r="58" ht="18" customHeight="1">
      <x:c r="A58" s="24" t="str">
        <x:v>EEZ_258</x:v>
      </x:c>
      <x:c r="B58" s="24" t="str">
        <x:v>French Polynesia</x:v>
      </x:c>
      <x:c r="C58" s="24" t="str">
        <x:v>EEZ</x:v>
      </x:c>
      <x:c r="D58" s="30" t="n">
        <x:v>2019</x:v>
      </x:c>
      <x:c r="E58" s="24" t="str">
        <x:v>Sphyraenidae</x:v>
      </x:c>
      <x:c r="F58" s="24" t="str">
        <x:v>Barracudas</x:v>
      </x:c>
      <x:c r="G58" s="24" t="str">
        <x:v>Medium reef assoc. fish (30 - 89 cm)</x:v>
      </x:c>
      <x:c r="H58" s="24" t="str">
        <x:v>Perch-likes</x:v>
      </x:c>
      <x:c r="I58" s="31" t="n">
        <x:v>5</x:v>
      </x:c>
      <x:c r="J58" s="31" t="n">
        <x:v>5</x:v>
      </x:c>
      <x:c r="K58" s="31" t="n">
        <x:v>0</x:v>
      </x:c>
      <x:c r="L58" s="31" t="n">
        <x:v>5</x:v>
      </x:c>
      <x:c r="M58" s="31" t="n">
        <x:v>0</x:v>
      </x:c>
      <x:c r="N58" s="24" t="str">
        <x:v>sphyraenidae</x:v>
      </x:c>
      <x:c r="O58" s="32" t="n">
        <x:v>4.4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Sphyraenidae</x:v>
      </x:c>
      <x:c r="T58" s="32" t="n">
        <x:f>IF(O58="","",(1/'Metadata'!$B$5)^(O58-1))</x:f>
        <x:v>2511.886431509582</x:v>
      </x:c>
      <x:c r="U58" s="31" t="n">
        <x:f>IF(T58="","",I58*T58)</x:f>
        <x:v>12559.43215754791</x:v>
      </x:c>
    </x:row>
    <x:row r="59" ht="18" customHeight="1">
      <x:c r="A59" s="24" t="str">
        <x:v>EEZ_258</x:v>
      </x:c>
      <x:c r="B59" s="24" t="str">
        <x:v>French Polynesia</x:v>
      </x:c>
      <x:c r="C59" s="24" t="str">
        <x:v>EEZ</x:v>
      </x:c>
      <x:c r="D59" s="30" t="n">
        <x:v>2019</x:v>
      </x:c>
      <x:c r="E59" s="24" t="str">
        <x:v>Lepidocybium flavobrunneum</x:v>
      </x:c>
      <x:c r="F59" s="24" t="str">
        <x:v>Escolar</x:v>
      </x:c>
      <x:c r="G59" s="24" t="str">
        <x:v>Large bathypelagics (&gt;=90 cm)</x:v>
      </x:c>
      <x:c r="H59" s="24" t="str">
        <x:v>Perch-likes</x:v>
      </x:c>
      <x:c r="I59" s="31" t="n">
        <x:v>5</x:v>
      </x:c>
      <x:c r="J59" s="31" t="n">
        <x:v>5</x:v>
      </x:c>
      <x:c r="K59" s="31" t="n">
        <x:v>0</x:v>
      </x:c>
      <x:c r="L59" s="31" t="n">
        <x:v>5</x:v>
      </x:c>
      <x:c r="M59" s="31" t="n">
        <x:v>0</x:v>
      </x:c>
      <x:c r="N59" s="24" t="str">
        <x:v>lepidocybium flavobrunneum</x:v>
      </x:c>
      <x:c r="O59" s="32" t="n">
        <x:v>4.34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Lepidocybium flavobrunneum</x:v>
      </x:c>
      <x:c r="T59" s="32" t="n">
        <x:f>IF(O59="","",(1/'Metadata'!$B$5)^(O59-1))</x:f>
        <x:v>2187.761623949552</x:v>
      </x:c>
      <x:c r="U59" s="31" t="n">
        <x:f>IF(T59="","",I59*T59)</x:f>
        <x:v>10938.808119747759</x:v>
      </x:c>
    </x:row>
    <x:row r="60" ht="18" customHeight="1">
      <x:c r="A60" s="24" t="str">
        <x:v>EEZ_258</x:v>
      </x:c>
      <x:c r="B60" s="24" t="str">
        <x:v>French Polynesia</x:v>
      </x:c>
      <x:c r="C60" s="24" t="str">
        <x:v>EEZ</x:v>
      </x:c>
      <x:c r="D60" s="30" t="n">
        <x:v>2019</x:v>
      </x:c>
      <x:c r="E60" s="24" t="str">
        <x:v>Ruvettus pretiosus</x:v>
      </x:c>
      <x:c r="F60" s="24" t="str">
        <x:v>Oilfish</x:v>
      </x:c>
      <x:c r="G60" s="24" t="str">
        <x:v>Large benthopelagics (&gt;=90 cm)</x:v>
      </x:c>
      <x:c r="H60" s="24" t="str">
        <x:v>Perch-likes</x:v>
      </x:c>
      <x:c r="I60" s="31" t="n">
        <x:v>1</x:v>
      </x:c>
      <x:c r="J60" s="31" t="n">
        <x:v>1</x:v>
      </x:c>
      <x:c r="K60" s="31" t="n">
        <x:v>0</x:v>
      </x:c>
      <x:c r="L60" s="31" t="n">
        <x:v>1</x:v>
      </x:c>
      <x:c r="M60" s="31" t="n">
        <x:v>0</x:v>
      </x:c>
      <x:c r="N60" s="24" t="str">
        <x:v>ruvettus pretiosus</x:v>
      </x:c>
      <x:c r="O60" s="32" t="n">
        <x:v>4.18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Ruvettus pretiosus</x:v>
      </x:c>
      <x:c r="T60" s="32" t="n">
        <x:f>IF(O60="","",(1/'Metadata'!$B$5)^(O60-1))</x:f>
        <x:v>1513.5612484362073</x:v>
      </x:c>
      <x:c r="U60" s="31" t="n">
        <x:f>IF(T60="","",I60*T60)</x:f>
        <x:v>1513.5612484362073</x:v>
      </x:c>
    </x:row>
    <x:row r="61" ht="18" customHeight="1">
      <x:c r="A61" s="24" t="str">
        <x:v>EEZ_258</x:v>
      </x:c>
      <x:c r="B61" s="24" t="str">
        <x:v>French Polynesia</x:v>
      </x:c>
      <x:c r="C61" s="24" t="str">
        <x:v>EEZ</x:v>
      </x:c>
      <x:c r="D61" s="30" t="n">
        <x:v>2019</x:v>
      </x:c>
      <x:c r="E61" s="24" t="str">
        <x:v>Coryphaena</x:v>
      </x:c>
      <x:c r="F61" s="24" t="str">
        <x:v>Dolphinfishes</x:v>
      </x:c>
      <x:c r="G61" s="24" t="str">
        <x:v>Large pelagics (&gt;=90 cm)</x:v>
      </x:c>
      <x:c r="H61" s="24" t="str">
        <x:v>Perch-likes</x:v>
      </x:c>
      <x:c r="I61" s="31" t="n">
        <x:v>0.8025943781</x:v>
      </x:c>
      <x:c r="J61" s="31" t="n">
        <x:v>0.8025943781</x:v>
      </x:c>
      <x:c r="K61" s="31" t="n">
        <x:v>0</x:v>
      </x:c>
      <x:c r="L61" s="31" t="n">
        <x:v>0.8025943781</x:v>
      </x:c>
      <x:c r="M61" s="31" t="n">
        <x:v>0</x:v>
      </x:c>
      <x:c r="N61" s="24" t="str">
        <x:v>coryphaena</x:v>
      </x:c>
      <x:c r="O61" s="32" t="n">
        <x:v>4.49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Coryphaena</x:v>
      </x:c>
      <x:c r="T61" s="32" t="n">
        <x:f>IF(O61="","",(1/'Metadata'!$B$5)^(O61-1))</x:f>
        <x:v>3090.295432513592</x:v>
      </x:c>
      <x:c r="U61" s="31" t="n">
        <x:f>IF(T61="","",I61*T61)</x:f>
        <x:v>2480.253740803517</x:v>
      </x:c>
    </x:row>
    <x:row r="62" ht="18" customHeight="1">
      <x:c r="A62" s="24" t="str">
        <x:v>EEZ_258</x:v>
      </x:c>
      <x:c r="B62" s="24" t="str">
        <x:v>French Polynesia</x:v>
      </x:c>
      <x:c r="C62" s="24" t="str">
        <x:v>EEZ</x:v>
      </x:c>
      <x:c r="D62" s="30" t="n">
        <x:v>2019</x:v>
      </x:c>
      <x:c r="E62" s="24" t="str">
        <x:v>Istiophorus platypterus</x:v>
      </x:c>
      <x:c r="F62" s="24" t="str">
        <x:v>Indo-Pacific sailfish</x:v>
      </x:c>
      <x:c r="G62" s="24" t="str">
        <x:v>Large pelagics (&gt;=90 cm)</x:v>
      </x:c>
      <x:c r="H62" s="24" t="str">
        <x:v>Tuna &amp; billfishes</x:v>
      </x:c>
      <x:c r="I62" s="31" t="n">
        <x:v>0.2084296862</x:v>
      </x:c>
      <x:c r="J62" s="31" t="n">
        <x:v>0.2084296862</x:v>
      </x:c>
      <x:c r="K62" s="31" t="n">
        <x:v>0</x:v>
      </x:c>
      <x:c r="L62" s="31" t="n">
        <x:v>0.2084296862</x:v>
      </x:c>
      <x:c r="M62" s="31" t="n">
        <x:v>0</x:v>
      </x:c>
      <x:c r="N62" s="24" t="str">
        <x:v>istiophorus platypterus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Istiophorus platypterus</x:v>
      </x:c>
      <x:c r="T62" s="32" t="n">
        <x:f>IF(O62="","",(1/'Metadata'!$B$5)^(O62-1))</x:f>
        <x:v>3162.2776601683795</x:v>
      </x:c>
      <x:c r="U62" s="31" t="n">
        <x:f>IF(T62="","",I62*T62)</x:f>
        <x:v>659.1125403861655</x:v>
      </x:c>
    </x:row>
    <x:row r="63" ht="18" customHeight="1">
      <x:c r="A63" s="24" t="str">
        <x:v>EEZ_258</x:v>
      </x:c>
      <x:c r="B63" s="24" t="str">
        <x:v>French Polynesia</x:v>
      </x:c>
      <x:c r="C63" s="24" t="str">
        <x:v>EEZ</x:v>
      </x:c>
      <x:c r="D63" s="30" t="n">
        <x:v>2019</x:v>
      </x:c>
      <x:c r="E63" s="24" t="str">
        <x:v>Tetrapturus angustirostris</x:v>
      </x:c>
      <x:c r="F63" s="24" t="str">
        <x:v>Shortbill spearfish</x:v>
      </x:c>
      <x:c r="G63" s="24" t="str">
        <x:v>Large pelagics (&gt;=90 cm)</x:v>
      </x:c>
      <x:c r="H63" s="24" t="str">
        <x:v>Tuna &amp; billfishes</x:v>
      </x:c>
      <x:c r="I63" s="31" t="n">
        <x:v>0.0686257942</x:v>
      </x:c>
      <x:c r="J63" s="31" t="n">
        <x:v>0.0686257942</x:v>
      </x:c>
      <x:c r="K63" s="31" t="n">
        <x:v>0</x:v>
      </x:c>
      <x:c r="L63" s="31" t="n">
        <x:v>0.0686257942</x:v>
      </x:c>
      <x:c r="M63" s="31" t="n">
        <x:v>0</x:v>
      </x:c>
      <x:c r="N63" s="24" t="str">
        <x:v>tetrapturus angustirostris</x:v>
      </x:c>
      <x:c r="O63" s="32" t="n">
        <x:v>4.5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Tetrapturus angustirostris</x:v>
      </x:c>
      <x:c r="T63" s="32" t="n">
        <x:f>IF(O63="","",(1/'Metadata'!$B$5)^(O63-1))</x:f>
        <x:v>3162.2776601683795</x:v>
      </x:c>
      <x:c r="U63" s="31" t="n">
        <x:f>IF(T63="","",I63*T63)</x:f>
        <x:v>217.01381590997278</x:v>
      </x:c>
    </x:row>
    <x:row r="64" ht="18" customHeight="1">
      <x:c r="A64" s="24" t="str">
        <x:v>EEZ_258</x:v>
      </x:c>
      <x:c r="B64" s="24" t="str">
        <x:v>French Polynesia</x:v>
      </x:c>
      <x:c r="C64" s="24" t="str">
        <x:v>EEZ</x:v>
      </x:c>
      <x:c r="D64" s="30" t="n">
        <x:v>2019</x:v>
      </x:c>
      <x:c r="E64" s="24" t="str">
        <x:v>Carangidae</x:v>
      </x:c>
      <x:c r="F64" s="24" t="str">
        <x:v>Jacks, pompanos</x:v>
      </x:c>
      <x:c r="G64" s="24" t="str">
        <x:v>Medium pelagics (30 - 89 cm)</x:v>
      </x:c>
      <x:c r="H64" s="24" t="str">
        <x:v>Perch-likes</x:v>
      </x:c>
      <x:c r="I64" s="31" t="n">
        <x:v>0.058833463700000005</x:v>
      </x:c>
      <x:c r="J64" s="31" t="n">
        <x:v>0.0080912574</x:v>
      </x:c>
      <x:c r="K64" s="31" t="n">
        <x:v>0.0507422063</x:v>
      </x:c>
      <x:c r="L64" s="31" t="n">
        <x:v>0.0080912574</x:v>
      </x:c>
      <x:c r="M64" s="31" t="n">
        <x:v>0.0507422063</x:v>
      </x:c>
      <x:c r="N64" s="24" t="str">
        <x:v>carangidae</x:v>
      </x:c>
      <x:c r="O64" s="32" t="n">
        <x:v>4.05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Carangidae</x:v>
      </x:c>
      <x:c r="T64" s="32" t="n">
        <x:f>IF(O64="","",(1/'Metadata'!$B$5)^(O64-1))</x:f>
        <x:v>1122.018454301963</x:v>
      </x:c>
      <x:c r="U64" s="31" t="n">
        <x:f>IF(T64="","",I64*T64)</x:f>
        <x:v>66.01223200190465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18c199f52314b9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66</x:v>
      </x:c>
      <x:c r="C2" s="32" t="n">
        <x:v>3.142727272727273</x:v>
      </x:c>
      <x:c r="D2" s="32" t="n">
        <x:f>IF(C2="","",(1/'Metadata'!$B$5)^(C2-1))</x:f>
        <x:v>138.90800458944958</x:v>
      </x:c>
      <x:c r="E2" s="31" t="n">
        <x:f>IF(B2=0,"",B2*D2)</x:f>
        <x:v>9167.928302903672</x:v>
      </x:c>
    </x:row>
    <x:row r="3" ht="18" customHeight="1">
      <x:c r="A3" s="24" t="str">
        <x:v>Molluscs</x:v>
      </x:c>
      <x:c r="B3" s="31" t="n">
        <x:v>150</x:v>
      </x:c>
      <x:c r="C3" s="32" t="n">
        <x:v>2.1</x:v>
      </x:c>
      <x:c r="D3" s="32" t="n">
        <x:f>IF(C3="","",(1/'Metadata'!$B$5)^(C3-1))</x:f>
        <x:v>12.589254117941675</x:v>
      </x:c>
      <x:c r="E3" s="31" t="n">
        <x:f>IF(B3=0,"",B3*D3)</x:f>
        <x:v>1888.3881176912512</x:v>
      </x:c>
    </x:row>
    <x:row r="4" ht="18" customHeight="1">
      <x:c r="A4" s="24" t="str">
        <x:v>Other fishes &amp; inverts</x:v>
      </x:c>
      <x:c r="B4" s="31" t="n">
        <x:v>6999.614097739899</x:v>
      </x:c>
      <x:c r="C4" s="32" t="n">
        <x:v>3.3337833201935236</x:v>
      </x:c>
      <x:c r="D4" s="32" t="n">
        <x:f>IF(C4="","",(1/'Metadata'!$B$5)^(C4-1))</x:f>
        <x:v>215.66681278583593</x:v>
      </x:c>
      <x:c r="E4" s="31" t="n">
        <x:f>IF(B4=0,"",B4*D4)</x:f>
        <x:v>1509584.4631903686</x:v>
      </x:c>
    </x:row>
    <x:row r="5" ht="18" customHeight="1">
      <x:c r="A5" s="24" t="str">
        <x:v>Perch-likes</x:v>
      </x:c>
      <x:c r="B5" s="31" t="n">
        <x:v>6639.8582727383</x:v>
      </x:c>
      <x:c r="C5" s="32" t="n">
        <x:v>3.7696840208525435</x:v>
      </x:c>
      <x:c r="D5" s="32" t="n">
        <x:f>IF(C5="","",(1/'Metadata'!$B$5)^(C5-1))</x:f>
        <x:v>588.415386856236</x:v>
      </x:c>
      <x:c r="E5" s="31" t="n">
        <x:f>IF(B5=0,"",B5*D5)</x:f>
        <x:v>3906994.7742238855</x:v>
      </x:c>
    </x:row>
    <x:row r="6" ht="18" customHeight="1">
      <x:c r="A6" s="24" t="str">
        <x:v>Sharks &amp; rays</x:v>
      </x:c>
      <x:c r="B6" s="31" t="n">
        <x:v>5426.5788511263</x:v>
      </x:c>
      <x:c r="C6" s="32" t="n">
        <x:v>4.349840885396803</x:v>
      </x:c>
      <x:c r="D6" s="32" t="n">
        <x:f>IF(C6="","",(1/'Metadata'!$B$5)^(C6-1))</x:f>
        <x:v>2237.901077539141</x:v>
      </x:c>
      <x:c r="E6" s="31" t="n">
        <x:f>IF(B6=0,"",B6*D6)</x:f>
        <x:v>12144146.65828666</x:v>
      </x:c>
    </x:row>
    <x:row r="7" ht="18" customHeight="1">
      <x:c r="A7" s="24" t="str">
        <x:v>Tuna &amp; billfishes</x:v>
      </x:c>
      <x:c r="B7" s="31" t="n">
        <x:v>11221.726463507199</x:v>
      </x:c>
      <x:c r="C7" s="32" t="n">
        <x:v>4.369845495668634</x:v>
      </x:c>
      <x:c r="D7" s="32" t="n">
        <x:f>IF(C7="","",(1/'Metadata'!$B$5)^(C7-1))</x:f>
        <x:v>2343.394982283716</x:v>
      </x:c>
      <x:c r="E7" s="31" t="n">
        <x:f>IF(B7=0,"",B7*D7)</x:f>
        <x:v>26296937.487143163</x:v>
      </x:c>
    </x:row>
  </x:sheetData>
  <x:pageMargins left="0.7" right="0.7" top="0.75" bottom="0.75" header="0.3" footer="0.3"/>
  <x:tableParts count="1">
    <x:tablePart xmlns:r="http://schemas.openxmlformats.org/officeDocument/2006/relationships" r:id="R56f2326877a84c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bathypelagics (&gt;=90 cm)</x:v>
      </x:c>
      <x:c r="B2" s="31" t="n">
        <x:v>143</x:v>
      </x:c>
      <x:c r="C2" s="32" t="n">
        <x:v>4.224195804195805</x:v>
      </x:c>
      <x:c r="D2" s="32" t="n">
        <x:f>IF(C2="","",(1/'Metadata'!$B$5)^(C2-1))</x:f>
        <x:v>1675.698204033512</x:v>
      </x:c>
      <x:c r="E2" s="31" t="n">
        <x:f>IF(B2=0,"",B2*D2)</x:f>
        <x:v>239624.8431767922</x:v>
      </x:c>
    </x:row>
    <x:row r="3" ht="18" customHeight="1">
      <x:c r="A3" s="24" t="str">
        <x:v>Large benthopelagics (&gt;=90 cm)</x:v>
      </x:c>
      <x:c r="B3" s="31" t="n">
        <x:v>8</x:v>
      </x:c>
      <x:c r="C3" s="32" t="n">
        <x:v>4.18</x:v>
      </x:c>
      <x:c r="D3" s="32" t="n">
        <x:f>IF(C3="","",(1/'Metadata'!$B$5)^(C3-1))</x:f>
        <x:v>1513.5612484362073</x:v>
      </x:c>
      <x:c r="E3" s="31" t="n">
        <x:f>IF(B3=0,"",B3*D3)</x:f>
        <x:v>12108.489987489658</x:v>
      </x:c>
    </x:row>
    <x:row r="4" ht="18" customHeight="1">
      <x:c r="A4" s="24" t="str">
        <x:v>Large pelagics (&gt;=90 cm)</x:v>
      </x:c>
      <x:c r="B4" s="31" t="n">
        <x:v>12043.9378416622</x:v>
      </x:c>
      <x:c r="C4" s="32" t="n">
        <x:v>4.368780727357415</x:v>
      </x:c>
      <x:c r="D4" s="32" t="n">
        <x:f>IF(C4="","",(1/'Metadata'!$B$5)^(C4-1))</x:f>
        <x:v>2337.656672017628</x:v>
      </x:c>
      <x:c r="E4" s="31" t="n">
        <x:f>IF(B4=0,"",B4*D4)</x:f>
        <x:v>28154591.65292723</x:v>
      </x:c>
    </x:row>
    <x:row r="5" ht="18" customHeight="1">
      <x:c r="A5" s="24" t="str">
        <x:v>Large reef assoc. fish (&gt;=90 cm)</x:v>
      </x:c>
      <x:c r="B5" s="31" t="n">
        <x:v>700.3053472403</x:v>
      </x:c>
      <x:c r="C5" s="32" t="n">
        <x:v>4.266278062557705</x:v>
      </x:c>
      <x:c r="D5" s="32" t="n">
        <x:f>IF(C5="","",(1/'Metadata'!$B$5)^(C5-1))</x:f>
        <x:v>1846.1970919839778</x:v>
      </x:c>
      <x:c r="E5" s="31" t="n">
        <x:f>IF(B5=0,"",B5*D5)</x:f>
        <x:v>1292901.6955758715</x:v>
      </x:c>
    </x:row>
    <x:row r="6" ht="18" customHeight="1">
      <x:c r="A6" s="24" t="str">
        <x:v>Large sharks (&gt;=90 cm)</x:v>
      </x:c>
      <x:c r="B6" s="31" t="n">
        <x:v>5426.5788511263</x:v>
      </x:c>
      <x:c r="C6" s="32" t="n">
        <x:v>4.349840885396803</x:v>
      </x:c>
      <x:c r="D6" s="32" t="n">
        <x:f>IF(C6="","",(1/'Metadata'!$B$5)^(C6-1))</x:f>
        <x:v>2237.901077539141</x:v>
      </x:c>
      <x:c r="E6" s="31" t="n">
        <x:f>IF(B6=0,"",B6*D6)</x:f>
        <x:v>12144146.65828666</x:v>
      </x:c>
    </x:row>
    <x:row r="7" ht="18" customHeight="1">
      <x:c r="A7" s="24" t="str">
        <x:v>Lobsters, crabs</x:v>
      </x:c>
      <x:c r="B7" s="31" t="n">
        <x:v>66</x:v>
      </x:c>
      <x:c r="C7" s="32" t="n">
        <x:v>3.142727272727273</x:v>
      </x:c>
      <x:c r="D7" s="32" t="n">
        <x:f>IF(C7="","",(1/'Metadata'!$B$5)^(C7-1))</x:f>
        <x:v>138.90800458944958</x:v>
      </x:c>
      <x:c r="E7" s="31" t="n">
        <x:f>IF(B7=0,"",B7*D7)</x:f>
        <x:v>9167.928302903672</x:v>
      </x:c>
    </x:row>
    <x:row r="8" ht="18" customHeight="1">
      <x:c r="A8" s="24" t="str">
        <x:v>Medium benthopelagics (30 - 89 cm)</x:v>
      </x:c>
      <x:c r="B8" s="31" t="n">
        <x:v>27</x:v>
      </x:c>
      <x:c r="C8" s="32" t="n">
        <x:v>4.09</x:v>
      </x:c>
      <x:c r="D8" s="32" t="n">
        <x:f>IF(C8="","",(1/'Metadata'!$B$5)^(C8-1))</x:f>
        <x:v>1230.268770812381</x:v>
      </x:c>
      <x:c r="E8" s="31" t="n">
        <x:f>IF(B8=0,"",B8*D8)</x:f>
        <x:v>33217.25681193429</x:v>
      </x:c>
    </x:row>
    <x:row r="9" ht="18" customHeight="1">
      <x:c r="A9" s="24" t="str">
        <x:v>Medium demersals (30 - 89 cm)</x:v>
      </x:c>
      <x:c r="B9" s="31" t="n">
        <x:v>5561.9703879256995</x:v>
      </x:c>
      <x:c r="C9" s="32" t="n">
        <x:v>3.2799999999999994</x:v>
      </x:c>
      <x:c r="D9" s="32" t="n">
        <x:f>IF(C9="","",(1/'Metadata'!$B$5)^(C9-1))</x:f>
        <x:v>190.54607179632444</x:v>
      </x:c>
      <x:c r="E9" s="31" t="n">
        <x:f>IF(B9=0,"",B9*D9)</x:f>
        <x:v>1059811.608866721</x:v>
      </x:c>
    </x:row>
    <x:row r="10" ht="18" customHeight="1">
      <x:c r="A10" s="24" t="str">
        <x:v>Medium pelagics (30 - 89 cm)</x:v>
      </x:c>
      <x:c r="B10" s="31" t="n">
        <x:v>2105.1542678775</x:v>
      </x:c>
      <x:c r="C10" s="32" t="n">
        <x:v>3.726524358582209</x:v>
      </x:c>
      <x:c r="D10" s="32" t="n">
        <x:f>IF(C10="","",(1/'Metadata'!$B$5)^(C10-1))</x:f>
        <x:v>532.7511042735283</x:v>
      </x:c>
      <x:c r="E10" s="31" t="n">
        <x:f>IF(B10=0,"",B10*D10)</x:f>
        <x:v>1121523.260877869</x:v>
      </x:c>
    </x:row>
    <x:row r="11" ht="18" customHeight="1">
      <x:c r="A11" s="24" t="str">
        <x:v>Medium reef assoc. fish (30 - 89 cm)</x:v>
      </x:c>
      <x:c r="B11" s="31" t="n">
        <x:v>3521.5280039954996</x:v>
      </x:c>
      <x:c r="C11" s="32" t="n">
        <x:v>3.5286105880255674</x:v>
      </x:c>
      <x:c r="D11" s="32" t="n">
        <x:f>IF(C11="","",(1/'Metadata'!$B$5)^(C11-1))</x:f>
        <x:v>337.7618448077925</x:v>
      </x:c>
      <x:c r="E11" s="31" t="n">
        <x:f>IF(B11=0,"",B11*D11)</x:f>
        <x:v>1189437.7951718231</x:v>
      </x:c>
    </x:row>
    <x:row r="12" ht="18" customHeight="1">
      <x:c r="A12" s="24" t="str">
        <x:v>Other demersal invertebrates</x:v>
      </x:c>
      <x:c r="B12" s="31" t="n">
        <x:v>150</x:v>
      </x:c>
      <x:c r="C12" s="32" t="n">
        <x:v>2.1</x:v>
      </x:c>
      <x:c r="D12" s="32" t="n">
        <x:f>IF(C12="","",(1/'Metadata'!$B$5)^(C12-1))</x:f>
        <x:v>12.589254117941675</x:v>
      </x:c>
      <x:c r="E12" s="31" t="n">
        <x:f>IF(B12=0,"",B12*D12)</x:f>
        <x:v>1888.3881176912512</x:v>
      </x:c>
    </x:row>
    <x:row r="13" ht="18" customHeight="1">
      <x:c r="A13" s="24" t="str">
        <x:v>Small pelagics (&lt;30 cm)</x:v>
      </x:c>
      <x:c r="B13" s="31" t="n">
        <x:v>27</x:v>
      </x:c>
      <x:c r="C13" s="32" t="n">
        <x:v>3.57</x:v>
      </x:c>
      <x:c r="D13" s="32" t="n">
        <x:f>IF(C13="","",(1/'Metadata'!$B$5)^(C13-1))</x:f>
        <x:v>371.5352290971724</x:v>
      </x:c>
      <x:c r="E13" s="31" t="n">
        <x:f>IF(B13=0,"",B13*D13)</x:f>
        <x:v>10031.451185623655</x:v>
      </x:c>
    </x:row>
    <x:row r="14" ht="18" customHeight="1">
      <x:c r="A14" s="24" t="str">
        <x:v>Small reef assoc. fish (&lt;30 cm)</x:v>
      </x:c>
      <x:c r="B14" s="31" t="n">
        <x:v>723.3029852841998</x:v>
      </x:c>
      <x:c r="C14" s="32" t="n">
        <x:v>3.371978068386089</x:v>
      </x:c>
      <x:c r="D14" s="32" t="n">
        <x:f>IF(C14="","",(1/'Metadata'!$B$5)^(C14-1))</x:f>
        <x:v>235.49303583059745</x:v>
      </x:c>
      <x:c r="E14" s="31" t="n">
        <x:f>IF(B14=0,"",B14*D14)</x:f>
        <x:v>170332.81582991016</x:v>
      </x:c>
    </x:row>
  </x:sheetData>
  <x:pageMargins left="0.7" right="0.7" top="0.75" bottom="0.75" header="0.3" footer="0.3"/>
  <x:tableParts count="1">
    <x:tablePart xmlns:r="http://schemas.openxmlformats.org/officeDocument/2006/relationships" r:id="Rf8a4d7c380a84a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EEZ_258</x:v>
      </x:c>
      <x:c r="B2" s="24" t="str">
        <x:v>raw_filtered_tonnes</x:v>
      </x:c>
      <x:c r="C2" s="24" t="n">
        <x:v>30503.7776851117</x:v>
      </x:c>
      <x:c r="D2" s="24" t="str">
        <x:v>tonnes</x:v>
      </x:c>
    </x:row>
    <x:row r="3" ht="18" customHeight="1">
      <x:c r="A3" s="24" t="str">
        <x:v>EEZ_258</x:v>
      </x:c>
      <x:c r="B3" s="24" t="str">
        <x:v>species_catch_tonnes</x:v>
      </x:c>
      <x:c r="C3" s="24" t="n">
        <x:v>30503.7776851117</x:v>
      </x:c>
      <x:c r="D3" s="24" t="str">
        <x:v>tonnes</x:v>
      </x:c>
    </x:row>
    <x:row r="4" ht="18" customHeight="1">
      <x:c r="A4" s="24" t="str">
        <x:v>EEZ_258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EEZ_258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EEZ_258</x:v>
      </x:c>
      <x:c r="B6" s="24" t="str">
        <x:v>matched_catch_tonnes</x:v>
      </x:c>
      <x:c r="C6" s="24" t="n">
        <x:v>30503.7776851117</x:v>
      </x:c>
      <x:c r="D6" s="24" t="str">
        <x:v>tonnes</x:v>
      </x:c>
    </x:row>
    <x:row r="7" ht="18" customHeight="1">
      <x:c r="A7" s="24" t="str">
        <x:v>EEZ_258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EEZ_258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EEZ_258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EEZ_258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EEZ_258</x:v>
      </x:c>
      <x:c r="B11" s="24" t="str">
        <x:v>species_ppr</x:v>
      </x:c>
      <x:c r="C11" s="24" t="n">
        <x:v>47721884.851591855</x:v>
      </x:c>
      <x:c r="D11" s="24" t="str">
        <x:v>tonnes_primary_production_equivalent</x:v>
      </x:c>
    </x:row>
    <x:row r="12" ht="18" customHeight="1">
      <x:c r="A12" s="24" t="str">
        <x:v>EEZ_258</x:v>
      </x:c>
      <x:c r="B12" s="24" t="str">
        <x:v>commercial_ppr</x:v>
      </x:c>
      <x:c r="C12" s="24" t="n">
        <x:v>43868719.699264675</x:v>
      </x:c>
      <x:c r="D12" s="24" t="str">
        <x:v>tonnes_primary_production_equivalent</x:v>
      </x:c>
    </x:row>
    <x:row r="13" ht="18" customHeight="1">
      <x:c r="A13" s="24" t="str">
        <x:v>EEZ_258</x:v>
      </x:c>
      <x:c r="B13" s="24" t="str">
        <x:v>functional_ppr</x:v>
      </x:c>
      <x:c r="C13" s="24" t="n">
        <x:v>45438783.845118515</x:v>
      </x:c>
      <x:c r="D13" s="24" t="str">
        <x:v>tonnes_primary_production_equivalent</x:v>
      </x:c>
    </x:row>
    <x:row r="14" ht="18" customHeight="1">
      <x:c r="A14" s="24" t="str">
        <x:v>EEZ_258</x:v>
      </x:c>
      <x:c r="B14" s="24" t="str">
        <x:v>commercial_ppr_difference</x:v>
      </x:c>
      <x:c r="C14" s="24" t="n">
        <x:v>-3853165.15232718</x:v>
      </x:c>
      <x:c r="D14" s="24" t="str">
        <x:v>tonnes_primary_production_equivalent</x:v>
      </x:c>
    </x:row>
    <x:row r="15" ht="18" customHeight="1">
      <x:c r="A15" s="24" t="str">
        <x:v>EEZ_258</x:v>
      </x:c>
      <x:c r="B15" s="24" t="str">
        <x:v>functional_ppr_difference</x:v>
      </x:c>
      <x:c r="C15" s="24" t="n">
        <x:v>-2283101.00647334</x:v>
      </x:c>
      <x:c r="D15" s="24" t="str">
        <x:v>tonnes_primary_production_equivalent</x:v>
      </x:c>
    </x:row>
    <x:row r="16" ht="18" customHeight="1">
      <x:c r="A16" s="24" t="str">
        <x:v>EEZ_258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EEZ_258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74eccb59d3a40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EEZ_258 - French Polynesia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