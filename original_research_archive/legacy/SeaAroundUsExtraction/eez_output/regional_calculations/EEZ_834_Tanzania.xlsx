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e0fe3e400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7972a65b26047ac"/>
    <x:sheet xmlns:r="http://schemas.openxmlformats.org/officeDocument/2006/relationships" name="Commercial" sheetId="2" r:id="R6cde7cacc8a244b1"/>
    <x:sheet xmlns:r="http://schemas.openxmlformats.org/officeDocument/2006/relationships" name="Functional" sheetId="3" r:id="R589c83ccba2c440e"/>
    <x:sheet xmlns:r="http://schemas.openxmlformats.org/officeDocument/2006/relationships" name="Missing TL" sheetId="4" r:id="Rad42d6bd5a0e4c20"/>
    <x:sheet xmlns:r="http://schemas.openxmlformats.org/officeDocument/2006/relationships" name="Validation" sheetId="5" r:id="R05a699512c8a477d"/>
    <x:sheet xmlns:r="http://schemas.openxmlformats.org/officeDocument/2006/relationships" name="Metadata" sheetId="6" r:id="R418af877d210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f1e7ae5b64515" /><Relationship Type="http://schemas.openxmlformats.org/officeDocument/2006/relationships/theme" Target="/xl/theme/theme1.xml" Id="R439c1e04898f4bfb" /><Relationship Type="http://schemas.microsoft.com/office/2022/11/relationships/FeaturePropertyBag" Target="/xl/featurePropertyBag/featurePropertyBag.xml" Id="R8ac3869fac83437f" /><Relationship Type="http://schemas.openxmlformats.org/officeDocument/2006/relationships/sharedStrings" Target="/xl/sharedStrings.xml" Id="Ra24c2bcb281b4d3b" /><Relationship Type="http://schemas.openxmlformats.org/officeDocument/2006/relationships/worksheet" Target="/xl/worksheets/sheet1.xml" Id="R37972a65b26047ac" /><Relationship Type="http://schemas.openxmlformats.org/officeDocument/2006/relationships/worksheet" Target="/xl/worksheets/sheet2.xml" Id="R6cde7cacc8a244b1" /><Relationship Type="http://schemas.openxmlformats.org/officeDocument/2006/relationships/worksheet" Target="/xl/worksheets/sheet3.xml" Id="R589c83ccba2c440e" /><Relationship Type="http://schemas.openxmlformats.org/officeDocument/2006/relationships/worksheet" Target="/xl/worksheets/sheet4.xml" Id="Rad42d6bd5a0e4c20" /><Relationship Type="http://schemas.openxmlformats.org/officeDocument/2006/relationships/worksheet" Target="/xl/worksheets/sheet5.xml" Id="R05a699512c8a477d" /><Relationship Type="http://schemas.openxmlformats.org/officeDocument/2006/relationships/worksheet" Target="/xl/worksheets/sheet6.xml" Id="R418af877d21041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34SpeciesTable" displayName="EEZ834SpeciesTable" ref="A1:U113" headerRowCount="1" totalsRowCount="0" totalsRowShown="0">
  <x:autoFilter ref="A1:U1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34CommercialTable" displayName="EEZ83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34FunctionalTable" displayName="EEZ83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34ValidationTable" displayName="EEZ8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11075a76ac41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82e6765189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526d2b0e944b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9c8b2f6b674f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EEZ_834</x:v>
      </x:c>
      <x:c r="B2" s="24" t="str">
        <x:v>Tanzania</x:v>
      </x:c>
      <x:c r="C2" s="24" t="str">
        <x:v>EEZ</x:v>
      </x:c>
      <x:c r="D2" s="30" t="n">
        <x:v>2019</x:v>
      </x:c>
      <x:c r="E2" s="24" t="str">
        <x:v>Rachycentron canadum</x:v>
      </x:c>
      <x:c r="F2" s="24" t="str">
        <x:v>Cobia</x:v>
      </x:c>
      <x:c r="G2" s="24" t="str">
        <x:v>Large pelagics (&gt;=90 cm)</x:v>
      </x:c>
      <x:c r="H2" s="24" t="str">
        <x:v>Perch-likes</x:v>
      </x:c>
      <x:c r="I2" s="31" t="n">
        <x:v>9185.361841970001</x:v>
      </x:c>
      <x:c r="J2" s="31" t="n">
        <x:v>9185.361841970001</x:v>
      </x:c>
      <x:c r="K2" s="31" t="n">
        <x:v>0</x:v>
      </x:c>
      <x:c r="L2" s="31" t="n">
        <x:v>8756</x:v>
      </x:c>
      <x:c r="M2" s="31" t="n">
        <x:v>429.36184197</x:v>
      </x:c>
      <x:c r="N2" s="24" t="str">
        <x:v>rachycentron canadum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Rachycentron canadum</x:v>
      </x:c>
      <x:c r="T2" s="32" t="n">
        <x:f>IF(O2="","",(1/'Metadata'!$B$5)^(O2-1))</x:f>
        <x:v>912.0108393559096</x:v>
      </x:c>
      <x:c r="U2" s="31" t="n">
        <x:f>IF(T2="","",I2*T2)</x:f>
        <x:v>8377149.5632828055</x:v>
      </x:c>
    </x:row>
    <x:row r="3" ht="18" customHeight="1">
      <x:c r="A3" s="24" t="str">
        <x:v>EEZ_834</x:v>
      </x:c>
      <x:c r="B3" s="24" t="str">
        <x:v>Tanzania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8543.228718358</x:v>
      </x:c>
      <x:c r="J3" s="31" t="n">
        <x:v>8543.228718358</x:v>
      </x:c>
      <x:c r="K3" s="31" t="n">
        <x:v>0</x:v>
      </x:c>
      <x:c r="L3" s="31" t="n">
        <x:v>7701.9999998739995</x:v>
      </x:c>
      <x:c r="M3" s="31" t="n">
        <x:v>841.228718484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503062.6027056768</x:v>
      </x:c>
    </x:row>
    <x:row r="4" ht="18" customHeight="1">
      <x:c r="A4" s="24" t="str">
        <x:v>EEZ_834</x:v>
      </x:c>
      <x:c r="B4" s="24" t="str">
        <x:v>Tanzania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7304.3380692465</x:v>
      </x:c>
      <x:c r="J4" s="31" t="n">
        <x:v>7304.3380692465</x:v>
      </x:c>
      <x:c r="K4" s="31" t="n">
        <x:v>0</x:v>
      </x:c>
      <x:c r="L4" s="31" t="n">
        <x:v>6460.0088778065</x:v>
      </x:c>
      <x:c r="M4" s="31" t="n">
        <x:v>844.32919144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8195602.110154942</x:v>
      </x:c>
    </x:row>
    <x:row r="5" ht="18" customHeight="1">
      <x:c r="A5" s="24" t="str">
        <x:v>EEZ_834</x:v>
      </x:c>
      <x:c r="B5" s="24" t="str">
        <x:v>Tanzania</x:v>
      </x:c>
      <x:c r="C5" s="24" t="str">
        <x:v>EEZ</x:v>
      </x:c>
      <x:c r="D5" s="30" t="n">
        <x:v>2019</x:v>
      </x:c>
      <x:c r="E5" s="24" t="str">
        <x:v>Octopoda</x:v>
      </x:c>
      <x:c r="F5" s="24" t="str">
        <x:v>Octopuses, argonauts</x:v>
      </x:c>
      <x:c r="G5" s="24" t="str">
        <x:v>Cephalopods</x:v>
      </x:c>
      <x:c r="H5" s="24" t="str">
        <x:v>Other fishes &amp; inverts</x:v>
      </x:c>
      <x:c r="I5" s="31" t="n">
        <x:v>6586.478656339999</x:v>
      </x:c>
      <x:c r="J5" s="31" t="n">
        <x:v>6586.478656339999</x:v>
      </x:c>
      <x:c r="K5" s="31" t="n">
        <x:v>0</x:v>
      </x:c>
      <x:c r="L5" s="31" t="n">
        <x:v>5687.0000001</x:v>
      </x:c>
      <x:c r="M5" s="31" t="n">
        <x:v>899.47865624</x:v>
      </x:c>
      <x:c r="N5" s="24" t="str">
        <x:v>octopoda</x:v>
      </x:c>
      <x:c r="O5" s="32" t="n">
        <x:v>3.58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Octopoda</x:v>
      </x:c>
      <x:c r="T5" s="32" t="n">
        <x:f>IF(O5="","",(1/'Metadata'!$B$5)^(O5-1))</x:f>
        <x:v>380.1893963205613</x:v>
      </x:c>
      <x:c r="U5" s="31" t="n">
        <x:f>IF(T5="","",I5*T5)</x:f>
        <x:v>2504109.344232166</x:v>
      </x:c>
    </x:row>
    <x:row r="6" ht="18" customHeight="1">
      <x:c r="A6" s="24" t="str">
        <x:v>EEZ_834</x:v>
      </x:c>
      <x:c r="B6" s="24" t="str">
        <x:v>Tanzania</x:v>
      </x:c>
      <x:c r="C6" s="24" t="str">
        <x:v>EEZ</x:v>
      </x:c>
      <x:c r="D6" s="30" t="n">
        <x:v>2019</x:v>
      </x:c>
      <x:c r="E6" s="24" t="str">
        <x:v>Rastrelliger kanagurta</x:v>
      </x:c>
      <x:c r="F6" s="24" t="str">
        <x:v>Indian mackerel</x:v>
      </x:c>
      <x:c r="G6" s="24" t="str">
        <x:v>Medium pelagics (30 - 89 cm)</x:v>
      </x:c>
      <x:c r="H6" s="24" t="str">
        <x:v>Perch-likes</x:v>
      </x:c>
      <x:c r="I6" s="31" t="n">
        <x:v>6491.600665218</x:v>
      </x:c>
      <x:c r="J6" s="31" t="n">
        <x:v>6491.600665218</x:v>
      </x:c>
      <x:c r="K6" s="31" t="n">
        <x:v>0</x:v>
      </x:c>
      <x:c r="L6" s="31" t="n">
        <x:v>5223.99999963</x:v>
      </x:c>
      <x:c r="M6" s="31" t="n">
        <x:v>1267.600665588</x:v>
      </x:c>
      <x:c r="N6" s="24" t="str">
        <x:v>rastrelliger kanagurta</x:v>
      </x:c>
      <x:c r="O6" s="32" t="n">
        <x:v>3.19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Rastrelliger kanagurta</x:v>
      </x:c>
      <x:c r="T6" s="32" t="n">
        <x:f>IF(O6="","",(1/'Metadata'!$B$5)^(O6-1))</x:f>
        <x:v>154.88166189124811</x:v>
      </x:c>
      <x:c r="U6" s="31" t="n">
        <x:f>IF(T6="","",I6*T6)</x:f>
        <x:v>1005429.8993632956</x:v>
      </x:c>
    </x:row>
    <x:row r="7" ht="18" customHeight="1">
      <x:c r="A7" s="24" t="str">
        <x:v>EEZ_834</x:v>
      </x:c>
      <x:c r="B7" s="24" t="str">
        <x:v>Tanzania</x:v>
      </x:c>
      <x:c r="C7" s="24" t="str">
        <x:v>EEZ</x:v>
      </x:c>
      <x:c r="D7" s="30" t="n">
        <x:v>2019</x:v>
      </x:c>
      <x:c r="E7" s="24" t="str">
        <x:v>Nemipteridae</x:v>
      </x:c>
      <x:c r="F7" s="24" t="str">
        <x:v>Threadfins, whiptail breams</x:v>
      </x:c>
      <x:c r="G7" s="24" t="str">
        <x:v>Small demersals (&lt;30 cm)</x:v>
      </x:c>
      <x:c r="H7" s="24" t="str">
        <x:v>Perch-likes</x:v>
      </x:c>
      <x:c r="I7" s="31" t="n">
        <x:v>6092.6815503715</x:v>
      </x:c>
      <x:c r="J7" s="31" t="n">
        <x:v>6092.6815503715</x:v>
      </x:c>
      <x:c r="K7" s="31" t="n">
        <x:v>0</x:v>
      </x:c>
      <x:c r="L7" s="31" t="n">
        <x:v>4790.6197450415</x:v>
      </x:c>
      <x:c r="M7" s="31" t="n">
        <x:v>1302.06180533</x:v>
      </x:c>
      <x:c r="N7" s="24" t="str">
        <x:v>nemipteridae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Nemipteridae</x:v>
      </x:c>
      <x:c r="T7" s="32" t="n">
        <x:f>IF(O7="","",(1/'Metadata'!$B$5)^(O7-1))</x:f>
        <x:v>323.5936569296281</x:v>
      </x:c>
      <x:c r="U7" s="31" t="n">
        <x:f>IF(T7="","",I7*T7)</x:f>
        <x:v>1971553.1033923896</x:v>
      </x:c>
    </x:row>
    <x:row r="8" ht="18" customHeight="1">
      <x:c r="A8" s="24" t="str">
        <x:v>EEZ_834</x:v>
      </x:c>
      <x:c r="B8" s="24" t="str">
        <x:v>Tanzania</x:v>
      </x:c>
      <x:c r="C8" s="24" t="str">
        <x:v>EEZ</x:v>
      </x:c>
      <x:c r="D8" s="30" t="n">
        <x:v>2019</x:v>
      </x:c>
      <x:c r="E8" s="24" t="str">
        <x:v>Ariidae</x:v>
      </x:c>
      <x:c r="F8" s="24" t="str">
        <x:v>Sea catfishes, coblers</x:v>
      </x:c>
      <x:c r="G8" s="24" t="str">
        <x:v>Medium demersals (30 - 89 cm)</x:v>
      </x:c>
      <x:c r="H8" s="24" t="str">
        <x:v>Other fishes &amp; inverts</x:v>
      </x:c>
      <x:c r="I8" s="31" t="n">
        <x:v>5735.321932601</x:v>
      </x:c>
      <x:c r="J8" s="31" t="n">
        <x:v>5728.130820494</x:v>
      </x:c>
      <x:c r="K8" s="31" t="n">
        <x:v>7.191112107</x:v>
      </x:c>
      <x:c r="L8" s="31" t="n">
        <x:v>4296.47157757</x:v>
      </x:c>
      <x:c r="M8" s="31" t="n">
        <x:v>1438.850355031</x:v>
      </x:c>
      <x:c r="N8" s="24" t="str">
        <x:v>ariidae</x:v>
      </x:c>
      <x:c r="O8" s="32" t="n">
        <x:v>3.48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Ariidae</x:v>
      </x:c>
      <x:c r="T8" s="32" t="n">
        <x:f>IF(O8="","",(1/'Metadata'!$B$5)^(O8-1))</x:f>
        <x:v>301.9951720402016</x:v>
      </x:c>
      <x:c r="U8" s="31" t="n">
        <x:f>IF(T8="","",I8*T8)</x:f>
        <x:v>1732039.5337417808</x:v>
      </x:c>
    </x:row>
    <x:row r="9" ht="18" customHeight="1">
      <x:c r="A9" s="24" t="str">
        <x:v>EEZ_834</x:v>
      </x:c>
      <x:c r="B9" s="24" t="str">
        <x:v>Tanzania</x:v>
      </x:c>
      <x:c r="C9" s="24" t="str">
        <x:v>EEZ</x:v>
      </x:c>
      <x:c r="D9" s="30" t="n">
        <x:v>2019</x:v>
      </x:c>
      <x:c r="E9" s="24" t="str">
        <x:v>Penaeus</x:v>
      </x:c>
      <x:c r="F9" s="24" t="str">
        <x:v>Tiger prawns</x:v>
      </x:c>
      <x:c r="G9" s="24" t="str">
        <x:v>Shrimps</x:v>
      </x:c>
      <x:c r="H9" s="24" t="str">
        <x:v>Crustaceans</x:v>
      </x:c>
      <x:c r="I9" s="31" t="n">
        <x:v>5483.7896784</x:v>
      </x:c>
      <x:c r="J9" s="31" t="n">
        <x:v>5483.7896784</x:v>
      </x:c>
      <x:c r="K9" s="31" t="n">
        <x:v>0</x:v>
      </x:c>
      <x:c r="L9" s="31" t="n">
        <x:v>4281</x:v>
      </x:c>
      <x:c r="M9" s="31" t="n">
        <x:v>1202.7896784</x:v>
      </x:c>
      <x:c r="N9" s="24" t="str">
        <x:v>penaeus</x:v>
      </x:c>
      <x:c r="O9" s="32" t="n">
        <x:v>2.7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Penaeus</x:v>
      </x:c>
      <x:c r="T9" s="32" t="n">
        <x:f>IF(O9="","",(1/'Metadata'!$B$5)^(O9-1))</x:f>
        <x:v>50.11872336272725</x:v>
      </x:c>
      <x:c r="U9" s="31" t="n">
        <x:f>IF(T9="","",I9*T9)</x:f>
        <x:v>274840.5378711087</x:v>
      </x:c>
    </x:row>
    <x:row r="10" ht="18" customHeight="1">
      <x:c r="A10" s="24" t="str">
        <x:v>EEZ_834</x:v>
      </x:c>
      <x:c r="B10" s="24" t="str">
        <x:v>Tanzania</x:v>
      </x:c>
      <x:c r="C10" s="24" t="str">
        <x:v>EEZ</x:v>
      </x:c>
      <x:c r="D10" s="30" t="n">
        <x:v>2019</x:v>
      </x:c>
      <x:c r="E10" s="24" t="str">
        <x:v>Lethrinidae</x:v>
      </x:c>
      <x:c r="F10" s="24" t="str">
        <x:v>Emperors, scavengers</x:v>
      </x:c>
      <x:c r="G10" s="24" t="str">
        <x:v>Medium reef assoc. fish (30 - 89 cm)</x:v>
      </x:c>
      <x:c r="H10" s="24" t="str">
        <x:v>Perch-likes</x:v>
      </x:c>
      <x:c r="I10" s="31" t="n">
        <x:v>4680.727415149</x:v>
      </x:c>
      <x:c r="J10" s="31" t="n">
        <x:v>4673.536303042</x:v>
      </x:c>
      <x:c r="K10" s="31" t="n">
        <x:v>7.191112107</x:v>
      </x:c>
      <x:c r="L10" s="31" t="n">
        <x:v>3951.99999996</x:v>
      </x:c>
      <x:c r="M10" s="31" t="n">
        <x:v>728.727415189</x:v>
      </x:c>
      <x:c r="N10" s="24" t="str">
        <x:v>lethrinidae</x:v>
      </x:c>
      <x:c r="O10" s="32" t="n">
        <x:v>3.59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Lethrinidae</x:v>
      </x:c>
      <x:c r="T10" s="32" t="n">
        <x:f>IF(O10="","",(1/'Metadata'!$B$5)^(O10-1))</x:f>
        <x:v>389.04514499428046</x:v>
      </x:c>
      <x:c r="U10" s="31" t="n">
        <x:f>IF(T10="","",I10*T10)</x:f>
        <x:v>1821014.2759053463</x:v>
      </x:c>
    </x:row>
    <x:row r="11" ht="18" customHeight="1">
      <x:c r="A11" s="24" t="str">
        <x:v>EEZ_834</x:v>
      </x:c>
      <x:c r="B11" s="24" t="str">
        <x:v>Tanzania</x:v>
      </x:c>
      <x:c r="C11" s="24" t="str">
        <x:v>EEZ</x:v>
      </x:c>
      <x:c r="D11" s="30" t="n">
        <x:v>2019</x:v>
      </x:c>
      <x:c r="E11" s="24" t="str">
        <x:v>Batoidea</x:v>
      </x:c>
      <x:c r="F11" s="24" t="str">
        <x:v>Batoids, skates, rays, sawfishes</x:v>
      </x:c>
      <x:c r="G11" s="24" t="str">
        <x:v>Large rays (&gt;=90 cm)</x:v>
      </x:c>
      <x:c r="H11" s="24" t="str">
        <x:v>Sharks &amp; rays</x:v>
      </x:c>
      <x:c r="I11" s="31" t="n">
        <x:v>4629.859479848</x:v>
      </x:c>
      <x:c r="J11" s="31" t="n">
        <x:v>4629.859479848</x:v>
      </x:c>
      <x:c r="K11" s="31" t="n">
        <x:v>0</x:v>
      </x:c>
      <x:c r="L11" s="31" t="n">
        <x:v>2865.00000053</x:v>
      </x:c>
      <x:c r="M11" s="31" t="n">
        <x:v>1764.859479318</x:v>
      </x:c>
      <x:c r="N11" s="24" t="str">
        <x:v>batoidea</x:v>
      </x:c>
      <x:c r="O11" s="32" t="n">
        <x:v>3.72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Batoidea</x:v>
      </x:c>
      <x:c r="T11" s="32" t="n">
        <x:f>IF(O11="","",(1/'Metadata'!$B$5)^(O11-1))</x:f>
        <x:v>524.8074602497728</x:v>
      </x:c>
      <x:c r="U11" s="31" t="n">
        <x:f>IF(T11="","",I11*T11)</x:f>
        <x:v>2429784.794932363</x:v>
      </x:c>
    </x:row>
    <x:row r="12" ht="18" customHeight="1">
      <x:c r="A12" s="24" t="str">
        <x:v>EEZ_834</x:v>
      </x:c>
      <x:c r="B12" s="24" t="str">
        <x:v>Tanzania</x:v>
      </x:c>
      <x:c r="C12" s="24" t="str">
        <x:v>EEZ</x:v>
      </x:c>
      <x:c r="D12" s="30" t="n">
        <x:v>2019</x:v>
      </x:c>
      <x:c r="E12" s="24" t="str">
        <x:v>Octopus cyanea</x:v>
      </x:c>
      <x:c r="F12" s="24" t="str">
        <x:v>Big blue octopus</x:v>
      </x:c>
      <x:c r="G12" s="24" t="str">
        <x:v>Cephalopods</x:v>
      </x:c>
      <x:c r="H12" s="24" t="str">
        <x:v>Other fishes &amp; inverts</x:v>
      </x:c>
      <x:c r="I12" s="31" t="n">
        <x:v>4580.900566</x:v>
      </x:c>
      <x:c r="J12" s="31" t="n">
        <x:v>4580.900566</x:v>
      </x:c>
      <x:c r="K12" s="31" t="n">
        <x:v>0</x:v>
      </x:c>
      <x:c r="L12" s="31" t="n">
        <x:v>0</x:v>
      </x:c>
      <x:c r="M12" s="31" t="n">
        <x:v>4580.900566</x:v>
      </x:c>
      <x:c r="N12" s="24" t="str">
        <x:v>octopus cyanea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Octopus cyanea</x:v>
      </x:c>
      <x:c r="T12" s="32" t="n">
        <x:f>IF(O12="","",(1/'Metadata'!$B$5)^(O12-1))</x:f>
        <x:v>398.1071705534973</x:v>
      </x:c>
      <x:c r="U12" s="31" t="n">
        <x:f>IF(T12="","",I12*T12)</x:f>
        <x:v>1823689.3629171746</x:v>
      </x:c>
    </x:row>
    <x:row r="13" ht="18" customHeight="1">
      <x:c r="A13" s="24" t="str">
        <x:v>EEZ_834</x:v>
      </x:c>
      <x:c r="B13" s="24" t="str">
        <x:v>Tanzania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4176.88792636</x:v>
      </x:c>
      <x:c r="J13" s="31" t="n">
        <x:v>4176.88792636</x:v>
      </x:c>
      <x:c r="K13" s="31" t="n">
        <x:v>0</x:v>
      </x:c>
      <x:c r="L13" s="31" t="n">
        <x:v>3678</x:v>
      </x:c>
      <x:c r="M13" s="31" t="n">
        <x:v>498.88792636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3988897.0023162495</x:v>
      </x:c>
    </x:row>
    <x:row r="14" ht="18" customHeight="1">
      <x:c r="A14" s="24" t="str">
        <x:v>EEZ_834</x:v>
      </x:c>
      <x:c r="B14" s="24" t="str">
        <x:v>Tanzania</x:v>
      </x:c>
      <x:c r="C14" s="24" t="str">
        <x:v>EEZ</x:v>
      </x:c>
      <x:c r="D14" s="30" t="n">
        <x:v>2019</x:v>
      </x:c>
      <x:c r="E14" s="24" t="str">
        <x:v>Istiophorus platypterus</x:v>
      </x:c>
      <x:c r="F14" s="24" t="str">
        <x:v>Indo-Pacific sailfish</x:v>
      </x:c>
      <x:c r="G14" s="24" t="str">
        <x:v>Large pelagics (&gt;=90 cm)</x:v>
      </x:c>
      <x:c r="H14" s="24" t="str">
        <x:v>Tuna &amp; billfishes</x:v>
      </x:c>
      <x:c r="I14" s="31" t="n">
        <x:v>4036.7764847846</x:v>
      </x:c>
      <x:c r="J14" s="31" t="n">
        <x:v>4036.7764847846</x:v>
      </x:c>
      <x:c r="K14" s="31" t="n">
        <x:v>0</x:v>
      </x:c>
      <x:c r="L14" s="31" t="n">
        <x:v>2682.0459089846</x:v>
      </x:c>
      <x:c r="M14" s="31" t="n">
        <x:v>1354.7305758</x:v>
      </x:c>
      <x:c r="N14" s="24" t="str">
        <x:v>istiophorus platypterus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Istiophorus platypterus</x:v>
      </x:c>
      <x:c r="T14" s="32" t="n">
        <x:f>IF(O14="","",(1/'Metadata'!$B$5)^(O14-1))</x:f>
        <x:v>3162.2776601683795</x:v>
      </x:c>
      <x:c r="U14" s="31" t="n">
        <x:f>IF(T14="","",I14*T14)</x:f>
        <x:v>12765408.096927382</x:v>
      </x:c>
    </x:row>
    <x:row r="15" ht="18" customHeight="1">
      <x:c r="A15" s="24" t="str">
        <x:v>EEZ_834</x:v>
      </x:c>
      <x:c r="B15" s="24" t="str">
        <x:v>Tanzania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4023.864730394</x:v>
      </x:c>
      <x:c r="J15" s="31" t="n">
        <x:v>4016.673618287</x:v>
      </x:c>
      <x:c r="K15" s="31" t="n">
        <x:v>7.191112107</x:v>
      </x:c>
      <x:c r="L15" s="31" t="n">
        <x:v>3033.99999998</x:v>
      </x:c>
      <x:c r="M15" s="31" t="n">
        <x:v>989.864730414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4514850.485116861</x:v>
      </x:c>
    </x:row>
    <x:row r="16" ht="18" customHeight="1">
      <x:c r="A16" s="24" t="str">
        <x:v>EEZ_834</x:v>
      </x:c>
      <x:c r="B16" s="24" t="str">
        <x:v>Tanzania</x:v>
      </x:c>
      <x:c r="C16" s="24" t="str">
        <x:v>EEZ</x:v>
      </x:c>
      <x:c r="D16" s="30" t="n">
        <x:v>2019</x:v>
      </x:c>
      <x:c r="E16" s="24" t="str">
        <x:v>Seriola</x:v>
      </x:c>
      <x:c r="F16" s="24" t="str">
        <x:v>Amberjacks</x:v>
      </x:c>
      <x:c r="G16" s="24" t="str">
        <x:v>Large benthopelagics (&gt;=90 cm)</x:v>
      </x:c>
      <x:c r="H16" s="24" t="str">
        <x:v>Perch-likes</x:v>
      </x:c>
      <x:c r="I16" s="31" t="n">
        <x:v>4010.04140723</x:v>
      </x:c>
      <x:c r="J16" s="31" t="n">
        <x:v>4010.04140723</x:v>
      </x:c>
      <x:c r="K16" s="31" t="n">
        <x:v>0</x:v>
      </x:c>
      <x:c r="L16" s="31" t="n">
        <x:v>3503</x:v>
      </x:c>
      <x:c r="M16" s="31" t="n">
        <x:v>507.04140723</x:v>
      </x:c>
      <x:c r="N16" s="24" t="str">
        <x:v>seriola</x:v>
      </x:c>
      <x:c r="O16" s="32" t="n">
        <x:v>4.39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Seriola</x:v>
      </x:c>
      <x:c r="T16" s="32" t="n">
        <x:f>IF(O16="","",(1/'Metadata'!$B$5)^(O16-1))</x:f>
        <x:v>2454.7089156850284</x:v>
      </x:c>
      <x:c r="U16" s="31" t="n">
        <x:f>IF(T16="","",I16*T16)</x:f>
        <x:v>9843484.394593619</x:v>
      </x:c>
    </x:row>
    <x:row r="17" ht="18" customHeight="1">
      <x:c r="A17" s="24" t="str">
        <x:v>EEZ_834</x:v>
      </x:c>
      <x:c r="B17" s="24" t="str">
        <x:v>Tanzania</x:v>
      </x:c>
      <x:c r="C17" s="24" t="str">
        <x:v>EEZ</x:v>
      </x:c>
      <x:c r="D17" s="30" t="n">
        <x:v>2019</x:v>
      </x:c>
      <x:c r="E17" s="24" t="str">
        <x:v>Marine fishes not identified</x:v>
      </x:c>
      <x:c r="F17" s="24" t="str">
        <x:v>Marine fishes nei</x:v>
      </x:c>
      <x:c r="G17" s="24" t="str">
        <x:v>Medium demersals (30 - 89 cm)</x:v>
      </x:c>
      <x:c r="H17" s="24" t="str">
        <x:v>Other fishes &amp; inverts</x:v>
      </x:c>
      <x:c r="I17" s="31" t="n">
        <x:v>3690.3674107144</x:v>
      </x:c>
      <x:c r="J17" s="31" t="n">
        <x:v>3130.5051098482</x:v>
      </x:c>
      <x:c r="K17" s="31" t="n">
        <x:v>559.8623008661999</x:v>
      </x:c>
      <x:c r="L17" s="31" t="n">
        <x:v>888.8852597442</x:v>
      </x:c>
      <x:c r="M17" s="31" t="n">
        <x:v>2801.4821509702</x:v>
      </x:c>
      <x:c r="N17" s="24" t="str">
        <x:v>marine fishes not identified</x:v>
      </x:c>
      <x:c r="O17" s="32" t="n">
        <x:v>3.28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fishes not identified</x:v>
      </x:c>
      <x:c r="T17" s="32" t="n">
        <x:f>IF(O17="","",(1/'Metadata'!$B$5)^(O17-1))</x:f>
        <x:v>190.54607179632464</x:v>
      </x:c>
      <x:c r="U17" s="31" t="n">
        <x:f>IF(T17="","",I17*T17)</x:f>
        <x:v>703185.0135968027</x:v>
      </x:c>
    </x:row>
    <x:row r="18" ht="18" customHeight="1">
      <x:c r="A18" s="24" t="str">
        <x:v>EEZ_834</x:v>
      </x:c>
      <x:c r="B18" s="24" t="str">
        <x:v>Tanzania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3673.7068188099997</x:v>
      </x:c>
      <x:c r="J18" s="31" t="n">
        <x:v>3673.7068188099997</x:v>
      </x:c>
      <x:c r="K18" s="31" t="n">
        <x:v>0</x:v>
      </x:c>
      <x:c r="L18" s="31" t="n">
        <x:v>3012</x:v>
      </x:c>
      <x:c r="M18" s="31" t="n">
        <x:v>661.7068188100001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9227934.311513068</x:v>
      </x:c>
    </x:row>
    <x:row r="19" ht="18" customHeight="1">
      <x:c r="A19" s="24" t="str">
        <x:v>EEZ_834</x:v>
      </x:c>
      <x:c r="B19" s="24" t="str">
        <x:v>Tanzania</x:v>
      </x:c>
      <x:c r="C19" s="24" t="str">
        <x:v>EEZ</x:v>
      </x:c>
      <x:c r="D19" s="30" t="n">
        <x:v>2019</x:v>
      </x:c>
      <x:c r="E19" s="24" t="str">
        <x:v>Siganidae</x:v>
      </x:c>
      <x:c r="F19" s="24" t="str">
        <x:v>Rabbitfishes</x:v>
      </x:c>
      <x:c r="G19" s="24" t="str">
        <x:v>Medium reef assoc. fish (30 - 89 cm)</x:v>
      </x:c>
      <x:c r="H19" s="24" t="str">
        <x:v>Perch-likes</x:v>
      </x:c>
      <x:c r="I19" s="31" t="n">
        <x:v>3245.170983668</x:v>
      </x:c>
      <x:c r="J19" s="31" t="n">
        <x:v>3237.979871561</x:v>
      </x:c>
      <x:c r="K19" s="31" t="n">
        <x:v>7.191112107</x:v>
      </x:c>
      <x:c r="L19" s="31" t="n">
        <x:v>2737.99999992</x:v>
      </x:c>
      <x:c r="M19" s="31" t="n">
        <x:v>507.170983748</x:v>
      </x:c>
      <x:c r="N19" s="24" t="str">
        <x:v>siganidae</x:v>
      </x:c>
      <x:c r="O19" s="32" t="n">
        <x:v>2.11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Siganidae</x:v>
      </x:c>
      <x:c r="T19" s="32" t="n">
        <x:f>IF(O19="","",(1/'Metadata'!$B$5)^(O19-1))</x:f>
        <x:v>12.882495516931336</x:v>
      </x:c>
      <x:c r="U19" s="31" t="n">
        <x:f>IF(T19="","",I19*T19)</x:f>
        <x:v>41805.90064877867</x:v>
      </x:c>
    </x:row>
    <x:row r="20" ht="18" customHeight="1">
      <x:c r="A20" s="24" t="str">
        <x:v>EEZ_834</x:v>
      </x:c>
      <x:c r="B20" s="24" t="str">
        <x:v>Tanzania</x:v>
      </x:c>
      <x:c r="C20" s="24" t="str">
        <x:v>EEZ</x:v>
      </x:c>
      <x:c r="D20" s="30" t="n">
        <x:v>2019</x:v>
      </x:c>
      <x:c r="E20" s="24" t="str">
        <x:v>Scombridae</x:v>
      </x:c>
      <x:c r="F20" s="24" t="str">
        <x:v>Mackerels, tunas, bonitos</x:v>
      </x:c>
      <x:c r="G20" s="24" t="str">
        <x:v>Medium pelagics (30 - 89 cm)</x:v>
      </x:c>
      <x:c r="H20" s="24" t="str">
        <x:v>Perch-likes</x:v>
      </x:c>
      <x:c r="I20" s="31" t="n">
        <x:v>3194.7318173500003</x:v>
      </x:c>
      <x:c r="J20" s="31" t="n">
        <x:v>3194.7318173500003</x:v>
      </x:c>
      <x:c r="K20" s="31" t="n">
        <x:v>0</x:v>
      </x:c>
      <x:c r="L20" s="31" t="n">
        <x:v>1523.53278696</x:v>
      </x:c>
      <x:c r="M20" s="31" t="n">
        <x:v>1671.19903039</x:v>
      </x:c>
      <x:c r="N20" s="24" t="str">
        <x:v>scombridae</x:v>
      </x:c>
      <x:c r="O20" s="32" t="n">
        <x:v>4.26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Scombridae</x:v>
      </x:c>
      <x:c r="T20" s="32" t="n">
        <x:f>IF(O20="","",(1/'Metadata'!$B$5)^(O20-1))</x:f>
        <x:v>1819.7008586099826</x:v>
      </x:c>
      <x:c r="U20" s="31" t="n">
        <x:f>IF(T20="","",I20*T20)</x:f>
        <x:v>5813456.231060426</x:v>
      </x:c>
    </x:row>
    <x:row r="21" ht="18" customHeight="1">
      <x:c r="A21" s="24" t="str">
        <x:v>EEZ_834</x:v>
      </x:c>
      <x:c r="B21" s="24" t="str">
        <x:v>Tanzania</x:v>
      </x:c>
      <x:c r="C21" s="24" t="str">
        <x:v>EEZ</x:v>
      </x:c>
      <x:c r="D21" s="30" t="n">
        <x:v>2019</x:v>
      </x:c>
      <x:c r="E21" s="24" t="str">
        <x:v>Carcharhinus falciformis</x:v>
      </x:c>
      <x:c r="F21" s="24" t="str">
        <x:v>Silky shark</x:v>
      </x:c>
      <x:c r="G21" s="24" t="str">
        <x:v>Large sharks (&gt;=90 cm)</x:v>
      </x:c>
      <x:c r="H21" s="24" t="str">
        <x:v>Sharks &amp; rays</x:v>
      </x:c>
      <x:c r="I21" s="31" t="n">
        <x:v>2911.9604096145</x:v>
      </x:c>
      <x:c r="J21" s="31" t="n">
        <x:v>2911.9604096145</x:v>
      </x:c>
      <x:c r="K21" s="31" t="n">
        <x:v>0</x:v>
      </x:c>
      <x:c r="L21" s="31" t="n">
        <x:v>2034.1048177745001</x:v>
      </x:c>
      <x:c r="M21" s="31" t="n">
        <x:v>877.85559184</x:v>
      </x:c>
      <x:c r="N21" s="24" t="str">
        <x:v>carcharhinus falciformis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falciformis</x:v>
      </x:c>
      <x:c r="T21" s="32" t="n">
        <x:f>IF(O21="","",(1/'Metadata'!$B$5)^(O21-1))</x:f>
        <x:v>3235.936569296281</x:v>
      </x:c>
      <x:c r="U21" s="31" t="n">
        <x:f>IF(T21="","",I21*T21)</x:f>
        <x:v>9422919.177814538</x:v>
      </x:c>
    </x:row>
    <x:row r="22" ht="18" customHeight="1">
      <x:c r="A22" s="24" t="str">
        <x:v>EEZ_834</x:v>
      </x:c>
      <x:c r="B22" s="24" t="str">
        <x:v>Tanzania</x:v>
      </x:c>
      <x:c r="C22" s="24" t="str">
        <x:v>EEZ</x:v>
      </x:c>
      <x:c r="D22" s="30" t="n">
        <x:v>2019</x:v>
      </x:c>
      <x:c r="E22" s="24" t="str">
        <x:v>Labridae</x:v>
      </x:c>
      <x:c r="F22" s="24" t="str">
        <x:v>Wrasses, gropers, tuskfishes</x:v>
      </x:c>
      <x:c r="G22" s="24" t="str">
        <x:v>Medium reef assoc. fish (30 - 89 cm)</x:v>
      </x:c>
      <x:c r="H22" s="24" t="str">
        <x:v>Perch-likes</x:v>
      </x:c>
      <x:c r="I22" s="31" t="n">
        <x:v>2905.456744879</x:v>
      </x:c>
      <x:c r="J22" s="31" t="n">
        <x:v>2898.265632772</x:v>
      </x:c>
      <x:c r="K22" s="31" t="n">
        <x:v>7.191112107</x:v>
      </x:c>
      <x:c r="L22" s="31" t="n">
        <x:v>2439.83546833</x:v>
      </x:c>
      <x:c r="M22" s="31" t="n">
        <x:v>465.621276549</x:v>
      </x:c>
      <x:c r="N22" s="24" t="str">
        <x:v>labridae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Labridae</x:v>
      </x:c>
      <x:c r="T22" s="32" t="n">
        <x:f>IF(O22="","",(1/'Metadata'!$B$5)^(O22-1))</x:f>
        <x:v>288.40315031266056</x:v>
      </x:c>
      <x:c r="U22" s="31" t="n">
        <x:f>IF(T22="","",I22*T22)</x:f>
        <x:v>837942.8783202716</x:v>
      </x:c>
    </x:row>
    <x:row r="23" ht="18" customHeight="1">
      <x:c r="A23" s="24" t="str">
        <x:v>EEZ_834</x:v>
      </x:c>
      <x:c r="B23" s="24" t="str">
        <x:v>Tanzania</x:v>
      </x:c>
      <x:c r="C23" s="24" t="str">
        <x:v>EEZ</x:v>
      </x:c>
      <x:c r="D23" s="30" t="n">
        <x:v>2019</x:v>
      </x:c>
      <x:c r="E23" s="24" t="str">
        <x:v>Mollusca</x:v>
      </x:c>
      <x:c r="F23" s="24" t="str">
        <x:v>Clams, seasnails, squids, octopuses</x:v>
      </x:c>
      <x:c r="G23" s="24" t="str">
        <x:v>Other demersal invertebrates</x:v>
      </x:c>
      <x:c r="H23" s="24" t="str">
        <x:v>Molluscs</x:v>
      </x:c>
      <x:c r="I23" s="31" t="n">
        <x:v>2607.8602198</x:v>
      </x:c>
      <x:c r="J23" s="31" t="n">
        <x:v>2607.8602198</x:v>
      </x:c>
      <x:c r="K23" s="31" t="n">
        <x:v>0</x:v>
      </x:c>
      <x:c r="L23" s="31" t="n">
        <x:v>0</x:v>
      </x:c>
      <x:c r="M23" s="31" t="n">
        <x:v>2607.8602198</x:v>
      </x:c>
      <x:c r="N23" s="24" t="str">
        <x:v>mollusca</x:v>
      </x:c>
      <x:c r="O23" s="32" t="n">
        <x:v>2.1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Mollusca</x:v>
      </x:c>
      <x:c r="T23" s="32" t="n">
        <x:f>IF(O23="","",(1/'Metadata'!$B$5)^(O23-1))</x:f>
        <x:v>12.589254117941675</x:v>
      </x:c>
      <x:c r="U23" s="31" t="n">
        <x:f>IF(T23="","",I23*T23)</x:f>
        <x:v>32831.01501113343</x:v>
      </x:c>
    </x:row>
    <x:row r="24" ht="18" customHeight="1">
      <x:c r="A24" s="24" t="str">
        <x:v>EEZ_834</x:v>
      </x:c>
      <x:c r="B24" s="24" t="str">
        <x:v>Tanzania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1537.1345416067</x:v>
      </x:c>
      <x:c r="J24" s="31" t="n">
        <x:v>1529.786861042</x:v>
      </x:c>
      <x:c r="K24" s="31" t="n">
        <x:v>7.3476805647</x:v>
      </x:c>
      <x:c r="L24" s="31" t="n">
        <x:v>920.9999999300001</x:v>
      </x:c>
      <x:c r="M24" s="31" t="n">
        <x:v>616.1345416767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52084.905662314195</x:v>
      </x:c>
    </x:row>
    <x:row r="25" ht="18" customHeight="1">
      <x:c r="A25" s="24" t="str">
        <x:v>EEZ_834</x:v>
      </x:c>
      <x:c r="B25" s="24" t="str">
        <x:v>Tanzania</x:v>
      </x:c>
      <x:c r="C25" s="24" t="str">
        <x:v>EEZ</x:v>
      </x:c>
      <x:c r="D25" s="30" t="n">
        <x:v>2019</x:v>
      </x:c>
      <x:c r="E25" s="24" t="str">
        <x:v>Thunnus albacares</x:v>
      </x:c>
      <x:c r="F25" s="24" t="str">
        <x:v>Yellowfin tuna</x:v>
      </x:c>
      <x:c r="G25" s="24" t="str">
        <x:v>Large pelagics (&gt;=90 cm)</x:v>
      </x:c>
      <x:c r="H25" s="24" t="str">
        <x:v>Tuna &amp; billfishes</x:v>
      </x:c>
      <x:c r="I25" s="31" t="n">
        <x:v>1280.4630316956</x:v>
      </x:c>
      <x:c r="J25" s="31" t="n">
        <x:v>1280.4630316956</x:v>
      </x:c>
      <x:c r="K25" s="31" t="n">
        <x:v>0</x:v>
      </x:c>
      <x:c r="L25" s="31" t="n">
        <x:v>869.6738042956</x:v>
      </x:c>
      <x:c r="M25" s="31" t="n">
        <x:v>410.7892274</x:v>
      </x:c>
      <x:c r="N25" s="24" t="str">
        <x:v>thunnus albacares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albacares</x:v>
      </x:c>
      <x:c r="T25" s="32" t="n">
        <x:f>IF(O25="","",(1/'Metadata'!$B$5)^(O25-1))</x:f>
        <x:v>2570.3957827688646</x:v>
      </x:c>
      <x:c r="U25" s="31" t="n">
        <x:f>IF(T25="","",I25*T25)</x:f>
        <x:v>3291296.7766618053</x:v>
      </x:c>
    </x:row>
    <x:row r="26" ht="18" customHeight="1">
      <x:c r="A26" s="24" t="str">
        <x:v>EEZ_834</x:v>
      </x:c>
      <x:c r="B26" s="24" t="str">
        <x:v>Tanzania</x:v>
      </x:c>
      <x:c r="C26" s="24" t="str">
        <x:v>EEZ</x:v>
      </x:c>
      <x:c r="D26" s="30" t="n">
        <x:v>2019</x:v>
      </x:c>
      <x:c r="E26" s="24" t="str">
        <x:v>Leiognathidae</x:v>
      </x:c>
      <x:c r="F26" s="24" t="str">
        <x:v>Slipmouths, ponyfishes</x:v>
      </x:c>
      <x:c r="G26" s="24" t="str">
        <x:v>Small benthopelagics (&lt;30 cm)</x:v>
      </x:c>
      <x:c r="H26" s="24" t="str">
        <x:v>Perch-likes</x:v>
      </x:c>
      <x:c r="I26" s="31" t="n">
        <x:v>1235.6293703768</x:v>
      </x:c>
      <x:c r="J26" s="31" t="n">
        <x:v>0.373989767</x:v>
      </x:c>
      <x:c r="K26" s="31" t="n">
        <x:v>1235.2553806098</x:v>
      </x:c>
      <x:c r="L26" s="31" t="n">
        <x:v>0.11700000099999999</x:v>
      </x:c>
      <x:c r="M26" s="31" t="n">
        <x:v>1235.5123703758</x:v>
      </x:c>
      <x:c r="N26" s="24" t="str">
        <x:v>leiognathidae</x:v>
      </x:c>
      <x:c r="O26" s="32" t="n">
        <x:v>3.24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Leiognathidae</x:v>
      </x:c>
      <x:c r="T26" s="32" t="n">
        <x:f>IF(O26="","",(1/'Metadata'!$B$5)^(O26-1))</x:f>
        <x:v>173.78008287493762</x:v>
      </x:c>
      <x:c r="U26" s="31" t="n">
        <x:f>IF(T26="","",I26*T26)</x:f>
        <x:v>214727.77438678726</x:v>
      </x:c>
    </x:row>
    <x:row r="27" ht="18" customHeight="1">
      <x:c r="A27" s="24" t="str">
        <x:v>EEZ_834</x:v>
      </x:c>
      <x:c r="B27" s="24" t="str">
        <x:v>Tanzania</x:v>
      </x:c>
      <x:c r="C27" s="24" t="str">
        <x:v>EEZ</x:v>
      </x:c>
      <x:c r="D27" s="30" t="n">
        <x:v>2019</x:v>
      </x:c>
      <x:c r="E27" s="24" t="str">
        <x:v>Caesionidae</x:v>
      </x:c>
      <x:c r="F27" s="24" t="str">
        <x:v>Fusiliers</x:v>
      </x:c>
      <x:c r="G27" s="24" t="str">
        <x:v>Medium reef assoc. fish (30 - 89 cm)</x:v>
      </x:c>
      <x:c r="H27" s="24" t="str">
        <x:v>Perch-likes</x:v>
      </x:c>
      <x:c r="I27" s="31" t="n">
        <x:v>1230.540031171</x:v>
      </x:c>
      <x:c r="J27" s="31" t="n">
        <x:v>1230.540031171</x:v>
      </x:c>
      <x:c r="K27" s="31" t="n">
        <x:v>0</x:v>
      </x:c>
      <x:c r="L27" s="31" t="n">
        <x:v>1092.69212069</x:v>
      </x:c>
      <x:c r="M27" s="31" t="n">
        <x:v>137.84791048099999</x:v>
      </x:c>
      <x:c r="N27" s="24" t="str">
        <x:v>caesionidae</x:v>
      </x:c>
      <x:c r="O27" s="32" t="n">
        <x:v>3.39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Caesionidae</x:v>
      </x:c>
      <x:c r="T27" s="32" t="n">
        <x:f>IF(O27="","",(1/'Metadata'!$B$5)^(O27-1))</x:f>
        <x:v>245.4708915685031</x:v>
      </x:c>
      <x:c r="U27" s="31" t="n">
        <x:f>IF(T27="","",I27*T27)</x:f>
        <x:v>302061.758562279</x:v>
      </x:c>
    </x:row>
    <x:row r="28" ht="18" customHeight="1">
      <x:c r="A28" s="24" t="str">
        <x:v>EEZ_834</x:v>
      </x:c>
      <x:c r="B28" s="24" t="str">
        <x:v>Tanzania</x:v>
      </x:c>
      <x:c r="C28" s="24" t="str">
        <x:v>EEZ</x:v>
      </x:c>
      <x:c r="D28" s="30" t="n">
        <x:v>2019</x:v>
      </x:c>
      <x:c r="E28" s="24" t="str">
        <x:v>Gerres oyena</x:v>
      </x:c>
      <x:c r="F28" s="24" t="str">
        <x:v>Common silver-biddy</x:v>
      </x:c>
      <x:c r="G28" s="24" t="str">
        <x:v>Small demersals (&lt;30 cm)</x:v>
      </x:c>
      <x:c r="H28" s="24" t="str">
        <x:v>Perch-likes</x:v>
      </x:c>
      <x:c r="I28" s="31" t="n">
        <x:v>1070.1763451</x:v>
      </x:c>
      <x:c r="J28" s="31" t="n">
        <x:v>1070.1763451</x:v>
      </x:c>
      <x:c r="K28" s="31" t="n">
        <x:v>0</x:v>
      </x:c>
      <x:c r="L28" s="31" t="n">
        <x:v>0</x:v>
      </x:c>
      <x:c r="M28" s="31" t="n">
        <x:v>1070.1763451</x:v>
      </x:c>
      <x:c r="N28" s="24" t="str">
        <x:v>gerres oyena</x:v>
      </x:c>
      <x:c r="O28" s="32" t="n">
        <x:v>3.07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Gerres oyena</x:v>
      </x:c>
      <x:c r="T28" s="32" t="n">
        <x:f>IF(O28="","",(1/'Metadata'!$B$5)^(O28-1))</x:f>
        <x:v>117.48975549395291</x:v>
      </x:c>
      <x:c r="U28" s="31" t="n">
        <x:f>IF(T28="","",I28*T28)</x:f>
        <x:v>125734.75712121117</x:v>
      </x:c>
    </x:row>
    <x:row r="29" ht="18" customHeight="1">
      <x:c r="A29" s="24" t="str">
        <x:v>EEZ_834</x:v>
      </x:c>
      <x:c r="B29" s="24" t="str">
        <x:v>Tanzania</x:v>
      </x:c>
      <x:c r="C29" s="24" t="str">
        <x:v>EEZ</x:v>
      </x:c>
      <x:c r="D29" s="30" t="n">
        <x:v>2019</x:v>
      </x:c>
      <x:c r="E29" s="24" t="str">
        <x:v>Euthynnus affinis</x:v>
      </x:c>
      <x:c r="F29" s="24" t="str">
        <x:v>Kawakawa</x:v>
      </x:c>
      <x:c r="G29" s="24" t="str">
        <x:v>Large pelagics (&gt;=90 cm)</x:v>
      </x:c>
      <x:c r="H29" s="24" t="str">
        <x:v>Tuna &amp; billfishes</x:v>
      </x:c>
      <x:c r="I29" s="31" t="n">
        <x:v>1063.8400016370001</x:v>
      </x:c>
      <x:c r="J29" s="31" t="n">
        <x:v>1063.8400016370001</x:v>
      </x:c>
      <x:c r="K29" s="31" t="n">
        <x:v>0</x:v>
      </x:c>
      <x:c r="L29" s="31" t="n">
        <x:v>765.00000002</x:v>
      </x:c>
      <x:c r="M29" s="31" t="n">
        <x:v>298.840001617</x:v>
      </x:c>
      <x:c r="N29" s="24" t="str">
        <x:v>euthynnus affinis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Euthynnus affinis</x:v>
      </x:c>
      <x:c r="T29" s="32" t="n">
        <x:f>IF(O29="","",(1/'Metadata'!$B$5)^(O29-1))</x:f>
        <x:v>3162.2776601683795</x:v>
      </x:c>
      <x:c r="U29" s="31" t="n">
        <x:f>IF(T29="","",I29*T29)</x:f>
        <x:v>3364157.4711701777</x:v>
      </x:c>
    </x:row>
    <x:row r="30" ht="18" customHeight="1">
      <x:c r="A30" s="24" t="str">
        <x:v>EEZ_834</x:v>
      </x:c>
      <x:c r="B30" s="24" t="str">
        <x:v>Tanzania</x:v>
      </x:c>
      <x:c r="C30" s="24" t="str">
        <x:v>EEZ</x:v>
      </x:c>
      <x:c r="D30" s="30" t="n">
        <x:v>2019</x:v>
      </x:c>
      <x:c r="E30" s="24" t="str">
        <x:v>Istiophoridae</x:v>
      </x:c>
      <x:c r="F30" s="24" t="str">
        <x:v>Billfishes</x:v>
      </x:c>
      <x:c r="G30" s="24" t="str">
        <x:v>Large pelagics (&gt;=90 cm)</x:v>
      </x:c>
      <x:c r="H30" s="24" t="str">
        <x:v>Tuna &amp; billfishes</x:v>
      </x:c>
      <x:c r="I30" s="31" t="n">
        <x:v>953.1362347</x:v>
      </x:c>
      <x:c r="J30" s="31" t="n">
        <x:v>953.1362347</x:v>
      </x:c>
      <x:c r="K30" s="31" t="n">
        <x:v>0</x:v>
      </x:c>
      <x:c r="L30" s="31" t="n">
        <x:v>424.66666666000003</x:v>
      </x:c>
      <x:c r="M30" s="31" t="n">
        <x:v>528.46956804</x:v>
      </x:c>
      <x:c r="N30" s="24" t="str">
        <x:v>istiophoridae</x:v>
      </x:c>
      <x:c r="O30" s="32" t="n">
        <x:v>4.48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Istiophoridae</x:v>
      </x:c>
      <x:c r="T30" s="32" t="n">
        <x:f>IF(O30="","",(1/'Metadata'!$B$5)^(O30-1))</x:f>
        <x:v>3019.951720402019</x:v>
      </x:c>
      <x:c r="U30" s="31" t="n">
        <x:f>IF(T30="","",I30*T30)</x:f>
        <x:v>2878425.4117597677</x:v>
      </x:c>
    </x:row>
    <x:row r="31" ht="18" customHeight="1">
      <x:c r="A31" s="24" t="str">
        <x:v>EEZ_834</x:v>
      </x:c>
      <x:c r="B31" s="24" t="str">
        <x:v>Tanzania</x:v>
      </x:c>
      <x:c r="C31" s="24" t="str">
        <x:v>EEZ</x:v>
      </x:c>
      <x:c r="D31" s="30" t="n">
        <x:v>2019</x:v>
      </x:c>
      <x:c r="E31" s="24" t="str">
        <x:v>Chirocentrus nudus</x:v>
      </x:c>
      <x:c r="F31" s="24" t="str">
        <x:v>Whitefin wolf-herring</x:v>
      </x:c>
      <x:c r="G31" s="24" t="str">
        <x:v>Large pelagics (&gt;=90 cm)</x:v>
      </x:c>
      <x:c r="H31" s="24" t="str">
        <x:v>Herring-likes</x:v>
      </x:c>
      <x:c r="I31" s="31" t="n">
        <x:v>938.791558284</x:v>
      </x:c>
      <x:c r="J31" s="31" t="n">
        <x:v>938.791558284</x:v>
      </x:c>
      <x:c r="K31" s="31" t="n">
        <x:v>0</x:v>
      </x:c>
      <x:c r="L31" s="31" t="n">
        <x:v>653.999999956</x:v>
      </x:c>
      <x:c r="M31" s="31" t="n">
        <x:v>284.791558328</x:v>
      </x:c>
      <x:c r="N31" s="24" t="str">
        <x:v>chirocentrus nudus</x:v>
      </x:c>
      <x:c r="O31" s="32" t="n">
        <x:v>4.19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Chirocentrus nudus</x:v>
      </x:c>
      <x:c r="T31" s="32" t="n">
        <x:f>IF(O31="","",(1/'Metadata'!$B$5)^(O31-1))</x:f>
        <x:v>1548.8166189124827</x:v>
      </x:c>
      <x:c r="U31" s="31" t="n">
        <x:f>IF(T31="","",I31*T31)</x:f>
        <x:v>1454015.9671650056</x:v>
      </x:c>
    </x:row>
    <x:row r="32" ht="18" customHeight="1">
      <x:c r="A32" s="24" t="str">
        <x:v>EEZ_834</x:v>
      </x:c>
      <x:c r="B32" s="24" t="str">
        <x:v>Tanzania</x:v>
      </x:c>
      <x:c r="C32" s="24" t="str">
        <x:v>EEZ</x:v>
      </x:c>
      <x:c r="D32" s="30" t="n">
        <x:v>2019</x:v>
      </x:c>
      <x:c r="E32" s="24" t="str">
        <x:v>Hemiramphidae</x:v>
      </x:c>
      <x:c r="F32" s="24" t="str">
        <x:v>Halfbeaks, garfishes</x:v>
      </x:c>
      <x:c r="G32" s="24" t="str">
        <x:v>Medium pelagics (30 - 89 cm)</x:v>
      </x:c>
      <x:c r="H32" s="24" t="str">
        <x:v>Other fishes &amp; inverts</x:v>
      </x:c>
      <x:c r="I32" s="31" t="n">
        <x:v>867.536769504</x:v>
      </x:c>
      <x:c r="J32" s="31" t="n">
        <x:v>867.536769504</x:v>
      </x:c>
      <x:c r="K32" s="31" t="n">
        <x:v>0</x:v>
      </x:c>
      <x:c r="L32" s="31" t="n">
        <x:v>536.9177342239999</x:v>
      </x:c>
      <x:c r="M32" s="31" t="n">
        <x:v>330.61903528</x:v>
      </x:c>
      <x:c r="N32" s="24" t="str">
        <x:v>hemiramphidae</x:v>
      </x:c>
      <x:c r="O32" s="32" t="n">
        <x:v>2.82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Hemiramphidae</x:v>
      </x:c>
      <x:c r="T32" s="32" t="n">
        <x:f>IF(O32="","",(1/'Metadata'!$B$5)^(O32-1))</x:f>
        <x:v>66.06934480075958</x:v>
      </x:c>
      <x:c r="U32" s="31" t="n">
        <x:f>IF(T32="","",I32*T32)</x:f>
        <x:v>57317.58595169686</x:v>
      </x:c>
    </x:row>
    <x:row r="33" ht="18" customHeight="1">
      <x:c r="A33" s="24" t="str">
        <x:v>EEZ_834</x:v>
      </x:c>
      <x:c r="B33" s="24" t="str">
        <x:v>Tanzania</x:v>
      </x:c>
      <x:c r="C33" s="24" t="str">
        <x:v>EEZ</x:v>
      </x:c>
      <x:c r="D33" s="30" t="n">
        <x:v>2019</x:v>
      </x:c>
      <x:c r="E33" s="24" t="str">
        <x:v>Gerres oblongus</x:v>
      </x:c>
      <x:c r="F33" s="24" t="str">
        <x:v>Slender silver-biddy</x:v>
      </x:c>
      <x:c r="G33" s="24" t="str">
        <x:v>Medium reef assoc. fish (30 - 89 cm)</x:v>
      </x:c>
      <x:c r="H33" s="24" t="str">
        <x:v>Perch-likes</x:v>
      </x:c>
      <x:c r="I33" s="31" t="n">
        <x:v>848.1319416819999</x:v>
      </x:c>
      <x:c r="J33" s="31" t="n">
        <x:v>848.1319416819999</x:v>
      </x:c>
      <x:c r="K33" s="31" t="n">
        <x:v>0</x:v>
      </x:c>
      <x:c r="L33" s="31" t="n">
        <x:v>653</x:v>
      </x:c>
      <x:c r="M33" s="31" t="n">
        <x:v>195.131941682</x:v>
      </x:c>
      <x:c r="N33" s="24" t="str">
        <x:v>gerres oblongus</x:v>
      </x:c>
      <x:c r="O33" s="32" t="n">
        <x:v>3.5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Gerres oblongus</x:v>
      </x:c>
      <x:c r="T33" s="32" t="n">
        <x:f>IF(O33="","",(1/'Metadata'!$B$5)^(O33-1))</x:f>
        <x:v>316.22776601683796</x:v>
      </x:c>
      <x:c r="U33" s="31" t="n">
        <x:f>IF(T33="","",I33*T33)</x:f>
        <x:v>268202.86920562194</x:v>
      </x:c>
    </x:row>
    <x:row r="34" ht="18" customHeight="1">
      <x:c r="A34" s="24" t="str">
        <x:v>EEZ_834</x:v>
      </x:c>
      <x:c r="B34" s="24" t="str">
        <x:v>Tanzania</x:v>
      </x:c>
      <x:c r="C34" s="24" t="str">
        <x:v>EEZ</x:v>
      </x:c>
      <x:c r="D34" s="30" t="n">
        <x:v>2019</x:v>
      </x:c>
      <x:c r="E34" s="24" t="str">
        <x:v>Plotosus lineatus</x:v>
      </x:c>
      <x:c r="F34" s="24" t="str">
        <x:v>Striped eel catfish</x:v>
      </x:c>
      <x:c r="G34" s="24" t="str">
        <x:v>Medium reef assoc. fish (30 - 89 cm)</x:v>
      </x:c>
      <x:c r="H34" s="24" t="str">
        <x:v>Other fishes &amp; inverts</x:v>
      </x:c>
      <x:c r="I34" s="31" t="n">
        <x:v>829.4354004</x:v>
      </x:c>
      <x:c r="J34" s="31" t="n">
        <x:v>829.4354004</x:v>
      </x:c>
      <x:c r="K34" s="31" t="n">
        <x:v>0</x:v>
      </x:c>
      <x:c r="L34" s="31" t="n">
        <x:v>0</x:v>
      </x:c>
      <x:c r="M34" s="31" t="n">
        <x:v>829.4354004</x:v>
      </x:c>
      <x:c r="N34" s="24" t="str">
        <x:v>plotosus lineatus</x:v>
      </x:c>
      <x:c r="O34" s="32" t="n">
        <x:v>3.57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Plotosus lineatus</x:v>
      </x:c>
      <x:c r="T34" s="32" t="n">
        <x:f>IF(O34="","",(1/'Metadata'!$B$5)^(O34-1))</x:f>
        <x:v>371.5352290971724</x:v>
      </x:c>
      <x:c r="U34" s="31" t="n">
        <x:f>IF(T34="","",I34*T34)</x:f>
        <x:v>308164.47150891897</x:v>
      </x:c>
    </x:row>
    <x:row r="35" ht="18" customHeight="1">
      <x:c r="A35" s="24" t="str">
        <x:v>EEZ_834</x:v>
      </x:c>
      <x:c r="B35" s="24" t="str">
        <x:v>Tanzania</x:v>
      </x:c>
      <x:c r="C35" s="24" t="str">
        <x:v>EEZ</x:v>
      </x:c>
      <x:c r="D35" s="30" t="n">
        <x:v>2019</x:v>
      </x:c>
      <x:c r="E35" s="24" t="str">
        <x:v>Deveximentum insidiator</x:v>
      </x:c>
      <x:c r="F35" s="24" t="str">
        <x:v>Pugnose ponyfish</x:v>
      </x:c>
      <x:c r="G35" s="24" t="str">
        <x:v>Small pelagics (&lt;30 cm)</x:v>
      </x:c>
      <x:c r="H35" s="24" t="str">
        <x:v>Perch-likes</x:v>
      </x:c>
      <x:c r="I35" s="31" t="n">
        <x:v>617.3611965</x:v>
      </x:c>
      <x:c r="J35" s="31" t="n">
        <x:v>0</x:v>
      </x:c>
      <x:c r="K35" s="31" t="n">
        <x:v>617.3611965</x:v>
      </x:c>
      <x:c r="L35" s="31" t="n">
        <x:v>0</x:v>
      </x:c>
      <x:c r="M35" s="31" t="n">
        <x:v>617.3611965</x:v>
      </x:c>
      <x:c r="N35" s="24" t="str">
        <x:v>deveximentum insidiator</x:v>
      </x:c>
      <x:c r="O35" s="32" t="n">
        <x:v>2.86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Deveximentum insidiator</x:v>
      </x:c>
      <x:c r="T35" s="32" t="n">
        <x:f>IF(O35="","",(1/'Metadata'!$B$5)^(O35-1))</x:f>
        <x:v>72.44359600749898</x:v>
      </x:c>
      <x:c r="U35" s="31" t="n">
        <x:f>IF(T35="","",I35*T35)</x:f>
        <x:v>44723.865109952196</x:v>
      </x:c>
    </x:row>
    <x:row r="36" ht="18" customHeight="1">
      <x:c r="A36" s="24" t="str">
        <x:v>EEZ_834</x:v>
      </x:c>
      <x:c r="B36" s="24" t="str">
        <x:v>Tanzania</x:v>
      </x:c>
      <x:c r="C36" s="24" t="str">
        <x:v>EEZ</x:v>
      </x:c>
      <x:c r="D36" s="30" t="n">
        <x:v>2019</x:v>
      </x:c>
      <x:c r="E36" s="24" t="str">
        <x:v>Gazza minuta</x:v>
      </x:c>
      <x:c r="F36" s="24" t="str">
        <x:v>Toothpony</x:v>
      </x:c>
      <x:c r="G36" s="24" t="str">
        <x:v>Small demersals (&lt;30 cm)</x:v>
      </x:c>
      <x:c r="H36" s="24" t="str">
        <x:v>Perch-likes</x:v>
      </x:c>
      <x:c r="I36" s="31" t="n">
        <x:v>617.3611965</x:v>
      </x:c>
      <x:c r="J36" s="31" t="n">
        <x:v>0</x:v>
      </x:c>
      <x:c r="K36" s="31" t="n">
        <x:v>617.3611965</x:v>
      </x:c>
      <x:c r="L36" s="31" t="n">
        <x:v>0</x:v>
      </x:c>
      <x:c r="M36" s="31" t="n">
        <x:v>617.3611965</x:v>
      </x:c>
      <x:c r="N36" s="24" t="str">
        <x:v>gazza minuta</x:v>
      </x:c>
      <x:c r="O36" s="32" t="n">
        <x:v>4.19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Gazza minuta</x:v>
      </x:c>
      <x:c r="T36" s="32" t="n">
        <x:f>IF(O36="","",(1/'Metadata'!$B$5)^(O36-1))</x:f>
        <x:v>1548.8166189124827</x:v>
      </x:c>
      <x:c r="U36" s="31" t="n">
        <x:f>IF(T36="","",I36*T36)</x:f>
        <x:v>956179.2810108948</x:v>
      </x:c>
    </x:row>
    <x:row r="37" ht="18" customHeight="1">
      <x:c r="A37" s="24" t="str">
        <x:v>EEZ_834</x:v>
      </x:c>
      <x:c r="B37" s="24" t="str">
        <x:v>Tanzania</x:v>
      </x:c>
      <x:c r="C37" s="24" t="str">
        <x:v>EEZ</x:v>
      </x:c>
      <x:c r="D37" s="30" t="n">
        <x:v>2019</x:v>
      </x:c>
      <x:c r="E37" s="24" t="str">
        <x:v>Leiognathus equula</x:v>
      </x:c>
      <x:c r="F37" s="24" t="str">
        <x:v>Common ponyfish</x:v>
      </x:c>
      <x:c r="G37" s="24" t="str">
        <x:v>Small benthopelagics (&lt;30 cm)</x:v>
      </x:c>
      <x:c r="H37" s="24" t="str">
        <x:v>Perch-likes</x:v>
      </x:c>
      <x:c r="I37" s="31" t="n">
        <x:v>617.3611965</x:v>
      </x:c>
      <x:c r="J37" s="31" t="n">
        <x:v>0</x:v>
      </x:c>
      <x:c r="K37" s="31" t="n">
        <x:v>617.3611965</x:v>
      </x:c>
      <x:c r="L37" s="31" t="n">
        <x:v>0</x:v>
      </x:c>
      <x:c r="M37" s="31" t="n">
        <x:v>617.3611965</x:v>
      </x:c>
      <x:c r="N37" s="24" t="str">
        <x:v>leiognathus equula</x:v>
      </x:c>
      <x:c r="O37" s="32" t="n">
        <x:v>2.95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Leiognathus equula</x:v>
      </x:c>
      <x:c r="T37" s="32" t="n">
        <x:f>IF(O37="","",(1/'Metadata'!$B$5)^(O37-1))</x:f>
        <x:v>89.12509381337459</x:v>
      </x:c>
      <x:c r="U37" s="31" t="n">
        <x:f>IF(T37="","",I37*T37)</x:f>
        <x:v>55022.37455479969</x:v>
      </x:c>
    </x:row>
    <x:row r="38" ht="18" customHeight="1">
      <x:c r="A38" s="24" t="str">
        <x:v>EEZ_834</x:v>
      </x:c>
      <x:c r="B38" s="24" t="str">
        <x:v>Tanzania</x:v>
      </x:c>
      <x:c r="C38" s="24" t="str">
        <x:v>EEZ</x:v>
      </x:c>
      <x:c r="D38" s="30" t="n">
        <x:v>2019</x:v>
      </x:c>
      <x:c r="E38" s="24" t="str">
        <x:v>Pellona ditchela</x:v>
      </x:c>
      <x:c r="F38" s="24" t="str">
        <x:v>Indian pellona</x:v>
      </x:c>
      <x:c r="G38" s="24" t="str">
        <x:v>Small pelagics (&lt;30 cm)</x:v>
      </x:c>
      <x:c r="H38" s="24" t="str">
        <x:v>Herring-likes</x:v>
      </x:c>
      <x:c r="I38" s="31" t="n">
        <x:v>617.3611965</x:v>
      </x:c>
      <x:c r="J38" s="31" t="n">
        <x:v>0</x:v>
      </x:c>
      <x:c r="K38" s="31" t="n">
        <x:v>617.3611965</x:v>
      </x:c>
      <x:c r="L38" s="31" t="n">
        <x:v>0</x:v>
      </x:c>
      <x:c r="M38" s="31" t="n">
        <x:v>617.3611965</x:v>
      </x:c>
      <x:c r="N38" s="24" t="str">
        <x:v>pellona ditchela</x:v>
      </x:c>
      <x:c r="O38" s="32" t="n">
        <x:v>3.37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Pellona ditchela</x:v>
      </x:c>
      <x:c r="T38" s="32" t="n">
        <x:f>IF(O38="","",(1/'Metadata'!$B$5)^(O38-1))</x:f>
        <x:v>234.42288153199226</x:v>
      </x:c>
      <x:c r="U38" s="31" t="n">
        <x:f>IF(T38="","",I38*T38)</x:f>
        <x:v>144723.5906295685</x:v>
      </x:c>
    </x:row>
    <x:row r="39" ht="18" customHeight="1">
      <x:c r="A39" s="24" t="str">
        <x:v>EEZ_834</x:v>
      </x:c>
      <x:c r="B39" s="24" t="str">
        <x:v>Tanzania</x:v>
      </x:c>
      <x:c r="C39" s="24" t="str">
        <x:v>EEZ</x:v>
      </x:c>
      <x:c r="D39" s="30" t="n">
        <x:v>2019</x:v>
      </x:c>
      <x:c r="E39" s="24" t="str">
        <x:v>Pomadasys stridens</x:v>
      </x:c>
      <x:c r="F39" s="24" t="str">
        <x:v>Striped piggy</x:v>
      </x:c>
      <x:c r="G39" s="24" t="str">
        <x:v>Small reef assoc. fish (&lt;30 cm)</x:v>
      </x:c>
      <x:c r="H39" s="24" t="str">
        <x:v>Perch-likes</x:v>
      </x:c>
      <x:c r="I39" s="31" t="n">
        <x:v>617.3611965</x:v>
      </x:c>
      <x:c r="J39" s="31" t="n">
        <x:v>0</x:v>
      </x:c>
      <x:c r="K39" s="31" t="n">
        <x:v>617.3611965</x:v>
      </x:c>
      <x:c r="L39" s="31" t="n">
        <x:v>0</x:v>
      </x:c>
      <x:c r="M39" s="31" t="n">
        <x:v>617.3611965</x:v>
      </x:c>
      <x:c r="N39" s="24" t="str">
        <x:v>pomadasys stridens</x:v>
      </x:c>
      <x:c r="O39" s="32" t="n">
        <x:v>4.02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Pomadasys stridens</x:v>
      </x:c>
      <x:c r="T39" s="32" t="n">
        <x:f>IF(O39="","",(1/'Metadata'!$B$5)^(O39-1))</x:f>
        <x:v>1047.1285480508984</x:v>
      </x:c>
      <x:c r="U39" s="31" t="n">
        <x:f>IF(T39="","",I39*T39)</x:f>
        <x:v>646456.5333140104</x:v>
      </x:c>
    </x:row>
    <x:row r="40" ht="18" customHeight="1">
      <x:c r="A40" s="24" t="str">
        <x:v>EEZ_834</x:v>
      </x:c>
      <x:c r="B40" s="24" t="str">
        <x:v>Tanzania</x:v>
      </x:c>
      <x:c r="C40" s="24" t="str">
        <x:v>EEZ</x:v>
      </x:c>
      <x:c r="D40" s="30" t="n">
        <x:v>2019</x:v>
      </x:c>
      <x:c r="E40" s="24" t="str">
        <x:v>Pelates quadrilineatus</x:v>
      </x:c>
      <x:c r="F40" s="24" t="str">
        <x:v>Fourlined terapon</x:v>
      </x:c>
      <x:c r="G40" s="24" t="str">
        <x:v>Small pelagics (&lt;30 cm)</x:v>
      </x:c>
      <x:c r="H40" s="24" t="str">
        <x:v>Perch-likes</x:v>
      </x:c>
      <x:c r="I40" s="31" t="n">
        <x:v>617.3611965</x:v>
      </x:c>
      <x:c r="J40" s="31" t="n">
        <x:v>0</x:v>
      </x:c>
      <x:c r="K40" s="31" t="n">
        <x:v>617.3611965</x:v>
      </x:c>
      <x:c r="L40" s="31" t="n">
        <x:v>0</x:v>
      </x:c>
      <x:c r="M40" s="31" t="n">
        <x:v>617.3611965</x:v>
      </x:c>
      <x:c r="N40" s="24" t="str">
        <x:v>pelates quadrilineatus</x:v>
      </x:c>
      <x:c r="O40" s="32" t="n">
        <x:v>3.5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Pelates quadrilineatus</x:v>
      </x:c>
      <x:c r="T40" s="32" t="n">
        <x:f>IF(O40="","",(1/'Metadata'!$B$5)^(O40-1))</x:f>
        <x:v>316.22776601683796</x:v>
      </x:c>
      <x:c r="U40" s="31" t="n">
        <x:f>IF(T40="","",I40*T40)</x:f>
        <x:v>195226.75199467712</x:v>
      </x:c>
    </x:row>
    <x:row r="41" ht="18" customHeight="1">
      <x:c r="A41" s="24" t="str">
        <x:v>EEZ_834</x:v>
      </x:c>
      <x:c r="B41" s="24" t="str">
        <x:v>Tanzania</x:v>
      </x:c>
      <x:c r="C41" s="24" t="str">
        <x:v>EEZ</x:v>
      </x:c>
      <x:c r="D41" s="30" t="n">
        <x:v>2019</x:v>
      </x:c>
      <x:c r="E41" s="24" t="str">
        <x:v>Psettodes erumei</x:v>
      </x:c>
      <x:c r="F41" s="24" t="str">
        <x:v>Indian halibut</x:v>
      </x:c>
      <x:c r="G41" s="24" t="str">
        <x:v>Small to medium flatfishes (&lt;90 cm)</x:v>
      </x:c>
      <x:c r="H41" s="24" t="str">
        <x:v>Flatfishes</x:v>
      </x:c>
      <x:c r="I41" s="31" t="n">
        <x:v>616.167715419</x:v>
      </x:c>
      <x:c r="J41" s="31" t="n">
        <x:v>616.167715419</x:v>
      </x:c>
      <x:c r="K41" s="31" t="n">
        <x:v>0</x:v>
      </x:c>
      <x:c r="L41" s="31" t="n">
        <x:v>471</x:v>
      </x:c>
      <x:c r="M41" s="31" t="n">
        <x:v>145.167715419</x:v>
      </x:c>
      <x:c r="N41" s="24" t="str">
        <x:v>psettodes erumei</x:v>
      </x:c>
      <x:c r="O41" s="32" t="n">
        <x:v>4.39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Psettodes erumei</x:v>
      </x:c>
      <x:c r="T41" s="32" t="n">
        <x:f>IF(O41="","",(1/'Metadata'!$B$5)^(O41-1))</x:f>
        <x:v>2454.7089156850284</x:v>
      </x:c>
      <x:c r="U41" s="31" t="n">
        <x:f>IF(T41="","",I41*T41)</x:f>
        <x:v>1512512.3845962947</x:v>
      </x:c>
    </x:row>
    <x:row r="42" ht="18" customHeight="1">
      <x:c r="A42" s="24" t="str">
        <x:v>EEZ_834</x:v>
      </x:c>
      <x:c r="B42" s="24" t="str">
        <x:v>Tanzania</x:v>
      </x:c>
      <x:c r="C42" s="24" t="str">
        <x:v>EEZ</x:v>
      </x:c>
      <x:c r="D42" s="30" t="n">
        <x:v>2019</x:v>
      </x:c>
      <x:c r="E42" s="24" t="str">
        <x:v>Loliginidae</x:v>
      </x:c>
      <x:c r="F42" s="24" t="str">
        <x:v>Common pencil squids</x:v>
      </x:c>
      <x:c r="G42" s="24" t="str">
        <x:v>Cephalopods</x:v>
      </x:c>
      <x:c r="H42" s="24" t="str">
        <x:v>Other fishes &amp; inverts</x:v>
      </x:c>
      <x:c r="I42" s="31" t="n">
        <x:v>615.995655563</x:v>
      </x:c>
      <x:c r="J42" s="31" t="n">
        <x:v>615.995655563</x:v>
      </x:c>
      <x:c r="K42" s="31" t="n">
        <x:v>0</x:v>
      </x:c>
      <x:c r="L42" s="31" t="n">
        <x:v>435</x:v>
      </x:c>
      <x:c r="M42" s="31" t="n">
        <x:v>180.99565556299999</x:v>
      </x:c>
      <x:c r="N42" s="24" t="str">
        <x:v>loliginidae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Loliginidae</x:v>
      </x:c>
      <x:c r="T42" s="32" t="n">
        <x:f>IF(O42="","",(1/'Metadata'!$B$5)^(O42-1))</x:f>
        <x:v>794.3282347242813</x:v>
      </x:c>
      <x:c r="U42" s="31" t="n">
        <x:f>IF(T42="","",I42*T42)</x:f>
        <x:v>489302.7416811842</x:v>
      </x:c>
    </x:row>
    <x:row r="43" ht="18" customHeight="1">
      <x:c r="A43" s="24" t="str">
        <x:v>EEZ_834</x:v>
      </x:c>
      <x:c r="B43" s="24" t="str">
        <x:v>Tanzania</x:v>
      </x:c>
      <x:c r="C43" s="24" t="str">
        <x:v>EEZ</x:v>
      </x:c>
      <x:c r="D43" s="30" t="n">
        <x:v>2019</x:v>
      </x:c>
      <x:c r="E43" s="24" t="str">
        <x:v>Mullidae</x:v>
      </x:c>
      <x:c r="F43" s="24" t="str">
        <x:v>Goatfishes</x:v>
      </x:c>
      <x:c r="G43" s="24" t="str">
        <x:v>Medium reef assoc. fish (30 - 89 cm)</x:v>
      </x:c>
      <x:c r="H43" s="24" t="str">
        <x:v>Perch-likes</x:v>
      </x:c>
      <x:c r="I43" s="31" t="n">
        <x:v>606.53258217</x:v>
      </x:c>
      <x:c r="J43" s="31" t="n">
        <x:v>606.53258217</x:v>
      </x:c>
      <x:c r="K43" s="31" t="n">
        <x:v>0</x:v>
      </x:c>
      <x:c r="L43" s="31" t="n">
        <x:v>526.829527008</x:v>
      </x:c>
      <x:c r="M43" s="31" t="n">
        <x:v>79.703055162</x:v>
      </x:c>
      <x:c r="N43" s="24" t="str">
        <x:v>mullidae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Mullidae</x:v>
      </x:c>
      <x:c r="T43" s="32" t="n">
        <x:f>IF(O43="","",(1/'Metadata'!$B$5)^(O43-1))</x:f>
        <x:v>288.40315031266056</x:v>
      </x:c>
      <x:c r="U43" s="31" t="n">
        <x:f>IF(T43="","",I43*T43)</x:f>
        <x:v>174925.90746510064</x:v>
      </x:c>
    </x:row>
    <x:row r="44" ht="18" customHeight="1">
      <x:c r="A44" s="24" t="str">
        <x:v>EEZ_834</x:v>
      </x:c>
      <x:c r="B44" s="24" t="str">
        <x:v>Tanzania</x:v>
      </x:c>
      <x:c r="C44" s="24" t="str">
        <x:v>EEZ</x:v>
      </x:c>
      <x:c r="D44" s="30" t="n">
        <x:v>2019</x:v>
      </x:c>
      <x:c r="E44" s="24" t="str">
        <x:v>Auxis</x:v>
      </x:c>
      <x:c r="F44" s="24" t="str">
        <x:v>Bullet and frigate tunas</x:v>
      </x:c>
      <x:c r="G44" s="24" t="str">
        <x:v>Medium pelagics (30 - 89 cm)</x:v>
      </x:c>
      <x:c r="H44" s="24" t="str">
        <x:v>Tuna &amp; billfishes</x:v>
      </x:c>
      <x:c r="I44" s="31" t="n">
        <x:v>535.094316703</x:v>
      </x:c>
      <x:c r="J44" s="31" t="n">
        <x:v>535.094316703</x:v>
      </x:c>
      <x:c r="K44" s="31" t="n">
        <x:v>0</x:v>
      </x:c>
      <x:c r="L44" s="31" t="n">
        <x:v>371</x:v>
      </x:c>
      <x:c r="M44" s="31" t="n">
        <x:v>164.094316703</x:v>
      </x:c>
      <x:c r="N44" s="24" t="str">
        <x:v>auxis</x:v>
      </x:c>
      <x:c r="O44" s="32" t="n">
        <x:v>4.24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Auxis</x:v>
      </x:c>
      <x:c r="T44" s="32" t="n">
        <x:f>IF(O44="","",(1/'Metadata'!$B$5)^(O44-1))</x:f>
        <x:v>1737.8008287493763</x:v>
      </x:c>
      <x:c r="U44" s="31" t="n">
        <x:f>IF(T44="","",I44*T44)</x:f>
        <x:v>929887.3470255546</x:v>
      </x:c>
    </x:row>
    <x:row r="45" ht="18" customHeight="1">
      <x:c r="A45" s="24" t="str">
        <x:v>EEZ_834</x:v>
      </x:c>
      <x:c r="B45" s="24" t="str">
        <x:v>Tanzania</x:v>
      </x:c>
      <x:c r="C45" s="24" t="str">
        <x:v>EEZ</x:v>
      </x:c>
      <x:c r="D45" s="30" t="n">
        <x:v>2019</x:v>
      </x:c>
      <x:c r="E45" s="24" t="str">
        <x:v>Katsuwonus pelamis</x:v>
      </x:c>
      <x:c r="F45" s="24" t="str">
        <x:v>Skipjack tuna</x:v>
      </x:c>
      <x:c r="G45" s="24" t="str">
        <x:v>Large pelagics (&gt;=90 cm)</x:v>
      </x:c>
      <x:c r="H45" s="24" t="str">
        <x:v>Tuna &amp; billfishes</x:v>
      </x:c>
      <x:c r="I45" s="31" t="n">
        <x:v>505.61685825</x:v>
      </x:c>
      <x:c r="J45" s="31" t="n">
        <x:v>505.61685825</x:v>
      </x:c>
      <x:c r="K45" s="31" t="n">
        <x:v>0</x:v>
      </x:c>
      <x:c r="L45" s="31" t="n">
        <x:v>371</x:v>
      </x:c>
      <x:c r="M45" s="31" t="n">
        <x:v>134.61685825</x:v>
      </x:c>
      <x:c r="N45" s="24" t="str">
        <x:v>katsuwonus pelamis</x:v>
      </x:c>
      <x:c r="O45" s="32" t="n">
        <x:v>4.43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Katsuwonus pelamis</x:v>
      </x:c>
      <x:c r="T45" s="32" t="n">
        <x:f>IF(O45="","",(1/'Metadata'!$B$5)^(O45-1))</x:f>
        <x:v>2691.534803926914</x:v>
      </x:c>
      <x:c r="U45" s="31" t="n">
        <x:f>IF(T45="","",I45*T45)</x:f>
        <x:v>1360885.371432056</x:v>
      </x:c>
    </x:row>
    <x:row r="46" ht="18" customHeight="1">
      <x:c r="A46" s="24" t="str">
        <x:v>EEZ_834</x:v>
      </x:c>
      <x:c r="B46" s="24" t="str">
        <x:v>Tanzania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500.39415332000004</x:v>
      </x:c>
      <x:c r="J46" s="31" t="n">
        <x:v>500.39415332000004</x:v>
      </x:c>
      <x:c r="K46" s="31" t="n">
        <x:v>0</x:v>
      </x:c>
      <x:c r="L46" s="31" t="n">
        <x:v>442.618990135</x:v>
      </x:c>
      <x:c r="M46" s="31" t="n">
        <x:v>57.775163185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9534.81402649738</x:v>
      </x:c>
    </x:row>
    <x:row r="47" ht="18" customHeight="1">
      <x:c r="A47" s="24" t="str">
        <x:v>EEZ_834</x:v>
      </x:c>
      <x:c r="B47" s="24" t="str">
        <x:v>Tanzania</x:v>
      </x:c>
      <x:c r="C47" s="24" t="str">
        <x:v>EEZ</x:v>
      </x:c>
      <x:c r="D47" s="30" t="n">
        <x:v>2019</x:v>
      </x:c>
      <x:c r="E47" s="24" t="str">
        <x:v>Lethrinus harak</x:v>
      </x:c>
      <x:c r="F47" s="24" t="str">
        <x:v>Thumbprint emperor</x:v>
      </x:c>
      <x:c r="G47" s="24" t="str">
        <x:v>Medium reef assoc. fish (30 - 89 cm)</x:v>
      </x:c>
      <x:c r="H47" s="24" t="str">
        <x:v>Perch-likes</x:v>
      </x:c>
      <x:c r="I47" s="31" t="n">
        <x:v>305.3933711</x:v>
      </x:c>
      <x:c r="J47" s="31" t="n">
        <x:v>305.3933711</x:v>
      </x:c>
      <x:c r="K47" s="31" t="n">
        <x:v>0</x:v>
      </x:c>
      <x:c r="L47" s="31" t="n">
        <x:v>0</x:v>
      </x:c>
      <x:c r="M47" s="31" t="n">
        <x:v>305.3933711</x:v>
      </x:c>
      <x:c r="N47" s="24" t="str">
        <x:v>lethrinus harak</x:v>
      </x:c>
      <x:c r="O47" s="32" t="n">
        <x:v>3.59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Lethrinus harak</x:v>
      </x:c>
      <x:c r="T47" s="32" t="n">
        <x:f>IF(O47="","",(1/'Metadata'!$B$5)^(O47-1))</x:f>
        <x:v>389.04514499428046</x:v>
      </x:c>
      <x:c r="U47" s="31" t="n">
        <x:f>IF(T47="","",I47*T47)</x:f>
        <x:v>118811.8083398916</x:v>
      </x:c>
    </x:row>
    <x:row r="48" ht="18" customHeight="1">
      <x:c r="A48" s="24" t="str">
        <x:v>EEZ_834</x:v>
      </x:c>
      <x:c r="B48" s="24" t="str">
        <x:v>Tanzania</x:v>
      </x:c>
      <x:c r="C48" s="24" t="str">
        <x:v>EEZ</x:v>
      </x:c>
      <x:c r="D48" s="30" t="n">
        <x:v>2019</x:v>
      </x:c>
      <x:c r="E48" s="24" t="str">
        <x:v>Echidna nebulosa</x:v>
      </x:c>
      <x:c r="F48" s="24" t="str">
        <x:v>Snowflake moray</x:v>
      </x:c>
      <x:c r="G48" s="24" t="str">
        <x:v>Large reef assoc. fish (&gt;=90 cm)</x:v>
      </x:c>
      <x:c r="H48" s="24" t="str">
        <x:v>Other fishes &amp; inverts</x:v>
      </x:c>
      <x:c r="I48" s="31" t="n">
        <x:v>305.3933711</x:v>
      </x:c>
      <x:c r="J48" s="31" t="n">
        <x:v>305.3933711</x:v>
      </x:c>
      <x:c r="K48" s="31" t="n">
        <x:v>0</x:v>
      </x:c>
      <x:c r="L48" s="31" t="n">
        <x:v>0</x:v>
      </x:c>
      <x:c r="M48" s="31" t="n">
        <x:v>305.3933711</x:v>
      </x:c>
      <x:c r="N48" s="24" t="str">
        <x:v>echidna nebulosa</x:v>
      </x:c>
      <x:c r="O48" s="32" t="n">
        <x:v>3.98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Echidna nebulosa</x:v>
      </x:c>
      <x:c r="T48" s="32" t="n">
        <x:f>IF(O48="","",(1/'Metadata'!$B$5)^(O48-1))</x:f>
        <x:v>954.992586021436</x:v>
      </x:c>
      <x:c r="U48" s="31" t="n">
        <x:f>IF(T48="","",I48*T48)</x:f>
        <x:v>291648.4052205931</x:v>
      </x:c>
    </x:row>
    <x:row r="49" ht="18" customHeight="1">
      <x:c r="A49" s="24" t="str">
        <x:v>EEZ_834</x:v>
      </x:c>
      <x:c r="B49" s="24" t="str">
        <x:v>Tanzania</x:v>
      </x:c>
      <x:c r="C49" s="24" t="str">
        <x:v>EEZ</x:v>
      </x:c>
      <x:c r="D49" s="30" t="n">
        <x:v>2019</x:v>
      </x:c>
      <x:c r="E49" s="24" t="str">
        <x:v>Diodon</x:v>
      </x:c>
      <x:c r="F49" s="24" t="str">
        <x:v>Porcupinefishes</x:v>
      </x:c>
      <x:c r="G49" s="24" t="str">
        <x:v>Medium reef assoc. fish (30 - 89 cm)</x:v>
      </x:c>
      <x:c r="H49" s="24" t="str">
        <x:v>Other fishes &amp; inverts</x:v>
      </x:c>
      <x:c r="I49" s="31" t="n">
        <x:v>305.3933711</x:v>
      </x:c>
      <x:c r="J49" s="31" t="n">
        <x:v>305.3933711</x:v>
      </x:c>
      <x:c r="K49" s="31" t="n">
        <x:v>0</x:v>
      </x:c>
      <x:c r="L49" s="31" t="n">
        <x:v>0</x:v>
      </x:c>
      <x:c r="M49" s="31" t="n">
        <x:v>305.3933711</x:v>
      </x:c>
      <x:c r="N49" s="24" t="str">
        <x:v>diodon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Diodon</x:v>
      </x:c>
      <x:c r="T49" s="32" t="n">
        <x:f>IF(O49="","",(1/'Metadata'!$B$5)^(O49-1))</x:f>
        <x:v>229.08676527677724</x:v>
      </x:c>
      <x:c r="U49" s="31" t="n">
        <x:f>IF(T49="","",I49*T49)</x:f>
        <x:v>69961.57952226943</x:v>
      </x:c>
    </x:row>
    <x:row r="50" ht="18" customHeight="1">
      <x:c r="A50" s="24" t="str">
        <x:v>EEZ_834</x:v>
      </x:c>
      <x:c r="B50" s="24" t="str">
        <x:v>Tanzania</x:v>
      </x:c>
      <x:c r="C50" s="24" t="str">
        <x:v>EEZ</x:v>
      </x:c>
      <x:c r="D50" s="30" t="n">
        <x:v>2019</x:v>
      </x:c>
      <x:c r="E50" s="24" t="str">
        <x:v>Sepia latimanus</x:v>
      </x:c>
      <x:c r="F50" s="24" t="str">
        <x:v>Broadclub cuttlefish</x:v>
      </x:c>
      <x:c r="G50" s="24" t="str">
        <x:v>Cephalopods</x:v>
      </x:c>
      <x:c r="H50" s="24" t="str">
        <x:v>Other fishes &amp; inverts</x:v>
      </x:c>
      <x:c r="I50" s="31" t="n">
        <x:v>305.3933711</x:v>
      </x:c>
      <x:c r="J50" s="31" t="n">
        <x:v>305.3933711</x:v>
      </x:c>
      <x:c r="K50" s="31" t="n">
        <x:v>0</x:v>
      </x:c>
      <x:c r="L50" s="31" t="n">
        <x:v>0</x:v>
      </x:c>
      <x:c r="M50" s="31" t="n">
        <x:v>305.3933711</x:v>
      </x:c>
      <x:c r="N50" s="24" t="str">
        <x:v>sepia latimanus</x:v>
      </x:c>
      <x:c r="O50" s="32" t="n">
        <x:v>3.6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Sepia latimanus</x:v>
      </x:c>
      <x:c r="T50" s="32" t="n">
        <x:f>IF(O50="","",(1/'Metadata'!$B$5)^(O50-1))</x:f>
        <x:v>398.1071705534973</x:v>
      </x:c>
      <x:c r="U50" s="31" t="n">
        <x:f>IF(T50="","",I50*T50)</x:f>
        <x:v>121579.29087441521</x:v>
      </x:c>
    </x:row>
    <x:row r="51" ht="18" customHeight="1">
      <x:c r="A51" s="24" t="str">
        <x:v>EEZ_834</x:v>
      </x:c>
      <x:c r="B51" s="24" t="str">
        <x:v>Tanzania</x:v>
      </x:c>
      <x:c r="C51" s="24" t="str">
        <x:v>EEZ</x:v>
      </x:c>
      <x:c r="D51" s="30" t="n">
        <x:v>2019</x:v>
      </x:c>
      <x:c r="E51" s="24" t="str">
        <x:v>Teuthida</x:v>
      </x:c>
      <x:c r="F51" s="24" t="str">
        <x:v>Squids</x:v>
      </x:c>
      <x:c r="G51" s="24" t="str">
        <x:v>Cephalopods</x:v>
      </x:c>
      <x:c r="H51" s="24" t="str">
        <x:v>Other fishes &amp; inverts</x:v>
      </x:c>
      <x:c r="I51" s="31" t="n">
        <x:v>305.3933711</x:v>
      </x:c>
      <x:c r="J51" s="31" t="n">
        <x:v>305.3933711</x:v>
      </x:c>
      <x:c r="K51" s="31" t="n">
        <x:v>0</x:v>
      </x:c>
      <x:c r="L51" s="31" t="n">
        <x:v>0</x:v>
      </x:c>
      <x:c r="M51" s="31" t="n">
        <x:v>305.3933711</x:v>
      </x:c>
      <x:c r="N51" s="24" t="str">
        <x:v>teuthida</x:v>
      </x:c>
      <x:c r="O51" s="32" t="n">
        <x:v>4.13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Teuthida</x:v>
      </x:c>
      <x:c r="T51" s="32" t="n">
        <x:f>IF(O51="","",(1/'Metadata'!$B$5)^(O51-1))</x:f>
        <x:v>1348.9628825916532</x:v>
      </x:c>
      <x:c r="U51" s="31" t="n">
        <x:f>IF(T51="","",I51*T51)</x:f>
        <x:v>411964.3222034385</x:v>
      </x:c>
    </x:row>
    <x:row r="52" ht="18" customHeight="1">
      <x:c r="A52" s="24" t="str">
        <x:v>EEZ_834</x:v>
      </x:c>
      <x:c r="B52" s="24" t="str">
        <x:v>Tanzania</x:v>
      </x:c>
      <x:c r="C52" s="24" t="str">
        <x:v>EEZ</x:v>
      </x:c>
      <x:c r="D52" s="30" t="n">
        <x:v>2019</x:v>
      </x:c>
      <x:c r="E52" s="24" t="str">
        <x:v>Clupeidae</x:v>
      </x:c>
      <x:c r="F52" s="24" t="str">
        <x:v>Herrings, sardines, menhadens</x:v>
      </x:c>
      <x:c r="G52" s="24" t="str">
        <x:v>Small pelagics (&lt;30 cm)</x:v>
      </x:c>
      <x:c r="H52" s="24" t="str">
        <x:v>Herring-likes</x:v>
      </x:c>
      <x:c r="I52" s="31" t="n">
        <x:v>288.4992697</x:v>
      </x:c>
      <x:c r="J52" s="31" t="n">
        <x:v>288.4992697</x:v>
      </x:c>
      <x:c r="K52" s="31" t="n">
        <x:v>0</x:v>
      </x:c>
      <x:c r="L52" s="31" t="n">
        <x:v>0</x:v>
      </x:c>
      <x:c r="M52" s="31" t="n">
        <x:v>288.4992697</x:v>
      </x:c>
      <x:c r="N52" s="24" t="str">
        <x:v>clupeidae</x:v>
      </x:c>
      <x:c r="O52" s="32" t="n">
        <x:v>3.16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Clupeidae</x:v>
      </x:c>
      <x:c r="T52" s="32" t="n">
        <x:f>IF(O52="","",(1/'Metadata'!$B$5)^(O52-1))</x:f>
        <x:v>144.5439770745928</x:v>
      </x:c>
      <x:c r="U52" s="31" t="n">
        <x:f>IF(T52="","",I52*T52)</x:f>
        <x:v>41700.83182555356</x:v>
      </x:c>
    </x:row>
    <x:row r="53" ht="18" customHeight="1">
      <x:c r="A53" s="24" t="str">
        <x:v>EEZ_834</x:v>
      </x:c>
      <x:c r="B53" s="24" t="str">
        <x:v>Tanzania</x:v>
      </x:c>
      <x:c r="C53" s="24" t="str">
        <x:v>EEZ</x:v>
      </x:c>
      <x:c r="D53" s="30" t="n">
        <x:v>2019</x:v>
      </x:c>
      <x:c r="E53" s="24" t="str">
        <x:v>Anguilliformes</x:v>
      </x:c>
      <x:c r="F53" s="24" t="str">
        <x:v>Eels, morays</x:v>
      </x:c>
      <x:c r="G53" s="24" t="str">
        <x:v>Large demersals (&gt;=90 cm)</x:v>
      </x:c>
      <x:c r="H53" s="24" t="str">
        <x:v>Other fishes &amp; inverts</x:v>
      </x:c>
      <x:c r="I53" s="31" t="n">
        <x:v>240.7409447</x:v>
      </x:c>
      <x:c r="J53" s="31" t="n">
        <x:v>240.7409447</x:v>
      </x:c>
      <x:c r="K53" s="31" t="n">
        <x:v>0</x:v>
      </x:c>
      <x:c r="L53" s="31" t="n">
        <x:v>0</x:v>
      </x:c>
      <x:c r="M53" s="31" t="n">
        <x:v>240.7409447</x:v>
      </x:c>
      <x:c r="N53" s="24" t="str">
        <x:v>anguilliformes</x:v>
      </x:c>
      <x:c r="O53" s="32" t="n">
        <x:v>3.89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Anguilliformes</x:v>
      </x:c>
      <x:c r="T53" s="32" t="n">
        <x:f>IF(O53="","",(1/'Metadata'!$B$5)^(O53-1))</x:f>
        <x:v>776.247116628692</x:v>
      </x:c>
      <x:c r="U53" s="31" t="n">
        <x:f>IF(T53="","",I53*T53)</x:f>
        <x:v>186874.4641778424</x:v>
      </x:c>
    </x:row>
    <x:row r="54" ht="18" customHeight="1">
      <x:c r="A54" s="24" t="str">
        <x:v>EEZ_834</x:v>
      </x:c>
      <x:c r="B54" s="24" t="str">
        <x:v>Tanzania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135.1854894535</x:v>
      </x:c>
      <x:c r="J54" s="31" t="n">
        <x:v>135.1854894535</x:v>
      </x:c>
      <x:c r="K54" s="31" t="n">
        <x:v>0</x:v>
      </x:c>
      <x:c r="L54" s="31" t="n">
        <x:v>101.6548842725</x:v>
      </x:c>
      <x:c r="M54" s="31" t="n">
        <x:v>33.530605181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417763.10060026543</x:v>
      </x:c>
    </x:row>
    <x:row r="55" ht="18" customHeight="1">
      <x:c r="A55" s="24" t="str">
        <x:v>EEZ_834</x:v>
      </x:c>
      <x:c r="B55" s="24" t="str">
        <x:v>Tanzania</x:v>
      </x:c>
      <x:c r="C55" s="24" t="str">
        <x:v>EEZ</x:v>
      </x:c>
      <x:c r="D55" s="30" t="n">
        <x:v>2019</x:v>
      </x:c>
      <x:c r="E55" s="24" t="str">
        <x:v>Scylla serrata</x:v>
      </x:c>
      <x:c r="F55" s="24" t="str">
        <x:v>Indo-Pacific swamp crab</x:v>
      </x:c>
      <x:c r="G55" s="24" t="str">
        <x:v>Lobsters, crabs</x:v>
      </x:c>
      <x:c r="H55" s="24" t="str">
        <x:v>Crustaceans</x:v>
      </x:c>
      <x:c r="I55" s="31" t="n">
        <x:v>71.60033558800001</x:v>
      </x:c>
      <x:c r="J55" s="31" t="n">
        <x:v>71.60033558800001</x:v>
      </x:c>
      <x:c r="K55" s="31" t="n">
        <x:v>0</x:v>
      </x:c>
      <x:c r="L55" s="31" t="n">
        <x:v>0</x:v>
      </x:c>
      <x:c r="M55" s="31" t="n">
        <x:v>71.60033558800001</x:v>
      </x:c>
      <x:c r="N55" s="24" t="str">
        <x:v>scylla serrata</x:v>
      </x:c>
      <x:c r="O55" s="32" t="n">
        <x:v>3.17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Scylla serrata</x:v>
      </x:c>
      <x:c r="T55" s="32" t="n">
        <x:f>IF(O55="","",(1/'Metadata'!$B$5)^(O55-1))</x:f>
        <x:v>147.91083881682073</x:v>
      </x:c>
      <x:c r="U55" s="31" t="n">
        <x:f>IF(T55="","",I55*T55)</x:f>
        <x:v>10590.465696386942</x:v>
      </x:c>
    </x:row>
    <x:row r="56" ht="18" customHeight="1">
      <x:c r="A56" s="24" t="str">
        <x:v>EEZ_834</x:v>
      </x:c>
      <x:c r="B56" s="24" t="str">
        <x:v>Tanzania</x:v>
      </x:c>
      <x:c r="C56" s="24" t="str">
        <x:v>EEZ</x:v>
      </x:c>
      <x:c r="D56" s="30" t="n">
        <x:v>2019</x:v>
      </x:c>
      <x:c r="E56" s="24" t="str">
        <x:v>Scaridae</x:v>
      </x:c>
      <x:c r="F56" s="24" t="str">
        <x:v>Parrotfishes</x:v>
      </x:c>
      <x:c r="G56" s="24" t="str">
        <x:v>Medium reef assoc. fish (30 - 89 cm)</x:v>
      </x:c>
      <x:c r="H56" s="24" t="str">
        <x:v>Perch-likes</x:v>
      </x:c>
      <x:c r="I56" s="31" t="n">
        <x:v>65.462191615</x:v>
      </x:c>
      <x:c r="J56" s="31" t="n">
        <x:v>65.462191615</x:v>
      </x:c>
      <x:c r="K56" s="31" t="n">
        <x:v>0</x:v>
      </x:c>
      <x:c r="L56" s="31" t="n">
        <x:v>9.717179338000001</x:v>
      </x:c>
      <x:c r="M56" s="31" t="n">
        <x:v>55.745012277</x:v>
      </x:c>
      <x:c r="N56" s="24" t="str">
        <x:v>scaridae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Scaridae</x:v>
      </x:c>
      <x:c r="T56" s="32" t="n">
        <x:f>IF(O56="","",(1/'Metadata'!$B$5)^(O56-1))</x:f>
        <x:v>10</x:v>
      </x:c>
      <x:c r="U56" s="31" t="n">
        <x:f>IF(T56="","",I56*T56)</x:f>
        <x:v>654.62191615</x:v>
      </x:c>
    </x:row>
    <x:row r="57" ht="18" customHeight="1">
      <x:c r="A57" s="24" t="str">
        <x:v>EEZ_834</x:v>
      </x:c>
      <x:c r="B57" s="24" t="str">
        <x:v>Tanzania</x:v>
      </x:c>
      <x:c r="C57" s="24" t="str">
        <x:v>EEZ</x:v>
      </x:c>
      <x:c r="D57" s="30" t="n">
        <x:v>2019</x:v>
      </x:c>
      <x:c r="E57" s="24" t="str">
        <x:v>Penaeidae</x:v>
      </x:c>
      <x:c r="F57" s="24" t="str">
        <x:v>Commercial shrimps and prawns</x:v>
      </x:c>
      <x:c r="G57" s="24" t="str">
        <x:v>Shrimps</x:v>
      </x:c>
      <x:c r="H57" s="24" t="str">
        <x:v>Crustaceans</x:v>
      </x:c>
      <x:c r="I57" s="31" t="n">
        <x:v>63.91270262</x:v>
      </x:c>
      <x:c r="J57" s="31" t="n">
        <x:v>63.91270262</x:v>
      </x:c>
      <x:c r="K57" s="31" t="n">
        <x:v>0</x:v>
      </x:c>
      <x:c r="L57" s="31" t="n">
        <x:v>0</x:v>
      </x:c>
      <x:c r="M57" s="31" t="n">
        <x:v>63.91270262</x:v>
      </x:c>
      <x:c r="N57" s="24" t="str">
        <x:v>penaeidae</x:v>
      </x:c>
      <x:c r="O57" s="32" t="n">
        <x:v>3.31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Penaeidae</x:v>
      </x:c>
      <x:c r="T57" s="32" t="n">
        <x:f>IF(O57="","",(1/'Metadata'!$B$5)^(O57-1))</x:f>
        <x:v>204.17379446695296</x:v>
      </x:c>
      <x:c r="U57" s="31" t="n">
        <x:f>IF(T57="","",I57*T57)</x:f>
        <x:v>13049.299008563365</x:v>
      </x:c>
    </x:row>
    <x:row r="58" ht="18" customHeight="1">
      <x:c r="A58" s="24" t="str">
        <x:v>EEZ_834</x:v>
      </x:c>
      <x:c r="B58" s="24" t="str">
        <x:v>Tanzania</x:v>
      </x:c>
      <x:c r="C58" s="24" t="str">
        <x:v>EEZ</x:v>
      </x:c>
      <x:c r="D58" s="30" t="n">
        <x:v>2019</x:v>
      </x:c>
      <x:c r="E58" s="24" t="str">
        <x:v>Lutjanidae</x:v>
      </x:c>
      <x:c r="F58" s="24" t="str">
        <x:v>Snappers</x:v>
      </x:c>
      <x:c r="G58" s="24" t="str">
        <x:v>Medium reef assoc. fish (30 - 89 cm)</x:v>
      </x:c>
      <x:c r="H58" s="24" t="str">
        <x:v>Perch-likes</x:v>
      </x:c>
      <x:c r="I58" s="31" t="n">
        <x:v>55.27232216</x:v>
      </x:c>
      <x:c r="J58" s="31" t="n">
        <x:v>55.27232216</x:v>
      </x:c>
      <x:c r="K58" s="31" t="n">
        <x:v>0</x:v>
      </x:c>
      <x:c r="L58" s="31" t="n">
        <x:v>8.204599533</x:v>
      </x:c>
      <x:c r="M58" s="31" t="n">
        <x:v>47.067722627</x:v>
      </x:c>
      <x:c r="N58" s="24" t="str">
        <x:v>lutjanidae</x:v>
      </x:c>
      <x:c r="O58" s="32" t="n">
        <x:v>4.02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Lutjanidae</x:v>
      </x:c>
      <x:c r="T58" s="32" t="n">
        <x:f>IF(O58="","",(1/'Metadata'!$B$5)^(O58-1))</x:f>
        <x:v>1047.1285480508984</x:v>
      </x:c>
      <x:c r="U58" s="31" t="n">
        <x:f>IF(T58="","",I58*T58)</x:f>
        <x:v>57877.2264508023</x:v>
      </x:c>
    </x:row>
    <x:row r="59" ht="18" customHeight="1">
      <x:c r="A59" s="24" t="str">
        <x:v>EEZ_834</x:v>
      </x:c>
      <x:c r="B59" s="24" t="str">
        <x:v>Tanzania</x:v>
      </x:c>
      <x:c r="C59" s="24" t="str">
        <x:v>EEZ</x:v>
      </x:c>
      <x:c r="D59" s="30" t="n">
        <x:v>2019</x:v>
      </x:c>
      <x:c r="E59" s="24" t="str">
        <x:v>Gerreidae</x:v>
      </x:c>
      <x:c r="F59" s="24" t="str">
        <x:v>Mojarras, silverbellies</x:v>
      </x:c>
      <x:c r="G59" s="24" t="str">
        <x:v>Small benthopelagics (&lt;30 cm)</x:v>
      </x:c>
      <x:c r="H59" s="24" t="str">
        <x:v>Perch-likes</x:v>
      </x:c>
      <x:c r="I59" s="31" t="n">
        <x:v>51.874913018</x:v>
      </x:c>
      <x:c r="J59" s="31" t="n">
        <x:v>44.683800911</x:v>
      </x:c>
      <x:c r="K59" s="31" t="n">
        <x:v>7.191112107</x:v>
      </x:c>
      <x:c r="L59" s="31" t="n">
        <x:v>12.52986477</x:v>
      </x:c>
      <x:c r="M59" s="31" t="n">
        <x:v>39.345048248</x:v>
      </x:c>
      <x:c r="N59" s="24" t="str">
        <x:v>gerreidae</x:v>
      </x:c>
      <x:c r="O59" s="32" t="n">
        <x:v>3.03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Gerreidae</x:v>
      </x:c>
      <x:c r="T59" s="32" t="n">
        <x:f>IF(O59="","",(1/'Metadata'!$B$5)^(O59-1))</x:f>
        <x:v>107.1519305237606</x:v>
      </x:c>
      <x:c r="U59" s="31" t="n">
        <x:f>IF(T59="","",I59*T59)</x:f>
        <x:v>5558.49707563086</x:v>
      </x:c>
    </x:row>
    <x:row r="60" ht="18" customHeight="1">
      <x:c r="A60" s="24" t="str">
        <x:v>EEZ_834</x:v>
      </x:c>
      <x:c r="B60" s="24" t="str">
        <x:v>Tanzania</x:v>
      </x:c>
      <x:c r="C60" s="24" t="str">
        <x:v>EEZ</x:v>
      </x:c>
      <x:c r="D60" s="30" t="n">
        <x:v>2019</x:v>
      </x:c>
      <x:c r="E60" s="24" t="str">
        <x:v>Kajikia audax</x:v>
      </x:c>
      <x:c r="F60" s="24" t="str">
        <x:v>Striped marlin</x:v>
      </x:c>
      <x:c r="G60" s="24" t="str">
        <x:v>Large pelagics (&gt;=90 cm)</x:v>
      </x:c>
      <x:c r="H60" s="24" t="str">
        <x:v>Tuna &amp; billfishes</x:v>
      </x:c>
      <x:c r="I60" s="31" t="n">
        <x:v>41.778790694</x:v>
      </x:c>
      <x:c r="J60" s="31" t="n">
        <x:v>41.778790694</x:v>
      </x:c>
      <x:c r="K60" s="31" t="n">
        <x:v>0</x:v>
      </x:c>
      <x:c r="L60" s="31" t="n">
        <x:v>27.000000001</x:v>
      </x:c>
      <x:c r="M60" s="31" t="n">
        <x:v>14.778790693</x:v>
      </x:c>
      <x:c r="N60" s="24" t="str">
        <x:v>kajikia audax</x:v>
      </x:c>
      <x:c r="O60" s="32" t="n">
        <x:v>4.58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Kajikia audax</x:v>
      </x:c>
      <x:c r="T60" s="32" t="n">
        <x:f>IF(O60="","",(1/'Metadata'!$B$5)^(O60-1))</x:f>
        <x:v>3801.8939632056126</x:v>
      </x:c>
      <x:c r="U60" s="31" t="n">
        <x:f>IF(T60="","",I60*T60)</x:f>
        <x:v>158838.53212954942</x:v>
      </x:c>
    </x:row>
    <x:row r="61" ht="18" customHeight="1">
      <x:c r="A61" s="24" t="str">
        <x:v>EEZ_834</x:v>
      </x:c>
      <x:c r="B61" s="24" t="str">
        <x:v>Tanzania</x:v>
      </x:c>
      <x:c r="C61" s="24" t="str">
        <x:v>EEZ</x:v>
      </x:c>
      <x:c r="D61" s="30" t="n">
        <x:v>2019</x:v>
      </x:c>
      <x:c r="E61" s="24" t="str">
        <x:v>Portunus pelagicus</x:v>
      </x:c>
      <x:c r="F61" s="24" t="str">
        <x:v>Blue swimming crab</x:v>
      </x:c>
      <x:c r="G61" s="24" t="str">
        <x:v>Lobsters, crabs</x:v>
      </x:c>
      <x:c r="H61" s="24" t="str">
        <x:v>Crustaceans</x:v>
      </x:c>
      <x:c r="I61" s="31" t="n">
        <x:v>36.06240871</x:v>
      </x:c>
      <x:c r="J61" s="31" t="n">
        <x:v>36.06240871</x:v>
      </x:c>
      <x:c r="K61" s="31" t="n">
        <x:v>0</x:v>
      </x:c>
      <x:c r="L61" s="31" t="n">
        <x:v>0</x:v>
      </x:c>
      <x:c r="M61" s="31" t="n">
        <x:v>36.06240871</x:v>
      </x:c>
      <x:c r="N61" s="24" t="str">
        <x:v>portunus pelagicus</x:v>
      </x:c>
      <x:c r="O61" s="32" t="n">
        <x:v>2.48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Portunus pelagicus</x:v>
      </x:c>
      <x:c r="T61" s="32" t="n">
        <x:f>IF(O61="","",(1/'Metadata'!$B$5)^(O61-1))</x:f>
        <x:v>30.19951720402016</x:v>
      </x:c>
      <x:c r="U61" s="31" t="n">
        <x:f>IF(T61="","",I61*T61)</x:f>
        <x:v>1089.0673322560515</x:v>
      </x:c>
    </x:row>
    <x:row r="62" ht="18" customHeight="1">
      <x:c r="A62" s="24" t="str">
        <x:v>EEZ_834</x:v>
      </x:c>
      <x:c r="B62" s="24" t="str">
        <x:v>Tanzania</x:v>
      </x:c>
      <x:c r="C62" s="24" t="str">
        <x:v>EEZ</x:v>
      </x:c>
      <x:c r="D62" s="30" t="n">
        <x:v>2019</x:v>
      </x:c>
      <x:c r="E62" s="24" t="str">
        <x:v>Sepia</x:v>
      </x:c>
      <x:c r="F62" s="24" t="str">
        <x:v>Sepia cuttlefishes</x:v>
      </x:c>
      <x:c r="G62" s="24" t="str">
        <x:v>Cephalopods</x:v>
      </x:c>
      <x:c r="H62" s="24" t="str">
        <x:v>Other fishes &amp; inverts</x:v>
      </x:c>
      <x:c r="I62" s="31" t="n">
        <x:v>27.610403261200002</x:v>
      </x:c>
      <x:c r="J62" s="31" t="n">
        <x:v>27.610403261200002</x:v>
      </x:c>
      <x:c r="K62" s="31" t="n">
        <x:v>0</x:v>
      </x:c>
      <x:c r="L62" s="31" t="n">
        <x:v>27.610403261200002</x:v>
      </x:c>
      <x:c r="M62" s="31" t="n">
        <x:v>0</x:v>
      </x:c>
      <x:c r="N62" s="24" t="str">
        <x:v>sepia</x:v>
      </x:c>
      <x:c r="O62" s="32" t="n">
        <x:v>3.69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Sepia</x:v>
      </x:c>
      <x:c r="T62" s="32" t="n">
        <x:f>IF(O62="","",(1/'Metadata'!$B$5)^(O62-1))</x:f>
        <x:v>489.77881936844614</x:v>
      </x:c>
      <x:c r="U62" s="31" t="n">
        <x:f>IF(T62="","",I62*T62)</x:f>
        <x:v>13522.990711557231</x:v>
      </x:c>
    </x:row>
    <x:row r="63" ht="18" customHeight="1">
      <x:c r="A63" s="24" t="str">
        <x:v>EEZ_834</x:v>
      </x:c>
      <x:c r="B63" s="24" t="str">
        <x:v>Tanzania</x:v>
      </x:c>
      <x:c r="C63" s="24" t="str">
        <x:v>EEZ</x:v>
      </x:c>
      <x:c r="D63" s="30" t="n">
        <x:v>2019</x:v>
      </x:c>
      <x:c r="E63" s="24" t="str">
        <x:v>Muraenidae</x:v>
      </x:c>
      <x:c r="F63" s="24" t="str">
        <x:v>Moray eels</x:v>
      </x:c>
      <x:c r="G63" s="24" t="str">
        <x:v>Large reef assoc. fish (&gt;=90 cm)</x:v>
      </x:c>
      <x:c r="H63" s="24" t="str">
        <x:v>Other fishes &amp; inverts</x:v>
      </x:c>
      <x:c r="I63" s="31" t="n">
        <x:v>26.259811511</x:v>
      </x:c>
      <x:c r="J63" s="31" t="n">
        <x:v>26.259811511</x:v>
      </x:c>
      <x:c r="K63" s="31" t="n">
        <x:v>0</x:v>
      </x:c>
      <x:c r="L63" s="31" t="n">
        <x:v>10.745869414</x:v>
      </x:c>
      <x:c r="M63" s="31" t="n">
        <x:v>15.513942097</x:v>
      </x:c>
      <x:c r="N63" s="24" t="str">
        <x:v>muraenidae</x:v>
      </x:c>
      <x:c r="O63" s="32" t="n">
        <x:v>4.07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Muraenidae</x:v>
      </x:c>
      <x:c r="T63" s="32" t="n">
        <x:f>IF(O63="","",(1/'Metadata'!$B$5)^(O63-1))</x:f>
        <x:v>1174.8975549395302</x:v>
      </x:c>
      <x:c r="U63" s="31" t="n">
        <x:f>IF(T63="","",I63*T63)</x:f>
        <x:v>30852.58833744683</x:v>
      </x:c>
    </x:row>
    <x:row r="64" ht="18" customHeight="1">
      <x:c r="A64" s="24" t="str">
        <x:v>EEZ_834</x:v>
      </x:c>
      <x:c r="B64" s="24" t="str">
        <x:v>Tanzania</x:v>
      </x:c>
      <x:c r="C64" s="24" t="str">
        <x:v>EEZ</x:v>
      </x:c>
      <x:c r="D64" s="30" t="n">
        <x:v>2019</x:v>
      </x:c>
      <x:c r="E64" s="24" t="str">
        <x:v>Diodontidae</x:v>
      </x:c>
      <x:c r="F64" s="24" t="str">
        <x:v>Porcupine-, burrfishes</x:v>
      </x:c>
      <x:c r="G64" s="24" t="str">
        <x:v>Medium reef assoc. fish (30 - 89 cm)</x:v>
      </x:c>
      <x:c r="H64" s="24" t="str">
        <x:v>Other fishes &amp; inverts</x:v>
      </x:c>
      <x:c r="I64" s="31" t="n">
        <x:v>21.974775992</x:v>
      </x:c>
      <x:c r="J64" s="31" t="n">
        <x:v>14.783663885</x:v>
      </x:c>
      <x:c r="K64" s="31" t="n">
        <x:v>7.191112107</x:v>
      </x:c>
      <x:c r="L64" s="31" t="n">
        <x:v>5.243270457</x:v>
      </x:c>
      <x:c r="M64" s="31" t="n">
        <x:v>16.731505535</x:v>
      </x:c>
      <x:c r="N64" s="24" t="str">
        <x:v>diodontidae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Diodontidae</x:v>
      </x:c>
      <x:c r="T64" s="32" t="n">
        <x:f>IF(O64="","",(1/'Metadata'!$B$5)^(O64-1))</x:f>
        <x:v>229.08676527677724</x:v>
      </x:c>
      <x:c r="U64" s="31" t="n">
        <x:f>IF(T64="","",I64*T64)</x:f>
        <x:v>5034.130349689064</x:v>
      </x:c>
    </x:row>
    <x:row r="65" ht="18" customHeight="1">
      <x:c r="A65" s="24" t="str">
        <x:v>EEZ_834</x:v>
      </x:c>
      <x:c r="B65" s="24" t="str">
        <x:v>Tanzania</x:v>
      </x:c>
      <x:c r="C65" s="24" t="str">
        <x:v>EEZ</x:v>
      </x:c>
      <x:c r="D65" s="30" t="n">
        <x:v>2019</x:v>
      </x:c>
      <x:c r="E65" s="24" t="str">
        <x:v>Trichiurus lepturus</x:v>
      </x:c>
      <x:c r="F65" s="24" t="str">
        <x:v>Largehead hairtail</x:v>
      </x:c>
      <x:c r="G65" s="24" t="str">
        <x:v>Large benthopelagics (&gt;=90 cm)</x:v>
      </x:c>
      <x:c r="H65" s="24" t="str">
        <x:v>Perch-likes</x:v>
      </x:c>
      <x:c r="I65" s="31" t="n">
        <x:v>20.3843909223</x:v>
      </x:c>
      <x:c r="J65" s="31" t="n">
        <x:v>20.3843909223</x:v>
      </x:c>
      <x:c r="K65" s="31" t="n">
        <x:v>0</x:v>
      </x:c>
      <x:c r="L65" s="31" t="n">
        <x:v>20.3843909223</x:v>
      </x:c>
      <x:c r="M65" s="31" t="n">
        <x:v>0</x:v>
      </x:c>
      <x:c r="N65" s="24" t="str">
        <x:v>trichiurus lepturus</x:v>
      </x:c>
      <x:c r="O65" s="32" t="n">
        <x:v>4.42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Trichiurus lepturus</x:v>
      </x:c>
      <x:c r="T65" s="32" t="n">
        <x:f>IF(O65="","",(1/'Metadata'!$B$5)^(O65-1))</x:f>
        <x:v>2630.2679918953813</x:v>
      </x:c>
      <x:c r="U65" s="31" t="n">
        <x:f>IF(T65="","",I65*T65)</x:f>
        <x:v>53616.41097720846</x:v>
      </x:c>
    </x:row>
    <x:row r="66" ht="18" customHeight="1">
      <x:c r="A66" s="24" t="str">
        <x:v>EEZ_834</x:v>
      </x:c>
      <x:c r="B66" s="24" t="str">
        <x:v>Tanzania</x:v>
      </x:c>
      <x:c r="C66" s="24" t="str">
        <x:v>EEZ</x:v>
      </x:c>
      <x:c r="D66" s="30" t="n">
        <x:v>2019</x:v>
      </x:c>
      <x:c r="E66" s="24" t="str">
        <x:v>Haemulidae</x:v>
      </x:c>
      <x:c r="F66" s="24" t="str">
        <x:v>Grunts, sweetlips, bonnetmouths</x:v>
      </x:c>
      <x:c r="G66" s="24" t="str">
        <x:v>Medium demersals (30 - 89 cm)</x:v>
      </x:c>
      <x:c r="H66" s="24" t="str">
        <x:v>Perch-likes</x:v>
      </x:c>
      <x:c r="I66" s="31" t="n">
        <x:v>18.253123369</x:v>
      </x:c>
      <x:c r="J66" s="31" t="n">
        <x:v>18.253123369</x:v>
      </x:c>
      <x:c r="K66" s="31" t="n">
        <x:v>0</x:v>
      </x:c>
      <x:c r="L66" s="31" t="n">
        <x:v>10.890574577999999</x:v>
      </x:c>
      <x:c r="M66" s="31" t="n">
        <x:v>7.362548791</x:v>
      </x:c>
      <x:c r="N66" s="24" t="str">
        <x:v>haemulidae</x:v>
      </x:c>
      <x:c r="O66" s="32" t="n">
        <x:v>3.36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Haemulidae</x:v>
      </x:c>
      <x:c r="T66" s="32" t="n">
        <x:f>IF(O66="","",(1/'Metadata'!$B$5)^(O66-1))</x:f>
        <x:v>229.08676527677724</x:v>
      </x:c>
      <x:c r="U66" s="31" t="n">
        <x:f>IF(T66="","",I66*T66)</x:f>
        <x:v>4181.54898880216</x:v>
      </x:c>
    </x:row>
    <x:row r="67" ht="18" customHeight="1">
      <x:c r="A67" s="24" t="str">
        <x:v>EEZ_834</x:v>
      </x:c>
      <x:c r="B67" s="24" t="str">
        <x:v>Tanzania</x:v>
      </x:c>
      <x:c r="C67" s="24" t="str">
        <x:v>EEZ</x:v>
      </x:c>
      <x:c r="D67" s="30" t="n">
        <x:v>2019</x:v>
      </x:c>
      <x:c r="E67" s="24" t="str">
        <x:v>Prionace glauca</x:v>
      </x:c>
      <x:c r="F67" s="24" t="str">
        <x:v>Blue shark</x:v>
      </x:c>
      <x:c r="G67" s="24" t="str">
        <x:v>Large sharks (&gt;=90 cm)</x:v>
      </x:c>
      <x:c r="H67" s="24" t="str">
        <x:v>Sharks &amp; rays</x:v>
      </x:c>
      <x:c r="I67" s="31" t="n">
        <x:v>15.042915988399999</x:v>
      </x:c>
      <x:c r="J67" s="31" t="n">
        <x:v>15.042915988399999</x:v>
      </x:c>
      <x:c r="K67" s="31" t="n">
        <x:v>0</x:v>
      </x:c>
      <x:c r="L67" s="31" t="n">
        <x:v>10.6949819444</x:v>
      </x:c>
      <x:c r="M67" s="31" t="n">
        <x:v>4.3479340440000005</x:v>
      </x:c>
      <x:c r="N67" s="24" t="str">
        <x:v>prionace glauca</x:v>
      </x:c>
      <x:c r="O67" s="32" t="n">
        <x:v>4.35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Prionace glauca</x:v>
      </x:c>
      <x:c r="T67" s="32" t="n">
        <x:f>IF(O67="","",(1/'Metadata'!$B$5)^(O67-1))</x:f>
        <x:v>2238.7211385683377</x:v>
      </x:c>
      <x:c r="U67" s="31" t="n">
        <x:f>IF(T67="","",I67*T67)</x:f>
        <x:v>33676.894008938696</x:v>
      </x:c>
    </x:row>
    <x:row r="68" ht="18" customHeight="1">
      <x:c r="A68" s="24" t="str">
        <x:v>EEZ_834</x:v>
      </x:c>
      <x:c r="B68" s="24" t="str">
        <x:v>Tanzania</x:v>
      </x:c>
      <x:c r="C68" s="24" t="str">
        <x:v>EEZ</x:v>
      </x:c>
      <x:c r="D68" s="30" t="n">
        <x:v>2019</x:v>
      </x:c>
      <x:c r="E68" s="24" t="str">
        <x:v>Rachycentridae</x:v>
      </x:c>
      <x:c r="F68" s="24" t="str">
        <x:v>Cobias</x:v>
      </x:c>
      <x:c r="G68" s="24" t="str">
        <x:v>Large pelagics (&gt;=90 cm)</x:v>
      </x:c>
      <x:c r="H68" s="24" t="str">
        <x:v>Perch-likes</x:v>
      </x:c>
      <x:c r="I68" s="31" t="n">
        <x:v>14.29813508</x:v>
      </x:c>
      <x:c r="J68" s="31" t="n">
        <x:v>14.29813508</x:v>
      </x:c>
      <x:c r="K68" s="31" t="n">
        <x:v>0</x:v>
      </x:c>
      <x:c r="L68" s="31" t="n">
        <x:v>2.728415554</x:v>
      </x:c>
      <x:c r="M68" s="31" t="n">
        <x:v>11.569719526</x:v>
      </x:c>
      <x:c r="N68" s="24" t="str">
        <x:v>rachycentridae</x:v>
      </x:c>
      <x:c r="O68" s="32" t="n">
        <x:v>3.96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Rachycentridae</x:v>
      </x:c>
      <x:c r="T68" s="32" t="n">
        <x:f>IF(O68="","",(1/'Metadata'!$B$5)^(O68-1))</x:f>
        <x:v>912.0108393559096</x:v>
      </x:c>
      <x:c r="U68" s="31" t="n">
        <x:f>IF(T68="","",I68*T68)</x:f>
        <x:v>13040.054175534977</x:v>
      </x:c>
    </x:row>
    <x:row r="69" ht="18" customHeight="1">
      <x:c r="A69" s="24" t="str">
        <x:v>EEZ_834</x:v>
      </x:c>
      <x:c r="B69" s="24" t="str">
        <x:v>Tanzania</x:v>
      </x:c>
      <x:c r="C69" s="24" t="str">
        <x:v>EEZ</x:v>
      </x:c>
      <x:c r="D69" s="30" t="n">
        <x:v>2019</x:v>
      </x:c>
      <x:c r="E69" s="24" t="str">
        <x:v>Xiphias gladius</x:v>
      </x:c>
      <x:c r="F69" s="24" t="str">
        <x:v>Swordfish</x:v>
      </x:c>
      <x:c r="G69" s="24" t="str">
        <x:v>Large pelagics (&gt;=90 cm)</x:v>
      </x:c>
      <x:c r="H69" s="24" t="str">
        <x:v>Tuna &amp; billfishes</x:v>
      </x:c>
      <x:c r="I69" s="31" t="n">
        <x:v>13.4800159187</x:v>
      </x:c>
      <x:c r="J69" s="31" t="n">
        <x:v>13.4800159187</x:v>
      </x:c>
      <x:c r="K69" s="31" t="n">
        <x:v>0</x:v>
      </x:c>
      <x:c r="L69" s="31" t="n">
        <x:v>3.5895749976999998</x:v>
      </x:c>
      <x:c r="M69" s="31" t="n">
        <x:v>9.890440921</x:v>
      </x:c>
      <x:c r="N69" s="24" t="str">
        <x:v>xiphias gladius</x:v>
      </x:c>
      <x:c r="O69" s="32" t="n">
        <x:v>4.53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Xiphias gladius</x:v>
      </x:c>
      <x:c r="T69" s="32" t="n">
        <x:f>IF(O69="","",(1/'Metadata'!$B$5)^(O69-1))</x:f>
        <x:v>3388.4415613920273</x:v>
      </x:c>
      <x:c r="U69" s="31" t="n">
        <x:f>IF(T69="","",I69*T69)</x:f>
        <x:v>45676.24618714921</x:v>
      </x:c>
    </x:row>
    <x:row r="70" ht="18" customHeight="1">
      <x:c r="A70" s="24" t="str">
        <x:v>EEZ_834</x:v>
      </x:c>
      <x:c r="B70" s="24" t="str">
        <x:v>Tanzania</x:v>
      </x:c>
      <x:c r="C70" s="24" t="str">
        <x:v>EEZ</x:v>
      </x:c>
      <x:c r="D70" s="30" t="n">
        <x:v>2019</x:v>
      </x:c>
      <x:c r="E70" s="24" t="str">
        <x:v>Cnidaria</x:v>
      </x:c>
      <x:c r="F70" s="24" t="str">
        <x:v>Cnidarians, coelenterates</x:v>
      </x:c>
      <x:c r="G70" s="24" t="str">
        <x:v>Jellyfish</x:v>
      </x:c>
      <x:c r="H70" s="24" t="str">
        <x:v>Other fishes &amp; inverts</x:v>
      </x:c>
      <x:c r="I70" s="31" t="n">
        <x:v>9.9112624969</x:v>
      </x:c>
      <x:c r="J70" s="31" t="n">
        <x:v>9.9112624969</x:v>
      </x:c>
      <x:c r="K70" s="31" t="n">
        <x:v>0</x:v>
      </x:c>
      <x:c r="L70" s="31" t="n">
        <x:v>9.9112624969</x:v>
      </x:c>
      <x:c r="M70" s="31" t="n">
        <x:v>0</x:v>
      </x:c>
      <x:c r="N70" s="24" t="str">
        <x:v>cnidaria</x:v>
      </x:c>
      <x:c r="O70" s="32" t="n">
        <x:v>2.5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Cnidaria</x:v>
      </x:c>
      <x:c r="T70" s="32" t="n">
        <x:f>IF(O70="","",(1/'Metadata'!$B$5)^(O70-1))</x:f>
        <x:v>31.622776601683793</x:v>
      </x:c>
      <x:c r="U70" s="31" t="n">
        <x:f>IF(T70="","",I70*T70)</x:f>
        <x:v>313.42163978011536</x:v>
      </x:c>
    </x:row>
    <x:row r="71" ht="18" customHeight="1">
      <x:c r="A71" s="24" t="str">
        <x:v>EEZ_834</x:v>
      </x:c>
      <x:c r="B71" s="24" t="str">
        <x:v>Tanzania</x:v>
      </x:c>
      <x:c r="C71" s="24" t="str">
        <x:v>EEZ</x:v>
      </x:c>
      <x:c r="D71" s="30" t="n">
        <x:v>2019</x:v>
      </x:c>
      <x:c r="E71" s="24" t="str">
        <x:v>Isurus oxyrinchus</x:v>
      </x:c>
      <x:c r="F71" s="24" t="str">
        <x:v>Shortfin mako</x:v>
      </x:c>
      <x:c r="G71" s="24" t="str">
        <x:v>Large sharks (&gt;=90 cm)</x:v>
      </x:c>
      <x:c r="H71" s="24" t="str">
        <x:v>Sharks &amp; rays</x:v>
      </x:c>
      <x:c r="I71" s="31" t="n">
        <x:v>5.050440513</x:v>
      </x:c>
      <x:c r="J71" s="31" t="n">
        <x:v>5.050440513</x:v>
      </x:c>
      <x:c r="K71" s="31" t="n">
        <x:v>0</x:v>
      </x:c>
      <x:c r="L71" s="31" t="n">
        <x:v>4.000000001</x:v>
      </x:c>
      <x:c r="M71" s="31" t="n">
        <x:v>1.050440512</x:v>
      </x:c>
      <x:c r="N71" s="24" t="str">
        <x:v>isurus oxyrinchus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Isurus oxyrinchus</x:v>
      </x:c>
      <x:c r="T71" s="32" t="n">
        <x:f>IF(O71="","",(1/'Metadata'!$B$5)^(O71-1))</x:f>
        <x:v>3162.2776601683795</x:v>
      </x:c>
      <x:c r="U71" s="31" t="n">
        <x:f>IF(T71="","",I71*T71)</x:f>
        <x:v>15970.89520826923</x:v>
      </x:c>
    </x:row>
    <x:row r="72" ht="18" customHeight="1">
      <x:c r="A72" s="24" t="str">
        <x:v>EEZ_834</x:v>
      </x:c>
      <x:c r="B72" s="24" t="str">
        <x:v>Tanzania</x:v>
      </x:c>
      <x:c r="C72" s="24" t="str">
        <x:v>EEZ</x:v>
      </x:c>
      <x:c r="D72" s="30" t="n">
        <x:v>2019</x:v>
      </x:c>
      <x:c r="E72" s="24" t="str">
        <x:v>Coryphaena</x:v>
      </x:c>
      <x:c r="F72" s="24" t="str">
        <x:v>Dolphinfishes</x:v>
      </x:c>
      <x:c r="G72" s="24" t="str">
        <x:v>Large pelagics (&gt;=90 cm)</x:v>
      </x:c>
      <x:c r="H72" s="24" t="str">
        <x:v>Perch-likes</x:v>
      </x:c>
      <x:c r="I72" s="31" t="n">
        <x:v>4.891072367</x:v>
      </x:c>
      <x:c r="J72" s="31" t="n">
        <x:v>4.891072367</x:v>
      </x:c>
      <x:c r="K72" s="31" t="n">
        <x:v>0</x:v>
      </x:c>
      <x:c r="L72" s="31" t="n">
        <x:v>1.9986424839999999</x:v>
      </x:c>
      <x:c r="M72" s="31" t="n">
        <x:v>2.892429883</x:v>
      </x:c>
      <x:c r="N72" s="24" t="str">
        <x:v>coryphaena</x:v>
      </x:c>
      <x:c r="O72" s="32" t="n">
        <x:v>4.49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Coryphaena</x:v>
      </x:c>
      <x:c r="T72" s="32" t="n">
        <x:f>IF(O72="","",(1/'Metadata'!$B$5)^(O72-1))</x:f>
        <x:v>3090.295432513592</x:v>
      </x:c>
      <x:c r="U72" s="31" t="n">
        <x:f>IF(T72="","",I72*T72)</x:f>
        <x:v>15114.858595833542</x:v>
      </x:c>
    </x:row>
    <x:row r="73" ht="18" customHeight="1">
      <x:c r="A73" s="24" t="str">
        <x:v>EEZ_834</x:v>
      </x:c>
      <x:c r="B73" s="24" t="str">
        <x:v>Tanzania</x:v>
      </x:c>
      <x:c r="C73" s="24" t="str">
        <x:v>EEZ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3.999999999</x:v>
      </x:c>
      <x:c r="J73" s="31" t="n">
        <x:v>3.999999999</x:v>
      </x:c>
      <x:c r="K73" s="31" t="n">
        <x:v>0</x:v>
      </x:c>
      <x:c r="L73" s="31" t="n">
        <x:v>3.999999999</x:v>
      </x:c>
      <x:c r="M73" s="31" t="n">
        <x:v>0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7981.049257880253</x:v>
      </x:c>
    </x:row>
    <x:row r="74" ht="18" customHeight="1">
      <x:c r="A74" s="24" t="str">
        <x:v>EEZ_834</x:v>
      </x:c>
      <x:c r="B74" s="24" t="str">
        <x:v>Tanzania</x:v>
      </x:c>
      <x:c r="C74" s="24" t="str">
        <x:v>EEZ</x:v>
      </x:c>
      <x:c r="D74" s="30" t="n">
        <x:v>2019</x:v>
      </x:c>
      <x:c r="E74" s="24" t="str">
        <x:v>Pomacentridae</x:v>
      </x:c>
      <x:c r="F74" s="24" t="str">
        <x:v>Damselfishes</x:v>
      </x:c>
      <x:c r="G74" s="24" t="str">
        <x:v>Small reef assoc. fish (&lt;30 cm)</x:v>
      </x:c>
      <x:c r="H74" s="24" t="str">
        <x:v>Perch-likes</x:v>
      </x:c>
      <x:c r="I74" s="31" t="n">
        <x:v>3.537735109</x:v>
      </x:c>
      <x:c r="J74" s="31" t="n">
        <x:v>3.537735109</x:v>
      </x:c>
      <x:c r="K74" s="31" t="n">
        <x:v>0</x:v>
      </x:c>
      <x:c r="L74" s="31" t="n">
        <x:v>1.434149739</x:v>
      </x:c>
      <x:c r="M74" s="31" t="n">
        <x:v>2.1035853700000002</x:v>
      </x:c>
      <x:c r="N74" s="24" t="str">
        <x:v>pomacentridae</x:v>
      </x:c>
      <x:c r="O74" s="32" t="n">
        <x:v>2.57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Pomacentridae</x:v>
      </x:c>
      <x:c r="T74" s="32" t="n">
        <x:f>IF(O74="","",(1/'Metadata'!$B$5)^(O74-1))</x:f>
        <x:v>37.15352290971724</x:v>
      </x:c>
      <x:c r="U74" s="31" t="n">
        <x:f>IF(T74="","",I74*T74)</x:f>
        <x:v>131.4393224207425</x:v>
      </x:c>
    </x:row>
    <x:row r="75" ht="18" customHeight="1">
      <x:c r="A75" s="24" t="str">
        <x:v>EEZ_834</x:v>
      </x:c>
      <x:c r="B75" s="24" t="str">
        <x:v>Tanzania</x:v>
      </x:c>
      <x:c r="C75" s="24" t="str">
        <x:v>EEZ</x:v>
      </x:c>
      <x:c r="D75" s="30" t="n">
        <x:v>2019</x:v>
      </x:c>
      <x:c r="E75" s="24" t="str">
        <x:v>Istiompax indica</x:v>
      </x:c>
      <x:c r="F75" s="24" t="str">
        <x:v>Black marlin</x:v>
      </x:c>
      <x:c r="G75" s="24" t="str">
        <x:v>Large pelagics (&gt;=90 cm)</x:v>
      </x:c>
      <x:c r="H75" s="24" t="str">
        <x:v>Tuna &amp; billfishes</x:v>
      </x:c>
      <x:c r="I75" s="31" t="n">
        <x:v>2.7397955548</x:v>
      </x:c>
      <x:c r="J75" s="31" t="n">
        <x:v>2.7397955548</x:v>
      </x:c>
      <x:c r="K75" s="31" t="n">
        <x:v>0</x:v>
      </x:c>
      <x:c r="L75" s="31" t="n">
        <x:v>0.1167129708</x:v>
      </x:c>
      <x:c r="M75" s="31" t="n">
        <x:v>2.623082584</x:v>
      </x:c>
      <x:c r="N75" s="24" t="str">
        <x:v>istiompax indica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Istiompax indica</x:v>
      </x:c>
      <x:c r="T75" s="32" t="n">
        <x:f>IF(O75="","",(1/'Metadata'!$B$5)^(O75-1))</x:f>
        <x:v>3162.2776601683795</x:v>
      </x:c>
      <x:c r="U75" s="31" t="n">
        <x:f>IF(T75="","",I75*T75)</x:f>
        <x:v>8663.994276372672</x:v>
      </x:c>
    </x:row>
    <x:row r="76" ht="18" customHeight="1">
      <x:c r="A76" s="24" t="str">
        <x:v>EEZ_834</x:v>
      </x:c>
      <x:c r="B76" s="24" t="str">
        <x:v>Tanzania</x:v>
      </x:c>
      <x:c r="C76" s="24" t="str">
        <x:v>EEZ</x:v>
      </x:c>
      <x:c r="D76" s="30" t="n">
        <x:v>2019</x:v>
      </x:c>
      <x:c r="E76" s="24" t="str">
        <x:v>Sciaenidae</x:v>
      </x:c>
      <x:c r="F76" s="24" t="str">
        <x:v>Drums, croakers</x:v>
      </x:c>
      <x:c r="G76" s="24" t="str">
        <x:v>Medium demersals (30 - 89 cm)</x:v>
      </x:c>
      <x:c r="H76" s="24" t="str">
        <x:v>Perch-likes</x:v>
      </x:c>
      <x:c r="I76" s="31" t="n">
        <x:v>2.4851664684</x:v>
      </x:c>
      <x:c r="J76" s="31" t="n">
        <x:v>2.4851664684</x:v>
      </x:c>
      <x:c r="K76" s="31" t="n">
        <x:v>0</x:v>
      </x:c>
      <x:c r="L76" s="31" t="n">
        <x:v>2.2243873004</x:v>
      </x:c>
      <x:c r="M76" s="31" t="n">
        <x:v>0.260779168</x:v>
      </x:c>
      <x:c r="N76" s="24" t="str">
        <x:v>sciaenidae</x:v>
      </x:c>
      <x:c r="O76" s="32" t="n">
        <x:v>3.76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Sciaenidae</x:v>
      </x:c>
      <x:c r="T76" s="32" t="n">
        <x:f>IF(O76="","",(1/'Metadata'!$B$5)^(O76-1))</x:f>
        <x:v>575.4399373371566</x:v>
      </x:c>
      <x:c r="U76" s="31" t="n">
        <x:f>IF(T76="","",I76*T76)</x:f>
        <x:v>1430.0640368484987</x:v>
      </x:c>
    </x:row>
    <x:row r="77" ht="18" customHeight="1">
      <x:c r="A77" s="24" t="str">
        <x:v>EEZ_834</x:v>
      </x:c>
      <x:c r="B77" s="24" t="str">
        <x:v>Tanzania</x:v>
      </x:c>
      <x:c r="C77" s="24" t="str">
        <x:v>EEZ</x:v>
      </x:c>
      <x:c r="D77" s="30" t="n">
        <x:v>2019</x:v>
      </x:c>
      <x:c r="E77" s="24" t="str">
        <x:v>Platycaranx chrysophrys</x:v>
      </x:c>
      <x:c r="F77" s="24" t="str">
        <x:v>Longnose trevally</x:v>
      </x:c>
      <x:c r="G77" s="24" t="str">
        <x:v>Small pelagics (&lt;30 cm)</x:v>
      </x:c>
      <x:c r="H77" s="24" t="str">
        <x:v>Perch-likes</x:v>
      </x:c>
      <x:c r="I77" s="31" t="n">
        <x:v>2.0504136239</x:v>
      </x:c>
      <x:c r="J77" s="31" t="n">
        <x:v>0</x:v>
      </x:c>
      <x:c r="K77" s="31" t="n">
        <x:v>2.0504136239</x:v>
      </x:c>
      <x:c r="L77" s="31" t="n">
        <x:v>0</x:v>
      </x:c>
      <x:c r="M77" s="31" t="n">
        <x:v>2.0504136239</x:v>
      </x:c>
      <x:c r="N77" s="24" t="str">
        <x:v>platycaranx chrysophrys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Platycaranx chrysophrys</x:v>
      </x:c>
      <x:c r="T77" s="32" t="n">
        <x:f>IF(O77="","",(1/'Metadata'!$B$5)^(O77-1))</x:f>
        <x:v>1995.2623149688789</x:v>
      </x:c>
      <x:c r="U77" s="31" t="n">
        <x:f>IF(T77="","",I77*T77)</x:f>
        <x:v>4091.113033866442</x:v>
      </x:c>
    </x:row>
    <x:row r="78" ht="18" customHeight="1">
      <x:c r="A78" s="24" t="str">
        <x:v>EEZ_834</x:v>
      </x:c>
      <x:c r="B78" s="24" t="str">
        <x:v>Tanzania</x:v>
      </x:c>
      <x:c r="C78" s="24" t="str">
        <x:v>EEZ</x:v>
      </x:c>
      <x:c r="D78" s="30" t="n">
        <x:v>2019</x:v>
      </x:c>
      <x:c r="E78" s="24" t="str">
        <x:v>Balistidae</x:v>
      </x:c>
      <x:c r="F78" s="24" t="str">
        <x:v>Triggerfishes</x:v>
      </x:c>
      <x:c r="G78" s="24" t="str">
        <x:v>Medium reef assoc. fish (30 - 89 cm)</x:v>
      </x:c>
      <x:c r="H78" s="24" t="str">
        <x:v>Other fishes &amp; inverts</x:v>
      </x:c>
      <x:c r="I78" s="31" t="n">
        <x:v>1.8044496790000002</x:v>
      </x:c>
      <x:c r="J78" s="31" t="n">
        <x:v>1.8044496790000002</x:v>
      </x:c>
      <x:c r="K78" s="31" t="n">
        <x:v>0</x:v>
      </x:c>
      <x:c r="L78" s="31" t="n">
        <x:v>0.752656995</x:v>
      </x:c>
      <x:c r="M78" s="31" t="n">
        <x:v>1.051792684</x:v>
      </x:c>
      <x:c r="N78" s="24" t="str">
        <x:v>balistidae</x:v>
      </x:c>
      <x:c r="O78" s="32" t="n">
        <x:v>3.25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Balistidae</x:v>
      </x:c>
      <x:c r="T78" s="32" t="n">
        <x:f>IF(O78="","",(1/'Metadata'!$B$5)^(O78-1))</x:f>
        <x:v>177.82794100389228</x:v>
      </x:c>
      <x:c r="U78" s="31" t="n">
        <x:f>IF(T78="","",I78*T78)</x:f>
        <x:v>320.8815710617044</x:v>
      </x:c>
    </x:row>
    <x:row r="79" ht="18" customHeight="1">
      <x:c r="A79" s="24" t="str">
        <x:v>EEZ_834</x:v>
      </x:c>
      <x:c r="B79" s="24" t="str">
        <x:v>Tanzania</x:v>
      </x:c>
      <x:c r="C79" s="24" t="str">
        <x:v>EEZ</x:v>
      </x:c>
      <x:c r="D79" s="30" t="n">
        <x:v>2019</x:v>
      </x:c>
      <x:c r="E79" s="24" t="str">
        <x:v>Upeneus vittatus</x:v>
      </x:c>
      <x:c r="F79" s="24" t="str">
        <x:v>Yellowstriped goatfish</x:v>
      </x:c>
      <x:c r="G79" s="24" t="str">
        <x:v>Small reef assoc. fish (&lt;30 cm)</x:v>
      </x:c>
      <x:c r="H79" s="24" t="str">
        <x:v>Perch-likes</x:v>
      </x:c>
      <x:c r="I79" s="31" t="n">
        <x:v>1.5378164745</x:v>
      </x:c>
      <x:c r="J79" s="31" t="n">
        <x:v>0</x:v>
      </x:c>
      <x:c r="K79" s="31" t="n">
        <x:v>1.5378164745</x:v>
      </x:c>
      <x:c r="L79" s="31" t="n">
        <x:v>0</x:v>
      </x:c>
      <x:c r="M79" s="31" t="n">
        <x:v>1.5378164745</x:v>
      </x:c>
      <x:c r="N79" s="24" t="str">
        <x:v>upeneus vittatus</x:v>
      </x:c>
      <x:c r="O79" s="32" t="n">
        <x:v>3.62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Upeneus vittatus</x:v>
      </x:c>
      <x:c r="T79" s="32" t="n">
        <x:f>IF(O79="","",(1/'Metadata'!$B$5)^(O79-1))</x:f>
        <x:v>416.8693834703355</x:v>
      </x:c>
      <x:c r="U79" s="31" t="n">
        <x:f>IF(T79="","",I79*T79)</x:f>
        <x:v>641.06860561534</x:v>
      </x:c>
    </x:row>
    <x:row r="80" ht="18" customHeight="1">
      <x:c r="A80" s="24" t="str">
        <x:v>EEZ_834</x:v>
      </x:c>
      <x:c r="B80" s="24" t="str">
        <x:v>Tanzania</x:v>
      </x:c>
      <x:c r="C80" s="24" t="str">
        <x:v>EEZ</x:v>
      </x:c>
      <x:c r="D80" s="30" t="n">
        <x:v>2019</x:v>
      </x:c>
      <x:c r="E80" s="24" t="str">
        <x:v>Trichiuridae</x:v>
      </x:c>
      <x:c r="F80" s="24" t="str">
        <x:v>Cutlassfishes</x:v>
      </x:c>
      <x:c r="G80" s="24" t="str">
        <x:v>Large benthopelagics (&gt;=90 cm)</x:v>
      </x:c>
      <x:c r="H80" s="24" t="str">
        <x:v>Perch-likes</x:v>
      </x:c>
      <x:c r="I80" s="31" t="n">
        <x:v>0.973230698</x:v>
      </x:c>
      <x:c r="J80" s="31" t="n">
        <x:v>0.973230698</x:v>
      </x:c>
      <x:c r="K80" s="31" t="n">
        <x:v>0</x:v>
      </x:c>
      <x:c r="L80" s="31" t="n">
        <x:v>0.447492746</x:v>
      </x:c>
      <x:c r="M80" s="31" t="n">
        <x:v>0.525737952</x:v>
      </x:c>
      <x:c r="N80" s="24" t="str">
        <x:v>trichiuridae</x:v>
      </x:c>
      <x:c r="O80" s="32" t="n">
        <x:v>4.15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Trichiuridae</x:v>
      </x:c>
      <x:c r="T80" s="32" t="n">
        <x:f>IF(O80="","",(1/'Metadata'!$B$5)^(O80-1))</x:f>
        <x:v>1412.5375446227554</x:v>
      </x:c>
      <x:c r="U80" s="31" t="n">
        <x:f>IF(T80="","",I80*T80)</x:f>
        <x:v>1374.7249005044102</x:v>
      </x:c>
    </x:row>
    <x:row r="81" ht="18" customHeight="1">
      <x:c r="A81" s="24" t="str">
        <x:v>EEZ_834</x:v>
      </x:c>
      <x:c r="B81" s="24" t="str">
        <x:v>Tanzania</x:v>
      </x:c>
      <x:c r="C81" s="24" t="str">
        <x:v>EEZ</x:v>
      </x:c>
      <x:c r="D81" s="30" t="n">
        <x:v>2019</x:v>
      </x:c>
      <x:c r="E81" s="24" t="str">
        <x:v>Clupeiformes</x:v>
      </x:c>
      <x:c r="F81" s="24" t="str">
        <x:v>Herrings, shads, anchovies</x:v>
      </x:c>
      <x:c r="G81" s="24" t="str">
        <x:v>Small pelagics (&lt;30 cm)</x:v>
      </x:c>
      <x:c r="H81" s="24" t="str">
        <x:v>Other fishes &amp; inverts</x:v>
      </x:c>
      <x:c r="I81" s="31" t="n">
        <x:v>0.925135229</x:v>
      </x:c>
      <x:c r="J81" s="31" t="n">
        <x:v>0.925135229</x:v>
      </x:c>
      <x:c r="K81" s="31" t="n">
        <x:v>0</x:v>
      </x:c>
      <x:c r="L81" s="31" t="n">
        <x:v>0.925135229</x:v>
      </x:c>
      <x:c r="M81" s="31" t="n">
        <x:v>0</x:v>
      </x:c>
      <x:c r="N81" s="24" t="str">
        <x:v>clupeiformes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Clupeiformes</x:v>
      </x:c>
      <x:c r="T81" s="32" t="n">
        <x:f>IF(O81="","",(1/'Metadata'!$B$5)^(O81-1))</x:f>
        <x:v>173.78008287493762</x:v>
      </x:c>
      <x:c r="U81" s="31" t="n">
        <x:f>IF(T81="","",I81*T81)</x:f>
        <x:v>160.7700767661444</x:v>
      </x:c>
    </x:row>
    <x:row r="82" ht="18" customHeight="1">
      <x:c r="A82" s="24" t="str">
        <x:v>EEZ_834</x:v>
      </x:c>
      <x:c r="B82" s="24" t="str">
        <x:v>Tanzania</x:v>
      </x:c>
      <x:c r="C82" s="24" t="str">
        <x:v>EEZ</x:v>
      </x:c>
      <x:c r="D82" s="30" t="n">
        <x:v>2019</x:v>
      </x:c>
      <x:c r="E82" s="24" t="str">
        <x:v>Platycephalidae</x:v>
      </x:c>
      <x:c r="F82" s="24" t="str">
        <x:v>Flatheads</x:v>
      </x:c>
      <x:c r="G82" s="24" t="str">
        <x:v>Medium demersals (30 - 89 cm)</x:v>
      </x:c>
      <x:c r="H82" s="24" t="str">
        <x:v>Scorpionfishes</x:v>
      </x:c>
      <x:c r="I82" s="31" t="n">
        <x:v>0.902224841</x:v>
      </x:c>
      <x:c r="J82" s="31" t="n">
        <x:v>0.902224841</x:v>
      </x:c>
      <x:c r="K82" s="31" t="n">
        <x:v>0</x:v>
      </x:c>
      <x:c r="L82" s="31" t="n">
        <x:v>0.376328498</x:v>
      </x:c>
      <x:c r="M82" s="31" t="n">
        <x:v>0.525896343</x:v>
      </x:c>
      <x:c r="N82" s="24" t="str">
        <x:v>platycephalidae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Platycephalidae</x:v>
      </x:c>
      <x:c r="T82" s="32" t="n">
        <x:f>IF(O82="","",(1/'Metadata'!$B$5)^(O82-1))</x:f>
        <x:v>794.3282347242813</x:v>
      </x:c>
      <x:c r="U82" s="31" t="n">
        <x:f>IF(T82="","",I82*T82)</x:f>
        <x:v>716.6626652759254</x:v>
      </x:c>
    </x:row>
    <x:row r="83" ht="18" customHeight="1">
      <x:c r="A83" s="24" t="str">
        <x:v>EEZ_834</x:v>
      </x:c>
      <x:c r="B83" s="24" t="str">
        <x:v>Tanzania</x:v>
      </x:c>
      <x:c r="C83" s="24" t="str">
        <x:v>EEZ</x:v>
      </x:c>
      <x:c r="D83" s="30" t="n">
        <x:v>2019</x:v>
      </x:c>
      <x:c r="E83" s="24" t="str">
        <x:v>Muraenesocidae</x:v>
      </x:c>
      <x:c r="F83" s="24" t="str">
        <x:v>Pike congers</x:v>
      </x:c>
      <x:c r="G83" s="24" t="str">
        <x:v>Large demersals (&gt;=90 cm)</x:v>
      </x:c>
      <x:c r="H83" s="24" t="str">
        <x:v>Other fishes &amp; inverts</x:v>
      </x:c>
      <x:c r="I83" s="31" t="n">
        <x:v>0.7427802538</x:v>
      </x:c>
      <x:c r="J83" s="31" t="n">
        <x:v>0.7427802538</x:v>
      </x:c>
      <x:c r="K83" s="31" t="n">
        <x:v>0</x:v>
      </x:c>
      <x:c r="L83" s="31" t="n">
        <x:v>0.7427802538</x:v>
      </x:c>
      <x:c r="M83" s="31" t="n">
        <x:v>0</x:v>
      </x:c>
      <x:c r="N83" s="24" t="str">
        <x:v>muraenesocidae</x:v>
      </x:c>
      <x:c r="O83" s="32" t="n">
        <x:v>3.9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Muraenesocidae</x:v>
      </x:c>
      <x:c r="T83" s="32" t="n">
        <x:f>IF(O83="","",(1/'Metadata'!$B$5)^(O83-1))</x:f>
        <x:v>794.3282347242813</x:v>
      </x:c>
      <x:c r="U83" s="31" t="n">
        <x:f>IF(T83="","",I83*T83)</x:f>
        <x:v>590.0113277890076</x:v>
      </x:c>
    </x:row>
    <x:row r="84" ht="18" customHeight="1">
      <x:c r="A84" s="24" t="str">
        <x:v>EEZ_834</x:v>
      </x:c>
      <x:c r="B84" s="24" t="str">
        <x:v>Tanzania</x:v>
      </x:c>
      <x:c r="C84" s="24" t="str">
        <x:v>EEZ</x:v>
      </x:c>
      <x:c r="D84" s="30" t="n">
        <x:v>2019</x:v>
      </x:c>
      <x:c r="E84" s="24" t="str">
        <x:v>Otolithes ruber</x:v>
      </x:c>
      <x:c r="F84" s="24" t="str">
        <x:v>Tigertooth croaker</x:v>
      </x:c>
      <x:c r="G84" s="24" t="str">
        <x:v>Medium benthopelagics (30 - 89 cm)</x:v>
      </x:c>
      <x:c r="H84" s="24" t="str">
        <x:v>Perch-likes</x:v>
      </x:c>
      <x:c r="I84" s="31" t="n">
        <x:v>0.7112260205</x:v>
      </x:c>
      <x:c r="J84" s="31" t="n">
        <x:v>0</x:v>
      </x:c>
      <x:c r="K84" s="31" t="n">
        <x:v>0.7112260205</x:v>
      </x:c>
      <x:c r="L84" s="31" t="n">
        <x:v>0</x:v>
      </x:c>
      <x:c r="M84" s="31" t="n">
        <x:v>0.7112260205</x:v>
      </x:c>
      <x:c r="N84" s="24" t="str">
        <x:v>otolithes ruber</x:v>
      </x:c>
      <x:c r="O84" s="32" t="n">
        <x:v>3.6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Otolithes ruber</x:v>
      </x:c>
      <x:c r="T84" s="32" t="n">
        <x:f>IF(O84="","",(1/'Metadata'!$B$5)^(O84-1))</x:f>
        <x:v>398.1071705534973</x:v>
      </x:c>
      <x:c r="U84" s="31" t="n">
        <x:f>IF(T84="","",I84*T84)</x:f>
        <x:v>283.14417864527866</x:v>
      </x:c>
    </x:row>
    <x:row r="85" ht="18" customHeight="1">
      <x:c r="A85" s="24" t="str">
        <x:v>EEZ_834</x:v>
      </x:c>
      <x:c r="B85" s="24" t="str">
        <x:v>Tanzania</x:v>
      </x:c>
      <x:c r="C85" s="24" t="str">
        <x:v>EEZ</x:v>
      </x:c>
      <x:c r="D85" s="30" t="n">
        <x:v>2019</x:v>
      </x:c>
      <x:c r="E85" s="24" t="str">
        <x:v>Netuma thalassina</x:v>
      </x:c>
      <x:c r="F85" s="24" t="str">
        <x:v>Giant catfish</x:v>
      </x:c>
      <x:c r="G85" s="24" t="str">
        <x:v>Large demersals (&gt;=90 cm)</x:v>
      </x:c>
      <x:c r="H85" s="24" t="str">
        <x:v>Other fishes &amp; inverts</x:v>
      </x:c>
      <x:c r="I85" s="31" t="n">
        <x:v>0.6845466156</x:v>
      </x:c>
      <x:c r="J85" s="31" t="n">
        <x:v>0</x:v>
      </x:c>
      <x:c r="K85" s="31" t="n">
        <x:v>0.6845466156</x:v>
      </x:c>
      <x:c r="L85" s="31" t="n">
        <x:v>0</x:v>
      </x:c>
      <x:c r="M85" s="31" t="n">
        <x:v>0.6845466156</x:v>
      </x:c>
      <x:c r="N85" s="24" t="str">
        <x:v>netuma thalassina</x:v>
      </x:c>
      <x:c r="O85" s="32" t="n">
        <x:v>3.54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Netuma thalassina</x:v>
      </x:c>
      <x:c r="T85" s="32" t="n">
        <x:f>IF(O85="","",(1/'Metadata'!$B$5)^(O85-1))</x:f>
        <x:v>346.73685045253166</x:v>
      </x:c>
      <x:c r="U85" s="31" t="n">
        <x:f>IF(T85="","",I85*T85)</x:f>
        <x:v>237.35753748108385</x:v>
      </x:c>
    </x:row>
    <x:row r="86" ht="18" customHeight="1">
      <x:c r="A86" s="24" t="str">
        <x:v>EEZ_834</x:v>
      </x:c>
      <x:c r="B86" s="24" t="str">
        <x:v>Tanzania</x:v>
      </x:c>
      <x:c r="C86" s="24" t="str">
        <x:v>EEZ</x:v>
      </x:c>
      <x:c r="D86" s="30" t="n">
        <x:v>2019</x:v>
      </x:c>
      <x:c r="E86" s="24" t="str">
        <x:v>Terapon jarbua</x:v>
      </x:c>
      <x:c r="F86" s="24" t="str">
        <x:v>Jarbua terapon</x:v>
      </x:c>
      <x:c r="G86" s="24" t="str">
        <x:v>Medium demersals (30 - 89 cm)</x:v>
      </x:c>
      <x:c r="H86" s="24" t="str">
        <x:v>Perch-likes</x:v>
      </x:c>
      <x:c r="I86" s="31" t="n">
        <x:v>0.6330591435</x:v>
      </x:c>
      <x:c r="J86" s="31" t="n">
        <x:v>0</x:v>
      </x:c>
      <x:c r="K86" s="31" t="n">
        <x:v>0.6330591435</x:v>
      </x:c>
      <x:c r="L86" s="31" t="n">
        <x:v>0</x:v>
      </x:c>
      <x:c r="M86" s="31" t="n">
        <x:v>0.6330591435</x:v>
      </x:c>
      <x:c r="N86" s="24" t="str">
        <x:v>terapon jarbua</x:v>
      </x:c>
      <x:c r="O86" s="32" t="n">
        <x:v>3.93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Terapon jarbua</x:v>
      </x:c>
      <x:c r="T86" s="32" t="n">
        <x:f>IF(O86="","",(1/'Metadata'!$B$5)^(O86-1))</x:f>
        <x:v>851.1380382023768</x:v>
      </x:c>
      <x:c r="U86" s="31" t="n">
        <x:f>IF(T86="","",I86*T86)</x:f>
        <x:v>538.820717464667</x:v>
      </x:c>
    </x:row>
    <x:row r="87" ht="18" customHeight="1">
      <x:c r="A87" s="24" t="str">
        <x:v>EEZ_834</x:v>
      </x:c>
      <x:c r="B87" s="24" t="str">
        <x:v>Tanzania</x:v>
      </x:c>
      <x:c r="C87" s="24" t="str">
        <x:v>EEZ</x:v>
      </x:c>
      <x:c r="D87" s="30" t="n">
        <x:v>2019</x:v>
      </x:c>
      <x:c r="E87" s="24" t="str">
        <x:v>Scombroidei</x:v>
      </x:c>
      <x:c r="F87" s="24" t="str">
        <x:v>Tunas, bonitos, billfishes</x:v>
      </x:c>
      <x:c r="G87" s="24" t="str">
        <x:v>Large pelagics (&gt;=90 cm)</x:v>
      </x:c>
      <x:c r="H87" s="24" t="str">
        <x:v>Tuna &amp; billfishes</x:v>
      </x:c>
      <x:c r="I87" s="31" t="n">
        <x:v>0.5759147703</x:v>
      </x:c>
      <x:c r="J87" s="31" t="n">
        <x:v>0.5759147703</x:v>
      </x:c>
      <x:c r="K87" s="31" t="n">
        <x:v>0</x:v>
      </x:c>
      <x:c r="L87" s="31" t="n">
        <x:v>0.5759147703</x:v>
      </x:c>
      <x:c r="M87" s="31" t="n">
        <x:v>0</x:v>
      </x:c>
      <x:c r="N87" s="24" t="str">
        <x:v>scombroidei</x:v>
      </x:c>
      <x:c r="O87" s="32" t="n">
        <x:v>4.2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Scombroidei</x:v>
      </x:c>
      <x:c r="T87" s="32" t="n">
        <x:f>IF(O87="","",(1/'Metadata'!$B$5)^(O87-1))</x:f>
        <x:v>1584.893192461114</x:v>
      </x:c>
      <x:c r="U87" s="31" t="n">
        <x:f>IF(T87="","",I87*T87)</x:f>
        <x:v>912.7633988862763</x:v>
      </x:c>
    </x:row>
    <x:row r="88" ht="18" customHeight="1">
      <x:c r="A88" s="24" t="str">
        <x:v>EEZ_834</x:v>
      </x:c>
      <x:c r="B88" s="24" t="str">
        <x:v>Tanzania</x:v>
      </x:c>
      <x:c r="C88" s="24" t="str">
        <x:v>EEZ</x:v>
      </x:c>
      <x:c r="D88" s="30" t="n">
        <x:v>2019</x:v>
      </x:c>
      <x:c r="E88" s="24" t="str">
        <x:v>Sillago sihama</x:v>
      </x:c>
      <x:c r="F88" s="24" t="str">
        <x:v>Silver sillago</x:v>
      </x:c>
      <x:c r="G88" s="24" t="str">
        <x:v>Medium demersals (30 - 89 cm)</x:v>
      </x:c>
      <x:c r="H88" s="24" t="str">
        <x:v>Perch-likes</x:v>
      </x:c>
      <x:c r="I88" s="31" t="n">
        <x:v>0.5660649108</x:v>
      </x:c>
      <x:c r="J88" s="31" t="n">
        <x:v>0</x:v>
      </x:c>
      <x:c r="K88" s="31" t="n">
        <x:v>0.5660649108</x:v>
      </x:c>
      <x:c r="L88" s="31" t="n">
        <x:v>0</x:v>
      </x:c>
      <x:c r="M88" s="31" t="n">
        <x:v>0.5660649108</x:v>
      </x:c>
      <x:c r="N88" s="24" t="str">
        <x:v>sillago sihama</x:v>
      </x:c>
      <x:c r="O88" s="32" t="n">
        <x:v>3.33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Sillago sihama</x:v>
      </x:c>
      <x:c r="T88" s="32" t="n">
        <x:f>IF(O88="","",(1/'Metadata'!$B$5)^(O88-1))</x:f>
        <x:v>213.79620895022325</x:v>
      </x:c>
      <x:c r="U88" s="31" t="n">
        <x:f>IF(T88="","",I88*T88)</x:f>
        <x:v>121.02253194878628</x:v>
      </x:c>
    </x:row>
    <x:row r="89" ht="18" customHeight="1">
      <x:c r="A89" s="24" t="str">
        <x:v>EEZ_834</x:v>
      </x:c>
      <x:c r="B89" s="24" t="str">
        <x:v>Tanzania</x:v>
      </x:c>
      <x:c r="C89" s="24" t="str">
        <x:v>EEZ</x:v>
      </x:c>
      <x:c r="D89" s="30" t="n">
        <x:v>2019</x:v>
      </x:c>
      <x:c r="E89" s="24" t="str">
        <x:v>Scomberoides lysan</x:v>
      </x:c>
      <x:c r="F89" s="24" t="str">
        <x:v>Doublespotted queenfish</x:v>
      </x:c>
      <x:c r="G89" s="24" t="str">
        <x:v>Medium reef assoc. fish (30 - 89 cm)</x:v>
      </x:c>
      <x:c r="H89" s="24" t="str">
        <x:v>Perch-likes</x:v>
      </x:c>
      <x:c r="I89" s="31" t="n">
        <x:v>0.4614345649</x:v>
      </x:c>
      <x:c r="J89" s="31" t="n">
        <x:v>0</x:v>
      </x:c>
      <x:c r="K89" s="31" t="n">
        <x:v>0.4614345649</x:v>
      </x:c>
      <x:c r="L89" s="31" t="n">
        <x:v>0</x:v>
      </x:c>
      <x:c r="M89" s="31" t="n">
        <x:v>0.4614345649</x:v>
      </x:c>
      <x:c r="N89" s="24" t="str">
        <x:v>scomberoides lysan</x:v>
      </x:c>
      <x:c r="O89" s="32" t="n">
        <x:v>4.38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Scomberoides lysan</x:v>
      </x:c>
      <x:c r="T89" s="32" t="n">
        <x:f>IF(O89="","",(1/'Metadata'!$B$5)^(O89-1))</x:f>
        <x:v>2398.83291901949</x:v>
      </x:c>
      <x:c r="U89" s="31" t="n">
        <x:f>IF(T89="","",I89*T89)</x:f>
        <x:v>1106.9044242555553</x:v>
      </x:c>
    </x:row>
    <x:row r="90" ht="18" customHeight="1">
      <x:c r="A90" s="24" t="str">
        <x:v>EEZ_834</x:v>
      </x:c>
      <x:c r="B90" s="24" t="str">
        <x:v>Tanzania</x:v>
      </x:c>
      <x:c r="C90" s="24" t="str">
        <x:v>EEZ</x:v>
      </x:c>
      <x:c r="D90" s="30" t="n">
        <x:v>2019</x:v>
      </x:c>
      <x:c r="E90" s="24" t="str">
        <x:v>Chaetodontidae</x:v>
      </x:c>
      <x:c r="F90" s="24" t="str">
        <x:v>Butterflyfishes</x:v>
      </x:c>
      <x:c r="G90" s="24" t="str">
        <x:v>Small reef assoc. fish (&lt;30 cm)</x:v>
      </x:c>
      <x:c r="H90" s="24" t="str">
        <x:v>Perch-likes</x:v>
      </x:c>
      <x:c r="I90" s="31" t="n">
        <x:v>0.44363642799999997</x:v>
      </x:c>
      <x:c r="J90" s="31" t="n">
        <x:v>0.44363642799999997</x:v>
      </x:c>
      <x:c r="K90" s="31" t="n">
        <x:v>0</x:v>
      </x:c>
      <x:c r="L90" s="31" t="n">
        <x:v>0.188164248</x:v>
      </x:c>
      <x:c r="M90" s="31" t="n">
        <x:v>0.25547218</x:v>
      </x:c>
      <x:c r="N90" s="24" t="str">
        <x:v>chaetodontidae</x:v>
      </x:c>
      <x:c r="O90" s="32" t="n">
        <x:v>3.24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Chaetodontidae</x:v>
      </x:c>
      <x:c r="T90" s="32" t="n">
        <x:f>IF(O90="","",(1/'Metadata'!$B$5)^(O90-1))</x:f>
        <x:v>173.78008287493762</x:v>
      </x:c>
      <x:c r="U90" s="31" t="n">
        <x:f>IF(T90="","",I90*T90)</x:f>
        <x:v>77.09517522418129</x:v>
      </x:c>
    </x:row>
    <x:row r="91" ht="18" customHeight="1">
      <x:c r="A91" s="24" t="str">
        <x:v>EEZ_834</x:v>
      </x:c>
      <x:c r="B91" s="24" t="str">
        <x:v>Tanzania</x:v>
      </x:c>
      <x:c r="C91" s="24" t="str">
        <x:v>EEZ</x:v>
      </x:c>
      <x:c r="D91" s="30" t="n">
        <x:v>2019</x:v>
      </x:c>
      <x:c r="E91" s="24" t="str">
        <x:v>Mugil cephalus</x:v>
      </x:c>
      <x:c r="F91" s="24" t="str">
        <x:v>Flathead grey mullet</x:v>
      </x:c>
      <x:c r="G91" s="24" t="str">
        <x:v>Large benthopelagics (&gt;=90 cm)</x:v>
      </x:c>
      <x:c r="H91" s="24" t="str">
        <x:v>Perch-likes</x:v>
      </x:c>
      <x:c r="I91" s="31" t="n">
        <x:v>0.4237510919</x:v>
      </x:c>
      <x:c r="J91" s="31" t="n">
        <x:v>0</x:v>
      </x:c>
      <x:c r="K91" s="31" t="n">
        <x:v>0.4237510919</x:v>
      </x:c>
      <x:c r="L91" s="31" t="n">
        <x:v>0</x:v>
      </x:c>
      <x:c r="M91" s="31" t="n">
        <x:v>0.4237510919</x:v>
      </x:c>
      <x:c r="N91" s="24" t="str">
        <x:v>mugil cephalus</x:v>
      </x:c>
      <x:c r="O91" s="32" t="n">
        <x:v>2.14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Mugil cephalus</x:v>
      </x:c>
      <x:c r="T91" s="32" t="n">
        <x:f>IF(O91="","",(1/'Metadata'!$B$5)^(O91-1))</x:f>
        <x:v>13.803842646028853</x:v>
      </x:c>
      <x:c r="U91" s="31" t="n">
        <x:f>IF(T91="","",I91*T91)</x:f>
        <x:v>5.849393393670511</x:v>
      </x:c>
    </x:row>
    <x:row r="92" ht="18" customHeight="1">
      <x:c r="A92" s="24" t="str">
        <x:v>EEZ_834</x:v>
      </x:c>
      <x:c r="B92" s="24" t="str">
        <x:v>Tanzania</x:v>
      </x:c>
      <x:c r="C92" s="24" t="str">
        <x:v>EEZ</x:v>
      </x:c>
      <x:c r="D92" s="30" t="n">
        <x:v>2019</x:v>
      </x:c>
      <x:c r="E92" s="24" t="str">
        <x:v>Thryssa</x:v>
      </x:c>
      <x:c r="F92" s="24" t="str">
        <x:v>Thryssas</x:v>
      </x:c>
      <x:c r="G92" s="24" t="str">
        <x:v>Small pelagics (&lt;30 cm)</x:v>
      </x:c>
      <x:c r="H92" s="24" t="str">
        <x:v>Anchovies</x:v>
      </x:c>
      <x:c r="I92" s="31" t="n">
        <x:v>0.4083623428</x:v>
      </x:c>
      <x:c r="J92" s="31" t="n">
        <x:v>0</x:v>
      </x:c>
      <x:c r="K92" s="31" t="n">
        <x:v>0.4083623428</x:v>
      </x:c>
      <x:c r="L92" s="31" t="n">
        <x:v>0</x:v>
      </x:c>
      <x:c r="M92" s="31" t="n">
        <x:v>0.4083623428</x:v>
      </x:c>
      <x:c r="N92" s="24" t="str">
        <x:v>thryssa</x:v>
      </x:c>
      <x:c r="O92" s="32" t="n">
        <x:v>3.34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Thryssa</x:v>
      </x:c>
      <x:c r="T92" s="32" t="n">
        <x:f>IF(O92="","",(1/'Metadata'!$B$5)^(O92-1))</x:f>
        <x:v>218.77616239495518</x:v>
      </x:c>
      <x:c r="U92" s="31" t="n">
        <x:f>IF(T92="","",I92*T92)</x:f>
        <x:v>89.33994622439715</x:v>
      </x:c>
    </x:row>
    <x:row r="93" ht="18" customHeight="1">
      <x:c r="A93" s="24" t="str">
        <x:v>EEZ_834</x:v>
      </x:c>
      <x:c r="B93" s="24" t="str">
        <x:v>Tanzania</x:v>
      </x:c>
      <x:c r="C93" s="24" t="str">
        <x:v>EEZ</x:v>
      </x:c>
      <x:c r="D93" s="30" t="n">
        <x:v>2019</x:v>
      </x:c>
      <x:c r="E93" s="24" t="str">
        <x:v>Tetraodontidae</x:v>
      </x:c>
      <x:c r="F93" s="24" t="str">
        <x:v>Puffers, tobies</x:v>
      </x:c>
      <x:c r="G93" s="24" t="str">
        <x:v>Large reef assoc. fish (&gt;=90 cm)</x:v>
      </x:c>
      <x:c r="H93" s="24" t="str">
        <x:v>Other fishes &amp; inverts</x:v>
      </x:c>
      <x:c r="I93" s="31" t="n">
        <x:v>0.379948169</x:v>
      </x:c>
      <x:c r="J93" s="31" t="n">
        <x:v>0.379948169</x:v>
      </x:c>
      <x:c r="K93" s="31" t="n">
        <x:v>0</x:v>
      </x:c>
      <x:c r="L93" s="31" t="n">
        <x:v>0.11699999999999999</x:v>
      </x:c>
      <x:c r="M93" s="31" t="n">
        <x:v>0.26294816899999995</x:v>
      </x:c>
      <x:c r="N93" s="24" t="str">
        <x:v>tetraodontidae</x:v>
      </x:c>
      <x:c r="O93" s="32" t="n">
        <x:v>3.5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Tetraodontidae</x:v>
      </x:c>
      <x:c r="T93" s="32" t="n">
        <x:f>IF(O93="","",(1/'Metadata'!$B$5)^(O93-1))</x:f>
        <x:v>316.22776601683796</x:v>
      </x:c>
      <x:c r="U93" s="31" t="n">
        <x:f>IF(T93="","",I93*T93)</x:f>
        <x:v>120.15016068505801</x:v>
      </x:c>
    </x:row>
    <x:row r="94" ht="18" customHeight="1">
      <x:c r="A94" s="24" t="str">
        <x:v>EEZ_834</x:v>
      </x:c>
      <x:c r="B94" s="24" t="str">
        <x:v>Tanzania</x:v>
      </x:c>
      <x:c r="C94" s="24" t="str">
        <x:v>EEZ</x:v>
      </x:c>
      <x:c r="D94" s="30" t="n">
        <x:v>2019</x:v>
      </x:c>
      <x:c r="E94" s="24" t="str">
        <x:v>Echeneidae</x:v>
      </x:c>
      <x:c r="F94" s="24" t="str">
        <x:v>Remoras</x:v>
      </x:c>
      <x:c r="G94" s="24" t="str">
        <x:v>Large pelagics (&gt;=90 cm)</x:v>
      </x:c>
      <x:c r="H94" s="24" t="str">
        <x:v>Perch-likes</x:v>
      </x:c>
      <x:c r="I94" s="31" t="n">
        <x:v>0.37411189899999997</x:v>
      </x:c>
      <x:c r="J94" s="31" t="n">
        <x:v>0.37411189899999997</x:v>
      </x:c>
      <x:c r="K94" s="31" t="n">
        <x:v>0</x:v>
      </x:c>
      <x:c r="L94" s="31" t="n">
        <x:v>0.117000015</x:v>
      </x:c>
      <x:c r="M94" s="31" t="n">
        <x:v>0.257111884</x:v>
      </x:c>
      <x:c r="N94" s="24" t="str">
        <x:v>echeneidae</x:v>
      </x:c>
      <x:c r="O94" s="32" t="n">
        <x:v>3.22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Echeneidae</x:v>
      </x:c>
      <x:c r="T94" s="32" t="n">
        <x:f>IF(O94="","",(1/'Metadata'!$B$5)^(O94-1))</x:f>
        <x:v>165.95869074375614</x:v>
      </x:c>
      <x:c r="U94" s="31" t="n">
        <x:f>IF(T94="","",I94*T94)</x:f>
        <x:v>62.08712094970033</x:v>
      </x:c>
    </x:row>
    <x:row r="95" ht="18" customHeight="1">
      <x:c r="A95" s="24" t="str">
        <x:v>EEZ_834</x:v>
      </x:c>
      <x:c r="B95" s="24" t="str">
        <x:v>Tanzania</x:v>
      </x:c>
      <x:c r="C95" s="24" t="str">
        <x:v>EEZ</x:v>
      </x:c>
      <x:c r="D95" s="30" t="n">
        <x:v>2019</x:v>
      </x:c>
      <x:c r="E95" s="24" t="str">
        <x:v>Ephippidae</x:v>
      </x:c>
      <x:c r="F95" s="24" t="str">
        <x:v>Spade-, batfishes, scats</x:v>
      </x:c>
      <x:c r="G95" s="24" t="str">
        <x:v>Medium reef assoc. fish (30 - 89 cm)</x:v>
      </x:c>
      <x:c r="H95" s="24" t="str">
        <x:v>Perch-likes</x:v>
      </x:c>
      <x:c r="I95" s="31" t="n">
        <x:v>0.372472181</x:v>
      </x:c>
      <x:c r="J95" s="31" t="n">
        <x:v>0.372472181</x:v>
      </x:c>
      <x:c r="K95" s="31" t="n">
        <x:v>0</x:v>
      </x:c>
      <x:c r="L95" s="31" t="n">
        <x:v>0.117000001</x:v>
      </x:c>
      <x:c r="M95" s="31" t="n">
        <x:v>0.25547218</x:v>
      </x:c>
      <x:c r="N95" s="24" t="str">
        <x:v>ephippidae</x:v>
      </x:c>
      <x:c r="O95" s="32" t="n">
        <x:v>3.57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Ephippidae</x:v>
      </x:c>
      <x:c r="T95" s="32" t="n">
        <x:f>IF(O95="","",(1/'Metadata'!$B$5)^(O95-1))</x:f>
        <x:v>371.5352290971724</x:v>
      </x:c>
      <x:c r="U95" s="31" t="n">
        <x:f>IF(T95="","",I95*T95)</x:f>
        <x:v>138.38653710015848</x:v>
      </x:c>
    </x:row>
    <x:row r="96" ht="18" customHeight="1">
      <x:c r="A96" s="24" t="str">
        <x:v>EEZ_834</x:v>
      </x:c>
      <x:c r="B96" s="24" t="str">
        <x:v>Tanzania</x:v>
      </x:c>
      <x:c r="C96" s="24" t="str">
        <x:v>EEZ</x:v>
      </x:c>
      <x:c r="D96" s="30" t="n">
        <x:v>2019</x:v>
      </x:c>
      <x:c r="E96" s="24" t="str">
        <x:v>Hilsa kelee</x:v>
      </x:c>
      <x:c r="F96" s="24" t="str">
        <x:v>Kelee shad</x:v>
      </x:c>
      <x:c r="G96" s="24" t="str">
        <x:v>Small pelagics (&lt;30 cm)</x:v>
      </x:c>
      <x:c r="H96" s="24" t="str">
        <x:v>Herring-likes</x:v>
      </x:c>
      <x:c r="I96" s="31" t="n">
        <x:v>0.3723483511</x:v>
      </x:c>
      <x:c r="J96" s="31" t="n">
        <x:v>0</x:v>
      </x:c>
      <x:c r="K96" s="31" t="n">
        <x:v>0.3723483511</x:v>
      </x:c>
      <x:c r="L96" s="31" t="n">
        <x:v>0</x:v>
      </x:c>
      <x:c r="M96" s="31" t="n">
        <x:v>0.3723483511</x:v>
      </x:c>
      <x:c r="N96" s="24" t="str">
        <x:v>hilsa kelee</x:v>
      </x:c>
      <x:c r="O96" s="32" t="n">
        <x:v>3.25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Hilsa kelee</x:v>
      </x:c>
      <x:c r="T96" s="32" t="n">
        <x:f>IF(O96="","",(1/'Metadata'!$B$5)^(O96-1))</x:f>
        <x:v>177.82794100389228</x:v>
      </x:c>
      <x:c r="U96" s="31" t="n">
        <x:f>IF(T96="","",I96*T96)</x:f>
        <x:v>66.21394061230737</x:v>
      </x:c>
    </x:row>
    <x:row r="97" ht="18" customHeight="1">
      <x:c r="A97" s="24" t="str">
        <x:v>EEZ_834</x:v>
      </x:c>
      <x:c r="B97" s="24" t="str">
        <x:v>Tanzania</x:v>
      </x:c>
      <x:c r="C97" s="24" t="str">
        <x:v>EEZ</x:v>
      </x:c>
      <x:c r="D97" s="30" t="n">
        <x:v>2019</x:v>
      </x:c>
      <x:c r="E97" s="24" t="str">
        <x:v>Terapontidae</x:v>
      </x:c>
      <x:c r="F97" s="24" t="str">
        <x:v>Grunters, tigerperches</x:v>
      </x:c>
      <x:c r="G97" s="24" t="str">
        <x:v>Medium demersals (30 - 89 cm)</x:v>
      </x:c>
      <x:c r="H97" s="24" t="str">
        <x:v>Perch-likes</x:v>
      </x:c>
      <x:c r="I97" s="31" t="n">
        <x:v>0.355821241</x:v>
      </x:c>
      <x:c r="J97" s="31" t="n">
        <x:v>0.355821241</x:v>
      </x:c>
      <x:c r="K97" s="31" t="n">
        <x:v>0</x:v>
      </x:c>
      <x:c r="L97" s="31" t="n">
        <x:v>0.355821241</x:v>
      </x:c>
      <x:c r="M97" s="31" t="n">
        <x:v>0</x:v>
      </x:c>
      <x:c r="N97" s="24" t="str">
        <x:v>terapontidae</x:v>
      </x:c>
      <x:c r="O97" s="32" t="n">
        <x:v>3.64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Terapontidae</x:v>
      </x:c>
      <x:c r="T97" s="32" t="n">
        <x:f>IF(O97="","",(1/'Metadata'!$B$5)^(O97-1))</x:f>
        <x:v>436.5158322401661</x:v>
      </x:c>
      <x:c r="U97" s="31" t="n">
        <x:f>IF(T97="","",I97*T97)</x:f>
        <x:v>155.32160514384373</x:v>
      </x:c>
    </x:row>
    <x:row r="98" ht="18" customHeight="1">
      <x:c r="A98" s="24" t="str">
        <x:v>EEZ_834</x:v>
      </x:c>
      <x:c r="B98" s="24" t="str">
        <x:v>Tanzania</x:v>
      </x:c>
      <x:c r="C98" s="24" t="str">
        <x:v>EEZ</x:v>
      </x:c>
      <x:c r="D98" s="30" t="n">
        <x:v>2019</x:v>
      </x:c>
      <x:c r="E98" s="24" t="str">
        <x:v>Soleidae</x:v>
      </x:c>
      <x:c r="F98" s="24" t="str">
        <x:v>Soles</x:v>
      </x:c>
      <x:c r="G98" s="24" t="str">
        <x:v>Small to medium flatfishes (&lt;90 cm)</x:v>
      </x:c>
      <x:c r="H98" s="24" t="str">
        <x:v>Flatfishes</x:v>
      </x:c>
      <x:c r="I98" s="31" t="n">
        <x:v>0.3405230316</x:v>
      </x:c>
      <x:c r="J98" s="31" t="n">
        <x:v>0</x:v>
      </x:c>
      <x:c r="K98" s="31" t="n">
        <x:v>0.3405230316</x:v>
      </x:c>
      <x:c r="L98" s="31" t="n">
        <x:v>0</x:v>
      </x:c>
      <x:c r="M98" s="31" t="n">
        <x:v>0.3405230316</x:v>
      </x:c>
      <x:c r="N98" s="24" t="str">
        <x:v>soleidae</x:v>
      </x:c>
      <x:c r="O98" s="32" t="n">
        <x:v>3.15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Soleidae</x:v>
      </x:c>
      <x:c r="T98" s="32" t="n">
        <x:f>IF(O98="","",(1/'Metadata'!$B$5)^(O98-1))</x:f>
        <x:v>141.2537544622754</x:v>
      </x:c>
      <x:c r="U98" s="31" t="n">
        <x:f>IF(T98="","",I98*T98)</x:f>
        <x:v>48.10015669437605</x:v>
      </x:c>
    </x:row>
    <x:row r="99" ht="18" customHeight="1">
      <x:c r="A99" s="24" t="str">
        <x:v>EEZ_834</x:v>
      </x:c>
      <x:c r="B99" s="24" t="str">
        <x:v>Tanzania</x:v>
      </x:c>
      <x:c r="C99" s="24" t="str">
        <x:v>EEZ</x:v>
      </x:c>
      <x:c r="D99" s="30" t="n">
        <x:v>2019</x:v>
      </x:c>
      <x:c r="E99" s="24" t="str">
        <x:v>Pleuronectiformes</x:v>
      </x:c>
      <x:c r="F99" s="24" t="str">
        <x:v>Flatfishes</x:v>
      </x:c>
      <x:c r="G99" s="24" t="str">
        <x:v>Small to medium flatfishes (&lt;90 cm)</x:v>
      </x:c>
      <x:c r="H99" s="24" t="str">
        <x:v>Flatfishes</x:v>
      </x:c>
      <x:c r="I99" s="31" t="n">
        <x:v>0.308150786</x:v>
      </x:c>
      <x:c r="J99" s="31" t="n">
        <x:v>0.308150786</x:v>
      </x:c>
      <x:c r="K99" s="31" t="n">
        <x:v>0</x:v>
      </x:c>
      <x:c r="L99" s="31" t="n">
        <x:v>0.045835753</x:v>
      </x:c>
      <x:c r="M99" s="31" t="n">
        <x:v>0.262315033</x:v>
      </x:c>
      <x:c r="N99" s="24" t="str">
        <x:v>pleuronectiformes</x:v>
      </x:c>
      <x:c r="O99" s="32" t="n">
        <x:v>3.57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Pleuronectiformes</x:v>
      </x:c>
      <x:c r="T99" s="32" t="n">
        <x:f>IF(O99="","",(1/'Metadata'!$B$5)^(O99-1))</x:f>
        <x:v>371.5352290971724</x:v>
      </x:c>
      <x:c r="U99" s="31" t="n">
        <x:f>IF(T99="","",I99*T99)</x:f>
        <x:v>114.48887287298375</x:v>
      </x:c>
    </x:row>
    <x:row r="100" ht="18" customHeight="1">
      <x:c r="A100" s="24" t="str">
        <x:v>EEZ_834</x:v>
      </x:c>
      <x:c r="B100" s="24" t="str">
        <x:v>Tanzania</x:v>
      </x:c>
      <x:c r="C100" s="24" t="str">
        <x:v>EEZ</x:v>
      </x:c>
      <x:c r="D100" s="30" t="n">
        <x:v>2019</x:v>
      </x:c>
      <x:c r="E100" s="24" t="str">
        <x:v>Saurida tumbil</x:v>
      </x:c>
      <x:c r="F100" s="24" t="str">
        <x:v>Greater lizardfish</x:v>
      </x:c>
      <x:c r="G100" s="24" t="str">
        <x:v>Medium demersals (30 - 89 cm)</x:v>
      </x:c>
      <x:c r="H100" s="24" t="str">
        <x:v>Other fishes &amp; inverts</x:v>
      </x:c>
      <x:c r="I100" s="31" t="n">
        <x:v>0.2381124631</x:v>
      </x:c>
      <x:c r="J100" s="31" t="n">
        <x:v>0</x:v>
      </x:c>
      <x:c r="K100" s="31" t="n">
        <x:v>0.2381124631</x:v>
      </x:c>
      <x:c r="L100" s="31" t="n">
        <x:v>0</x:v>
      </x:c>
      <x:c r="M100" s="31" t="n">
        <x:v>0.2381124631</x:v>
      </x:c>
      <x:c r="N100" s="24" t="str">
        <x:v>saurida tumbil</x:v>
      </x:c>
      <x:c r="O100" s="32" t="n">
        <x:v>4.4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Saurida tumbil</x:v>
      </x:c>
      <x:c r="T100" s="32" t="n">
        <x:f>IF(O100="","",(1/'Metadata'!$B$5)^(O100-1))</x:f>
        <x:v>2511.886431509582</x:v>
      </x:c>
      <x:c r="U100" s="31" t="n">
        <x:f>IF(T100="","",I100*T100)</x:f>
        <x:v>598.1114652342161</x:v>
      </x:c>
    </x:row>
    <x:row r="101" ht="18" customHeight="1">
      <x:c r="A101" s="24" t="str">
        <x:v>EEZ_834</x:v>
      </x:c>
      <x:c r="B101" s="24" t="str">
        <x:v>Tanzania</x:v>
      </x:c>
      <x:c r="C101" s="24" t="str">
        <x:v>EEZ</x:v>
      </x:c>
      <x:c r="D101" s="30" t="n">
        <x:v>2019</x:v>
      </x:c>
      <x:c r="E101" s="24" t="str">
        <x:v>Pomadasys</x:v>
      </x:c>
      <x:c r="F101" s="24" t="str">
        <x:v>Grunters</x:v>
      </x:c>
      <x:c r="G101" s="24" t="str">
        <x:v>Medium demersals (30 - 89 cm)</x:v>
      </x:c>
      <x:c r="H101" s="24" t="str">
        <x:v>Perch-likes</x:v>
      </x:c>
      <x:c r="I101" s="31" t="n">
        <x:v>0.22811098800000001</x:v>
      </x:c>
      <x:c r="J101" s="31" t="n">
        <x:v>0.22811098800000001</x:v>
      </x:c>
      <x:c r="K101" s="31" t="n">
        <x:v>0</x:v>
      </x:c>
      <x:c r="L101" s="31" t="n">
        <x:v>0.22811098800000001</x:v>
      </x:c>
      <x:c r="M101" s="31" t="n">
        <x:v>0</x:v>
      </x:c>
      <x:c r="N101" s="24" t="str">
        <x:v>pomadasys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Pomadasys</x:v>
      </x:c>
      <x:c r="T101" s="32" t="n">
        <x:f>IF(O101="","",(1/'Metadata'!$B$5)^(O101-1))</x:f>
        <x:v>389.04514499428046</x:v>
      </x:c>
      <x:c r="U101" s="31" t="n">
        <x:f>IF(T101="","",I101*T101)</x:f>
        <x:v>88.74547240124858</x:v>
      </x:c>
    </x:row>
    <x:row r="102" ht="18" customHeight="1">
      <x:c r="A102" s="24" t="str">
        <x:v>EEZ_834</x:v>
      </x:c>
      <x:c r="B102" s="24" t="str">
        <x:v>Tanzania</x:v>
      </x:c>
      <x:c r="C102" s="24" t="str">
        <x:v>EEZ</x:v>
      </x:c>
      <x:c r="D102" s="30" t="n">
        <x:v>2019</x:v>
      </x:c>
      <x:c r="E102" s="24" t="str">
        <x:v>Sardinella gibbosa</x:v>
      </x:c>
      <x:c r="F102" s="24" t="str">
        <x:v>Goldstripe sardinella</x:v>
      </x:c>
      <x:c r="G102" s="24" t="str">
        <x:v>Small pelagics (&lt;30 cm)</x:v>
      </x:c>
      <x:c r="H102" s="24" t="str">
        <x:v>Herring-likes</x:v>
      </x:c>
      <x:c r="I102" s="31" t="n">
        <x:v>0.2196560256</x:v>
      </x:c>
      <x:c r="J102" s="31" t="n">
        <x:v>0</x:v>
      </x:c>
      <x:c r="K102" s="31" t="n">
        <x:v>0.2196560256</x:v>
      </x:c>
      <x:c r="L102" s="31" t="n">
        <x:v>0</x:v>
      </x:c>
      <x:c r="M102" s="31" t="n">
        <x:v>0.2196560256</x:v>
      </x:c>
      <x:c r="N102" s="24" t="str">
        <x:v>sardinella gibbosa</x:v>
      </x:c>
      <x:c r="O102" s="32" t="n">
        <x:v>2.85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Sardinella gibbosa</x:v>
      </x:c>
      <x:c r="T102" s="32" t="n">
        <x:f>IF(O102="","",(1/'Metadata'!$B$5)^(O102-1))</x:f>
        <x:v>70.79457843841381</x:v>
      </x:c>
      <x:c r="U102" s="31" t="n">
        <x:f>IF(T102="","",I102*T102)</x:f>
        <x:v>15.55045573380943</x:v>
      </x:c>
    </x:row>
    <x:row r="103" ht="18" customHeight="1">
      <x:c r="A103" s="24" t="str">
        <x:v>EEZ_834</x:v>
      </x:c>
      <x:c r="B103" s="24" t="str">
        <x:v>Tanzania</x:v>
      </x:c>
      <x:c r="C103" s="24" t="str">
        <x:v>EEZ</x:v>
      </x:c>
      <x:c r="D103" s="30" t="n">
        <x:v>2019</x:v>
      </x:c>
      <x:c r="E103" s="24" t="str">
        <x:v>Harpadon nehereus</x:v>
      </x:c>
      <x:c r="F103" s="24" t="str">
        <x:v>Bombay-duck</x:v>
      </x:c>
      <x:c r="G103" s="24" t="str">
        <x:v>Medium benthopelagics (30 - 89 cm)</x:v>
      </x:c>
      <x:c r="H103" s="24" t="str">
        <x:v>Other fishes &amp; inverts</x:v>
      </x:c>
      <x:c r="I103" s="31" t="n">
        <x:v>0.2019283294</x:v>
      </x:c>
      <x:c r="J103" s="31" t="n">
        <x:v>0</x:v>
      </x:c>
      <x:c r="K103" s="31" t="n">
        <x:v>0.2019283294</x:v>
      </x:c>
      <x:c r="L103" s="31" t="n">
        <x:v>0</x:v>
      </x:c>
      <x:c r="M103" s="31" t="n">
        <x:v>0.2019283294</x:v>
      </x:c>
      <x:c r="N103" s="24" t="str">
        <x:v>harpadon nehereus</x:v>
      </x:c>
      <x:c r="O103" s="32" t="n">
        <x:v>4.2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Harpadon nehereus</x:v>
      </x:c>
      <x:c r="T103" s="32" t="n">
        <x:f>IF(O103="","",(1/'Metadata'!$B$5)^(O103-1))</x:f>
        <x:v>1584.893192461114</x:v>
      </x:c>
      <x:c r="U103" s="31" t="n">
        <x:f>IF(T103="","",I103*T103)</x:f>
        <x:v>320.0348346311054</x:v>
      </x:c>
    </x:row>
    <x:row r="104" ht="18" customHeight="1">
      <x:c r="A104" s="24" t="str">
        <x:v>EEZ_834</x:v>
      </x:c>
      <x:c r="B104" s="24" t="str">
        <x:v>Tanzania</x:v>
      </x:c>
      <x:c r="C104" s="24" t="str">
        <x:v>EEZ</x:v>
      </x:c>
      <x:c r="D104" s="30" t="n">
        <x:v>2019</x:v>
      </x:c>
      <x:c r="E104" s="24" t="str">
        <x:v>Epinephelus</x:v>
      </x:c>
      <x:c r="F104" s="24" t="str">
        <x:v>Seabasses, hinds</x:v>
      </x:c>
      <x:c r="G104" s="24" t="str">
        <x:v>Medium reef assoc. fish (30 - 89 cm)</x:v>
      </x:c>
      <x:c r="H104" s="24" t="str">
        <x:v>Perch-likes</x:v>
      </x:c>
      <x:c r="I104" s="31" t="n">
        <x:v>0.19016464549999998</x:v>
      </x:c>
      <x:c r="J104" s="31" t="n">
        <x:v>0.19016464549999998</x:v>
      </x:c>
      <x:c r="K104" s="31" t="n">
        <x:v>0</x:v>
      </x:c>
      <x:c r="L104" s="31" t="n">
        <x:v>0.19016464549999998</x:v>
      </x:c>
      <x:c r="M104" s="31" t="n">
        <x:v>0</x:v>
      </x:c>
      <x:c r="N104" s="24" t="str">
        <x:v>epinephelus</x:v>
      </x:c>
      <x:c r="O104" s="32" t="n">
        <x:v>3.84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Epinephelus</x:v>
      </x:c>
      <x:c r="T104" s="32" t="n">
        <x:f>IF(O104="","",(1/'Metadata'!$B$5)^(O104-1))</x:f>
        <x:v>691.8309709189363</x:v>
      </x:c>
      <x:c r="U104" s="31" t="n">
        <x:f>IF(T104="","",I104*T104)</x:f>
        <x:v>131.5617913307203</x:v>
      </x:c>
    </x:row>
    <x:row r="105" ht="18" customHeight="1">
      <x:c r="A105" s="24" t="str">
        <x:v>EEZ_834</x:v>
      </x:c>
      <x:c r="B105" s="24" t="str">
        <x:v>Tanzania</x:v>
      </x:c>
      <x:c r="C105" s="24" t="str">
        <x:v>EEZ</x:v>
      </x:c>
      <x:c r="D105" s="30" t="n">
        <x:v>2019</x:v>
      </x:c>
      <x:c r="E105" s="24" t="str">
        <x:v>Isurus</x:v>
      </x:c>
      <x:c r="F105" s="24" t="str">
        <x:v>Mako sharks</x:v>
      </x:c>
      <x:c r="G105" s="24" t="str">
        <x:v>Large sharks (&gt;=90 cm)</x:v>
      </x:c>
      <x:c r="H105" s="24" t="str">
        <x:v>Sharks &amp; rays</x:v>
      </x:c>
      <x:c r="I105" s="31" t="n">
        <x:v>0.1553147612</x:v>
      </x:c>
      <x:c r="J105" s="31" t="n">
        <x:v>0.1553147612</x:v>
      </x:c>
      <x:c r="K105" s="31" t="n">
        <x:v>0</x:v>
      </x:c>
      <x:c r="L105" s="31" t="n">
        <x:v>0.1553147612</x:v>
      </x:c>
      <x:c r="M105" s="31" t="n">
        <x:v>0</x:v>
      </x:c>
      <x:c r="N105" s="24" t="str">
        <x:v>isurus</x:v>
      </x:c>
      <x:c r="O105" s="32" t="n">
        <x:v>4.5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Isurus</x:v>
      </x:c>
      <x:c r="T105" s="32" t="n">
        <x:f>IF(O105="","",(1/'Metadata'!$B$5)^(O105-1))</x:f>
        <x:v>3162.2776601683795</x:v>
      </x:c>
      <x:c r="U105" s="31" t="n">
        <x:f>IF(T105="","",I105*T105)</x:f>
        <x:v>491.14839963714667</x:v>
      </x:c>
    </x:row>
    <x:row r="106" ht="18" customHeight="1">
      <x:c r="A106" s="24" t="str">
        <x:v>EEZ_834</x:v>
      </x:c>
      <x:c r="B106" s="24" t="str">
        <x:v>Tanzania</x:v>
      </x:c>
      <x:c r="C106" s="24" t="str">
        <x:v>EEZ</x:v>
      </x:c>
      <x:c r="D106" s="30" t="n">
        <x:v>2019</x:v>
      </x:c>
      <x:c r="E106" s="24" t="str">
        <x:v>Nemipterus japonicus</x:v>
      </x:c>
      <x:c r="F106" s="24" t="str">
        <x:v>Japanese threadfin bream</x:v>
      </x:c>
      <x:c r="G106" s="24" t="str">
        <x:v>Small demersals (&lt;30 cm)</x:v>
      </x:c>
      <x:c r="H106" s="24" t="str">
        <x:v>Perch-likes</x:v>
      </x:c>
      <x:c r="I106" s="31" t="n">
        <x:v>0.0937823173</x:v>
      </x:c>
      <x:c r="J106" s="31" t="n">
        <x:v>0</x:v>
      </x:c>
      <x:c r="K106" s="31" t="n">
        <x:v>0.0937823173</x:v>
      </x:c>
      <x:c r="L106" s="31" t="n">
        <x:v>0</x:v>
      </x:c>
      <x:c r="M106" s="31" t="n">
        <x:v>0.0937823173</x:v>
      </x:c>
      <x:c r="N106" s="24" t="str">
        <x:v>nemipterus japonicus</x:v>
      </x:c>
      <x:c r="O106" s="32" t="n">
        <x:v>3.77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Nemipterus japonicus</x:v>
      </x:c>
      <x:c r="T106" s="32" t="n">
        <x:f>IF(O106="","",(1/'Metadata'!$B$5)^(O106-1))</x:f>
        <x:v>588.843655355589</x:v>
      </x:c>
      <x:c r="U106" s="31" t="n">
        <x:f>IF(T106="","",I106*T106)</x:f>
        <x:v>55.223122526649696</x:v>
      </x:c>
    </x:row>
    <x:row r="107" ht="18" customHeight="1">
      <x:c r="A107" s="24" t="str">
        <x:v>EEZ_834</x:v>
      </x:c>
      <x:c r="B107" s="24" t="str">
        <x:v>Tanzania</x:v>
      </x:c>
      <x:c r="C107" s="24" t="str">
        <x:v>EEZ</x:v>
      </x:c>
      <x:c r="D107" s="30" t="n">
        <x:v>2019</x:v>
      </x:c>
      <x:c r="E107" s="24" t="str">
        <x:v>Tetrapturus angustirostris</x:v>
      </x:c>
      <x:c r="F107" s="24" t="str">
        <x:v>Shortbill spearfish</x:v>
      </x:c>
      <x:c r="G107" s="24" t="str">
        <x:v>Large pelagics (&gt;=90 cm)</x:v>
      </x:c>
      <x:c r="H107" s="24" t="str">
        <x:v>Tuna &amp; billfishes</x:v>
      </x:c>
      <x:c r="I107" s="31" t="n">
        <x:v>0.085277125</x:v>
      </x:c>
      <x:c r="J107" s="31" t="n">
        <x:v>0.085277125</x:v>
      </x:c>
      <x:c r="K107" s="31" t="n">
        <x:v>0</x:v>
      </x:c>
      <x:c r="L107" s="31" t="n">
        <x:v>0</x:v>
      </x:c>
      <x:c r="M107" s="31" t="n">
        <x:v>0.085277125</x:v>
      </x:c>
      <x:c r="N107" s="24" t="str">
        <x:v>tetrapturus angustirostris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Tetrapturus angustirostris</x:v>
      </x:c>
      <x:c r="T107" s="32" t="n">
        <x:f>IF(O107="","",(1/'Metadata'!$B$5)^(O107-1))</x:f>
        <x:v>3162.2776601683795</x:v>
      </x:c>
      <x:c r="U107" s="31" t="n">
        <x:f>IF(T107="","",I107*T107)</x:f>
        <x:v>269.6699473108864</x:v>
      </x:c>
    </x:row>
    <x:row r="108" ht="18" customHeight="1">
      <x:c r="A108" s="24" t="str">
        <x:v>EEZ_834</x:v>
      </x:c>
      <x:c r="B108" s="24" t="str">
        <x:v>Tanzania</x:v>
      </x:c>
      <x:c r="C108" s="24" t="str">
        <x:v>EEZ</x:v>
      </x:c>
      <x:c r="D108" s="30" t="n">
        <x:v>2019</x:v>
      </x:c>
      <x:c r="E108" s="24" t="str">
        <x:v>Perciformes</x:v>
      </x:c>
      <x:c r="F108" s="24" t="str">
        <x:v>Perch-likes</x:v>
      </x:c>
      <x:c r="G108" s="24" t="str">
        <x:v>Medium demersals (30 - 89 cm)</x:v>
      </x:c>
      <x:c r="H108" s="24" t="str">
        <x:v>Perch-likes</x:v>
      </x:c>
      <x:c r="I108" s="31" t="n">
        <x:v>0.085083501</x:v>
      </x:c>
      <x:c r="J108" s="31" t="n">
        <x:v>0.085083501</x:v>
      </x:c>
      <x:c r="K108" s="31" t="n">
        <x:v>0</x:v>
      </x:c>
      <x:c r="L108" s="31" t="n">
        <x:v>0</x:v>
      </x:c>
      <x:c r="M108" s="31" t="n">
        <x:v>0.085083501</x:v>
      </x:c>
      <x:c r="N108" s="24" t="str">
        <x:v>perciformes</x:v>
      </x:c>
      <x:c r="O108" s="32" t="n">
        <x:v>3.53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Perciformes</x:v>
      </x:c>
      <x:c r="T108" s="32" t="n">
        <x:f>IF(O108="","",(1/'Metadata'!$B$5)^(O108-1))</x:f>
        <x:v>338.84415613920237</x:v>
      </x:c>
      <x:c r="U108" s="31" t="n">
        <x:f>IF(T108="","",I108*T108)</x:f>
        <x:v>28.830047097713983</x:v>
      </x:c>
    </x:row>
    <x:row r="109" ht="18" customHeight="1">
      <x:c r="A109" s="24" t="str">
        <x:v>EEZ_834</x:v>
      </x:c>
      <x:c r="B109" s="24" t="str">
        <x:v>Tanzania</x:v>
      </x:c>
      <x:c r="C109" s="24" t="str">
        <x:v>EEZ</x:v>
      </x:c>
      <x:c r="D109" s="30" t="n">
        <x:v>2019</x:v>
      </x:c>
      <x:c r="E109" s="24" t="str">
        <x:v>Holothuriidae</x:v>
      </x:c>
      <x:c r="F109" s="24" t="str">
        <x:v>Fleshy sea cucumbers</x:v>
      </x:c>
      <x:c r="G109" s="24" t="str">
        <x:v>Other demersal invertebrates</x:v>
      </x:c>
      <x:c r="H109" s="24" t="str">
        <x:v>Other fishes &amp; inverts</x:v>
      </x:c>
      <x:c r="I109" s="31" t="n">
        <x:v>0.085083501</x:v>
      </x:c>
      <x:c r="J109" s="31" t="n">
        <x:v>0.085083501</x:v>
      </x:c>
      <x:c r="K109" s="31" t="n">
        <x:v>0</x:v>
      </x:c>
      <x:c r="L109" s="31" t="n">
        <x:v>0</x:v>
      </x:c>
      <x:c r="M109" s="31" t="n">
        <x:v>0.085083501</x:v>
      </x:c>
      <x:c r="N109" s="24" t="str">
        <x:v>holothuriidae</x:v>
      </x:c>
      <x:c r="O109" s="32" t="n">
        <x:v>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Holothuriidae</x:v>
      </x:c>
      <x:c r="T109" s="32" t="n">
        <x:f>IF(O109="","",(1/'Metadata'!$B$5)^(O109-1))</x:f>
        <x:v>10</x:v>
      </x:c>
      <x:c r="U109" s="31" t="n">
        <x:f>IF(T109="","",I109*T109)</x:f>
        <x:v>0.8508350100000001</x:v>
      </x:c>
    </x:row>
    <x:row r="110" ht="18" customHeight="1">
      <x:c r="A110" s="24" t="str">
        <x:v>EEZ_834</x:v>
      </x:c>
      <x:c r="B110" s="24" t="str">
        <x:v>Tanzania</x:v>
      </x:c>
      <x:c r="C110" s="24" t="str">
        <x:v>EEZ</x:v>
      </x:c>
      <x:c r="D110" s="30" t="n">
        <x:v>2019</x:v>
      </x:c>
      <x:c r="E110" s="24" t="str">
        <x:v>Carcharhinus longimanus</x:v>
      </x:c>
      <x:c r="F110" s="24" t="str">
        <x:v>Oceanic whitetip shark</x:v>
      </x:c>
      <x:c r="G110" s="24" t="str">
        <x:v>Large sharks (&gt;=90 cm)</x:v>
      </x:c>
      <x:c r="H110" s="24" t="str">
        <x:v>Sharks &amp; rays</x:v>
      </x:c>
      <x:c r="I110" s="31" t="n">
        <x:v>0.081479488</x:v>
      </x:c>
      <x:c r="J110" s="31" t="n">
        <x:v>0.081479488</x:v>
      </x:c>
      <x:c r="K110" s="31" t="n">
        <x:v>0</x:v>
      </x:c>
      <x:c r="L110" s="31" t="n">
        <x:v>0</x:v>
      </x:c>
      <x:c r="M110" s="31" t="n">
        <x:v>0.081479488</x:v>
      </x:c>
      <x:c r="N110" s="24" t="str">
        <x:v>carcharhinus longimanus</x:v>
      </x:c>
      <x:c r="O110" s="32" t="n">
        <x:v>4.16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Carcharhinus longimanus</x:v>
      </x:c>
      <x:c r="T110" s="32" t="n">
        <x:f>IF(O110="","",(1/'Metadata'!$B$5)^(O110-1))</x:f>
        <x:v>1445.439770745928</x:v>
      </x:c>
      <x:c r="U110" s="31" t="n">
        <x:f>IF(T110="","",I110*T110)</x:f>
        <x:v>117.7736924552156</x:v>
      </x:c>
    </x:row>
    <x:row r="111" ht="18" customHeight="1">
      <x:c r="A111" s="24" t="str">
        <x:v>EEZ_834</x:v>
      </x:c>
      <x:c r="B111" s="24" t="str">
        <x:v>Tanzania</x:v>
      </x:c>
      <x:c r="C111" s="24" t="str">
        <x:v>EEZ</x:v>
      </x:c>
      <x:c r="D111" s="30" t="n">
        <x:v>2019</x:v>
      </x:c>
      <x:c r="E111" s="24" t="str">
        <x:v>Isurus paucus</x:v>
      </x:c>
      <x:c r="F111" s="24" t="str">
        <x:v>Longfin mako</x:v>
      </x:c>
      <x:c r="G111" s="24" t="str">
        <x:v>Large sharks (&gt;=90 cm)</x:v>
      </x:c>
      <x:c r="H111" s="24" t="str">
        <x:v>Sharks &amp; rays</x:v>
      </x:c>
      <x:c r="I111" s="31" t="n">
        <x:v>0.0374054026</x:v>
      </x:c>
      <x:c r="J111" s="31" t="n">
        <x:v>0.0374054026</x:v>
      </x:c>
      <x:c r="K111" s="31" t="n">
        <x:v>0</x:v>
      </x:c>
      <x:c r="L111" s="31" t="n">
        <x:v>0.0374054026</x:v>
      </x:c>
      <x:c r="M111" s="31" t="n">
        <x:v>0</x:v>
      </x:c>
      <x:c r="N111" s="24" t="str">
        <x:v>isurus paucus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paucus</x:v>
      </x:c>
      <x:c r="T111" s="32" t="n">
        <x:f>IF(O111="","",(1/'Metadata'!$B$5)^(O111-1))</x:f>
        <x:v>3235.936569296281</x:v>
      </x:c>
      <x:c r="U111" s="31" t="n">
        <x:f>IF(T111="","",I111*T111)</x:f>
        <x:v>121.04151016259019</x:v>
      </x:c>
    </x:row>
    <x:row r="112" ht="18" customHeight="1">
      <x:c r="A112" s="24" t="str">
        <x:v>EEZ_834</x:v>
      </x:c>
      <x:c r="B112" s="24" t="str">
        <x:v>Tanzania</x:v>
      </x:c>
      <x:c r="C112" s="24" t="str">
        <x:v>EEZ</x:v>
      </x:c>
      <x:c r="D112" s="30" t="n">
        <x:v>2019</x:v>
      </x:c>
      <x:c r="E112" s="24" t="str">
        <x:v>Marine pelagic fishes not identified</x:v>
      </x:c>
      <x:c r="F112" s="24" t="str">
        <x:v>Pelagic fishes</x:v>
      </x:c>
      <x:c r="G112" s="24" t="str">
        <x:v>Medium pelagics (30 - 89 cm)</x:v>
      </x:c>
      <x:c r="H112" s="24" t="str">
        <x:v>Other fishes &amp; inverts</x:v>
      </x:c>
      <x:c r="I112" s="31" t="n">
        <x:v>0.0077085383</x:v>
      </x:c>
      <x:c r="J112" s="31" t="n">
        <x:v>0.0077085383</x:v>
      </x:c>
      <x:c r="K112" s="31" t="n">
        <x:v>0</x:v>
      </x:c>
      <x:c r="L112" s="31" t="n">
        <x:v>0.0077085383</x:v>
      </x:c>
      <x:c r="M112" s="31" t="n">
        <x:v>0</x:v>
      </x:c>
      <x:c r="N112" s="24" t="str">
        <x:v>marine pelagic fishes not identified</x:v>
      </x:c>
      <x:c r="O112" s="32" t="n">
        <x:v>3.35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Marine pelagic fishes not identified</x:v>
      </x:c>
      <x:c r="T112" s="32" t="n">
        <x:f>IF(O112="","",(1/'Metadata'!$B$5)^(O112-1))</x:f>
        <x:v>223.872113856834</x:v>
      </x:c>
      <x:c r="U112" s="31" t="n">
        <x:f>IF(T112="","",I112*T112)</x:f>
        <x:v>1.7257267639673657</x:v>
      </x:c>
    </x:row>
    <x:row r="113" ht="18" customHeight="1">
      <x:c r="A113" s="24" t="str">
        <x:v>EEZ_834</x:v>
      </x:c>
      <x:c r="B113" s="24" t="str">
        <x:v>Tanzania</x:v>
      </x:c>
      <x:c r="C113" s="24" t="str">
        <x:v>EEZ</x:v>
      </x:c>
      <x:c r="D113" s="30" t="n">
        <x:v>2019</x:v>
      </x:c>
      <x:c r="E113" s="24" t="str">
        <x:v>Coryphaena hippurus</x:v>
      </x:c>
      <x:c r="F113" s="24" t="str">
        <x:v>Common dolphinfish</x:v>
      </x:c>
      <x:c r="G113" s="24" t="str">
        <x:v>Large pelagics (&gt;=90 cm)</x:v>
      </x:c>
      <x:c r="H113" s="24" t="str">
        <x:v>Perch-likes</x:v>
      </x:c>
      <x:c r="I113" s="31" t="n">
        <x:v>0.0021998836</x:v>
      </x:c>
      <x:c r="J113" s="31" t="n">
        <x:v>0.0021998836</x:v>
      </x:c>
      <x:c r="K113" s="31" t="n">
        <x:v>0</x:v>
      </x:c>
      <x:c r="L113" s="31" t="n">
        <x:v>0.0021998836</x:v>
      </x:c>
      <x:c r="M113" s="31" t="n">
        <x:v>0</x:v>
      </x:c>
      <x:c r="N113" s="24" t="str">
        <x:v>coryphaena hippurus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Coryphaena hippurus</x:v>
      </x:c>
      <x:c r="T113" s="32" t="n">
        <x:f>IF(O113="","",(1/'Metadata'!$B$5)^(O113-1))</x:f>
        <x:v>2344.228815319923</x:v>
      </x:c>
      <x:c r="U113" s="31" t="n">
        <x:f>IF(T113="","",I113*T113)</x:f>
        <x:v>5.157030525469727</x:v>
      </x:c>
    </x:row>
  </x:sheetData>
  <x:conditionalFormatting sqref="R2:R1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d11075a76ac41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0.4083623428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89.33994622439715</x:v>
      </x:c>
    </x:row>
    <x:row r="3" ht="18" customHeight="1">
      <x:c r="A3" s="24" t="str">
        <x:v>Crustaceans</x:v>
      </x:c>
      <x:c r="B3" s="31" t="n">
        <x:v>5655.365125318001</x:v>
      </x:c>
      <x:c r="C3" s="32" t="n">
        <x:v>2.7114413791107292</x:v>
      </x:c>
      <x:c r="D3" s="32" t="n">
        <x:f>IF(C3="","",(1/'Metadata'!$B$5)^(C3-1))</x:f>
        <x:v>51.45663463736621</x:v>
      </x:c>
      <x:c r="E3" s="31" t="n">
        <x:f>IF(B3=0,"",B3*D3)</x:f>
        <x:v>291006.05699439114</x:v>
      </x:c>
    </x:row>
    <x:row r="4" ht="18" customHeight="1">
      <x:c r="A4" s="24" t="str">
        <x:v>Flatfishes</x:v>
      </x:c>
      <x:c r="B4" s="31" t="n">
        <x:v>616.8163892366001</x:v>
      </x:c>
      <x:c r="C4" s="32" t="n">
        <x:v>4.388905781014444</x:v>
      </x:c>
      <x:c r="D4" s="32" t="n">
        <x:f>IF(C4="","",(1/'Metadata'!$B$5)^(C4-1))</x:f>
        <x:v>2448.531981984129</x:v>
      </x:c>
      <x:c r="E4" s="31" t="n">
        <x:f>IF(B4=0,"",B4*D4)</x:f>
        <x:v>1510294.6560577864</x:v>
      </x:c>
    </x:row>
    <x:row r="5" ht="18" customHeight="1">
      <x:c r="A5" s="24" t="str">
        <x:v>Herring-likes</x:v>
      </x:c>
      <x:c r="B5" s="31" t="n">
        <x:v>10388.472747218699</x:v>
      </x:c>
      <x:c r="C5" s="32" t="n">
        <x:v>2.944829524005163</x:v>
      </x:c>
      <x:c r="D5" s="32" t="n">
        <x:f>IF(C5="","",(1/'Metadata'!$B$5)^(C5-1))</x:f>
        <x:v>88.07030979307797</x:v>
      </x:c>
      <x:c r="E5" s="31" t="n">
        <x:f>IF(B5=0,"",B5*D5)</x:f>
        <x:v>914916.0131244985</x:v>
      </x:c>
    </x:row>
    <x:row r="6" ht="18" customHeight="1">
      <x:c r="A6" s="24" t="str">
        <x:v>Molluscs</x:v>
      </x:c>
      <x:c r="B6" s="31" t="n">
        <x:v>2607.8602198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32831.01501113343</x:v>
      </x:c>
    </x:row>
    <x:row r="7" ht="18" customHeight="1">
      <x:c r="A7" s="24" t="str">
        <x:v>Other fishes &amp; inverts</x:v>
      </x:c>
      <x:c r="B7" s="31" t="n">
        <x:v>24459.176766261706</x:v>
      </x:c>
      <x:c r="C7" s="32" t="n">
        <x:v>3.508205539722924</x:v>
      </x:c>
      <x:c r="D7" s="32" t="n">
        <x:f>IF(C7="","",(1/'Metadata'!$B$5)^(C7-1))</x:f>
        <x:v>322.2593596009451</x:v>
      </x:c>
      <x:c r="E7" s="31" t="n">
        <x:f>IF(B7=0,"",B7*D7)</x:f>
        <x:v>7882198.641061813</x:v>
      </x:c>
    </x:row>
    <x:row r="8" ht="18" customHeight="1">
      <x:c r="A8" s="24" t="str">
        <x:v>Perch-likes</x:v>
      </x:c>
      <x:c r="B8" s="31" t="n">
        <x:v>62346.931650147104</x:v>
      </x:c>
      <x:c r="C8" s="32" t="n">
        <x:v>3.6366590815319837</x:v>
      </x:c>
      <x:c r="D8" s="32" t="n">
        <x:f>IF(C8="","",(1/'Metadata'!$B$5)^(C8-1))</x:f>
        <x:v>433.1707085764617</x:v>
      </x:c>
      <x:c r="E8" s="31" t="n">
        <x:f>IF(B8=0,"",B8*D8)</x:f>
        <x:v>27006864.56046245</x:v>
      </x:c>
    </x:row>
    <x:row r="9" ht="18" customHeight="1">
      <x:c r="A9" s="24" t="str">
        <x:v>Scorpionfishes</x:v>
      </x:c>
      <x:c r="B9" s="31" t="n">
        <x:v>0.902224841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716.6626652759254</x:v>
      </x:c>
    </x:row>
    <x:row r="10" ht="18" customHeight="1">
      <x:c r="A10" s="24" t="str">
        <x:v>Sharks &amp; rays</x:v>
      </x:c>
      <x:c r="B10" s="31" t="n">
        <x:v>14866.5255148622</x:v>
      </x:c>
      <x:c r="C10" s="32" t="n">
        <x:v>4.037793368003372</x:v>
      </x:c>
      <x:c r="D10" s="32" t="n">
        <x:f>IF(C10="","",(1/'Metadata'!$B$5)^(C10-1))</x:f>
        <x:v>1090.921166018436</x:v>
      </x:c>
      <x:c r="E10" s="31" t="n">
        <x:f>IF(B10=0,"",B10*D10)</x:f>
        <x:v>16218207.3493163</x:v>
      </x:c>
    </x:row>
    <x:row r="11" ht="18" customHeight="1">
      <x:c r="A11" s="24" t="str">
        <x:v>Tuna &amp; billfishes</x:v>
      </x:c>
      <x:c r="B11" s="31" t="n">
        <x:v>8572.772211285499</x:v>
      </x:c>
      <x:c r="C11" s="32" t="n">
        <x:v>4.464142284667899</x:v>
      </x:c>
      <x:c r="D11" s="32" t="n">
        <x:f>IF(C11="","",(1/'Metadata'!$B$5)^(C11-1))</x:f>
        <x:v>2911.6708908766927</x:v>
      </x:c>
      <x:c r="E11" s="31" t="n">
        <x:f>IF(B11=0,"",B11*D11)</x:f>
        <x:v>24961091.301716603</x:v>
      </x:c>
    </x:row>
  </x:sheetData>
  <x:pageMargins left="0.7" right="0.7" top="0.75" bottom="0.75" header="0.3" footer="0.3"/>
  <x:tableParts count="1">
    <x:tablePart xmlns:r="http://schemas.openxmlformats.org/officeDocument/2006/relationships" r:id="R3b82e676518941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12421.772023364201</x:v>
      </x:c>
      <x:c r="C2" s="32" t="n">
        <x:v>3.6175025387770496</x:v>
      </x:c>
      <x:c r="D2" s="32" t="n">
        <x:f>IF(C2="","",(1/'Metadata'!$B$5)^(C2-1))</x:f>
        <x:v>414.4790069715905</x:v>
      </x:c>
      <x:c r="E2" s="31" t="n">
        <x:f>IF(B2=0,"",B2*D2)</x:f>
        <x:v>5148563.733071478</x:v>
      </x:c>
    </x:row>
    <x:row r="3" ht="18" customHeight="1">
      <x:c r="A3" s="24" t="str">
        <x:v>Jellyfish</x:v>
      </x:c>
      <x:c r="B3" s="31" t="n">
        <x:v>9.9112624969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313.42163978011536</x:v>
      </x:c>
    </x:row>
    <x:row r="4" ht="18" customHeight="1">
      <x:c r="A4" s="24" t="str">
        <x:v>Large benthopelagics (&gt;=90 cm)</x:v>
      </x:c>
      <x:c r="B4" s="31" t="n">
        <x:v>4031.8227799422</x:v>
      </x:c>
      <x:c r="C4" s="32" t="n">
        <x:v>4.389857264659674</x:v>
      </x:c>
      <x:c r="D4" s="32" t="n">
        <x:f>IF(C4="","",(1/'Metadata'!$B$5)^(C4-1))</x:f>
        <x:v>2453.9022829590167</x:v>
      </x:c>
      <x:c r="E4" s="31" t="n">
        <x:f>IF(B4=0,"",B4*D4)</x:f>
        <x:v>9893699.124186335</x:v>
      </x:c>
    </x:row>
    <x:row r="5" ht="18" customHeight="1">
      <x:c r="A5" s="24" t="str">
        <x:v>Large demersals (&gt;=90 cm)</x:v>
      </x:c>
      <x:c r="B5" s="31" t="n">
        <x:v>242.1682715694</x:v>
      </x:c>
      <x:c r="C5" s="32" t="n">
        <x:v>3.889041313251248</x:v>
      </x:c>
      <x:c r="D5" s="32" t="n">
        <x:f>IF(C5="","",(1/'Metadata'!$B$5)^(C5-1))</x:f>
        <x:v>774.5354737483113</x:v>
      </x:c>
      <x:c r="E5" s="31" t="n">
        <x:f>IF(B5=0,"",B5*D5)</x:f>
        <x:v>187567.91694681495</x:v>
      </x:c>
    </x:row>
    <x:row r="6" ht="18" customHeight="1">
      <x:c r="A6" s="24" t="str">
        <x:v>Large pelagics (&gt;=90 cm)</x:v>
      </x:c>
      <x:c r="B6" s="31" t="n">
        <x:v>21855.1036328761</x:v>
      </x:c>
      <x:c r="C6" s="32" t="n">
        <x:v>4.23484380980036</x:v>
      </x:c>
      <x:c r="D6" s="32" t="n">
        <x:f>IF(C6="","",(1/'Metadata'!$B$5)^(C6-1))</x:f>
        <x:v>1717.2906675655424</x:v>
      </x:c>
      <x:c r="E6" s="31" t="n">
        <x:f>IF(B6=0,"",B6*D6)</x:f>
        <x:v>37531565.50741591</x:v>
      </x:c>
    </x:row>
    <x:row r="7" ht="18" customHeight="1">
      <x:c r="A7" s="24" t="str">
        <x:v>Large rays (&gt;=90 cm)</x:v>
      </x:c>
      <x:c r="B7" s="31" t="n">
        <x:v>4629.859479848</x:v>
      </x:c>
      <x:c r="C7" s="32" t="n">
        <x:v>3.72</x:v>
      </x:c>
      <x:c r="D7" s="32" t="n">
        <x:f>IF(C7="","",(1/'Metadata'!$B$5)^(C7-1))</x:f>
        <x:v>524.8074602497728</x:v>
      </x:c>
      <x:c r="E7" s="31" t="n">
        <x:f>IF(B7=0,"",B7*D7)</x:f>
        <x:v>2429784.794932363</x:v>
      </x:c>
    </x:row>
    <x:row r="8" ht="18" customHeight="1">
      <x:c r="A8" s="24" t="str">
        <x:v>Large reef assoc. fish (&gt;=90 cm)</x:v>
      </x:c>
      <x:c r="B8" s="31" t="n">
        <x:v>332.03313078</x:v>
      </x:c>
      <x:c r="C8" s="32" t="n">
        <x:v>3.9865686454533815</x:v>
      </x:c>
      <x:c r="D8" s="32" t="n">
        <x:f>IF(C8="","",(1/'Metadata'!$B$5)^(C8-1))</x:f>
        <x:v>969.54650564702</x:v>
      </x:c>
      <x:c r="E8" s="31" t="n">
        <x:f>IF(B8=0,"",B8*D8)</x:f>
        <x:v>321921.561706789</x:v>
      </x:c>
    </x:row>
    <x:row r="9" ht="18" customHeight="1">
      <x:c r="A9" s="24" t="str">
        <x:v>Large sharks (&gt;=90 cm)</x:v>
      </x:c>
      <x:c r="B9" s="31" t="n">
        <x:v>10236.6660350142</x:v>
      </x:c>
      <x:c r="C9" s="32" t="n">
        <x:v>4.181525578515132</x:v>
      </x:c>
      <x:c r="D9" s="32" t="n">
        <x:f>IF(C9="","",(1/'Metadata'!$B$5)^(C9-1))</x:f>
        <x:v>1518.8873968644477</x:v>
      </x:c>
      <x:c r="E9" s="31" t="n">
        <x:f>IF(B9=0,"",B9*D9)</x:f>
        <x:v>15548343.026493425</x:v>
      </x:c>
    </x:row>
    <x:row r="10" ht="18" customHeight="1">
      <x:c r="A10" s="24" t="str">
        <x:v>Lobsters, crabs</x:v>
      </x:c>
      <x:c r="B10" s="31" t="n">
        <x:v>107.662744298</x:v>
      </x:c>
      <x:c r="C10" s="32" t="n">
        <x:v>2.938879549075713</x:v>
      </x:c>
      <x:c r="D10" s="32" t="n">
        <x:f>IF(C10="","",(1/'Metadata'!$B$5)^(C10-1))</x:f>
        <x:v>86.8719457830414</x:v>
      </x:c>
      <x:c r="E10" s="31" t="n">
        <x:f>IF(B10=0,"",B10*D10)</x:f>
        <x:v>9352.872085509305</x:v>
      </x:c>
    </x:row>
    <x:row r="11" ht="18" customHeight="1">
      <x:c r="A11" s="24" t="str">
        <x:v>Medium benthopelagics (30 - 89 cm)</x:v>
      </x:c>
      <x:c r="B11" s="31" t="n">
        <x:v>0.9131543498999999</x:v>
      </x:c>
      <x:c r="C11" s="32" t="n">
        <x:v>3.7326796479185234</x:v>
      </x:c>
      <x:c r="D11" s="32" t="n">
        <x:f>IF(C11="","",(1/'Metadata'!$B$5)^(C11-1))</x:f>
        <x:v>540.3555891262888</x:v>
      </x:c>
      <x:c r="E11" s="31" t="n">
        <x:f>IF(B11=0,"",B11*D11)</x:f>
        <x:v>493.4280567034477</x:v>
      </x:c>
    </x:row>
    <x:row r="12" ht="18" customHeight="1">
      <x:c r="A12" s="24" t="str">
        <x:v>Medium demersals (30 - 89 cm)</x:v>
      </x:c>
      <x:c r="B12" s="31" t="n">
        <x:v>9449.4361102412</x:v>
      </x:c>
      <x:c r="C12" s="32" t="n">
        <x:v>3.401827740919279</x:v>
      </x:c>
      <x:c r="D12" s="32" t="n">
        <x:f>IF(C12="","",(1/'Metadata'!$B$5)^(C12-1))</x:f>
        <x:v>252.24800545366</x:v>
      </x:c>
      <x:c r="E12" s="31" t="n">
        <x:f>IF(B12=0,"",B12*D12)</x:f>
        <x:v>2383601.411470134</x:v>
      </x:c>
    </x:row>
    <x:row r="13" ht="18" customHeight="1">
      <x:c r="A13" s="24" t="str">
        <x:v>Medium pelagics (30 - 89 cm)</x:v>
      </x:c>
      <x:c r="B13" s="31" t="n">
        <x:v>15112.836007707301</x:v>
      </x:c>
      <x:c r="C13" s="32" t="n">
        <x:v>3.661106043250928</x:v>
      </x:c>
      <x:c r="D13" s="32" t="n">
        <x:f>IF(C13="","",(1/'Metadata'!$B$5)^(C13-1))</x:f>
        <x:v>458.25376653084805</x:v>
      </x:c>
      <x:c r="E13" s="31" t="n">
        <x:f>IF(B13=0,"",B13*D13)</x:f>
        <x:v>6925514.023494896</x:v>
      </x:c>
    </x:row>
    <x:row r="14" ht="18" customHeight="1">
      <x:c r="A14" s="24" t="str">
        <x:v>Medium reef assoc. fish (30 - 89 cm)</x:v>
      </x:c>
      <x:c r="B14" s="31" t="n">
        <x:v>20816.3421201231</x:v>
      </x:c>
      <x:c r="C14" s="32" t="n">
        <x:v>3.313551914414621</x:v>
      </x:c>
      <x:c r="D14" s="32" t="n">
        <x:f>IF(C14="","",(1/'Metadata'!$B$5)^(C14-1))</x:f>
        <x:v>205.85049440763012</x:v>
      </x:c>
      <x:c r="E14" s="31" t="n">
        <x:f>IF(B14=0,"",B14*D14)</x:f>
        <x:v>4285054.317185716</x:v>
      </x:c>
    </x:row>
    <x:row r="15" ht="18" customHeight="1">
      <x:c r="A15" s="24" t="str">
        <x:v>Other demersal invertebrates</x:v>
      </x:c>
      <x:c r="B15" s="31" t="n">
        <x:v>2607.945303301</x:v>
      </x:c>
      <x:c r="C15" s="32" t="n">
        <x:v>2.099996737527398</x:v>
      </x:c>
      <x:c r="D15" s="32" t="n">
        <x:f>IF(C15="","",(1/'Metadata'!$B$5)^(C15-1))</x:f>
        <x:v>12.589159546299424</x:v>
      </x:c>
      <x:c r="E15" s="31" t="n">
        <x:f>IF(B15=0,"",B15*D15)</x:f>
        <x:v>32831.83951127853</x:v>
      </x:c>
    </x:row>
    <x:row r="16" ht="18" customHeight="1">
      <x:c r="A16" s="24" t="str">
        <x:v>Shrimps</x:v>
      </x:c>
      <x:c r="B16" s="31" t="n">
        <x:v>5547.702381020001</x:v>
      </x:c>
      <x:c r="C16" s="32" t="n">
        <x:v>2.707027548689631</x:v>
      </x:c>
      <x:c r="D16" s="32" t="n">
        <x:f>IF(C16="","",(1/'Metadata'!$B$5)^(C16-1))</x:f>
        <x:v>50.936318056999994</x:v>
      </x:c>
      <x:c r="E16" s="31" t="n">
        <x:f>IF(B16=0,"",B16*D16)</x:f>
        <x:v>282579.5329652109</x:v>
      </x:c>
    </x:row>
    <x:row r="17" ht="18" customHeight="1">
      <x:c r="A17" s="24" t="str">
        <x:v>Small benthopelagics (&lt;30 cm)</x:v>
      </x:c>
      <x:c r="B17" s="31" t="n">
        <x:v>1904.8654798947998</x:v>
      </x:c>
      <x:c r="C17" s="32" t="n">
        <x:v>3.1402929704362808</x:v>
      </x:c>
      <x:c r="D17" s="32" t="n">
        <x:f>IF(C17="","",(1/'Metadata'!$B$5)^(C17-1))</x:f>
        <x:v>138.13157712964136</x:v>
      </x:c>
      <x:c r="E17" s="31" t="n">
        <x:f>IF(B17=0,"",B17*D17)</x:f>
        <x:v>263122.07295767986</x:v>
      </x:c>
    </x:row>
    <x:row r="18" ht="18" customHeight="1">
      <x:c r="A18" s="24" t="str">
        <x:v>Small demersals (&lt;30 cm)</x:v>
      </x:c>
      <x:c r="B18" s="31" t="n">
        <x:v>7780.312874288799</x:v>
      </x:c>
      <x:c r="C18" s="32" t="n">
        <x:v>3.503438876347737</x:v>
      </x:c>
      <x:c r="D18" s="32" t="n">
        <x:f>IF(C18="","",(1/'Metadata'!$B$5)^(C18-1))</x:f>
        <x:v>318.74169393821506</x:v>
      </x:c>
      <x:c r="E18" s="31" t="n">
        <x:f>IF(B18=0,"",B18*D18)</x:f>
        <x:v>2479910.104920115</x:v>
      </x:c>
    </x:row>
    <x:row r="19" ht="18" customHeight="1">
      <x:c r="A19" s="24" t="str">
        <x:v>Small pelagics (&lt;30 cm)</x:v>
      </x:c>
      <x:c r="B19" s="31" t="n">
        <x:v>10687.7874931304</x:v>
      </x:c>
      <x:c r="C19" s="32" t="n">
        <x:v>2.8629255589596565</x:v>
      </x:c>
      <x:c r="D19" s="32" t="n">
        <x:f>IF(C19="","",(1/'Metadata'!$B$5)^(C19-1))</x:f>
        <x:v>72.93324869704892</x:v>
      </x:c>
      <x:c r="E19" s="31" t="n">
        <x:f>IF(B19=0,"",B19*D19)</x:f>
        <x:v>779495.0632576885</x:v>
      </x:c>
    </x:row>
    <x:row r="20" ht="18" customHeight="1">
      <x:c r="A20" s="24" t="str">
        <x:v>Small reef assoc. fish (&lt;30 cm)</x:v>
      </x:c>
      <x:c r="B20" s="31" t="n">
        <x:v>1123.2745378315</x:v>
      </x:c>
      <x:c r="C20" s="32" t="n">
        <x:v>3.2394457577743</x:v>
      </x:c>
      <x:c r="D20" s="32" t="n">
        <x:f>IF(C20="","",(1/'Metadata'!$B$5)^(C20-1))</x:f>
        <x:v>173.55844794485336</x:v>
      </x:c>
      <x:c r="E20" s="31" t="n">
        <x:f>IF(B20=0,"",B20*D20)</x:f>
        <x:v>194953.7854020076</x:v>
      </x:c>
    </x:row>
    <x:row r="21" ht="18" customHeight="1">
      <x:c r="A21" s="24" t="str">
        <x:v>Small to medium flatfishes (&lt;90 cm)</x:v>
      </x:c>
      <x:c r="B21" s="31" t="n">
        <x:v>616.8163892366001</x:v>
      </x:c>
      <x:c r="C21" s="32" t="n">
        <x:v>4.388905781014444</x:v>
      </x:c>
      <x:c r="D21" s="32" t="n">
        <x:f>IF(C21="","",(1/'Metadata'!$B$5)^(C21-1))</x:f>
        <x:v>2448.531981984129</x:v>
      </x:c>
      <x:c r="E21" s="31" t="n">
        <x:f>IF(B21=0,"",B21*D21)</x:f>
        <x:v>1510294.6560577864</x:v>
      </x:c>
    </x:row>
  </x:sheetData>
  <x:pageMargins left="0.7" right="0.7" top="0.75" bottom="0.75" header="0.3" footer="0.3"/>
  <x:tableParts count="1">
    <x:tablePart xmlns:r="http://schemas.openxmlformats.org/officeDocument/2006/relationships" r:id="R59526d2b0e944b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EEZ_834</x:v>
      </x:c>
      <x:c r="B2" s="24" t="str">
        <x:v>raw_filtered_tonnes</x:v>
      </x:c>
      <x:c r="C2" s="24" t="n">
        <x:v>129515.2312113136</x:v>
      </x:c>
      <x:c r="D2" s="24" t="str">
        <x:v>tonnes</x:v>
      </x:c>
    </x:row>
    <x:row r="3" ht="18" customHeight="1">
      <x:c r="A3" s="24" t="str">
        <x:v>EEZ_834</x:v>
      </x:c>
      <x:c r="B3" s="24" t="str">
        <x:v>species_catch_tonnes</x:v>
      </x:c>
      <x:c r="C3" s="24" t="n">
        <x:v>129515.23121131358</x:v>
      </x:c>
      <x:c r="D3" s="24" t="str">
        <x:v>tonnes</x:v>
      </x:c>
    </x:row>
    <x:row r="4" ht="18" customHeight="1">
      <x:c r="A4" s="24" t="str">
        <x:v>EEZ_834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EEZ_834</x:v>
      </x:c>
      <x:c r="B6" s="24" t="str">
        <x:v>matched_catch_tonnes</x:v>
      </x:c>
      <x:c r="C6" s="24" t="n">
        <x:v>129515.23121131358</x:v>
      </x:c>
      <x:c r="D6" s="24" t="str">
        <x:v>tonnes</x:v>
      </x:c>
    </x:row>
    <x:row r="7" ht="18" customHeight="1">
      <x:c r="A7" s="24" t="str">
        <x:v>EEZ_834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EEZ_834</x:v>
      </x:c>
      <x:c r="B8" s="24" t="str">
        <x:v>taxa_count</x:v>
      </x:c>
      <x:c r="C8" s="24" t="n">
        <x:v>112</x:v>
      </x:c>
      <x:c r="D8" s="24" t="str">
        <x:v>count</x:v>
      </x:c>
    </x:row>
    <x:row r="9" ht="18" customHeight="1">
      <x:c r="A9" s="24" t="str">
        <x:v>EEZ_834</x:v>
      </x:c>
      <x:c r="B9" s="24" t="str">
        <x:v>matched_taxa_count</x:v>
      </x:c>
      <x:c r="C9" s="24" t="n">
        <x:v>112</x:v>
      </x:c>
      <x:c r="D9" s="24" t="str">
        <x:v>count</x:v>
      </x:c>
    </x:row>
    <x:row r="10" ht="18" customHeight="1">
      <x:c r="A10" s="24" t="str">
        <x:v>EEZ_834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EEZ_834</x:v>
      </x:c>
      <x:c r="B11" s="24" t="str">
        <x:v>species_ppr</x:v>
      </x:c>
      <x:c r="C11" s="24" t="n">
        <x:v>108837946.14807098</x:v>
      </x:c>
      <x:c r="D11" s="24" t="str">
        <x:v>tonnes_primary_production_equivalent</x:v>
      </x:c>
    </x:row>
    <x:row r="12" ht="18" customHeight="1">
      <x:c r="A12" s="24" t="str">
        <x:v>EEZ_834</x:v>
      </x:c>
      <x:c r="B12" s="24" t="str">
        <x:v>commercial_ppr</x:v>
      </x:c>
      <x:c r="C12" s="24" t="n">
        <x:v>78818215.59635648</x:v>
      </x:c>
      <x:c r="D12" s="24" t="str">
        <x:v>tonnes_primary_production_equivalent</x:v>
      </x:c>
    </x:row>
    <x:row r="13" ht="18" customHeight="1">
      <x:c r="A13" s="24" t="str">
        <x:v>EEZ_834</x:v>
      </x:c>
      <x:c r="B13" s="24" t="str">
        <x:v>functional_ppr</x:v>
      </x:c>
      <x:c r="C13" s="24" t="n">
        <x:v>90208962.19375764</x:v>
      </x:c>
      <x:c r="D13" s="24" t="str">
        <x:v>tonnes_primary_production_equivalent</x:v>
      </x:c>
    </x:row>
    <x:row r="14" ht="18" customHeight="1">
      <x:c r="A14" s="24" t="str">
        <x:v>EEZ_834</x:v>
      </x:c>
      <x:c r="B14" s="24" t="str">
        <x:v>commercial_ppr_difference</x:v>
      </x:c>
      <x:c r="C14" s="24" t="n">
        <x:v>-30019730.551714495</x:v>
      </x:c>
      <x:c r="D14" s="24" t="str">
        <x:v>tonnes_primary_production_equivalent</x:v>
      </x:c>
    </x:row>
    <x:row r="15" ht="18" customHeight="1">
      <x:c r="A15" s="24" t="str">
        <x:v>EEZ_834</x:v>
      </x:c>
      <x:c r="B15" s="24" t="str">
        <x:v>functional_ppr_difference</x:v>
      </x:c>
      <x:c r="C15" s="24" t="n">
        <x:v>-18628983.954313338</x:v>
      </x:c>
      <x:c r="D15" s="24" t="str">
        <x:v>tonnes_primary_production_equivalent</x:v>
      </x:c>
    </x:row>
    <x:row r="16" ht="18" customHeight="1">
      <x:c r="A16" s="24" t="str">
        <x:v>EEZ_834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f9c8b2f6b674f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EEZ_834 - Tanzania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