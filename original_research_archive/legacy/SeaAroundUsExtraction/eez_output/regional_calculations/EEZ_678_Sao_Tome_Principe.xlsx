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f0971a15b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921d2a52f1a4161"/>
    <x:sheet xmlns:r="http://schemas.openxmlformats.org/officeDocument/2006/relationships" name="Commercial" sheetId="2" r:id="R4000dd13ac0d4196"/>
    <x:sheet xmlns:r="http://schemas.openxmlformats.org/officeDocument/2006/relationships" name="Functional" sheetId="3" r:id="Rc0ff8b7143fb4b22"/>
    <x:sheet xmlns:r="http://schemas.openxmlformats.org/officeDocument/2006/relationships" name="Missing TL" sheetId="4" r:id="R41ca2bdbff774319"/>
    <x:sheet xmlns:r="http://schemas.openxmlformats.org/officeDocument/2006/relationships" name="Validation" sheetId="5" r:id="R9ae46270fd864d25"/>
    <x:sheet xmlns:r="http://schemas.openxmlformats.org/officeDocument/2006/relationships" name="Metadata" sheetId="6" r:id="R348752f87706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d836aabff4bb7" /><Relationship Type="http://schemas.openxmlformats.org/officeDocument/2006/relationships/theme" Target="/xl/theme/theme1.xml" Id="R7789f305ec4b4a93" /><Relationship Type="http://schemas.microsoft.com/office/2022/11/relationships/FeaturePropertyBag" Target="/xl/featurePropertyBag/featurePropertyBag.xml" Id="R0522e6f505a643e9" /><Relationship Type="http://schemas.openxmlformats.org/officeDocument/2006/relationships/sharedStrings" Target="/xl/sharedStrings.xml" Id="Rd0d7cfdd92d3474e" /><Relationship Type="http://schemas.openxmlformats.org/officeDocument/2006/relationships/worksheet" Target="/xl/worksheets/sheet1.xml" Id="R6921d2a52f1a4161" /><Relationship Type="http://schemas.openxmlformats.org/officeDocument/2006/relationships/worksheet" Target="/xl/worksheets/sheet2.xml" Id="R4000dd13ac0d4196" /><Relationship Type="http://schemas.openxmlformats.org/officeDocument/2006/relationships/worksheet" Target="/xl/worksheets/sheet3.xml" Id="Rc0ff8b7143fb4b22" /><Relationship Type="http://schemas.openxmlformats.org/officeDocument/2006/relationships/worksheet" Target="/xl/worksheets/sheet4.xml" Id="R41ca2bdbff774319" /><Relationship Type="http://schemas.openxmlformats.org/officeDocument/2006/relationships/worksheet" Target="/xl/worksheets/sheet5.xml" Id="R9ae46270fd864d25" /><Relationship Type="http://schemas.openxmlformats.org/officeDocument/2006/relationships/worksheet" Target="/xl/worksheets/sheet6.xml" Id="R348752f877064b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78SpeciesTable" displayName="EEZ678SpeciesTable" ref="A1:U116" headerRowCount="1" totalsRowCount="0" totalsRowShown="0">
  <x:autoFilter ref="A1:U11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78CommercialTable" displayName="EEZ67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78FunctionalTable" displayName="EEZ678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78ValidationTable" displayName="EEZ67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0b7c3b691743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0836c0917344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07fa3a4af042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f74dc515794a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EEZ_678</x:v>
      </x:c>
      <x:c r="B2" s="24" t="str">
        <x:v>Sao Tome &amp; Principe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3197.3649273994997</x:v>
      </x:c>
      <x:c r="J2" s="31" t="n">
        <x:v>2704.9298689095</x:v>
      </x:c>
      <x:c r="K2" s="31" t="n">
        <x:v>492.43505849</x:v>
      </x:c>
      <x:c r="L2" s="31" t="n">
        <x:v>1019.5696036838</x:v>
      </x:c>
      <x:c r="M2" s="31" t="n">
        <x:v>2177.7953237157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609245.3270153154</x:v>
      </x:c>
    </x:row>
    <x:row r="3" ht="18" customHeight="1">
      <x:c r="A3" s="24" t="str">
        <x:v>EEZ_678</x:v>
      </x:c>
      <x:c r="B3" s="24" t="str">
        <x:v>Sao Tome &amp; Principe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1164.4837653448</x:v>
      </x:c>
      <x:c r="J3" s="31" t="n">
        <x:v>1164.4837653448</x:v>
      </x:c>
      <x:c r="K3" s="31" t="n">
        <x:v>0</x:v>
      </x:c>
      <x:c r="L3" s="31" t="n">
        <x:v>1164.4837653448</x:v>
      </x:c>
      <x:c r="M3" s="31" t="n">
        <x:v>0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3134248.583033391</x:v>
      </x:c>
    </x:row>
    <x:row r="4" ht="18" customHeight="1">
      <x:c r="A4" s="24" t="str">
        <x:v>EEZ_678</x:v>
      </x:c>
      <x:c r="B4" s="24" t="str">
        <x:v>Sao Tome &amp; Principe</x:v>
      </x:c>
      <x:c r="C4" s="24" t="str">
        <x:v>EEZ</x:v>
      </x:c>
      <x:c r="D4" s="30" t="n">
        <x:v>2019</x:v>
      </x:c>
      <x:c r="E4" s="24" t="str">
        <x:v>Caranx</x:v>
      </x:c>
      <x:c r="F4" s="24" t="str">
        <x:v>Jacks</x:v>
      </x:c>
      <x:c r="G4" s="24" t="str">
        <x:v>Medium reef assoc. fish (30 - 89 cm)</x:v>
      </x:c>
      <x:c r="H4" s="24" t="str">
        <x:v>Perch-likes</x:v>
      </x:c>
      <x:c r="I4" s="31" t="n">
        <x:v>516.1999999998001</x:v>
      </x:c>
      <x:c r="J4" s="31" t="n">
        <x:v>516.1999999998001</x:v>
      </x:c>
      <x:c r="K4" s="31" t="n">
        <x:v>0</x:v>
      </x:c>
      <x:c r="L4" s="31" t="n">
        <x:v>516.1999999998001</x:v>
      </x:c>
      <x:c r="M4" s="31" t="n">
        <x:v>0</x:v>
      </x:c>
      <x:c r="N4" s="24" t="str">
        <x:v>caranx</x:v>
      </x:c>
      <x:c r="O4" s="32" t="n">
        <x:v>4.12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Caranx</x:v>
      </x:c>
      <x:c r="T4" s="32" t="n">
        <x:f>IF(O4="","",(1/'Metadata'!$B$5)^(O4-1))</x:f>
        <x:v>1318.2567385564075</x:v>
      </x:c>
      <x:c r="U4" s="31" t="n">
        <x:f>IF(T4="","",I4*T4)</x:f>
        <x:v>680484.128442554</x:v>
      </x:c>
    </x:row>
    <x:row r="5" ht="18" customHeight="1">
      <x:c r="A5" s="24" t="str">
        <x:v>EEZ_678</x:v>
      </x:c>
      <x:c r="B5" s="24" t="str">
        <x:v>Sao Tome &amp; Principe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514.5699894964</x:v>
      </x:c>
      <x:c r="J5" s="31" t="n">
        <x:v>514.5699894964</x:v>
      </x:c>
      <x:c r="K5" s="31" t="n">
        <x:v>0</x:v>
      </x:c>
      <x:c r="L5" s="31" t="n">
        <x:v>514.5699894964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1590173.288249292</x:v>
      </x:c>
    </x:row>
    <x:row r="6" ht="18" customHeight="1">
      <x:c r="A6" s="24" t="str">
        <x:v>EEZ_678</x:v>
      </x:c>
      <x:c r="B6" s="24" t="str">
        <x:v>Sao Tome &amp; Principe</x:v>
      </x:c>
      <x:c r="C6" s="24" t="str">
        <x:v>EEZ</x:v>
      </x:c>
      <x:c r="D6" s="30" t="n">
        <x:v>2019</x:v>
      </x:c>
      <x:c r="E6" s="24" t="str">
        <x:v>Sciaenidae</x:v>
      </x:c>
      <x:c r="F6" s="24" t="str">
        <x:v>Drums, croakers</x:v>
      </x:c>
      <x:c r="G6" s="24" t="str">
        <x:v>Medium demersals (30 - 89 cm)</x:v>
      </x:c>
      <x:c r="H6" s="24" t="str">
        <x:v>Perch-likes</x:v>
      </x:c>
      <x:c r="I6" s="31" t="n">
        <x:v>495.6712759056</x:v>
      </x:c>
      <x:c r="J6" s="31" t="n">
        <x:v>495.6712759056</x:v>
      </x:c>
      <x:c r="K6" s="31" t="n">
        <x:v>0</x:v>
      </x:c>
      <x:c r="L6" s="31" t="n">
        <x:v>495.6712759056</x:v>
      </x:c>
      <x:c r="M6" s="31" t="n">
        <x:v>0</x:v>
      </x:c>
      <x:c r="N6" s="24" t="str">
        <x:v>sciaenidae</x:v>
      </x:c>
      <x:c r="O6" s="32" t="n">
        <x:v>3.76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Sciaenidae</x:v>
      </x:c>
      <x:c r="T6" s="32" t="n">
        <x:f>IF(O6="","",(1/'Metadata'!$B$5)^(O6-1))</x:f>
        <x:v>575.4399373371566</x:v>
      </x:c>
      <x:c r="U6" s="31" t="n">
        <x:f>IF(T6="","",I6*T6)</x:f>
        <x:v>285229.0479469469</x:v>
      </x:c>
    </x:row>
    <x:row r="7" ht="18" customHeight="1">
      <x:c r="A7" s="24" t="str">
        <x:v>EEZ_678</x:v>
      </x:c>
      <x:c r="B7" s="24" t="str">
        <x:v>Sao Tome &amp; Principe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465.0435383223</x:v>
      </x:c>
      <x:c r="J7" s="31" t="n">
        <x:v>465.0435383223</x:v>
      </x:c>
      <x:c r="K7" s="31" t="n">
        <x:v>0</x:v>
      </x:c>
      <x:c r="L7" s="31" t="n">
        <x:v>465.0435383223</x:v>
      </x:c>
      <x:c r="M7" s="31" t="n">
        <x:v>0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1195345.9497075507</x:v>
      </x:c>
    </x:row>
    <x:row r="8" ht="18" customHeight="1">
      <x:c r="A8" s="24" t="str">
        <x:v>EEZ_678</x:v>
      </x:c>
      <x:c r="B8" s="24" t="str">
        <x:v>Sao Tome &amp; Principe</x:v>
      </x:c>
      <x:c r="C8" s="24" t="str">
        <x:v>EEZ</x:v>
      </x:c>
      <x:c r="D8" s="30" t="n">
        <x:v>2019</x:v>
      </x:c>
      <x:c r="E8" s="24" t="str">
        <x:v>Cephalopoda</x:v>
      </x:c>
      <x:c r="F8" s="24" t="str">
        <x:v>Squids, cuttlefishes, octopuses</x:v>
      </x:c>
      <x:c r="G8" s="24" t="str">
        <x:v>Cephalopods</x:v>
      </x:c>
      <x:c r="H8" s="24" t="str">
        <x:v>Other fishes &amp; inverts</x:v>
      </x:c>
      <x:c r="I8" s="31" t="n">
        <x:v>459.81998476499996</x:v>
      </x:c>
      <x:c r="J8" s="31" t="n">
        <x:v>33.4414217629</x:v>
      </x:c>
      <x:c r="K8" s="31" t="n">
        <x:v>426.3785630021</x:v>
      </x:c>
      <x:c r="L8" s="31" t="n">
        <x:v>33.4414217629</x:v>
      </x:c>
      <x:c r="M8" s="31" t="n">
        <x:v>426.3785630021</x:v>
      </x:c>
      <x:c r="N8" s="24" t="str">
        <x:v>cephalopoda</x:v>
      </x:c>
      <x:c r="O8" s="32" t="n">
        <x:v>3.81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Cephalopoda</x:v>
      </x:c>
      <x:c r="T8" s="32" t="n">
        <x:f>IF(O8="","",(1/'Metadata'!$B$5)^(O8-1))</x:f>
        <x:v>645.6542290346556</x:v>
      </x:c>
      <x:c r="U8" s="31" t="n">
        <x:f>IF(T8="","",I8*T8)</x:f>
        <x:v>296884.7177581731</x:v>
      </x:c>
    </x:row>
    <x:row r="9" ht="18" customHeight="1">
      <x:c r="A9" s="24" t="str">
        <x:v>EEZ_678</x:v>
      </x:c>
      <x:c r="B9" s="24" t="str">
        <x:v>Sao Tome &amp; Principe</x:v>
      </x:c>
      <x:c r="C9" s="24" t="str">
        <x:v>EEZ</x:v>
      </x:c>
      <x:c r="D9" s="30" t="n">
        <x:v>2019</x:v>
      </x:c>
      <x:c r="E9" s="24" t="str">
        <x:v>Decapterus</x:v>
      </x:c>
      <x:c r="F9" s="24" t="str">
        <x:v>Scads</x:v>
      </x:c>
      <x:c r="G9" s="24" t="str">
        <x:v>Medium pelagics (30 - 89 cm)</x:v>
      </x:c>
      <x:c r="H9" s="24" t="str">
        <x:v>Perch-likes</x:v>
      </x:c>
      <x:c r="I9" s="31" t="n">
        <x:v>398.2699999999</x:v>
      </x:c>
      <x:c r="J9" s="31" t="n">
        <x:v>398.2699999999</x:v>
      </x:c>
      <x:c r="K9" s="31" t="n">
        <x:v>0</x:v>
      </x:c>
      <x:c r="L9" s="31" t="n">
        <x:v>398.2699999999</x:v>
      </x:c>
      <x:c r="M9" s="31" t="n">
        <x:v>0</x:v>
      </x:c>
      <x:c r="N9" s="24" t="str">
        <x:v>decapterus</x:v>
      </x:c>
      <x:c r="O9" s="32" t="n">
        <x:v>3.63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Decapterus</x:v>
      </x:c>
      <x:c r="T9" s="32" t="n">
        <x:f>IF(O9="","",(1/'Metadata'!$B$5)^(O9-1))</x:f>
        <x:v>426.57951880159254</x:v>
      </x:c>
      <x:c r="U9" s="31" t="n">
        <x:f>IF(T9="","",I9*T9)</x:f>
        <x:v>169893.8249530676</x:v>
      </x:c>
    </x:row>
    <x:row r="10" ht="18" customHeight="1">
      <x:c r="A10" s="24" t="str">
        <x:v>EEZ_678</x:v>
      </x:c>
      <x:c r="B10" s="24" t="str">
        <x:v>Sao Tome &amp; Principe</x:v>
      </x:c>
      <x:c r="C10" s="24" t="str">
        <x:v>EEZ</x:v>
      </x:c>
      <x:c r="D10" s="30" t="n">
        <x:v>2019</x:v>
      </x:c>
      <x:c r="E10" s="24" t="str">
        <x:v>Lutjanus</x:v>
      </x:c>
      <x:c r="F10" s="24" t="str">
        <x:v>Snappers</x:v>
      </x:c>
      <x:c r="G10" s="24" t="str">
        <x:v>Medium reef assoc. fish (30 - 89 cm)</x:v>
      </x:c>
      <x:c r="H10" s="24" t="str">
        <x:v>Perch-likes</x:v>
      </x:c>
      <x:c r="I10" s="31" t="n">
        <x:v>382.20000000000005</x:v>
      </x:c>
      <x:c r="J10" s="31" t="n">
        <x:v>382.20000000000005</x:v>
      </x:c>
      <x:c r="K10" s="31" t="n">
        <x:v>0</x:v>
      </x:c>
      <x:c r="L10" s="31" t="n">
        <x:v>382.20000000000005</x:v>
      </x:c>
      <x:c r="M10" s="31" t="n">
        <x:v>0</x:v>
      </x:c>
      <x:c r="N10" s="24" t="str">
        <x:v>lutjanus</x:v>
      </x:c>
      <x:c r="O10" s="32" t="n">
        <x:v>4.02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Lutjanus</x:v>
      </x:c>
      <x:c r="T10" s="32" t="n">
        <x:f>IF(O10="","",(1/'Metadata'!$B$5)^(O10-1))</x:f>
        <x:v>1047.1285480508984</x:v>
      </x:c>
      <x:c r="U10" s="31" t="n">
        <x:f>IF(T10="","",I10*T10)</x:f>
        <x:v>400212.5310650534</x:v>
      </x:c>
    </x:row>
    <x:row r="11" ht="18" customHeight="1">
      <x:c r="A11" s="24" t="str">
        <x:v>EEZ_678</x:v>
      </x:c>
      <x:c r="B11" s="24" t="str">
        <x:v>Sao Tome &amp; Principe</x:v>
      </x:c>
      <x:c r="C11" s="24" t="str">
        <x:v>EEZ</x:v>
      </x:c>
      <x:c r="D11" s="30" t="n">
        <x:v>2019</x:v>
      </x:c>
      <x:c r="E11" s="24" t="str">
        <x:v>Cheilopogon melanurus</x:v>
      </x:c>
      <x:c r="F11" s="24" t="str">
        <x:v>Atlantic flyingfish</x:v>
      </x:c>
      <x:c r="G11" s="24" t="str">
        <x:v>Small pelagics (&lt;30 cm)</x:v>
      </x:c>
      <x:c r="H11" s="24" t="str">
        <x:v>Other fishes &amp; inverts</x:v>
      </x:c>
      <x:c r="I11" s="31" t="n">
        <x:v>331.4668249931</x:v>
      </x:c>
      <x:c r="J11" s="31" t="n">
        <x:v>331.4668249931</x:v>
      </x:c>
      <x:c r="K11" s="31" t="n">
        <x:v>0</x:v>
      </x:c>
      <x:c r="L11" s="31" t="n">
        <x:v>331.4668249931</x:v>
      </x:c>
      <x:c r="M11" s="31" t="n">
        <x:v>0</x:v>
      </x:c>
      <x:c r="N11" s="24" t="str">
        <x:v>cheilopogon melanurus</x:v>
      </x:c>
      <x:c r="O11" s="32" t="n">
        <x:v>3.6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Cheilopogon melanurus</x:v>
      </x:c>
      <x:c r="T11" s="32" t="n">
        <x:f>IF(O11="","",(1/'Metadata'!$B$5)^(O11-1))</x:f>
        <x:v>398.1071705534973</x:v>
      </x:c>
      <x:c r="U11" s="31" t="n">
        <x:f>IF(T11="","",I11*T11)</x:f>
        <x:v>131959.3198303543</x:v>
      </x:c>
    </x:row>
    <x:row r="12" ht="18" customHeight="1">
      <x:c r="A12" s="24" t="str">
        <x:v>EEZ_678</x:v>
      </x:c>
      <x:c r="B12" s="24" t="str">
        <x:v>Sao Tome &amp; Principe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275.2482157458</x:v>
      </x:c>
      <x:c r="J12" s="31" t="n">
        <x:v>275.2482157458</x:v>
      </x:c>
      <x:c r="K12" s="31" t="n">
        <x:v>0</x:v>
      </x:c>
      <x:c r="L12" s="31" t="n">
        <x:v>275.2482157458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616203.9989433408</x:v>
      </x:c>
    </x:row>
    <x:row r="13" ht="18" customHeight="1">
      <x:c r="A13" s="24" t="str">
        <x:v>EEZ_678</x:v>
      </x:c>
      <x:c r="B13" s="24" t="str">
        <x:v>Sao Tome &amp; Principe</x:v>
      </x:c>
      <x:c r="C13" s="24" t="str">
        <x:v>EEZ</x:v>
      </x:c>
      <x:c r="D13" s="30" t="n">
        <x:v>2019</x:v>
      </x:c>
      <x:c r="E13" s="24" t="str">
        <x:v>Scorpaeniformes</x:v>
      </x:c>
      <x:c r="F13" s="24" t="str">
        <x:v>Scorpionfishes, flatheads</x:v>
      </x:c>
      <x:c r="G13" s="24" t="str">
        <x:v>Medium demersals (30 - 89 cm)</x:v>
      </x:c>
      <x:c r="H13" s="24" t="str">
        <x:v>Scorpionfishes</x:v>
      </x:c>
      <x:c r="I13" s="31" t="n">
        <x:v>225.683976198</x:v>
      </x:c>
      <x:c r="J13" s="31" t="n">
        <x:v>225.683976198</x:v>
      </x:c>
      <x:c r="K13" s="31" t="n">
        <x:v>0</x:v>
      </x:c>
      <x:c r="L13" s="31" t="n">
        <x:v>225.683976198</x:v>
      </x:c>
      <x:c r="M13" s="31" t="n">
        <x:v>0</x:v>
      </x:c>
      <x:c r="N13" s="24" t="str">
        <x:v>scorpaeniformes</x:v>
      </x:c>
      <x:c r="O13" s="32" t="n">
        <x:v>3.78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Scorpaeniformes</x:v>
      </x:c>
      <x:c r="T13" s="32" t="n">
        <x:f>IF(O13="","",(1/'Metadata'!$B$5)^(O13-1))</x:f>
        <x:v>602.5595860743575</x:v>
      </x:c>
      <x:c r="U13" s="31" t="n">
        <x:f>IF(T13="","",I13*T13)</x:f>
        <x:v>135988.04328148204</x:v>
      </x:c>
    </x:row>
    <x:row r="14" ht="18" customHeight="1">
      <x:c r="A14" s="24" t="str">
        <x:v>EEZ_678</x:v>
      </x:c>
      <x:c r="B14" s="24" t="str">
        <x:v>Sao Tome &amp; Principe</x:v>
      </x:c>
      <x:c r="C14" s="24" t="str">
        <x:v>EEZ</x:v>
      </x:c>
      <x:c r="D14" s="30" t="n">
        <x:v>2019</x:v>
      </x:c>
      <x:c r="E14" s="24" t="str">
        <x:v>Dentex macrophthalmus</x:v>
      </x:c>
      <x:c r="F14" s="24" t="str">
        <x:v>Large-eye dentex</x:v>
      </x:c>
      <x:c r="G14" s="24" t="str">
        <x:v>Medium benthopelagics (30 - 89 cm)</x:v>
      </x:c>
      <x:c r="H14" s="24" t="str">
        <x:v>Perch-likes</x:v>
      </x:c>
      <x:c r="I14" s="31" t="n">
        <x:v>218.51088231629998</x:v>
      </x:c>
      <x:c r="J14" s="31" t="n">
        <x:v>218.51088231629998</x:v>
      </x:c>
      <x:c r="K14" s="31" t="n">
        <x:v>0</x:v>
      </x:c>
      <x:c r="L14" s="31" t="n">
        <x:v>218.51088231629998</x:v>
      </x:c>
      <x:c r="M14" s="31" t="n">
        <x:v>0</x:v>
      </x:c>
      <x:c r="N14" s="24" t="str">
        <x:v>dentex macrophthalmus</x:v>
      </x:c>
      <x:c r="O14" s="32" t="n">
        <x:v>3.52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Dentex macrophthalmus</x:v>
      </x:c>
      <x:c r="T14" s="32" t="n">
        <x:f>IF(O14="","",(1/'Metadata'!$B$5)^(O14-1))</x:f>
        <x:v>331.1311214825911</x:v>
      </x:c>
      <x:c r="U14" s="31" t="n">
        <x:f>IF(T14="","",I14*T14)</x:f>
        <x:v>72355.7535175469</x:v>
      </x:c>
    </x:row>
    <x:row r="15" ht="18" customHeight="1">
      <x:c r="A15" s="24" t="str">
        <x:v>EEZ_678</x:v>
      </x:c>
      <x:c r="B15" s="24" t="str">
        <x:v>Sao Tome &amp; Principe</x:v>
      </x:c>
      <x:c r="C15" s="24" t="str">
        <x:v>EEZ</x:v>
      </x:c>
      <x:c r="D15" s="30" t="n">
        <x:v>2019</x:v>
      </x:c>
      <x:c r="E15" s="24" t="str">
        <x:v>Auxis thazard</x:v>
      </x:c>
      <x:c r="F15" s="24" t="str">
        <x:v>Frigate tuna</x:v>
      </x:c>
      <x:c r="G15" s="24" t="str">
        <x:v>Medium pelagics (30 - 89 cm)</x:v>
      </x:c>
      <x:c r="H15" s="24" t="str">
        <x:v>Tuna &amp; billfishes</x:v>
      </x:c>
      <x:c r="I15" s="31" t="n">
        <x:v>194.4098976153</x:v>
      </x:c>
      <x:c r="J15" s="31" t="n">
        <x:v>194.4098976153</x:v>
      </x:c>
      <x:c r="K15" s="31" t="n">
        <x:v>0</x:v>
      </x:c>
      <x:c r="L15" s="31" t="n">
        <x:v>194.4098976153</x:v>
      </x:c>
      <x:c r="M15" s="31" t="n">
        <x:v>0</x:v>
      </x:c>
      <x:c r="N15" s="24" t="str">
        <x:v>auxis thazard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Auxis thazard</x:v>
      </x:c>
      <x:c r="T15" s="32" t="n">
        <x:f>IF(O15="","",(1/'Metadata'!$B$5)^(O15-1))</x:f>
        <x:v>2344.228815319923</x:v>
      </x:c>
      <x:c r="U15" s="31" t="n">
        <x:f>IF(T15="","",I15*T15)</x:f>
        <x:v>455741.2839731822</x:v>
      </x:c>
    </x:row>
    <x:row r="16" ht="18" customHeight="1">
      <x:c r="A16" s="24" t="str">
        <x:v>EEZ_678</x:v>
      </x:c>
      <x:c r="B16" s="24" t="str">
        <x:v>Sao Tome &amp; Principe</x:v>
      </x:c>
      <x:c r="C16" s="24" t="str">
        <x:v>EEZ</x:v>
      </x:c>
      <x:c r="D16" s="30" t="n">
        <x:v>2019</x:v>
      </x:c>
      <x:c r="E16" s="24" t="str">
        <x:v>Pagrus caeruleostictus</x:v>
      </x:c>
      <x:c r="F16" s="24" t="str">
        <x:v>Bluespotted seabream</x:v>
      </x:c>
      <x:c r="G16" s="24" t="str">
        <x:v>Large benthopelagics (&gt;=90 cm)</x:v>
      </x:c>
      <x:c r="H16" s="24" t="str">
        <x:v>Perch-likes</x:v>
      </x:c>
      <x:c r="I16" s="31" t="n">
        <x:v>176.2657834484</x:v>
      </x:c>
      <x:c r="J16" s="31" t="n">
        <x:v>176.2657834484</x:v>
      </x:c>
      <x:c r="K16" s="31" t="n">
        <x:v>0</x:v>
      </x:c>
      <x:c r="L16" s="31" t="n">
        <x:v>176.2657834484</x:v>
      </x:c>
      <x:c r="M16" s="31" t="n">
        <x:v>0</x:v>
      </x:c>
      <x:c r="N16" s="24" t="str">
        <x:v>pagrus caeruleostictus</x:v>
      </x:c>
      <x:c r="O16" s="32" t="n">
        <x:v>3.81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Pagrus caeruleostictus</x:v>
      </x:c>
      <x:c r="T16" s="32" t="n">
        <x:f>IF(O16="","",(1/'Metadata'!$B$5)^(O16-1))</x:f>
        <x:v>645.6542290346556</x:v>
      </x:c>
      <x:c r="U16" s="31" t="n">
        <x:f>IF(T16="","",I16*T16)</x:f>
        <x:v>113806.74851756624</x:v>
      </x:c>
    </x:row>
    <x:row r="17" ht="18" customHeight="1">
      <x:c r="A17" s="24" t="str">
        <x:v>EEZ_678</x:v>
      </x:c>
      <x:c r="B17" s="24" t="str">
        <x:v>Sao Tome &amp; Principe</x:v>
      </x:c>
      <x:c r="C17" s="24" t="str">
        <x:v>EEZ</x:v>
      </x:c>
      <x:c r="D17" s="30" t="n">
        <x:v>2019</x:v>
      </x:c>
      <x:c r="E17" s="24" t="str">
        <x:v>Apsilus fuscus</x:v>
      </x:c>
      <x:c r="F17" s="24" t="str">
        <x:v>African forktail snapper</x:v>
      </x:c>
      <x:c r="G17" s="24" t="str">
        <x:v>Medium demersals (30 - 89 cm)</x:v>
      </x:c>
      <x:c r="H17" s="24" t="str">
        <x:v>Perch-likes</x:v>
      </x:c>
      <x:c r="I17" s="31" t="n">
        <x:v>172.25</x:v>
      </x:c>
      <x:c r="J17" s="31" t="n">
        <x:v>172.25</x:v>
      </x:c>
      <x:c r="K17" s="31" t="n">
        <x:v>0</x:v>
      </x:c>
      <x:c r="L17" s="31" t="n">
        <x:v>172.25</x:v>
      </x:c>
      <x:c r="M17" s="31" t="n">
        <x:v>0</x:v>
      </x:c>
      <x:c r="N17" s="24" t="str">
        <x:v>apsilus fuscus</x:v>
      </x:c>
      <x:c r="O17" s="32" t="n">
        <x:v>3.99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Apsilus fuscus</x:v>
      </x:c>
      <x:c r="T17" s="32" t="n">
        <x:f>IF(O17="","",(1/'Metadata'!$B$5)^(O17-1))</x:f>
        <x:v>977.2372209558112</x:v>
      </x:c>
      <x:c r="U17" s="31" t="n">
        <x:f>IF(T17="","",I17*T17)</x:f>
        <x:v>168329.11130963848</x:v>
      </x:c>
    </x:row>
    <x:row r="18" ht="18" customHeight="1">
      <x:c r="A18" s="24" t="str">
        <x:v>EEZ_678</x:v>
      </x:c>
      <x:c r="B18" s="24" t="str">
        <x:v>Sao Tome &amp; Principe</x:v>
      </x:c>
      <x:c r="C18" s="24" t="str">
        <x:v>EEZ</x:v>
      </x:c>
      <x:c r="D18" s="30" t="n">
        <x:v>2019</x:v>
      </x:c>
      <x:c r="E18" s="24" t="str">
        <x:v>Elagatis bipinnulata</x:v>
      </x:c>
      <x:c r="F18" s="24" t="str">
        <x:v>Rainbow runner</x:v>
      </x:c>
      <x:c r="G18" s="24" t="str">
        <x:v>Large pelagics (&gt;=90 cm)</x:v>
      </x:c>
      <x:c r="H18" s="24" t="str">
        <x:v>Perch-likes</x:v>
      </x:c>
      <x:c r="I18" s="31" t="n">
        <x:v>145.5571105892</x:v>
      </x:c>
      <x:c r="J18" s="31" t="n">
        <x:v>145.5571105892</x:v>
      </x:c>
      <x:c r="K18" s="31" t="n">
        <x:v>0</x:v>
      </x:c>
      <x:c r="L18" s="31" t="n">
        <x:v>145.5571105892</x:v>
      </x:c>
      <x:c r="M18" s="31" t="n">
        <x:v>0</x:v>
      </x:c>
      <x:c r="N18" s="24" t="str">
        <x:v>elagatis bipinnulata</x:v>
      </x:c>
      <x:c r="O18" s="32" t="n">
        <x:v>4.27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Elagatis bipinnulata</x:v>
      </x:c>
      <x:c r="T18" s="32" t="n">
        <x:f>IF(O18="","",(1/'Metadata'!$B$5)^(O18-1))</x:f>
        <x:v>1862.0871366628655</x:v>
      </x:c>
      <x:c r="U18" s="31" t="n">
        <x:f>IF(T18="","",I18*T18)</x:f>
        <x:v>271040.02327796345</x:v>
      </x:c>
    </x:row>
    <x:row r="19" ht="18" customHeight="1">
      <x:c r="A19" s="24" t="str">
        <x:v>EEZ_678</x:v>
      </x:c>
      <x:c r="B19" s="24" t="str">
        <x:v>Sao Tome &amp; Principe</x:v>
      </x:c>
      <x:c r="C19" s="24" t="str">
        <x:v>EEZ</x:v>
      </x:c>
      <x:c r="D19" s="30" t="n">
        <x:v>2019</x:v>
      </x:c>
      <x:c r="E19" s="24" t="str">
        <x:v>Epinephelus</x:v>
      </x:c>
      <x:c r="F19" s="24" t="str">
        <x:v>Seabasses, hinds</x:v>
      </x:c>
      <x:c r="G19" s="24" t="str">
        <x:v>Medium reef assoc. fish (30 - 89 cm)</x:v>
      </x:c>
      <x:c r="H19" s="24" t="str">
        <x:v>Perch-likes</x:v>
      </x:c>
      <x:c r="I19" s="31" t="n">
        <x:v>142.1687396284</x:v>
      </x:c>
      <x:c r="J19" s="31" t="n">
        <x:v>142.1687396284</x:v>
      </x:c>
      <x:c r="K19" s="31" t="n">
        <x:v>0</x:v>
      </x:c>
      <x:c r="L19" s="31" t="n">
        <x:v>142.1687396284</x:v>
      </x:c>
      <x:c r="M19" s="31" t="n">
        <x:v>0</x:v>
      </x:c>
      <x:c r="N19" s="24" t="str">
        <x:v>epinephelus</x:v>
      </x:c>
      <x:c r="O19" s="32" t="n">
        <x:v>3.84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Epinephelus</x:v>
      </x:c>
      <x:c r="T19" s="32" t="n">
        <x:f>IF(O19="","",(1/'Metadata'!$B$5)^(O19-1))</x:f>
        <x:v>691.8309709189363</x:v>
      </x:c>
      <x:c r="U19" s="31" t="n">
        <x:f>IF(T19="","",I19*T19)</x:f>
        <x:v>98356.73717143743</x:v>
      </x:c>
    </x:row>
    <x:row r="20" ht="18" customHeight="1">
      <x:c r="A20" s="24" t="str">
        <x:v>EEZ_678</x:v>
      </x:c>
      <x:c r="B20" s="24" t="str">
        <x:v>Sao Tome &amp; Principe</x:v>
      </x:c>
      <x:c r="C20" s="24" t="str">
        <x:v>EEZ</x:v>
      </x:c>
      <x:c r="D20" s="30" t="n">
        <x:v>2019</x:v>
      </x:c>
      <x:c r="E20" s="24" t="str">
        <x:v>Lagocephalus laevigatus</x:v>
      </x:c>
      <x:c r="F20" s="24" t="str">
        <x:v>Smooth puffer</x:v>
      </x:c>
      <x:c r="G20" s="24" t="str">
        <x:v>Medium pelagics (30 - 89 cm)</x:v>
      </x:c>
      <x:c r="H20" s="24" t="str">
        <x:v>Other fishes &amp; inverts</x:v>
      </x:c>
      <x:c r="I20" s="31" t="n">
        <x:v>136.3681394745</x:v>
      </x:c>
      <x:c r="J20" s="31" t="n">
        <x:v>136.3681394745</x:v>
      </x:c>
      <x:c r="K20" s="31" t="n">
        <x:v>0</x:v>
      </x:c>
      <x:c r="L20" s="31" t="n">
        <x:v>136.3681394745</x:v>
      </x:c>
      <x:c r="M20" s="31" t="n">
        <x:v>0</x:v>
      </x:c>
      <x:c r="N20" s="24" t="str">
        <x:v>lagocephalus laevigatus</x:v>
      </x:c>
      <x:c r="O20" s="32" t="n">
        <x:v>4.02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Lagocephalus laevigatus</x:v>
      </x:c>
      <x:c r="T20" s="32" t="n">
        <x:f>IF(O20="","",(1/'Metadata'!$B$5)^(O20-1))</x:f>
        <x:v>1047.1285480508984</x:v>
      </x:c>
      <x:c r="U20" s="31" t="n">
        <x:f>IF(T20="","",I20*T20)</x:f>
        <x:v>142794.9718883356</x:v>
      </x:c>
    </x:row>
    <x:row r="21" ht="18" customHeight="1">
      <x:c r="A21" s="24" t="str">
        <x:v>EEZ_678</x:v>
      </x:c>
      <x:c r="B21" s="24" t="str">
        <x:v>Sao Tome &amp; Principe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135.04</x:v>
      </x:c>
      <x:c r="J21" s="31" t="n">
        <x:v>135.04</x:v>
      </x:c>
      <x:c r="K21" s="31" t="n">
        <x:v>0</x:v>
      </x:c>
      <x:c r="L21" s="31" t="n">
        <x:v>135.04</x:v>
      </x:c>
      <x:c r="M21" s="31" t="n">
        <x:v>0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339205.14371105394</x:v>
      </x:c>
    </x:row>
    <x:row r="22" ht="18" customHeight="1">
      <x:c r="A22" s="24" t="str">
        <x:v>EEZ_678</x:v>
      </x:c>
      <x:c r="B22" s="24" t="str">
        <x:v>Sao Tome &amp; Principe</x:v>
      </x:c>
      <x:c r="C22" s="24" t="str">
        <x:v>EEZ</x:v>
      </x:c>
      <x:c r="D22" s="30" t="n">
        <x:v>2019</x:v>
      </x:c>
      <x:c r="E22" s="24" t="str">
        <x:v>Caranx hippos</x:v>
      </x:c>
      <x:c r="F22" s="24" t="str">
        <x:v>Crevalle jack</x:v>
      </x:c>
      <x:c r="G22" s="24" t="str">
        <x:v>Large reef assoc. fish (&gt;=90 cm)</x:v>
      </x:c>
      <x:c r="H22" s="24" t="str">
        <x:v>Perch-likes</x:v>
      </x:c>
      <x:c r="I22" s="31" t="n">
        <x:v>126.98264595110001</x:v>
      </x:c>
      <x:c r="J22" s="31" t="n">
        <x:v>126.98264595110001</x:v>
      </x:c>
      <x:c r="K22" s="31" t="n">
        <x:v>0</x:v>
      </x:c>
      <x:c r="L22" s="31" t="n">
        <x:v>126.98264595110001</x:v>
      </x:c>
      <x:c r="M22" s="31" t="n">
        <x:v>0</x:v>
      </x:c>
      <x:c r="N22" s="24" t="str">
        <x:v>caranx hippos</x:v>
      </x:c>
      <x:c r="O22" s="32" t="n">
        <x:v>3.56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hippos</x:v>
      </x:c>
      <x:c r="T22" s="32" t="n">
        <x:f>IF(O22="","",(1/'Metadata'!$B$5)^(O22-1))</x:f>
        <x:v>363.0780547701014</x:v>
      </x:c>
      <x:c r="U22" s="31" t="n">
        <x:f>IF(T22="","",I22*T22)</x:f>
        <x:v>46104.61208148589</x:v>
      </x:c>
    </x:row>
    <x:row r="23" ht="18" customHeight="1">
      <x:c r="A23" s="24" t="str">
        <x:v>EEZ_678</x:v>
      </x:c>
      <x:c r="B23" s="24" t="str">
        <x:v>Sao Tome &amp; Principe</x:v>
      </x:c>
      <x:c r="C23" s="24" t="str">
        <x:v>EEZ</x:v>
      </x:c>
      <x:c r="D23" s="30" t="n">
        <x:v>2019</x:v>
      </x:c>
      <x:c r="E23" s="24" t="str">
        <x:v>Holocentrus adscensionis</x:v>
      </x:c>
      <x:c r="F23" s="24" t="str">
        <x:v>Squirrelfish</x:v>
      </x:c>
      <x:c r="G23" s="24" t="str">
        <x:v>Medium reef assoc. fish (30 - 89 cm)</x:v>
      </x:c>
      <x:c r="H23" s="24" t="str">
        <x:v>Other fishes &amp; inverts</x:v>
      </x:c>
      <x:c r="I23" s="31" t="n">
        <x:v>124.36000000000001</x:v>
      </x:c>
      <x:c r="J23" s="31" t="n">
        <x:v>124.36000000000001</x:v>
      </x:c>
      <x:c r="K23" s="31" t="n">
        <x:v>0</x:v>
      </x:c>
      <x:c r="L23" s="31" t="n">
        <x:v>124.36000000000001</x:v>
      </x:c>
      <x:c r="M23" s="31" t="n">
        <x:v>0</x:v>
      </x:c>
      <x:c r="N23" s="24" t="str">
        <x:v>holocentrus adscensionis</x:v>
      </x:c>
      <x:c r="O23" s="32" t="n">
        <x:v>3.11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Holocentrus adscensionis</x:v>
      </x:c>
      <x:c r="T23" s="32" t="n">
        <x:f>IF(O23="","",(1/'Metadata'!$B$5)^(O23-1))</x:f>
        <x:v>128.82495516931337</x:v>
      </x:c>
      <x:c r="U23" s="31" t="n">
        <x:f>IF(T23="","",I23*T23)</x:f>
        <x:v>16020.671424855813</x:v>
      </x:c>
    </x:row>
    <x:row r="24" ht="18" customHeight="1">
      <x:c r="A24" s="24" t="str">
        <x:v>EEZ_678</x:v>
      </x:c>
      <x:c r="B24" s="24" t="str">
        <x:v>Sao Tome &amp; Principe</x:v>
      </x:c>
      <x:c r="C24" s="24" t="str">
        <x:v>EEZ</x:v>
      </x:c>
      <x:c r="D24" s="30" t="n">
        <x:v>2019</x:v>
      </x:c>
      <x:c r="E24" s="24" t="str">
        <x:v>Thunnus thynnus</x:v>
      </x:c>
      <x:c r="F24" s="24" t="str">
        <x:v>Atlantic bluefin tuna</x:v>
      </x:c>
      <x:c r="G24" s="24" t="str">
        <x:v>Large pelagics (&gt;=90 cm)</x:v>
      </x:c>
      <x:c r="H24" s="24" t="str">
        <x:v>Tuna &amp; billfishes</x:v>
      </x:c>
      <x:c r="I24" s="31" t="n">
        <x:v>120.5745073422</x:v>
      </x:c>
      <x:c r="J24" s="31" t="n">
        <x:v>120.5745073422</x:v>
      </x:c>
      <x:c r="K24" s="31" t="n">
        <x:v>0</x:v>
      </x:c>
      <x:c r="L24" s="31" t="n">
        <x:v>120.5745073422</x:v>
      </x:c>
      <x:c r="M24" s="31" t="n">
        <x:v>0</x:v>
      </x:c>
      <x:c r="N24" s="24" t="str">
        <x:v>thunnus thynnus</x:v>
      </x:c>
      <x:c r="O24" s="32" t="n">
        <x:v>4.45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thynnus</x:v>
      </x:c>
      <x:c r="T24" s="32" t="n">
        <x:f>IF(O24="","",(1/'Metadata'!$B$5)^(O24-1))</x:f>
        <x:v>2818.382931264455</x:v>
      </x:c>
      <x:c r="U24" s="31" t="n">
        <x:f>IF(T24="","",I24*T24)</x:f>
        <x:v>339825.1334388771</x:v>
      </x:c>
    </x:row>
    <x:row r="25" ht="18" customHeight="1">
      <x:c r="A25" s="24" t="str">
        <x:v>EEZ_678</x:v>
      </x:c>
      <x:c r="B25" s="24" t="str">
        <x:v>Sao Tome &amp; Principe</x:v>
      </x:c>
      <x:c r="C25" s="24" t="str">
        <x:v>EEZ</x:v>
      </x:c>
      <x:c r="D25" s="30" t="n">
        <x:v>2019</x:v>
      </x:c>
      <x:c r="E25" s="24" t="str">
        <x:v>Istiophorus albicans</x:v>
      </x:c>
      <x:c r="F25" s="24" t="str">
        <x:v>Atlantic sailfish</x:v>
      </x:c>
      <x:c r="G25" s="24" t="str">
        <x:v>Large pelagics (&gt;=90 cm)</x:v>
      </x:c>
      <x:c r="H25" s="24" t="str">
        <x:v>Tuna &amp; billfishes</x:v>
      </x:c>
      <x:c r="I25" s="31" t="n">
        <x:v>97.15939941100001</x:v>
      </x:c>
      <x:c r="J25" s="31" t="n">
        <x:v>97.15939941100001</x:v>
      </x:c>
      <x:c r="K25" s="31" t="n">
        <x:v>0</x:v>
      </x:c>
      <x:c r="L25" s="31" t="n">
        <x:v>97.15939941100001</x:v>
      </x:c>
      <x:c r="M25" s="31" t="n">
        <x:v>0</x:v>
      </x:c>
      <x:c r="N25" s="24" t="str">
        <x:v>istiophorus albicans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Istiophorus albicans</x:v>
      </x:c>
      <x:c r="T25" s="32" t="n">
        <x:f>IF(O25="","",(1/'Metadata'!$B$5)^(O25-1))</x:f>
        <x:v>3162.2776601683795</x:v>
      </x:c>
      <x:c r="U25" s="31" t="n">
        <x:f>IF(T25="","",I25*T25)</x:f>
        <x:v>307244.9982327821</x:v>
      </x:c>
    </x:row>
    <x:row r="26" ht="18" customHeight="1">
      <x:c r="A26" s="24" t="str">
        <x:v>EEZ_678</x:v>
      </x:c>
      <x:c r="B26" s="24" t="str">
        <x:v>Sao Tome &amp; Principe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91.4535372444</x:v>
      </x:c>
      <x:c r="J26" s="31" t="n">
        <x:v>91.4535372444</x:v>
      </x:c>
      <x:c r="K26" s="31" t="n">
        <x:v>0</x:v>
      </x:c>
      <x:c r="L26" s="31" t="n">
        <x:v>91.4535372444</x:v>
      </x:c>
      <x:c r="M26" s="31" t="n">
        <x:v>0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30988.49665352383</x:v>
      </x:c>
    </x:row>
    <x:row r="27" ht="18" customHeight="1">
      <x:c r="A27" s="24" t="str">
        <x:v>EEZ_678</x:v>
      </x:c>
      <x:c r="B27" s="24" t="str">
        <x:v>Sao Tome &amp; Principe</x:v>
      </x:c>
      <x:c r="C27" s="24" t="str">
        <x:v>EEZ</x:v>
      </x:c>
      <x:c r="D27" s="30" t="n">
        <x:v>2019</x:v>
      </x:c>
      <x:c r="E27" s="24" t="str">
        <x:v>Sardinella</x:v>
      </x:c>
      <x:c r="F27" s="24" t="str">
        <x:v>Sardinellas</x:v>
      </x:c>
      <x:c r="G27" s="24" t="str">
        <x:v>Small pelagics (&lt;30 cm)</x:v>
      </x:c>
      <x:c r="H27" s="24" t="str">
        <x:v>Herring-likes</x:v>
      </x:c>
      <x:c r="I27" s="31" t="n">
        <x:v>89.89</x:v>
      </x:c>
      <x:c r="J27" s="31" t="n">
        <x:v>89.89</x:v>
      </x:c>
      <x:c r="K27" s="31" t="n">
        <x:v>0</x:v>
      </x:c>
      <x:c r="L27" s="31" t="n">
        <x:v>89.89</x:v>
      </x:c>
      <x:c r="M27" s="31" t="n">
        <x:v>0</x:v>
      </x:c>
      <x:c r="N27" s="24" t="str">
        <x:v>sardinella</x:v>
      </x:c>
      <x:c r="O27" s="32" t="n">
        <x:v>2.77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Sardinella</x:v>
      </x:c>
      <x:c r="T27" s="32" t="n">
        <x:f>IF(O27="","",(1/'Metadata'!$B$5)^(O27-1))</x:f>
        <x:v>58.8843655355589</x:v>
      </x:c>
      <x:c r="U27" s="31" t="n">
        <x:f>IF(T27="","",I27*T27)</x:f>
        <x:v>5293.11561799139</x:v>
      </x:c>
    </x:row>
    <x:row r="28" ht="18" customHeight="1">
      <x:c r="A28" s="24" t="str">
        <x:v>EEZ_678</x:v>
      </x:c>
      <x:c r="B28" s="24" t="str">
        <x:v>Sao Tome &amp; Principe</x:v>
      </x:c>
      <x:c r="C28" s="24" t="str">
        <x:v>EEZ</x:v>
      </x:c>
      <x:c r="D28" s="30" t="n">
        <x:v>2019</x:v>
      </x:c>
      <x:c r="E28" s="24" t="str">
        <x:v>Coryphaena hippurus</x:v>
      </x:c>
      <x:c r="F28" s="24" t="str">
        <x:v>Common dolphinfish</x:v>
      </x:c>
      <x:c r="G28" s="24" t="str">
        <x:v>Large pelagics (&gt;=90 cm)</x:v>
      </x:c>
      <x:c r="H28" s="24" t="str">
        <x:v>Perch-likes</x:v>
      </x:c>
      <x:c r="I28" s="31" t="n">
        <x:v>85.7419175284</x:v>
      </x:c>
      <x:c r="J28" s="31" t="n">
        <x:v>85.7419175284</x:v>
      </x:c>
      <x:c r="K28" s="31" t="n">
        <x:v>0</x:v>
      </x:c>
      <x:c r="L28" s="31" t="n">
        <x:v>85.7419175284</x:v>
      </x:c>
      <x:c r="M28" s="31" t="n">
        <x:v>0</x:v>
      </x:c>
      <x:c r="N28" s="24" t="str">
        <x:v>coryphaena hippurus</x:v>
      </x:c>
      <x:c r="O28" s="32" t="n">
        <x:v>4.37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Coryphaena hippurus</x:v>
      </x:c>
      <x:c r="T28" s="32" t="n">
        <x:f>IF(O28="","",(1/'Metadata'!$B$5)^(O28-1))</x:f>
        <x:v>2344.228815319923</x:v>
      </x:c>
      <x:c r="U28" s="31" t="n">
        <x:f>IF(T28="","",I28*T28)</x:f>
        <x:v>200998.67375085966</x:v>
      </x:c>
    </x:row>
    <x:row r="29" ht="18" customHeight="1">
      <x:c r="A29" s="24" t="str">
        <x:v>EEZ_678</x:v>
      </x:c>
      <x:c r="B29" s="24" t="str">
        <x:v>Sao Tome &amp; Principe</x:v>
      </x:c>
      <x:c r="C29" s="24" t="str">
        <x:v>EEZ</x:v>
      </x:c>
      <x:c r="D29" s="30" t="n">
        <x:v>2019</x:v>
      </x:c>
      <x:c r="E29" s="24" t="str">
        <x:v>Acanthocybium solandri</x:v>
      </x:c>
      <x:c r="F29" s="24" t="str">
        <x:v>Wahoo</x:v>
      </x:c>
      <x:c r="G29" s="24" t="str">
        <x:v>Large pelagics (&gt;=90 cm)</x:v>
      </x:c>
      <x:c r="H29" s="24" t="str">
        <x:v>Perch-likes</x:v>
      </x:c>
      <x:c r="I29" s="31" t="n">
        <x:v>82.8669038772</x:v>
      </x:c>
      <x:c r="J29" s="31" t="n">
        <x:v>82.8669038772</x:v>
      </x:c>
      <x:c r="K29" s="31" t="n">
        <x:v>0</x:v>
      </x:c>
      <x:c r="L29" s="31" t="n">
        <x:v>82.8669038772</x:v>
      </x:c>
      <x:c r="M29" s="31" t="n">
        <x:v>0</x:v>
      </x:c>
      <x:c r="N29" s="24" t="str">
        <x:v>acanthocybium solandri</x:v>
      </x:c>
      <x:c r="O29" s="32" t="n">
        <x:v>4.26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Acanthocybium solandri</x:v>
      </x:c>
      <x:c r="T29" s="32" t="n">
        <x:f>IF(O29="","",(1/'Metadata'!$B$5)^(O29-1))</x:f>
        <x:v>1819.7008586099826</x:v>
      </x:c>
      <x:c r="U29" s="31" t="n">
        <x:f>IF(T29="","",I29*T29)</x:f>
        <x:v>150792.97613569174</x:v>
      </x:c>
    </x:row>
    <x:row r="30" ht="18" customHeight="1">
      <x:c r="A30" s="24" t="str">
        <x:v>EEZ_678</x:v>
      </x:c>
      <x:c r="B30" s="24" t="str">
        <x:v>Sao Tome &amp; Principe</x:v>
      </x:c>
      <x:c r="C30" s="24" t="str">
        <x:v>EEZ</x:v>
      </x:c>
      <x:c r="D30" s="30" t="n">
        <x:v>2019</x:v>
      </x:c>
      <x:c r="E30" s="24" t="str">
        <x:v>Thunnus alalunga</x:v>
      </x:c>
      <x:c r="F30" s="24" t="str">
        <x:v>Albacore</x:v>
      </x:c>
      <x:c r="G30" s="24" t="str">
        <x:v>Large pelagics (&gt;=90 cm)</x:v>
      </x:c>
      <x:c r="H30" s="24" t="str">
        <x:v>Tuna &amp; billfishes</x:v>
      </x:c>
      <x:c r="I30" s="31" t="n">
        <x:v>77.5033800519</x:v>
      </x:c>
      <x:c r="J30" s="31" t="n">
        <x:v>77.5033800519</x:v>
      </x:c>
      <x:c r="K30" s="31" t="n">
        <x:v>0</x:v>
      </x:c>
      <x:c r="L30" s="31" t="n">
        <x:v>77.5033800519</x:v>
      </x:c>
      <x:c r="M30" s="31" t="n">
        <x:v>0</x:v>
      </x:c>
      <x:c r="N30" s="24" t="str">
        <x:v>thunnus alalunga</x:v>
      </x:c>
      <x:c r="O30" s="32" t="n">
        <x:v>4.3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alalunga</x:v>
      </x:c>
      <x:c r="T30" s="32" t="n">
        <x:f>IF(O30="","",(1/'Metadata'!$B$5)^(O30-1))</x:f>
        <x:v>1995.2623149688789</x:v>
      </x:c>
      <x:c r="U30" s="31" t="n">
        <x:f>IF(T30="","",I30*T30)</x:f>
        <x:v>154639.57350026682</x:v>
      </x:c>
    </x:row>
    <x:row r="31" ht="18" customHeight="1">
      <x:c r="A31" s="24" t="str">
        <x:v>EEZ_678</x:v>
      </x:c>
      <x:c r="B31" s="24" t="str">
        <x:v>Sao Tome &amp; Principe</x:v>
      </x:c>
      <x:c r="C31" s="24" t="str">
        <x:v>EEZ</x:v>
      </x:c>
      <x:c r="D31" s="30" t="n">
        <x:v>2019</x:v>
      </x:c>
      <x:c r="E31" s="24" t="str">
        <x:v>Pagellus</x:v>
      </x:c>
      <x:c r="F31" s="24" t="str">
        <x:v>Pandoras</x:v>
      </x:c>
      <x:c r="G31" s="24" t="str">
        <x:v>Medium benthopelagics (30 - 89 cm)</x:v>
      </x:c>
      <x:c r="H31" s="24" t="str">
        <x:v>Perch-likes</x:v>
      </x:c>
      <x:c r="I31" s="31" t="n">
        <x:v>74.5094613024</x:v>
      </x:c>
      <x:c r="J31" s="31" t="n">
        <x:v>74.5094613024</x:v>
      </x:c>
      <x:c r="K31" s="31" t="n">
        <x:v>0</x:v>
      </x:c>
      <x:c r="L31" s="31" t="n">
        <x:v>74.5094613024</x:v>
      </x:c>
      <x:c r="M31" s="31" t="n">
        <x:v>0</x:v>
      </x:c>
      <x:c r="N31" s="24" t="str">
        <x:v>pagellus</x:v>
      </x:c>
      <x:c r="O31" s="32" t="n">
        <x:v>3.44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Pagellus</x:v>
      </x:c>
      <x:c r="T31" s="32" t="n">
        <x:f>IF(O31="","",(1/'Metadata'!$B$5)^(O31-1))</x:f>
        <x:v>275.4228703338166</x:v>
      </x:c>
      <x:c r="U31" s="31" t="n">
        <x:f>IF(T31="","",I31*T31)</x:f>
        <x:v>20521.60969893344</x:v>
      </x:c>
    </x:row>
    <x:row r="32" ht="18" customHeight="1">
      <x:c r="A32" s="24" t="str">
        <x:v>EEZ_678</x:v>
      </x:c>
      <x:c r="B32" s="24" t="str">
        <x:v>Sao Tome &amp; Principe</x:v>
      </x:c>
      <x:c r="C32" s="24" t="str">
        <x:v>EEZ</x:v>
      </x:c>
      <x:c r="D32" s="30" t="n">
        <x:v>2019</x:v>
      </x:c>
      <x:c r="E32" s="24" t="str">
        <x:v>Xiphias gladius</x:v>
      </x:c>
      <x:c r="F32" s="24" t="str">
        <x:v>Swordfish</x:v>
      </x:c>
      <x:c r="G32" s="24" t="str">
        <x:v>Large pelagics (&gt;=90 cm)</x:v>
      </x:c>
      <x:c r="H32" s="24" t="str">
        <x:v>Tuna &amp; billfishes</x:v>
      </x:c>
      <x:c r="I32" s="31" t="n">
        <x:v>73.8816061169</x:v>
      </x:c>
      <x:c r="J32" s="31" t="n">
        <x:v>73.8816061169</x:v>
      </x:c>
      <x:c r="K32" s="31" t="n">
        <x:v>0</x:v>
      </x:c>
      <x:c r="L32" s="31" t="n">
        <x:v>73.8816061169</x:v>
      </x:c>
      <x:c r="M32" s="31" t="n">
        <x:v>0</x:v>
      </x:c>
      <x:c r="N32" s="24" t="str">
        <x:v>xiphias gladius</x:v>
      </x:c>
      <x:c r="O32" s="32" t="n">
        <x:v>4.53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Xiphias gladius</x:v>
      </x:c>
      <x:c r="T32" s="32" t="n">
        <x:f>IF(O32="","",(1/'Metadata'!$B$5)^(O32-1))</x:f>
        <x:v>3388.4415613920273</x:v>
      </x:c>
      <x:c r="U32" s="31" t="n">
        <x:f>IF(T32="","",I32*T32)</x:f>
        <x:v>250343.5047888994</x:v>
      </x:c>
    </x:row>
    <x:row r="33" ht="18" customHeight="1">
      <x:c r="A33" s="24" t="str">
        <x:v>EEZ_678</x:v>
      </x:c>
      <x:c r="B33" s="24" t="str">
        <x:v>Sao Tome &amp; Principe</x:v>
      </x:c>
      <x:c r="C33" s="24" t="str">
        <x:v>EEZ</x:v>
      </x:c>
      <x:c r="D33" s="30" t="n">
        <x:v>2019</x:v>
      </x:c>
      <x:c r="E33" s="24" t="str">
        <x:v>Balistidae</x:v>
      </x:c>
      <x:c r="F33" s="24" t="str">
        <x:v>Triggerfishes</x:v>
      </x:c>
      <x:c r="G33" s="24" t="str">
        <x:v>Medium reef assoc. fish (30 - 89 cm)</x:v>
      </x:c>
      <x:c r="H33" s="24" t="str">
        <x:v>Other fishes &amp; inverts</x:v>
      </x:c>
      <x:c r="I33" s="31" t="n">
        <x:v>68.15885706350001</x:v>
      </x:c>
      <x:c r="J33" s="31" t="n">
        <x:v>68.15885706350001</x:v>
      </x:c>
      <x:c r="K33" s="31" t="n">
        <x:v>0</x:v>
      </x:c>
      <x:c r="L33" s="31" t="n">
        <x:v>68.15885706350001</x:v>
      </x:c>
      <x:c r="M33" s="31" t="n">
        <x:v>0</x:v>
      </x:c>
      <x:c r="N33" s="24" t="str">
        <x:v>balistidae</x:v>
      </x:c>
      <x:c r="O33" s="32" t="n">
        <x:v>3.25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Balistidae</x:v>
      </x:c>
      <x:c r="T33" s="32" t="n">
        <x:f>IF(O33="","",(1/'Metadata'!$B$5)^(O33-1))</x:f>
        <x:v>177.82794100389228</x:v>
      </x:c>
      <x:c r="U33" s="31" t="n">
        <x:f>IF(T33="","",I33*T33)</x:f>
        <x:v>12120.549212780807</x:v>
      </x:c>
    </x:row>
    <x:row r="34" ht="18" customHeight="1">
      <x:c r="A34" s="24" t="str">
        <x:v>EEZ_678</x:v>
      </x:c>
      <x:c r="B34" s="24" t="str">
        <x:v>Sao Tome &amp; Principe</x:v>
      </x:c>
      <x:c r="C34" s="24" t="str">
        <x:v>EEZ</x:v>
      </x:c>
      <x:c r="D34" s="30" t="n">
        <x:v>2019</x:v>
      </x:c>
      <x:c r="E34" s="24" t="str">
        <x:v>Mollusca</x:v>
      </x:c>
      <x:c r="F34" s="24" t="str">
        <x:v>Clams, seasnails, squids, octopuses</x:v>
      </x:c>
      <x:c r="G34" s="24" t="str">
        <x:v>Other demersal invertebrates</x:v>
      </x:c>
      <x:c r="H34" s="24" t="str">
        <x:v>Molluscs</x:v>
      </x:c>
      <x:c r="I34" s="31" t="n">
        <x:v>67.85</x:v>
      </x:c>
      <x:c r="J34" s="31" t="n">
        <x:v>67.85</x:v>
      </x:c>
      <x:c r="K34" s="31" t="n">
        <x:v>0</x:v>
      </x:c>
      <x:c r="L34" s="31" t="n">
        <x:v>67.85</x:v>
      </x:c>
      <x:c r="M34" s="31" t="n">
        <x:v>0</x:v>
      </x:c>
      <x:c r="N34" s="24" t="str">
        <x:v>mollusca</x:v>
      </x:c>
      <x:c r="O34" s="32" t="n">
        <x:v>2.1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Mollusca</x:v>
      </x:c>
      <x:c r="T34" s="32" t="n">
        <x:f>IF(O34="","",(1/'Metadata'!$B$5)^(O34-1))</x:f>
        <x:v>12.589254117941675</x:v>
      </x:c>
      <x:c r="U34" s="31" t="n">
        <x:f>IF(T34="","",I34*T34)</x:f>
        <x:v>854.1808919023425</x:v>
      </x:c>
    </x:row>
    <x:row r="35" ht="18" customHeight="1">
      <x:c r="A35" s="24" t="str">
        <x:v>EEZ_678</x:v>
      </x:c>
      <x:c r="B35" s="24" t="str">
        <x:v>Sao Tome &amp; Principe</x:v>
      </x:c>
      <x:c r="C35" s="24" t="str">
        <x:v>EEZ</x:v>
      </x:c>
      <x:c r="D35" s="30" t="n">
        <x:v>2019</x:v>
      </x:c>
      <x:c r="E35" s="24" t="str">
        <x:v>Boops boops</x:v>
      </x:c>
      <x:c r="F35" s="24" t="str">
        <x:v>Bogue</x:v>
      </x:c>
      <x:c r="G35" s="24" t="str">
        <x:v>Medium demersals (30 - 89 cm)</x:v>
      </x:c>
      <x:c r="H35" s="24" t="str">
        <x:v>Perch-likes</x:v>
      </x:c>
      <x:c r="I35" s="31" t="n">
        <x:v>65.9506033356</x:v>
      </x:c>
      <x:c r="J35" s="31" t="n">
        <x:v>65.9506033356</x:v>
      </x:c>
      <x:c r="K35" s="31" t="n">
        <x:v>0</x:v>
      </x:c>
      <x:c r="L35" s="31" t="n">
        <x:v>65.9506033356</x:v>
      </x:c>
      <x:c r="M35" s="31" t="n">
        <x:v>0</x:v>
      </x:c>
      <x:c r="N35" s="24" t="str">
        <x:v>boops boops</x:v>
      </x:c>
      <x:c r="O35" s="32" t="n">
        <x:v>2.79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Boops boops</x:v>
      </x:c>
      <x:c r="T35" s="32" t="n">
        <x:f>IF(O35="","",(1/'Metadata'!$B$5)^(O35-1))</x:f>
        <x:v>61.65950018614822</x:v>
      </x:c>
      <x:c r="U35" s="31" t="n">
        <x:f>IF(T35="","",I35*T35)</x:f>
        <x:v>4066.4812386480153</x:v>
      </x:c>
    </x:row>
    <x:row r="36" ht="18" customHeight="1">
      <x:c r="A36" s="24" t="str">
        <x:v>EEZ_678</x:v>
      </x:c>
      <x:c r="B36" s="24" t="str">
        <x:v>Sao Tome &amp; Principe</x:v>
      </x:c>
      <x:c r="C36" s="24" t="str">
        <x:v>EEZ</x:v>
      </x:c>
      <x:c r="D36" s="30" t="n">
        <x:v>2019</x:v>
      </x:c>
      <x:c r="E36" s="24" t="str">
        <x:v>Marine pelagic fishes not identified</x:v>
      </x:c>
      <x:c r="F36" s="24" t="str">
        <x:v>Pelagic fishes</x:v>
      </x:c>
      <x:c r="G36" s="24" t="str">
        <x:v>Medium pelagics (30 - 89 cm)</x:v>
      </x:c>
      <x:c r="H36" s="24" t="str">
        <x:v>Other fishes &amp; inverts</x:v>
      </x:c>
      <x:c r="I36" s="31" t="n">
        <x:v>63.612454876200005</x:v>
      </x:c>
      <x:c r="J36" s="31" t="n">
        <x:v>63.612454876200005</x:v>
      </x:c>
      <x:c r="K36" s="31" t="n">
        <x:v>0</x:v>
      </x:c>
      <x:c r="L36" s="31" t="n">
        <x:v>63.612454876200005</x:v>
      </x:c>
      <x:c r="M36" s="31" t="n">
        <x:v>0</x:v>
      </x:c>
      <x:c r="N36" s="24" t="str">
        <x:v>marine pelagic fishes not identified</x:v>
      </x:c>
      <x:c r="O36" s="32" t="n">
        <x:v>3.35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Marine pelagic fishes not identified</x:v>
      </x:c>
      <x:c r="T36" s="32" t="n">
        <x:f>IF(O36="","",(1/'Metadata'!$B$5)^(O36-1))</x:f>
        <x:v>223.872113856834</x:v>
      </x:c>
      <x:c r="U36" s="31" t="n">
        <x:f>IF(T36="","",I36*T36)</x:f>
        <x:v>14241.054740757363</x:v>
      </x:c>
    </x:row>
    <x:row r="37" ht="18" customHeight="1">
      <x:c r="A37" s="24" t="str">
        <x:v>EEZ_678</x:v>
      </x:c>
      <x:c r="B37" s="24" t="str">
        <x:v>Sao Tome &amp; Principe</x:v>
      </x:c>
      <x:c r="C37" s="24" t="str">
        <x:v>EEZ</x:v>
      </x:c>
      <x:c r="D37" s="30" t="n">
        <x:v>2019</x:v>
      </x:c>
      <x:c r="E37" s="24" t="str">
        <x:v>Euthynnus alletteratus</x:v>
      </x:c>
      <x:c r="F37" s="24" t="str">
        <x:v>Little tunny </x:v>
      </x:c>
      <x:c r="G37" s="24" t="str">
        <x:v>Large pelagics (&gt;=90 cm)</x:v>
      </x:c>
      <x:c r="H37" s="24" t="str">
        <x:v>Tuna &amp; billfishes</x:v>
      </x:c>
      <x:c r="I37" s="31" t="n">
        <x:v>62.1386186494</x:v>
      </x:c>
      <x:c r="J37" s="31" t="n">
        <x:v>62.1386186494</x:v>
      </x:c>
      <x:c r="K37" s="31" t="n">
        <x:v>0</x:v>
      </x:c>
      <x:c r="L37" s="31" t="n">
        <x:v>62.1386186494</x:v>
      </x:c>
      <x:c r="M37" s="31" t="n">
        <x:v>0</x:v>
      </x:c>
      <x:c r="N37" s="24" t="str">
        <x:v>euthynnus alletteratus</x:v>
      </x:c>
      <x:c r="O37" s="32" t="n">
        <x:v>4.49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Euthynnus alletteratus</x:v>
      </x:c>
      <x:c r="T37" s="32" t="n">
        <x:f>IF(O37="","",(1/'Metadata'!$B$5)^(O37-1))</x:f>
        <x:v>3090.295432513592</x:v>
      </x:c>
      <x:c r="U37" s="31" t="n">
        <x:f>IF(T37="","",I37*T37)</x:f>
        <x:v>192026.68939494473</x:v>
      </x:c>
    </x:row>
    <x:row r="38" ht="18" customHeight="1">
      <x:c r="A38" s="24" t="str">
        <x:v>EEZ_678</x:v>
      </x:c>
      <x:c r="B38" s="24" t="str">
        <x:v>Sao Tome &amp; Principe</x:v>
      </x:c>
      <x:c r="C38" s="24" t="str">
        <x:v>EEZ</x:v>
      </x:c>
      <x:c r="D38" s="30" t="n">
        <x:v>2019</x:v>
      </x:c>
      <x:c r="E38" s="24" t="str">
        <x:v>Caranx crysos</x:v>
      </x:c>
      <x:c r="F38" s="24" t="str">
        <x:v>Blue runner</x:v>
      </x:c>
      <x:c r="G38" s="24" t="str">
        <x:v>Medium reef assoc. fish (30 - 89 cm)</x:v>
      </x:c>
      <x:c r="H38" s="24" t="str">
        <x:v>Perch-likes</x:v>
      </x:c>
      <x:c r="I38" s="31" t="n">
        <x:v>58.9157796504</x:v>
      </x:c>
      <x:c r="J38" s="31" t="n">
        <x:v>58.9157796504</x:v>
      </x:c>
      <x:c r="K38" s="31" t="n">
        <x:v>0</x:v>
      </x:c>
      <x:c r="L38" s="31" t="n">
        <x:v>58.9157796504</x:v>
      </x:c>
      <x:c r="M38" s="31" t="n">
        <x:v>0</x:v>
      </x:c>
      <x:c r="N38" s="24" t="str">
        <x:v>caranx crysos</x:v>
      </x:c>
      <x:c r="O38" s="32" t="n">
        <x:v>4.13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Caranx crysos</x:v>
      </x:c>
      <x:c r="T38" s="32" t="n">
        <x:f>IF(O38="","",(1/'Metadata'!$B$5)^(O38-1))</x:f>
        <x:v>1348.9628825916532</x:v>
      </x:c>
      <x:c r="U38" s="31" t="n">
        <x:f>IF(T38="","",I38*T38)</x:f>
        <x:v>79475.19994733825</x:v>
      </x:c>
    </x:row>
    <x:row r="39" ht="18" customHeight="1">
      <x:c r="A39" s="24" t="str">
        <x:v>EEZ_678</x:v>
      </x:c>
      <x:c r="B39" s="24" t="str">
        <x:v>Sao Tome &amp; Principe</x:v>
      </x:c>
      <x:c r="C39" s="24" t="str">
        <x:v>EEZ</x:v>
      </x:c>
      <x:c r="D39" s="30" t="n">
        <x:v>2019</x:v>
      </x:c>
      <x:c r="E39" s="24" t="str">
        <x:v>Elasmobranchii</x:v>
      </x:c>
      <x:c r="F39" s="24" t="str">
        <x:v>Sharks, rays, skates</x:v>
      </x:c>
      <x:c r="G39" s="24" t="str">
        <x:v>Large sharks (&gt;=90 cm)</x:v>
      </x:c>
      <x:c r="H39" s="24" t="str">
        <x:v>Sharks &amp; rays</x:v>
      </x:c>
      <x:c r="I39" s="31" t="n">
        <x:v>45.488281038</x:v>
      </x:c>
      <x:c r="J39" s="31" t="n">
        <x:v>45.488281038</x:v>
      </x:c>
      <x:c r="K39" s="31" t="n">
        <x:v>0</x:v>
      </x:c>
      <x:c r="L39" s="31" t="n">
        <x:v>45.488281038</x:v>
      </x:c>
      <x:c r="M39" s="31" t="n">
        <x:v>0</x:v>
      </x:c>
      <x:c r="N39" s="24" t="str">
        <x:v>elasmobranchii</x:v>
      </x:c>
      <x:c r="O39" s="32" t="n">
        <x:v>4.05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Elasmobranchii</x:v>
      </x:c>
      <x:c r="T39" s="32" t="n">
        <x:f>IF(O39="","",(1/'Metadata'!$B$5)^(O39-1))</x:f>
        <x:v>1122.018454301963</x:v>
      </x:c>
      <x:c r="U39" s="31" t="n">
        <x:f>IF(T39="","",I39*T39)</x:f>
        <x:v>51038.690779110046</x:v>
      </x:c>
    </x:row>
    <x:row r="40" ht="18" customHeight="1">
      <x:c r="A40" s="24" t="str">
        <x:v>EEZ_678</x:v>
      </x:c>
      <x:c r="B40" s="24" t="str">
        <x:v>Sao Tome &amp; Principe</x:v>
      </x:c>
      <x:c r="C40" s="24" t="str">
        <x:v>EEZ</x:v>
      </x:c>
      <x:c r="D40" s="30" t="n">
        <x:v>2019</x:v>
      </x:c>
      <x:c r="E40" s="24" t="str">
        <x:v>Hemiramphus brasiliensis</x:v>
      </x:c>
      <x:c r="F40" s="24" t="str">
        <x:v>Ballyhoo halfbeak</x:v>
      </x:c>
      <x:c r="G40" s="24" t="str">
        <x:v>Medium pelagics (30 - 89 cm)</x:v>
      </x:c>
      <x:c r="H40" s="24" t="str">
        <x:v>Other fishes &amp; inverts</x:v>
      </x:c>
      <x:c r="I40" s="31" t="n">
        <x:v>44.9641119341</x:v>
      </x:c>
      <x:c r="J40" s="31" t="n">
        <x:v>44.9641119341</x:v>
      </x:c>
      <x:c r="K40" s="31" t="n">
        <x:v>0</x:v>
      </x:c>
      <x:c r="L40" s="31" t="n">
        <x:v>44.9641119341</x:v>
      </x:c>
      <x:c r="M40" s="31" t="n">
        <x:v>0</x:v>
      </x:c>
      <x:c r="N40" s="24" t="str">
        <x:v>hemiramphus brasiliensis</x:v>
      </x:c>
      <x:c r="O40" s="32" t="n">
        <x:v>2.28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Hemiramphus brasiliensis</x:v>
      </x:c>
      <x:c r="T40" s="32" t="n">
        <x:f>IF(O40="","",(1/'Metadata'!$B$5)^(O40-1))</x:f>
        <x:v>19.054607179632463</x:v>
      </x:c>
      <x:c r="U40" s="31" t="n">
        <x:f>IF(T40="","",I40*T40)</x:f>
        <x:v>856.7734900852996</x:v>
      </x:c>
    </x:row>
    <x:row r="41" ht="18" customHeight="1">
      <x:c r="A41" s="24" t="str">
        <x:v>EEZ_678</x:v>
      </x:c>
      <x:c r="B41" s="24" t="str">
        <x:v>Sao Tome &amp; Principe</x:v>
      </x:c>
      <x:c r="C41" s="24" t="str">
        <x:v>EEZ</x:v>
      </x:c>
      <x:c r="D41" s="30" t="n">
        <x:v>2019</x:v>
      </x:c>
      <x:c r="E41" s="24" t="str">
        <x:v>Holocentridae</x:v>
      </x:c>
      <x:c r="F41" s="24" t="str">
        <x:v>Squirrel-, soldierfishes</x:v>
      </x:c>
      <x:c r="G41" s="24" t="str">
        <x:v>Small reef assoc. fish (&lt;30 cm)</x:v>
      </x:c>
      <x:c r="H41" s="24" t="str">
        <x:v>Other fishes &amp; inverts</x:v>
      </x:c>
      <x:c r="I41" s="31" t="n">
        <x:v>36.665998181</x:v>
      </x:c>
      <x:c r="J41" s="31" t="n">
        <x:v>36.665998181</x:v>
      </x:c>
      <x:c r="K41" s="31" t="n">
        <x:v>0</x:v>
      </x:c>
      <x:c r="L41" s="31" t="n">
        <x:v>36.665998181</x:v>
      </x:c>
      <x:c r="M41" s="31" t="n">
        <x:v>0</x:v>
      </x:c>
      <x:c r="N41" s="24" t="str">
        <x:v>holocentridae</x:v>
      </x:c>
      <x:c r="O41" s="32" t="n">
        <x:v>3.49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Holocentridae</x:v>
      </x:c>
      <x:c r="T41" s="32" t="n">
        <x:f>IF(O41="","",(1/'Metadata'!$B$5)^(O41-1))</x:f>
        <x:v>309.0295432513592</x:v>
      </x:c>
      <x:c r="U41" s="31" t="n">
        <x:f>IF(T41="","",I41*T41)</x:f>
        <x:v>11330.876670729596</x:v>
      </x:c>
    </x:row>
    <x:row r="42" ht="18" customHeight="1">
      <x:c r="A42" s="24" t="str">
        <x:v>EEZ_678</x:v>
      </x:c>
      <x:c r="B42" s="24" t="str">
        <x:v>Sao Tome &amp; Principe</x:v>
      </x:c>
      <x:c r="C42" s="24" t="str">
        <x:v>EEZ</x:v>
      </x:c>
      <x:c r="D42" s="30" t="n">
        <x:v>2019</x:v>
      </x:c>
      <x:c r="E42" s="24" t="str">
        <x:v>Polynemidae</x:v>
      </x:c>
      <x:c r="F42" s="24" t="str">
        <x:v>Threadfins</x:v>
      </x:c>
      <x:c r="G42" s="24" t="str">
        <x:v>Small demersals (&lt;30 cm)</x:v>
      </x:c>
      <x:c r="H42" s="24" t="str">
        <x:v>Perch-likes</x:v>
      </x:c>
      <x:c r="I42" s="31" t="n">
        <x:v>32.7900000001</x:v>
      </x:c>
      <x:c r="J42" s="31" t="n">
        <x:v>32.7900000001</x:v>
      </x:c>
      <x:c r="K42" s="31" t="n">
        <x:v>0</x:v>
      </x:c>
      <x:c r="L42" s="31" t="n">
        <x:v>32.7900000001</x:v>
      </x:c>
      <x:c r="M42" s="31" t="n">
        <x:v>0</x:v>
      </x:c>
      <x:c r="N42" s="24" t="str">
        <x:v>polynemidae</x:v>
      </x:c>
      <x:c r="O42" s="32" t="n">
        <x:v>3.62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Polynemidae</x:v>
      </x:c>
      <x:c r="T42" s="32" t="n">
        <x:f>IF(O42="","",(1/'Metadata'!$B$5)^(O42-1))</x:f>
        <x:v>416.8693834703355</x:v>
      </x:c>
      <x:c r="U42" s="31" t="n">
        <x:f>IF(T42="","",I42*T42)</x:f>
        <x:v>13669.147084033988</x:v>
      </x:c>
    </x:row>
    <x:row r="43" ht="18" customHeight="1">
      <x:c r="A43" s="24" t="str">
        <x:v>EEZ_678</x:v>
      </x:c>
      <x:c r="B43" s="24" t="str">
        <x:v>Sao Tome &amp; Principe</x:v>
      </x:c>
      <x:c r="C43" s="24" t="str">
        <x:v>EEZ</x:v>
      </x:c>
      <x:c r="D43" s="30" t="n">
        <x:v>2019</x:v>
      </x:c>
      <x:c r="E43" s="24" t="str">
        <x:v>Decapterus punctatus</x:v>
      </x:c>
      <x:c r="F43" s="24" t="str">
        <x:v>Round scad</x:v>
      </x:c>
      <x:c r="G43" s="24" t="str">
        <x:v>Medium benthopelagics (30 - 89 cm)</x:v>
      </x:c>
      <x:c r="H43" s="24" t="str">
        <x:v>Perch-likes</x:v>
      </x:c>
      <x:c r="I43" s="31" t="n">
        <x:v>29.6007892292</x:v>
      </x:c>
      <x:c r="J43" s="31" t="n">
        <x:v>29.6007892292</x:v>
      </x:c>
      <x:c r="K43" s="31" t="n">
        <x:v>0</x:v>
      </x:c>
      <x:c r="L43" s="31" t="n">
        <x:v>29.6007892292</x:v>
      </x:c>
      <x:c r="M43" s="31" t="n">
        <x:v>0</x:v>
      </x:c>
      <x:c r="N43" s="24" t="str">
        <x:v>decapterus punctatus</x:v>
      </x:c>
      <x:c r="O43" s="32" t="n">
        <x:v>4.43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Decapterus punctatus</x:v>
      </x:c>
      <x:c r="T43" s="32" t="n">
        <x:f>IF(O43="","",(1/'Metadata'!$B$5)^(O43-1))</x:f>
        <x:v>2691.534803926914</x:v>
      </x:c>
      <x:c r="U43" s="31" t="n">
        <x:f>IF(T43="","",I43*T43)</x:f>
        <x:v>79671.55443409673</x:v>
      </x:c>
    </x:row>
    <x:row r="44" ht="18" customHeight="1">
      <x:c r="A44" s="24" t="str">
        <x:v>EEZ_678</x:v>
      </x:c>
      <x:c r="B44" s="24" t="str">
        <x:v>Sao Tome &amp; Principe</x:v>
      </x:c>
      <x:c r="C44" s="24" t="str">
        <x:v>EEZ</x:v>
      </x:c>
      <x:c r="D44" s="30" t="n">
        <x:v>2019</x:v>
      </x:c>
      <x:c r="E44" s="24" t="str">
        <x:v>Makaira nigricans</x:v>
      </x:c>
      <x:c r="F44" s="24" t="str">
        <x:v>Blue marlin</x:v>
      </x:c>
      <x:c r="G44" s="24" t="str">
        <x:v>Large pelagics (&gt;=90 cm)</x:v>
      </x:c>
      <x:c r="H44" s="24" t="str">
        <x:v>Tuna &amp; billfishes</x:v>
      </x:c>
      <x:c r="I44" s="31" t="n">
        <x:v>21.9947685356</x:v>
      </x:c>
      <x:c r="J44" s="31" t="n">
        <x:v>21.9947685356</x:v>
      </x:c>
      <x:c r="K44" s="31" t="n">
        <x:v>0</x:v>
      </x:c>
      <x:c r="L44" s="31" t="n">
        <x:v>21.9947685356</x:v>
      </x:c>
      <x:c r="M44" s="31" t="n">
        <x:v>0</x:v>
      </x:c>
      <x:c r="N44" s="24" t="str">
        <x:v>makaira nigricans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Makaira nigricans</x:v>
      </x:c>
      <x:c r="T44" s="32" t="n">
        <x:f>IF(O44="","",(1/'Metadata'!$B$5)^(O44-1))</x:f>
        <x:v>3090.295432513592</x:v>
      </x:c>
      <x:c r="U44" s="31" t="n">
        <x:f>IF(T44="","",I44*T44)</x:f>
        <x:v>67970.33274475834</x:v>
      </x:c>
    </x:row>
    <x:row r="45" ht="18" customHeight="1">
      <x:c r="A45" s="24" t="str">
        <x:v>EEZ_678</x:v>
      </x:c>
      <x:c r="B45" s="24" t="str">
        <x:v>Sao Tome &amp; Principe</x:v>
      </x:c>
      <x:c r="C45" s="24" t="str">
        <x:v>EEZ</x:v>
      </x:c>
      <x:c r="D45" s="30" t="n">
        <x:v>2019</x:v>
      </x:c>
      <x:c r="E45" s="24" t="str">
        <x:v>Ablennes hians</x:v>
      </x:c>
      <x:c r="F45" s="24" t="str">
        <x:v>Flat needlefish</x:v>
      </x:c>
      <x:c r="G45" s="24" t="str">
        <x:v>Large pelagics (&gt;=90 cm)</x:v>
      </x:c>
      <x:c r="H45" s="24" t="str">
        <x:v>Other fishes &amp; inverts</x:v>
      </x:c>
      <x:c r="I45" s="31" t="n">
        <x:v>21.893288554599998</x:v>
      </x:c>
      <x:c r="J45" s="31" t="n">
        <x:v>21.893288554599998</x:v>
      </x:c>
      <x:c r="K45" s="31" t="n">
        <x:v>0</x:v>
      </x:c>
      <x:c r="L45" s="31" t="n">
        <x:v>21.893288554599998</x:v>
      </x:c>
      <x:c r="M45" s="31" t="n">
        <x:v>0</x:v>
      </x:c>
      <x:c r="N45" s="24" t="str">
        <x:v>ablennes hians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Ablennes hians</x:v>
      </x:c>
      <x:c r="T45" s="32" t="n">
        <x:f>IF(O45="","",(1/'Metadata'!$B$5)^(O45-1))</x:f>
        <x:v>3162.2776601683795</x:v>
      </x:c>
      <x:c r="U45" s="31" t="n">
        <x:f>IF(T45="","",I45*T45)</x:f>
        <x:v>69232.65730383164</x:v>
      </x:c>
    </x:row>
    <x:row r="46" ht="18" customHeight="1">
      <x:c r="A46" s="24" t="str">
        <x:v>EEZ_678</x:v>
      </x:c>
      <x:c r="B46" s="24" t="str">
        <x:v>Sao Tome &amp; Principe</x:v>
      </x:c>
      <x:c r="C46" s="24" t="str">
        <x:v>EEZ</x:v>
      </x:c>
      <x:c r="D46" s="30" t="n">
        <x:v>2019</x:v>
      </x:c>
      <x:c r="E46" s="24" t="str">
        <x:v>Sphyraena barracuda</x:v>
      </x:c>
      <x:c r="F46" s="24" t="str">
        <x:v>Great barracuda</x:v>
      </x:c>
      <x:c r="G46" s="24" t="str">
        <x:v>Large pelagics (&gt;=90 cm)</x:v>
      </x:c>
      <x:c r="H46" s="24" t="str">
        <x:v>Perch-likes</x:v>
      </x:c>
      <x:c r="I46" s="31" t="n">
        <x:v>21.3071392394</x:v>
      </x:c>
      <x:c r="J46" s="31" t="n">
        <x:v>21.3071392394</x:v>
      </x:c>
      <x:c r="K46" s="31" t="n">
        <x:v>0</x:v>
      </x:c>
      <x:c r="L46" s="31" t="n">
        <x:v>21.3071392394</x:v>
      </x:c>
      <x:c r="M46" s="31" t="n">
        <x:v>0</x:v>
      </x:c>
      <x:c r="N46" s="24" t="str">
        <x:v>sphyraena barracuda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Sphyraena barracuda</x:v>
      </x:c>
      <x:c r="T46" s="32" t="n">
        <x:f>IF(O46="","",(1/'Metadata'!$B$5)^(O46-1))</x:f>
        <x:v>3090.295432513592</x:v>
      </x:c>
      <x:c r="U46" s="31" t="n">
        <x:f>IF(T46="","",I46*T46)</x:f>
        <x:v>65845.35507144895</x:v>
      </x:c>
    </x:row>
    <x:row r="47" ht="18" customHeight="1">
      <x:c r="A47" s="24" t="str">
        <x:v>EEZ_678</x:v>
      </x:c>
      <x:c r="B47" s="24" t="str">
        <x:v>Sao Tome &amp; Principe</x:v>
      </x:c>
      <x:c r="C47" s="24" t="str">
        <x:v>EEZ</x:v>
      </x:c>
      <x:c r="D47" s="30" t="n">
        <x:v>2019</x:v>
      </x:c>
      <x:c r="E47" s="24" t="str">
        <x:v>Selar crumenophthalmus</x:v>
      </x:c>
      <x:c r="F47" s="24" t="str">
        <x:v>Bigeye scad</x:v>
      </x:c>
      <x:c r="G47" s="24" t="str">
        <x:v>Medium pelagics (30 - 89 cm)</x:v>
      </x:c>
      <x:c r="H47" s="24" t="str">
        <x:v>Perch-likes</x:v>
      </x:c>
      <x:c r="I47" s="31" t="n">
        <x:v>15.8690351533</x:v>
      </x:c>
      <x:c r="J47" s="31" t="n">
        <x:v>15.8690351533</x:v>
      </x:c>
      <x:c r="K47" s="31" t="n">
        <x:v>0</x:v>
      </x:c>
      <x:c r="L47" s="31" t="n">
        <x:v>15.8690351533</x:v>
      </x:c>
      <x:c r="M47" s="31" t="n">
        <x:v>0</x:v>
      </x:c>
      <x:c r="N47" s="24" t="str">
        <x:v>selar crumenophthalmus</x:v>
      </x:c>
      <x:c r="O47" s="32" t="n">
        <x:v>3.81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Selar crumenophthalmus</x:v>
      </x:c>
      <x:c r="T47" s="32" t="n">
        <x:f>IF(O47="","",(1/'Metadata'!$B$5)^(O47-1))</x:f>
        <x:v>645.6542290346556</x:v>
      </x:c>
      <x:c r="U47" s="31" t="n">
        <x:f>IF(T47="","",I47*T47)</x:f>
        <x:v>10245.90965742776</x:v>
      </x:c>
    </x:row>
    <x:row r="48" ht="18" customHeight="1">
      <x:c r="A48" s="24" t="str">
        <x:v>EEZ_678</x:v>
      </x:c>
      <x:c r="B48" s="24" t="str">
        <x:v>Sao Tome &amp; Principe</x:v>
      </x:c>
      <x:c r="C48" s="24" t="str">
        <x:v>EEZ</x:v>
      </x:c>
      <x:c r="D48" s="30" t="n">
        <x:v>2019</x:v>
      </x:c>
      <x:c r="E48" s="24" t="str">
        <x:v>Pagellus bellottii</x:v>
      </x:c>
      <x:c r="F48" s="24" t="str">
        <x:v>Red pandora</x:v>
      </x:c>
      <x:c r="G48" s="24" t="str">
        <x:v>Medium demersals (30 - 89 cm)</x:v>
      </x:c>
      <x:c r="H48" s="24" t="str">
        <x:v>Perch-likes</x:v>
      </x:c>
      <x:c r="I48" s="31" t="n">
        <x:v>14.251177523600001</x:v>
      </x:c>
      <x:c r="J48" s="31" t="n">
        <x:v>14.251177523600001</x:v>
      </x:c>
      <x:c r="K48" s="31" t="n">
        <x:v>0</x:v>
      </x:c>
      <x:c r="L48" s="31" t="n">
        <x:v>14.251177523600001</x:v>
      </x:c>
      <x:c r="M48" s="31" t="n">
        <x:v>0</x:v>
      </x:c>
      <x:c r="N48" s="24" t="str">
        <x:v>pagellus bellottii</x:v>
      </x:c>
      <x:c r="O48" s="32" t="n">
        <x:v>3.6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Pagellus bellottii</x:v>
      </x:c>
      <x:c r="T48" s="32" t="n">
        <x:f>IF(O48="","",(1/'Metadata'!$B$5)^(O48-1))</x:f>
        <x:v>398.1071705534973</x:v>
      </x:c>
      <x:c r="U48" s="31" t="n">
        <x:f>IF(T48="","",I48*T48)</x:f>
        <x:v>5673.4959609759935</x:v>
      </x:c>
    </x:row>
    <x:row r="49" ht="18" customHeight="1">
      <x:c r="A49" s="24" t="str">
        <x:v>EEZ_678</x:v>
      </x:c>
      <x:c r="B49" s="24" t="str">
        <x:v>Sao Tome &amp; Principe</x:v>
      </x:c>
      <x:c r="C49" s="24" t="str">
        <x:v>EEZ</x:v>
      </x:c>
      <x:c r="D49" s="30" t="n">
        <x:v>2019</x:v>
      </x:c>
      <x:c r="E49" s="24" t="str">
        <x:v>Pomadasys rogerii</x:v>
      </x:c>
      <x:c r="F49" s="24" t="str">
        <x:v>Pigsnout grunt</x:v>
      </x:c>
      <x:c r="G49" s="24" t="str">
        <x:v>Medium benthopelagics (30 - 89 cm)</x:v>
      </x:c>
      <x:c r="H49" s="24" t="str">
        <x:v>Perch-likes</x:v>
      </x:c>
      <x:c r="I49" s="31" t="n">
        <x:v>11.2954751267</x:v>
      </x:c>
      <x:c r="J49" s="31" t="n">
        <x:v>11.2954751267</x:v>
      </x:c>
      <x:c r="K49" s="31" t="n">
        <x:v>0</x:v>
      </x:c>
      <x:c r="L49" s="31" t="n">
        <x:v>11.2954751267</x:v>
      </x:c>
      <x:c r="M49" s="31" t="n">
        <x:v>0</x:v>
      </x:c>
      <x:c r="N49" s="24" t="str">
        <x:v>pomadasys rogerii</x:v>
      </x:c>
      <x:c r="O49" s="32" t="n">
        <x:v>3.55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Pomadasys rogerii</x:v>
      </x:c>
      <x:c r="T49" s="32" t="n">
        <x:f>IF(O49="","",(1/'Metadata'!$B$5)^(O49-1))</x:f>
        <x:v>354.8133892335753</x:v>
      </x:c>
      <x:c r="U49" s="31" t="n">
        <x:f>IF(T49="","",I49*T49)</x:f>
        <x:v>4007.7858127079753</x:v>
      </x:c>
    </x:row>
    <x:row r="50" ht="18" customHeight="1">
      <x:c r="A50" s="24" t="str">
        <x:v>EEZ_678</x:v>
      </x:c>
      <x:c r="B50" s="24" t="str">
        <x:v>Sao Tome &amp; Principe</x:v>
      </x:c>
      <x:c r="C50" s="24" t="str">
        <x:v>EEZ</x:v>
      </x:c>
      <x:c r="D50" s="30" t="n">
        <x:v>2019</x:v>
      </x:c>
      <x:c r="E50" s="24" t="str">
        <x:v>Chondrichthyes</x:v>
      </x:c>
      <x:c r="F50" s="24" t="str">
        <x:v>Sharks, rays, chimaeras</x:v>
      </x:c>
      <x:c r="G50" s="24" t="str">
        <x:v>Large sharks (&gt;=90 cm)</x:v>
      </x:c>
      <x:c r="H50" s="24" t="str">
        <x:v>Sharks &amp; rays</x:v>
      </x:c>
      <x:c r="I50" s="31" t="n">
        <x:v>8.1600000001</x:v>
      </x:c>
      <x:c r="J50" s="31" t="n">
        <x:v>8.1600000001</x:v>
      </x:c>
      <x:c r="K50" s="31" t="n">
        <x:v>0</x:v>
      </x:c>
      <x:c r="L50" s="31" t="n">
        <x:v>8.1600000001</x:v>
      </x:c>
      <x:c r="M50" s="31" t="n">
        <x:v>0</x:v>
      </x:c>
      <x:c r="N50" s="24" t="str">
        <x:v>chondrichthyes</x:v>
      </x:c>
      <x:c r="O50" s="32" t="n">
        <x:v>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Chondrichthyes</x:v>
      </x:c>
      <x:c r="T50" s="32" t="n">
        <x:f>IF(O50="","",(1/'Metadata'!$B$5)^(O50-1))</x:f>
        <x:v>1000</x:v>
      </x:c>
      <x:c r="U50" s="31" t="n">
        <x:f>IF(T50="","",I50*T50)</x:f>
        <x:v>8160.0000001</x:v>
      </x:c>
    </x:row>
    <x:row r="51" ht="18" customHeight="1">
      <x:c r="A51" s="24" t="str">
        <x:v>EEZ_678</x:v>
      </x:c>
      <x:c r="B51" s="24" t="str">
        <x:v>Sao Tome &amp; Principe</x:v>
      </x:c>
      <x:c r="C51" s="24" t="str">
        <x:v>EEZ</x:v>
      </x:c>
      <x:c r="D51" s="30" t="n">
        <x:v>2019</x:v>
      </x:c>
      <x:c r="E51" s="24" t="str">
        <x:v>Sphyrna zygaena</x:v>
      </x:c>
      <x:c r="F51" s="24" t="str">
        <x:v>Smooth hammerhead</x:v>
      </x:c>
      <x:c r="G51" s="24" t="str">
        <x:v>Large sharks (&gt;=90 cm)</x:v>
      </x:c>
      <x:c r="H51" s="24" t="str">
        <x:v>Sharks &amp; rays</x:v>
      </x:c>
      <x:c r="I51" s="31" t="n">
        <x:v>7.539999999999999</x:v>
      </x:c>
      <x:c r="J51" s="31" t="n">
        <x:v>7.539999999999999</x:v>
      </x:c>
      <x:c r="K51" s="31" t="n">
        <x:v>0</x:v>
      </x:c>
      <x:c r="L51" s="31" t="n">
        <x:v>7.539999999999999</x:v>
      </x:c>
      <x:c r="M51" s="31" t="n">
        <x:v>0</x:v>
      </x:c>
      <x:c r="N51" s="24" t="str">
        <x:v>sphyrna zygaena</x:v>
      </x:c>
      <x:c r="O51" s="32" t="n">
        <x:v>4.94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Sphyrna zygaena</x:v>
      </x:c>
      <x:c r="T51" s="32" t="n">
        <x:f>IF(O51="","",(1/'Metadata'!$B$5)^(O51-1))</x:f>
        <x:v>8709.635899560813</x:v>
      </x:c>
      <x:c r="U51" s="31" t="n">
        <x:f>IF(T51="","",I51*T51)</x:f>
        <x:v>65670.65468268853</x:v>
      </x:c>
    </x:row>
    <x:row r="52" ht="18" customHeight="1">
      <x:c r="A52" s="24" t="str">
        <x:v>EEZ_678</x:v>
      </x:c>
      <x:c r="B52" s="24" t="str">
        <x:v>Sao Tome &amp; Principe</x:v>
      </x:c>
      <x:c r="C52" s="24" t="str">
        <x:v>EEZ</x:v>
      </x:c>
      <x:c r="D52" s="30" t="n">
        <x:v>2019</x:v>
      </x:c>
      <x:c r="E52" s="24" t="str">
        <x:v>Chloroscombrus chrysurus</x:v>
      </x:c>
      <x:c r="F52" s="24" t="str">
        <x:v>Atlantic bumper</x:v>
      </x:c>
      <x:c r="G52" s="24" t="str">
        <x:v>Medium pelagics (30 - 89 cm)</x:v>
      </x:c>
      <x:c r="H52" s="24" t="str">
        <x:v>Perch-likes</x:v>
      </x:c>
      <x:c r="I52" s="31" t="n">
        <x:v>7.1681534295</x:v>
      </x:c>
      <x:c r="J52" s="31" t="n">
        <x:v>0</x:v>
      </x:c>
      <x:c r="K52" s="31" t="n">
        <x:v>7.1681534295</x:v>
      </x:c>
      <x:c r="L52" s="31" t="n">
        <x:v>0</x:v>
      </x:c>
      <x:c r="M52" s="31" t="n">
        <x:v>7.1681534295</x:v>
      </x:c>
      <x:c r="N52" s="24" t="str">
        <x:v>chloroscombrus chrysurus</x:v>
      </x:c>
      <x:c r="O52" s="32" t="n">
        <x:v>3.54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Chloroscombrus chrysurus</x:v>
      </x:c>
      <x:c r="T52" s="32" t="n">
        <x:f>IF(O52="","",(1/'Metadata'!$B$5)^(O52-1))</x:f>
        <x:v>346.73685045253166</x:v>
      </x:c>
      <x:c r="U52" s="31" t="n">
        <x:f>IF(T52="","",I52*T52)</x:f>
        <x:v>2485.4629437053436</x:v>
      </x:c>
    </x:row>
    <x:row r="53" ht="18" customHeight="1">
      <x:c r="A53" s="24" t="str">
        <x:v>EEZ_678</x:v>
      </x:c>
      <x:c r="B53" s="24" t="str">
        <x:v>Sao Tome &amp; Principe</x:v>
      </x:c>
      <x:c r="C53" s="24" t="str">
        <x:v>EEZ</x:v>
      </x:c>
      <x:c r="D53" s="30" t="n">
        <x:v>2019</x:v>
      </x:c>
      <x:c r="E53" s="24" t="str">
        <x:v>Xiphiidae</x:v>
      </x:c>
      <x:c r="F53" s="24" t="str">
        <x:v>Swordfishes</x:v>
      </x:c>
      <x:c r="G53" s="24" t="str">
        <x:v>Large pelagics (&gt;=90 cm)</x:v>
      </x:c>
      <x:c r="H53" s="24" t="str">
        <x:v>Tuna &amp; billfishes</x:v>
      </x:c>
      <x:c r="I53" s="31" t="n">
        <x:v>6</x:v>
      </x:c>
      <x:c r="J53" s="31" t="n">
        <x:v>6</x:v>
      </x:c>
      <x:c r="K53" s="31" t="n">
        <x:v>0</x:v>
      </x:c>
      <x:c r="L53" s="31" t="n">
        <x:v>6</x:v>
      </x:c>
      <x:c r="M53" s="31" t="n">
        <x:v>0</x:v>
      </x:c>
      <x:c r="N53" s="24" t="str">
        <x:v>xiphiidae</x:v>
      </x:c>
      <x:c r="O53" s="32" t="n">
        <x:v>4.5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Xiphiidae</x:v>
      </x:c>
      <x:c r="T53" s="32" t="n">
        <x:f>IF(O53="","",(1/'Metadata'!$B$5)^(O53-1))</x:f>
        <x:v>3162.2776601683795</x:v>
      </x:c>
      <x:c r="U53" s="31" t="n">
        <x:f>IF(T53="","",I53*T53)</x:f>
        <x:v>18973.665961010276</x:v>
      </x:c>
    </x:row>
    <x:row r="54" ht="18" customHeight="1">
      <x:c r="A54" s="24" t="str">
        <x:v>EEZ_678</x:v>
      </x:c>
      <x:c r="B54" s="24" t="str">
        <x:v>Sao Tome &amp; Principe</x:v>
      </x:c>
      <x:c r="C54" s="24" t="str">
        <x:v>EEZ</x:v>
      </x:c>
      <x:c r="D54" s="30" t="n">
        <x:v>2019</x:v>
      </x:c>
      <x:c r="E54" s="24" t="str">
        <x:v>Uraspis secunda</x:v>
      </x:c>
      <x:c r="F54" s="24" t="str">
        <x:v>Cottonmouth jack</x:v>
      </x:c>
      <x:c r="G54" s="24" t="str">
        <x:v>Medium pelagics (30 - 89 cm)</x:v>
      </x:c>
      <x:c r="H54" s="24" t="str">
        <x:v>Perch-likes</x:v>
      </x:c>
      <x:c r="I54" s="31" t="n">
        <x:v>5.503775625499999</x:v>
      </x:c>
      <x:c r="J54" s="31" t="n">
        <x:v>5.503775625499999</x:v>
      </x:c>
      <x:c r="K54" s="31" t="n">
        <x:v>0</x:v>
      </x:c>
      <x:c r="L54" s="31" t="n">
        <x:v>5.503775625499999</x:v>
      </x:c>
      <x:c r="M54" s="31" t="n">
        <x:v>0</x:v>
      </x:c>
      <x:c r="N54" s="24" t="str">
        <x:v>uraspis secunda</x:v>
      </x:c>
      <x:c r="O54" s="32" t="n">
        <x:v>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Uraspis secunda</x:v>
      </x:c>
      <x:c r="T54" s="32" t="n">
        <x:f>IF(O54="","",(1/'Metadata'!$B$5)^(O54-1))</x:f>
        <x:v>1000</x:v>
      </x:c>
      <x:c r="U54" s="31" t="n">
        <x:f>IF(T54="","",I54*T54)</x:f>
        <x:v>5503.7756254999995</x:v>
      </x:c>
    </x:row>
    <x:row r="55" ht="18" customHeight="1">
      <x:c r="A55" s="24" t="str">
        <x:v>EEZ_678</x:v>
      </x:c>
      <x:c r="B55" s="24" t="str">
        <x:v>Sao Tome &amp; Principe</x:v>
      </x:c>
      <x:c r="C55" s="24" t="str">
        <x:v>EEZ</x:v>
      </x:c>
      <x:c r="D55" s="30" t="n">
        <x:v>2019</x:v>
      </x:c>
      <x:c r="E55" s="24" t="str">
        <x:v>Kajikia albida</x:v>
      </x:c>
      <x:c r="F55" s="24" t="str">
        <x:v>Atlantic white marlin</x:v>
      </x:c>
      <x:c r="G55" s="24" t="str">
        <x:v>Large pelagics (&gt;=90 cm)</x:v>
      </x:c>
      <x:c r="H55" s="24" t="str">
        <x:v>Tuna &amp; billfishes</x:v>
      </x:c>
      <x:c r="I55" s="31" t="n">
        <x:v>3.4486065809</x:v>
      </x:c>
      <x:c r="J55" s="31" t="n">
        <x:v>3.4486065809</x:v>
      </x:c>
      <x:c r="K55" s="31" t="n">
        <x:v>0</x:v>
      </x:c>
      <x:c r="L55" s="31" t="n">
        <x:v>3.4486065809</x:v>
      </x:c>
      <x:c r="M55" s="31" t="n">
        <x:v>0</x:v>
      </x:c>
      <x:c r="N55" s="24" t="str">
        <x:v>kajikia albida</x:v>
      </x:c>
      <x:c r="O55" s="32" t="n">
        <x:v>4.49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Kajikia albida</x:v>
      </x:c>
      <x:c r="T55" s="32" t="n">
        <x:f>IF(O55="","",(1/'Metadata'!$B$5)^(O55-1))</x:f>
        <x:v>3090.295432513592</x:v>
      </x:c>
      <x:c r="U55" s="31" t="n">
        <x:f>IF(T55="","",I55*T55)</x:f>
        <x:v>10657.213165491585</x:v>
      </x:c>
    </x:row>
    <x:row r="56" ht="18" customHeight="1">
      <x:c r="A56" s="24" t="str">
        <x:v>EEZ_678</x:v>
      </x:c>
      <x:c r="B56" s="24" t="str">
        <x:v>Sao Tome &amp; Principe</x:v>
      </x:c>
      <x:c r="C56" s="24" t="str">
        <x:v>EEZ</x:v>
      </x:c>
      <x:c r="D56" s="30" t="n">
        <x:v>2019</x:v>
      </x:c>
      <x:c r="E56" s="24" t="str">
        <x:v>Scomberomorus tritor</x:v>
      </x:c>
      <x:c r="F56" s="24" t="str">
        <x:v>West African Spanish mackerel</x:v>
      </x:c>
      <x:c r="G56" s="24" t="str">
        <x:v>Medium pelagics (30 - 89 cm)</x:v>
      </x:c>
      <x:c r="H56" s="24" t="str">
        <x:v>Perch-likes</x:v>
      </x:c>
      <x:c r="I56" s="31" t="n">
        <x:v>3.3194463601</x:v>
      </x:c>
      <x:c r="J56" s="31" t="n">
        <x:v>3.3194463601</x:v>
      </x:c>
      <x:c r="K56" s="31" t="n">
        <x:v>0</x:v>
      </x:c>
      <x:c r="L56" s="31" t="n">
        <x:v>3.3194463601</x:v>
      </x:c>
      <x:c r="M56" s="31" t="n">
        <x:v>0</x:v>
      </x:c>
      <x:c r="N56" s="24" t="str">
        <x:v>scomberomorus tritor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Scomberomorus tritor</x:v>
      </x:c>
      <x:c r="T56" s="32" t="n">
        <x:f>IF(O56="","",(1/'Metadata'!$B$5)^(O56-1))</x:f>
        <x:v>1819.7008586099826</x:v>
      </x:c>
      <x:c r="U56" s="31" t="n">
        <x:f>IF(T56="","",I56*T56)</x:f>
        <x:v>6040.399391583752</x:v>
      </x:c>
    </x:row>
    <x:row r="57" ht="18" customHeight="1">
      <x:c r="A57" s="24" t="str">
        <x:v>EEZ_678</x:v>
      </x:c>
      <x:c r="B57" s="24" t="str">
        <x:v>Sao Tome &amp; Principe</x:v>
      </x:c>
      <x:c r="C57" s="24" t="str">
        <x:v>EEZ</x:v>
      </x:c>
      <x:c r="D57" s="30" t="n">
        <x:v>2019</x:v>
      </x:c>
      <x:c r="E57" s="24" t="str">
        <x:v>Isurus oxyrinchus</x:v>
      </x:c>
      <x:c r="F57" s="24" t="str">
        <x:v>Shortfin mako</x:v>
      </x:c>
      <x:c r="G57" s="24" t="str">
        <x:v>Large sharks (&gt;=90 cm)</x:v>
      </x:c>
      <x:c r="H57" s="24" t="str">
        <x:v>Sharks &amp; rays</x:v>
      </x:c>
      <x:c r="I57" s="31" t="n">
        <x:v>3.1421439451</x:v>
      </x:c>
      <x:c r="J57" s="31" t="n">
        <x:v>3.1421439451</x:v>
      </x:c>
      <x:c r="K57" s="31" t="n">
        <x:v>0</x:v>
      </x:c>
      <x:c r="L57" s="31" t="n">
        <x:v>3.1421439451</x:v>
      </x:c>
      <x:c r="M57" s="31" t="n">
        <x:v>0</x:v>
      </x:c>
      <x:c r="N57" s="24" t="str">
        <x:v>isurus oxyrinchus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Isurus oxyrinchus</x:v>
      </x:c>
      <x:c r="T57" s="32" t="n">
        <x:f>IF(O57="","",(1/'Metadata'!$B$5)^(O57-1))</x:f>
        <x:v>3162.2776601683795</x:v>
      </x:c>
      <x:c r="U57" s="31" t="n">
        <x:f>IF(T57="","",I57*T57)</x:f>
        <x:v>9936.33160262307</x:v>
      </x:c>
    </x:row>
    <x:row r="58" ht="18" customHeight="1">
      <x:c r="A58" s="24" t="str">
        <x:v>EEZ_678</x:v>
      </x:c>
      <x:c r="B58" s="24" t="str">
        <x:v>Sao Tome &amp; Principe</x:v>
      </x:c>
      <x:c r="C58" s="24" t="str">
        <x:v>EEZ</x:v>
      </x:c>
      <x:c r="D58" s="30" t="n">
        <x:v>2019</x:v>
      </x:c>
      <x:c r="E58" s="24" t="str">
        <x:v>Brama brama</x:v>
      </x:c>
      <x:c r="F58" s="24" t="str">
        <x:v>Atlantic pomfret</x:v>
      </x:c>
      <x:c r="G58" s="24" t="str">
        <x:v>Medium bathypelagics (30 - 89 cm)</x:v>
      </x:c>
      <x:c r="H58" s="24" t="str">
        <x:v>Perch-likes</x:v>
      </x:c>
      <x:c r="I58" s="31" t="n">
        <x:v>2.6976775876000003</x:v>
      </x:c>
      <x:c r="J58" s="31" t="n">
        <x:v>2.6976775876000003</x:v>
      </x:c>
      <x:c r="K58" s="31" t="n">
        <x:v>0</x:v>
      </x:c>
      <x:c r="L58" s="31" t="n">
        <x:v>2.6976775876000003</x:v>
      </x:c>
      <x:c r="M58" s="31" t="n">
        <x:v>0</x:v>
      </x:c>
      <x:c r="N58" s="24" t="str">
        <x:v>brama brama</x:v>
      </x:c>
      <x:c r="O58" s="32" t="n">
        <x:v>4.08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Brama brama</x:v>
      </x:c>
      <x:c r="T58" s="32" t="n">
        <x:f>IF(O58="","",(1/'Metadata'!$B$5)^(O58-1))</x:f>
        <x:v>1202.2644346174131</x:v>
      </x:c>
      <x:c r="U58" s="31" t="n">
        <x:f>IF(T58="","",I58*T58)</x:f>
        <x:v>3243.3218196359812</x:v>
      </x:c>
    </x:row>
    <x:row r="59" ht="18" customHeight="1">
      <x:c r="A59" s="24" t="str">
        <x:v>EEZ_678</x:v>
      </x:c>
      <x:c r="B59" s="24" t="str">
        <x:v>Sao Tome &amp; Principe</x:v>
      </x:c>
      <x:c r="C59" s="24" t="str">
        <x:v>EEZ</x:v>
      </x:c>
      <x:c r="D59" s="30" t="n">
        <x:v>2019</x:v>
      </x:c>
      <x:c r="E59" s="24" t="str">
        <x:v>Octopus vulgaris</x:v>
      </x:c>
      <x:c r="F59" s="24" t="str">
        <x:v>Common octopus</x:v>
      </x:c>
      <x:c r="G59" s="24" t="str">
        <x:v>Cephalopods</x:v>
      </x:c>
      <x:c r="H59" s="24" t="str">
        <x:v>Other fishes &amp; inverts</x:v>
      </x:c>
      <x:c r="I59" s="31" t="n">
        <x:v>2.124876833</x:v>
      </x:c>
      <x:c r="J59" s="31" t="n">
        <x:v>2.124876833</x:v>
      </x:c>
      <x:c r="K59" s="31" t="n">
        <x:v>0</x:v>
      </x:c>
      <x:c r="L59" s="31" t="n">
        <x:v>2.124876833</x:v>
      </x:c>
      <x:c r="M59" s="31" t="n">
        <x:v>0</x:v>
      </x:c>
      <x:c r="N59" s="24" t="str">
        <x:v>octopus vulgaris</x:v>
      </x:c>
      <x:c r="O59" s="32" t="n">
        <x:v>3.6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Octopus vulgaris</x:v>
      </x:c>
      <x:c r="T59" s="32" t="n">
        <x:f>IF(O59="","",(1/'Metadata'!$B$5)^(O59-1))</x:f>
        <x:v>398.1071705534973</x:v>
      </x:c>
      <x:c r="U59" s="31" t="n">
        <x:f>IF(T59="","",I59*T59)</x:f>
        <x:v>845.9287037603062</x:v>
      </x:c>
    </x:row>
    <x:row r="60" ht="18" customHeight="1">
      <x:c r="A60" s="24" t="str">
        <x:v>EEZ_678</x:v>
      </x:c>
      <x:c r="B60" s="24" t="str">
        <x:v>Sao Tome &amp; Principe</x:v>
      </x:c>
      <x:c r="C60" s="24" t="str">
        <x:v>EEZ</x:v>
      </x:c>
      <x:c r="D60" s="30" t="n">
        <x:v>2019</x:v>
      </x:c>
      <x:c r="E60" s="24" t="str">
        <x:v>Parapenaeus longirostris</x:v>
      </x:c>
      <x:c r="F60" s="24" t="str">
        <x:v>Deepwater rose shrimp</x:v>
      </x:c>
      <x:c r="G60" s="24" t="str">
        <x:v>Shrimps</x:v>
      </x:c>
      <x:c r="H60" s="24" t="str">
        <x:v>Crustaceans</x:v>
      </x:c>
      <x:c r="I60" s="31" t="n">
        <x:v>1.8703538514</x:v>
      </x:c>
      <x:c r="J60" s="31" t="n">
        <x:v>1.8703538514</x:v>
      </x:c>
      <x:c r="K60" s="31" t="n">
        <x:v>0</x:v>
      </x:c>
      <x:c r="L60" s="31" t="n">
        <x:v>1.8703538514</x:v>
      </x:c>
      <x:c r="M60" s="31" t="n">
        <x:v>0</x:v>
      </x:c>
      <x:c r="N60" s="24" t="str">
        <x:v>parapenaeus longirostris</x:v>
      </x:c>
      <x:c r="O60" s="32" t="n">
        <x:v>3.3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Parapenaeus longirostris</x:v>
      </x:c>
      <x:c r="T60" s="32" t="n">
        <x:f>IF(O60="","",(1/'Metadata'!$B$5)^(O60-1))</x:f>
        <x:v>199.52623149688787</x:v>
      </x:c>
      <x:c r="U60" s="31" t="n">
        <x:f>IF(T60="","",I60*T60)</x:f>
        <x:v>373.1846555355322</x:v>
      </x:c>
    </x:row>
    <x:row r="61" ht="18" customHeight="1">
      <x:c r="A61" s="24" t="str">
        <x:v>EEZ_678</x:v>
      </x:c>
      <x:c r="B61" s="24" t="str">
        <x:v>Sao Tome &amp; Principe</x:v>
      </x:c>
      <x:c r="C61" s="24" t="str">
        <x:v>EEZ</x:v>
      </x:c>
      <x:c r="D61" s="30" t="n">
        <x:v>2019</x:v>
      </x:c>
      <x:c r="E61" s="24" t="str">
        <x:v>Tetrapturus pfluegeri</x:v>
      </x:c>
      <x:c r="F61" s="24" t="str">
        <x:v>Longbill spearfish</x:v>
      </x:c>
      <x:c r="G61" s="24" t="str">
        <x:v>Large pelagics (&gt;=90 cm)</x:v>
      </x:c>
      <x:c r="H61" s="24" t="str">
        <x:v>Tuna &amp; billfishes</x:v>
      </x:c>
      <x:c r="I61" s="31" t="n">
        <x:v>0.9183547224</x:v>
      </x:c>
      <x:c r="J61" s="31" t="n">
        <x:v>0.9183547224</x:v>
      </x:c>
      <x:c r="K61" s="31" t="n">
        <x:v>0</x:v>
      </x:c>
      <x:c r="L61" s="31" t="n">
        <x:v>0.9183547224</x:v>
      </x:c>
      <x:c r="M61" s="31" t="n">
        <x:v>0</x:v>
      </x:c>
      <x:c r="N61" s="24" t="str">
        <x:v>tetrapturus pfluegeri</x:v>
      </x:c>
      <x:c r="O61" s="32" t="n">
        <x:v>4.4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Tetrapturus pfluegeri</x:v>
      </x:c>
      <x:c r="T61" s="32" t="n">
        <x:f>IF(O61="","",(1/'Metadata'!$B$5)^(O61-1))</x:f>
        <x:v>2511.886431509582</x:v>
      </x:c>
      <x:c r="U61" s="31" t="n">
        <x:f>IF(T61="","",I61*T61)</x:f>
        <x:v>2306.802766509309</x:v>
      </x:c>
    </x:row>
    <x:row r="62" ht="18" customHeight="1">
      <x:c r="A62" s="24" t="str">
        <x:v>EEZ_678</x:v>
      </x:c>
      <x:c r="B62" s="24" t="str">
        <x:v>Sao Tome &amp; Principe</x:v>
      </x:c>
      <x:c r="C62" s="24" t="str">
        <x:v>EEZ</x:v>
      </x:c>
      <x:c r="D62" s="30" t="n">
        <x:v>2019</x:v>
      </x:c>
      <x:c r="E62" s="24" t="str">
        <x:v>Sarda</x:v>
      </x:c>
      <x:c r="F62" s="24" t="str">
        <x:v>Bonitos</x:v>
      </x:c>
      <x:c r="G62" s="24" t="str">
        <x:v>Large pelagics (&gt;=90 cm)</x:v>
      </x:c>
      <x:c r="H62" s="24" t="str">
        <x:v>Tuna &amp; billfishes</x:v>
      </x:c>
      <x:c r="I62" s="31" t="n">
        <x:v>0.8132692879</x:v>
      </x:c>
      <x:c r="J62" s="31" t="n">
        <x:v>0.8132692879</x:v>
      </x:c>
      <x:c r="K62" s="31" t="n">
        <x:v>0</x:v>
      </x:c>
      <x:c r="L62" s="31" t="n">
        <x:v>0.8132692879</x:v>
      </x:c>
      <x:c r="M62" s="31" t="n">
        <x:v>0</x:v>
      </x:c>
      <x:c r="N62" s="24" t="str">
        <x:v>sarda</x:v>
      </x:c>
      <x:c r="O62" s="32" t="n">
        <x:v>4.37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Sarda</x:v>
      </x:c>
      <x:c r="T62" s="32" t="n">
        <x:f>IF(O62="","",(1/'Metadata'!$B$5)^(O62-1))</x:f>
        <x:v>2344.228815319923</x:v>
      </x:c>
      <x:c r="U62" s="31" t="n">
        <x:f>IF(T62="","",I62*T62)</x:f>
        <x:v>1906.4892993098942</x:v>
      </x:c>
    </x:row>
    <x:row r="63" ht="18" customHeight="1">
      <x:c r="A63" s="24" t="str">
        <x:v>EEZ_678</x:v>
      </x:c>
      <x:c r="B63" s="24" t="str">
        <x:v>Sao Tome &amp; Principe</x:v>
      </x:c>
      <x:c r="C63" s="24" t="str">
        <x:v>EEZ</x:v>
      </x:c>
      <x:c r="D63" s="30" t="n">
        <x:v>2019</x:v>
      </x:c>
      <x:c r="E63" s="24" t="str">
        <x:v>Lophiidae</x:v>
      </x:c>
      <x:c r="F63" s="24" t="str">
        <x:v>Goosefishes</x:v>
      </x:c>
      <x:c r="G63" s="24" t="str">
        <x:v>Medium bathydemersals (30 - 89 cm)</x:v>
      </x:c>
      <x:c r="H63" s="24" t="str">
        <x:v>Other fishes &amp; inverts</x:v>
      </x:c>
      <x:c r="I63" s="31" t="n">
        <x:v>0.5128502006</x:v>
      </x:c>
      <x:c r="J63" s="31" t="n">
        <x:v>0.5128502006</x:v>
      </x:c>
      <x:c r="K63" s="31" t="n">
        <x:v>0</x:v>
      </x:c>
      <x:c r="L63" s="31" t="n">
        <x:v>0.5128502006</x:v>
      </x:c>
      <x:c r="M63" s="31" t="n">
        <x:v>0</x:v>
      </x:c>
      <x:c r="N63" s="24" t="str">
        <x:v>lophiidae</x:v>
      </x:c>
      <x:c r="O63" s="32" t="n">
        <x:v>4.46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Lophiidae</x:v>
      </x:c>
      <x:c r="T63" s="32" t="n">
        <x:f>IF(O63="","",(1/'Metadata'!$B$5)^(O63-1))</x:f>
        <x:v>2884.031503126606</x:v>
      </x:c>
      <x:c r="U63" s="31" t="n">
        <x:f>IF(T63="","",I63*T63)</x:f>
        <x:v>1479.0761349151992</x:v>
      </x:c>
    </x:row>
    <x:row r="64" ht="18" customHeight="1">
      <x:c r="A64" s="24" t="str">
        <x:v>EEZ_678</x:v>
      </x:c>
      <x:c r="B64" s="24" t="str">
        <x:v>Sao Tome &amp; Principe</x:v>
      </x:c>
      <x:c r="C64" s="24" t="str">
        <x:v>EEZ</x:v>
      </x:c>
      <x:c r="D64" s="30" t="n">
        <x:v>2019</x:v>
      </x:c>
      <x:c r="E64" s="24" t="str">
        <x:v>Muraenidae</x:v>
      </x:c>
      <x:c r="F64" s="24" t="str">
        <x:v>Moray eels</x:v>
      </x:c>
      <x:c r="G64" s="24" t="str">
        <x:v>Large reef assoc. fish (&gt;=90 cm)</x:v>
      </x:c>
      <x:c r="H64" s="24" t="str">
        <x:v>Other fishes &amp; inverts</x:v>
      </x:c>
      <x:c r="I64" s="31" t="n">
        <x:v>0.4872557898</x:v>
      </x:c>
      <x:c r="J64" s="31" t="n">
        <x:v>0.4872557898</x:v>
      </x:c>
      <x:c r="K64" s="31" t="n">
        <x:v>0</x:v>
      </x:c>
      <x:c r="L64" s="31" t="n">
        <x:v>0.4872557898</x:v>
      </x:c>
      <x:c r="M64" s="31" t="n">
        <x:v>0</x:v>
      </x:c>
      <x:c r="N64" s="24" t="str">
        <x:v>muraenidae</x:v>
      </x:c>
      <x:c r="O64" s="32" t="n">
        <x:v>4.07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Muraenidae</x:v>
      </x:c>
      <x:c r="T64" s="32" t="n">
        <x:f>IF(O64="","",(1/'Metadata'!$B$5)^(O64-1))</x:f>
        <x:v>1174.8975549395302</x:v>
      </x:c>
      <x:c r="U64" s="31" t="n">
        <x:f>IF(T64="","",I64*T64)</x:f>
        <x:v>572.4756360661497</x:v>
      </x:c>
    </x:row>
    <x:row r="65" ht="18" customHeight="1">
      <x:c r="A65" s="24" t="str">
        <x:v>EEZ_678</x:v>
      </x:c>
      <x:c r="B65" s="24" t="str">
        <x:v>Sao Tome &amp; Principe</x:v>
      </x:c>
      <x:c r="C65" s="24" t="str">
        <x:v>EEZ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0.4723342739</x:v>
      </x:c>
      <x:c r="J65" s="31" t="n">
        <x:v>0.4723342739</x:v>
      </x:c>
      <x:c r="K65" s="31" t="n">
        <x:v>0</x:v>
      </x:c>
      <x:c r="L65" s="31" t="n">
        <x:v>0.4723342739</x:v>
      </x:c>
      <x:c r="M65" s="31" t="n">
        <x:v>0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175.48882266388307</x:v>
      </x:c>
    </x:row>
    <x:row r="66" ht="18" customHeight="1">
      <x:c r="A66" s="24" t="str">
        <x:v>EEZ_678</x:v>
      </x:c>
      <x:c r="B66" s="24" t="str">
        <x:v>Sao Tome &amp; Principe</x:v>
      </x:c>
      <x:c r="C66" s="24" t="str">
        <x:v>EEZ</x:v>
      </x:c>
      <x:c r="D66" s="30" t="n">
        <x:v>2019</x:v>
      </x:c>
      <x:c r="E66" s="24" t="str">
        <x:v>Aristeus varidens</x:v>
      </x:c>
      <x:c r="F66" s="24" t="str">
        <x:v>Striped red shrimp</x:v>
      </x:c>
      <x:c r="G66" s="24" t="str">
        <x:v>Shrimps</x:v>
      </x:c>
      <x:c r="H66" s="24" t="str">
        <x:v>Crustaceans</x:v>
      </x:c>
      <x:c r="I66" s="31" t="n">
        <x:v>0.4260683499</x:v>
      </x:c>
      <x:c r="J66" s="31" t="n">
        <x:v>0.4260683499</x:v>
      </x:c>
      <x:c r="K66" s="31" t="n">
        <x:v>0</x:v>
      </x:c>
      <x:c r="L66" s="31" t="n">
        <x:v>0.4260683499</x:v>
      </x:c>
      <x:c r="M66" s="31" t="n">
        <x:v>0</x:v>
      </x:c>
      <x:c r="N66" s="24" t="str">
        <x:v>aristeus varidens</x:v>
      </x:c>
      <x:c r="O66" s="32" t="n">
        <x:v>3.77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Aristeus varidens</x:v>
      </x:c>
      <x:c r="T66" s="32" t="n">
        <x:f>IF(O66="","",(1/'Metadata'!$B$5)^(O66-1))</x:f>
        <x:v>588.843655355589</x:v>
      </x:c>
      <x:c r="U66" s="31" t="n">
        <x:f>IF(T66="","",I66*T66)</x:f>
        <x:v>250.8876445864401</x:v>
      </x:c>
    </x:row>
    <x:row r="67" ht="18" customHeight="1">
      <x:c r="A67" s="24" t="str">
        <x:v>EEZ_678</x:v>
      </x:c>
      <x:c r="B67" s="24" t="str">
        <x:v>Sao Tome &amp; Principe</x:v>
      </x:c>
      <x:c r="C67" s="24" t="str">
        <x:v>EEZ</x:v>
      </x:c>
      <x:c r="D67" s="30" t="n">
        <x:v>2019</x:v>
      </x:c>
      <x:c r="E67" s="24" t="str">
        <x:v>Isurus paucus</x:v>
      </x:c>
      <x:c r="F67" s="24" t="str">
        <x:v>Longfin mako</x:v>
      </x:c>
      <x:c r="G67" s="24" t="str">
        <x:v>Large sharks (&gt;=90 cm)</x:v>
      </x:c>
      <x:c r="H67" s="24" t="str">
        <x:v>Sharks &amp; rays</x:v>
      </x:c>
      <x:c r="I67" s="31" t="n">
        <x:v>0.42537927499999995</x:v>
      </x:c>
      <x:c r="J67" s="31" t="n">
        <x:v>0.42537927499999995</x:v>
      </x:c>
      <x:c r="K67" s="31" t="n">
        <x:v>0</x:v>
      </x:c>
      <x:c r="L67" s="31" t="n">
        <x:v>0.42537927499999995</x:v>
      </x:c>
      <x:c r="M67" s="31" t="n">
        <x:v>0</x:v>
      </x:c>
      <x:c r="N67" s="24" t="str">
        <x:v>isurus paucus</x:v>
      </x:c>
      <x:c r="O67" s="32" t="n">
        <x:v>4.51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paucus</x:v>
      </x:c>
      <x:c r="T67" s="32" t="n">
        <x:f>IF(O67="","",(1/'Metadata'!$B$5)^(O67-1))</x:f>
        <x:v>3235.936569296281</x:v>
      </x:c>
      <x:c r="U67" s="31" t="n">
        <x:f>IF(T67="","",I67*T67)</x:f>
        <x:v>1376.5003517932391</x:v>
      </x:c>
    </x:row>
    <x:row r="68" ht="18" customHeight="1">
      <x:c r="A68" s="24" t="str">
        <x:v>EEZ_678</x:v>
      </x:c>
      <x:c r="B68" s="24" t="str">
        <x:v>Sao Tome &amp; Principe</x:v>
      </x:c>
      <x:c r="C68" s="24" t="str">
        <x:v>EEZ</x:v>
      </x:c>
      <x:c r="D68" s="30" t="n">
        <x:v>2019</x:v>
      </x:c>
      <x:c r="E68" s="24" t="str">
        <x:v>Zeus faber</x:v>
      </x:c>
      <x:c r="F68" s="24" t="str">
        <x:v>John dory</x:v>
      </x:c>
      <x:c r="G68" s="24" t="str">
        <x:v>Medium benthopelagics (30 - 89 cm)</x:v>
      </x:c>
      <x:c r="H68" s="24" t="str">
        <x:v>Other fishes &amp; inverts</x:v>
      </x:c>
      <x:c r="I68" s="31" t="n">
        <x:v>0.1489221682</x:v>
      </x:c>
      <x:c r="J68" s="31" t="n">
        <x:v>0.1489221682</x:v>
      </x:c>
      <x:c r="K68" s="31" t="n">
        <x:v>0</x:v>
      </x:c>
      <x:c r="L68" s="31" t="n">
        <x:v>0.1489221682</x:v>
      </x:c>
      <x:c r="M68" s="31" t="n">
        <x:v>0</x:v>
      </x:c>
      <x:c r="N68" s="24" t="str">
        <x:v>zeus faber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Zeus faber</x:v>
      </x:c>
      <x:c r="T68" s="32" t="n">
        <x:f>IF(O68="","",(1/'Metadata'!$B$5)^(O68-1))</x:f>
        <x:v>3162.2776601683795</x:v>
      </x:c>
      <x:c r="U68" s="31" t="n">
        <x:f>IF(T68="","",I68*T68)</x:f>
        <x:v>470.93324560269787</x:v>
      </x:c>
    </x:row>
    <x:row r="69" ht="18" customHeight="1">
      <x:c r="A69" s="24" t="str">
        <x:v>EEZ_678</x:v>
      </x:c>
      <x:c r="B69" s="24" t="str">
        <x:v>Sao Tome &amp; Principe</x:v>
      </x:c>
      <x:c r="C69" s="24" t="str">
        <x:v>EEZ</x:v>
      </x:c>
      <x:c r="D69" s="30" t="n">
        <x:v>2019</x:v>
      </x:c>
      <x:c r="E69" s="24" t="str">
        <x:v>Aristaeopsis edwardsiana</x:v>
      </x:c>
      <x:c r="F69" s="24" t="str">
        <x:v>Scarlet shrimp</x:v>
      </x:c>
      <x:c r="G69" s="24" t="str">
        <x:v>Shrimps</x:v>
      </x:c>
      <x:c r="H69" s="24" t="str">
        <x:v>Crustaceans</x:v>
      </x:c>
      <x:c r="I69" s="31" t="n">
        <x:v>0.0966678076</x:v>
      </x:c>
      <x:c r="J69" s="31" t="n">
        <x:v>0.0966678076</x:v>
      </x:c>
      <x:c r="K69" s="31" t="n">
        <x:v>0</x:v>
      </x:c>
      <x:c r="L69" s="31" t="n">
        <x:v>0.0966678076</x:v>
      </x:c>
      <x:c r="M69" s="31" t="n">
        <x:v>0</x:v>
      </x:c>
      <x:c r="N69" s="24" t="str">
        <x:v>aristaeopsis edwardsiana</x:v>
      </x:c>
      <x:c r="O69" s="32" t="n">
        <x:v>2.3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Aristaeopsis edwardsiana</x:v>
      </x:c>
      <x:c r="T69" s="32" t="n">
        <x:f>IF(O69="","",(1/'Metadata'!$B$5)^(O69-1))</x:f>
        <x:v>19.952623149688787</x:v>
      </x:c>
      <x:c r="U69" s="31" t="n">
        <x:f>IF(T69="","",I69*T69)</x:f>
        <x:v>1.9287763357494216</x:v>
      </x:c>
    </x:row>
    <x:row r="70" ht="18" customHeight="1">
      <x:c r="A70" s="24" t="str">
        <x:v>EEZ_678</x:v>
      </x:c>
      <x:c r="B70" s="24" t="str">
        <x:v>Sao Tome &amp; Principe</x:v>
      </x:c>
      <x:c r="C70" s="24" t="str">
        <x:v>EEZ</x:v>
      </x:c>
      <x:c r="D70" s="30" t="n">
        <x:v>2019</x:v>
      </x:c>
      <x:c r="E70" s="24" t="str">
        <x:v>Sepia</x:v>
      </x:c>
      <x:c r="F70" s="24" t="str">
        <x:v>Sepia cuttlefishes</x:v>
      </x:c>
      <x:c r="G70" s="24" t="str">
        <x:v>Cephalopods</x:v>
      </x:c>
      <x:c r="H70" s="24" t="str">
        <x:v>Other fishes &amp; inverts</x:v>
      </x:c>
      <x:c r="I70" s="31" t="n">
        <x:v>0.0922832935</x:v>
      </x:c>
      <x:c r="J70" s="31" t="n">
        <x:v>0.0922832935</x:v>
      </x:c>
      <x:c r="K70" s="31" t="n">
        <x:v>0</x:v>
      </x:c>
      <x:c r="L70" s="31" t="n">
        <x:v>0.0922832935</x:v>
      </x:c>
      <x:c r="M70" s="31" t="n">
        <x:v>0</x:v>
      </x:c>
      <x:c r="N70" s="24" t="str">
        <x:v>sepia</x:v>
      </x:c>
      <x:c r="O70" s="32" t="n">
        <x:v>3.69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Sepia</x:v>
      </x:c>
      <x:c r="T70" s="32" t="n">
        <x:f>IF(O70="","",(1/'Metadata'!$B$5)^(O70-1))</x:f>
        <x:v>489.77881936844614</x:v>
      </x:c>
      <x:c r="U70" s="31" t="n">
        <x:f>IF(T70="","",I70*T70)</x:f>
        <x:v>45.1984025378618</x:v>
      </x:c>
    </x:row>
    <x:row r="71" ht="18" customHeight="1">
      <x:c r="A71" s="24" t="str">
        <x:v>EEZ_678</x:v>
      </x:c>
      <x:c r="B71" s="24" t="str">
        <x:v>Sao Tome &amp; Principe</x:v>
      </x:c>
      <x:c r="C71" s="24" t="str">
        <x:v>EEZ</x:v>
      </x:c>
      <x:c r="D71" s="30" t="n">
        <x:v>2019</x:v>
      </x:c>
      <x:c r="E71" s="24" t="str">
        <x:v>Rajiformes</x:v>
      </x:c>
      <x:c r="F71" s="24" t="str">
        <x:v>Skates and rays</x:v>
      </x:c>
      <x:c r="G71" s="24" t="str">
        <x:v>Large rays (&gt;=90 cm)</x:v>
      </x:c>
      <x:c r="H71" s="24" t="str">
        <x:v>Sharks &amp; rays</x:v>
      </x:c>
      <x:c r="I71" s="31" t="n">
        <x:v>0.051676606800000004</x:v>
      </x:c>
      <x:c r="J71" s="31" t="n">
        <x:v>0.051676606800000004</x:v>
      </x:c>
      <x:c r="K71" s="31" t="n">
        <x:v>0</x:v>
      </x:c>
      <x:c r="L71" s="31" t="n">
        <x:v>0.051676606800000004</x:v>
      </x:c>
      <x:c r="M71" s="31" t="n">
        <x:v>0</x:v>
      </x:c>
      <x:c r="N71" s="24" t="str">
        <x:v>rajiformes</x:v>
      </x:c>
      <x:c r="O71" s="32" t="n">
        <x:v>3.61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Rajiformes</x:v>
      </x:c>
      <x:c r="T71" s="32" t="n">
        <x:f>IF(O71="","",(1/'Metadata'!$B$5)^(O71-1))</x:f>
        <x:v>407.3802778041126</x:v>
      </x:c>
      <x:c r="U71" s="31" t="n">
        <x:f>IF(T71="","",I71*T71)</x:f>
        <x:v>21.052030434157896</x:v>
      </x:c>
    </x:row>
    <x:row r="72" ht="18" customHeight="1">
      <x:c r="A72" s="24" t="str">
        <x:v>EEZ_678</x:v>
      </x:c>
      <x:c r="B72" s="24" t="str">
        <x:v>Sao Tome &amp; Principe</x:v>
      </x:c>
      <x:c r="C72" s="24" t="str">
        <x:v>EEZ</x:v>
      </x:c>
      <x:c r="D72" s="30" t="n">
        <x:v>2019</x:v>
      </x:c>
      <x:c r="E72" s="24" t="str">
        <x:v>Helicolenus dactylopterus</x:v>
      </x:c>
      <x:c r="F72" s="24" t="str">
        <x:v>Blackbelly rosefish</x:v>
      </x:c>
      <x:c r="G72" s="24" t="str">
        <x:v>Medium bathydemersals (30 - 89 cm)</x:v>
      </x:c>
      <x:c r="H72" s="24" t="str">
        <x:v>Scorpionfishes</x:v>
      </x:c>
      <x:c r="I72" s="31" t="n">
        <x:v>0.0416989408</x:v>
      </x:c>
      <x:c r="J72" s="31" t="n">
        <x:v>0.0416989408</x:v>
      </x:c>
      <x:c r="K72" s="31" t="n">
        <x:v>0</x:v>
      </x:c>
      <x:c r="L72" s="31" t="n">
        <x:v>0.0416989408</x:v>
      </x:c>
      <x:c r="M72" s="31" t="n">
        <x:v>0</x:v>
      </x:c>
      <x:c r="N72" s="24" t="str">
        <x:v>helicolenus dactylopterus</x:v>
      </x:c>
      <x:c r="O72" s="32" t="n">
        <x:v>3.54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Helicolenus dactylopterus</x:v>
      </x:c>
      <x:c r="T72" s="32" t="n">
        <x:f>IF(O72="","",(1/'Metadata'!$B$5)^(O72-1))</x:f>
        <x:v>346.73685045253166</x:v>
      </x:c>
      <x:c r="U72" s="31" t="n">
        <x:f>IF(T72="","",I72*T72)</x:f>
        <x:v>14.45855940019857</x:v>
      </x:c>
    </x:row>
    <x:row r="73" ht="18" customHeight="1">
      <x:c r="A73" s="24" t="str">
        <x:v>EEZ_678</x:v>
      </x:c>
      <x:c r="B73" s="24" t="str">
        <x:v>Sao Tome &amp; Principe</x:v>
      </x:c>
      <x:c r="C73" s="24" t="str">
        <x:v>EEZ</x:v>
      </x:c>
      <x:c r="D73" s="30" t="n">
        <x:v>2019</x:v>
      </x:c>
      <x:c r="E73" s="24" t="str">
        <x:v>Galeorhinus galeus</x:v>
      </x:c>
      <x:c r="F73" s="24" t="str">
        <x:v>Tope shark</x:v>
      </x:c>
      <x:c r="G73" s="24" t="str">
        <x:v>Large sharks (&gt;=90 cm)</x:v>
      </x:c>
      <x:c r="H73" s="24" t="str">
        <x:v>Sharks &amp; rays</x:v>
      </x:c>
      <x:c r="I73" s="31" t="n">
        <x:v>0.041414649299999995</x:v>
      </x:c>
      <x:c r="J73" s="31" t="n">
        <x:v>0.041414649299999995</x:v>
      </x:c>
      <x:c r="K73" s="31" t="n">
        <x:v>0</x:v>
      </x:c>
      <x:c r="L73" s="31" t="n">
        <x:v>0.041414649299999995</x:v>
      </x:c>
      <x:c r="M73" s="31" t="n">
        <x:v>0</x:v>
      </x:c>
      <x:c r="N73" s="24" t="str">
        <x:v>galeorhinus galeus</x:v>
      </x:c>
      <x:c r="O73" s="32" t="n">
        <x:v>4.34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Galeorhinus galeus</x:v>
      </x:c>
      <x:c r="T73" s="32" t="n">
        <x:f>IF(O73="","",(1/'Metadata'!$B$5)^(O73-1))</x:f>
        <x:v>2187.761623949552</x:v>
      </x:c>
      <x:c r="U73" s="31" t="n">
        <x:f>IF(T73="","",I73*T73)</x:f>
        <x:v>90.60538040786916</x:v>
      </x:c>
    </x:row>
    <x:row r="74" ht="18" customHeight="1">
      <x:c r="A74" s="24" t="str">
        <x:v>EEZ_678</x:v>
      </x:c>
      <x:c r="B74" s="24" t="str">
        <x:v>Sao Tome &amp; Principe</x:v>
      </x:c>
      <x:c r="C74" s="24" t="str">
        <x:v>EEZ</x:v>
      </x:c>
      <x:c r="D74" s="30" t="n">
        <x:v>2019</x:v>
      </x:c>
      <x:c r="E74" s="24" t="str">
        <x:v>Pomadasys jubelini</x:v>
      </x:c>
      <x:c r="F74" s="24" t="str">
        <x:v>Sompat grunt</x:v>
      </x:c>
      <x:c r="G74" s="24" t="str">
        <x:v>Medium demersals (30 - 89 cm)</x:v>
      </x:c>
      <x:c r="H74" s="24" t="str">
        <x:v>Perch-likes</x:v>
      </x:c>
      <x:c r="I74" s="31" t="n">
        <x:v>0.0392503774</x:v>
      </x:c>
      <x:c r="J74" s="31" t="n">
        <x:v>0.0392503774</x:v>
      </x:c>
      <x:c r="K74" s="31" t="n">
        <x:v>0</x:v>
      </x:c>
      <x:c r="L74" s="31" t="n">
        <x:v>0.0392503774</x:v>
      </x:c>
      <x:c r="M74" s="31" t="n">
        <x:v>0</x:v>
      </x:c>
      <x:c r="N74" s="24" t="str">
        <x:v>pomadasys jubelini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Pomadasys jubelini</x:v>
      </x:c>
      <x:c r="T74" s="32" t="n">
        <x:f>IF(O74="","",(1/'Metadata'!$B$5)^(O74-1))</x:f>
        <x:v>213.79620895022325</x:v>
      </x:c>
      <x:c r="U74" s="31" t="n">
        <x:f>IF(T74="","",I74*T74)</x:f>
        <x:v>8.39158188798552</x:v>
      </x:c>
    </x:row>
    <x:row r="75" ht="18" customHeight="1">
      <x:c r="A75" s="24" t="str">
        <x:v>EEZ_678</x:v>
      </x:c>
      <x:c r="B75" s="24" t="str">
        <x:v>Sao Tome &amp; Principe</x:v>
      </x:c>
      <x:c r="C75" s="24" t="str">
        <x:v>EEZ</x:v>
      </x:c>
      <x:c r="D75" s="30" t="n">
        <x:v>2019</x:v>
      </x:c>
      <x:c r="E75" s="24" t="str">
        <x:v>Scorpaenidae</x:v>
      </x:c>
      <x:c r="F75" s="24" t="str">
        <x:v>Scorpionfishes, rockfishes</x:v>
      </x:c>
      <x:c r="G75" s="24" t="str">
        <x:v>Large reef assoc. fish (&gt;=90 cm)</x:v>
      </x:c>
      <x:c r="H75" s="24" t="str">
        <x:v>Scorpionfishes</x:v>
      </x:c>
      <x:c r="I75" s="31" t="n">
        <x:v>0.0369760565</x:v>
      </x:c>
      <x:c r="J75" s="31" t="n">
        <x:v>0.0369760565</x:v>
      </x:c>
      <x:c r="K75" s="31" t="n">
        <x:v>0</x:v>
      </x:c>
      <x:c r="L75" s="31" t="n">
        <x:v>0.0369760565</x:v>
      </x:c>
      <x:c r="M75" s="31" t="n">
        <x:v>0</x:v>
      </x:c>
      <x:c r="N75" s="24" t="str">
        <x:v>scorpaenidae</x:v>
      </x:c>
      <x:c r="O75" s="32" t="n">
        <x:v>3.92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Scorpaenidae</x:v>
      </x:c>
      <x:c r="T75" s="32" t="n">
        <x:f>IF(O75="","",(1/'Metadata'!$B$5)^(O75-1))</x:f>
        <x:v>831.7637711026708</x:v>
      </x:c>
      <x:c r="U75" s="31" t="n">
        <x:f>IF(T75="","",I75*T75)</x:f>
        <x:v>30.755344194945422</x:v>
      </x:c>
    </x:row>
    <x:row r="76" ht="18" customHeight="1">
      <x:c r="A76" s="24" t="str">
        <x:v>EEZ_678</x:v>
      </x:c>
      <x:c r="B76" s="24" t="str">
        <x:v>Sao Tome &amp; Principe</x:v>
      </x:c>
      <x:c r="C76" s="24" t="str">
        <x:v>EEZ</x:v>
      </x:c>
      <x:c r="D76" s="30" t="n">
        <x:v>2019</x:v>
      </x:c>
      <x:c r="E76" s="24" t="str">
        <x:v>Dentex</x:v>
      </x:c>
      <x:c r="F76" s="24" t="str">
        <x:v>Toothed seabreams</x:v>
      </x:c>
      <x:c r="G76" s="24" t="str">
        <x:v>Large benthopelagics (&gt;=90 cm)</x:v>
      </x:c>
      <x:c r="H76" s="24" t="str">
        <x:v>Perch-likes</x:v>
      </x:c>
      <x:c r="I76" s="31" t="n">
        <x:v>0.0363891351</x:v>
      </x:c>
      <x:c r="J76" s="31" t="n">
        <x:v>0.0363891351</x:v>
      </x:c>
      <x:c r="K76" s="31" t="n">
        <x:v>0</x:v>
      </x:c>
      <x:c r="L76" s="31" t="n">
        <x:v>0.0363891351</x:v>
      </x:c>
      <x:c r="M76" s="31" t="n">
        <x:v>0</x:v>
      </x:c>
      <x:c r="N76" s="24" t="str">
        <x:v>dentex</x:v>
      </x:c>
      <x:c r="O76" s="32" t="n">
        <x:v>3.96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Dentex</x:v>
      </x:c>
      <x:c r="T76" s="32" t="n">
        <x:f>IF(O76="","",(1/'Metadata'!$B$5)^(O76-1))</x:f>
        <x:v>912.0108393559096</x:v>
      </x:c>
      <x:c r="U76" s="31" t="n">
        <x:f>IF(T76="","",I76*T76)</x:f>
        <x:v>33.18728564598659</x:v>
      </x:c>
    </x:row>
    <x:row r="77" ht="18" customHeight="1">
      <x:c r="A77" s="24" t="str">
        <x:v>EEZ_678</x:v>
      </x:c>
      <x:c r="B77" s="24" t="str">
        <x:v>Sao Tome &amp; Principe</x:v>
      </x:c>
      <x:c r="C77" s="24" t="str">
        <x:v>EEZ</x:v>
      </x:c>
      <x:c r="D77" s="30" t="n">
        <x:v>2019</x:v>
      </x:c>
      <x:c r="E77" s="24" t="str">
        <x:v>Spondyliosoma cantharus</x:v>
      </x:c>
      <x:c r="F77" s="24" t="str">
        <x:v>Black seabream</x:v>
      </x:c>
      <x:c r="G77" s="24" t="str">
        <x:v>Medium benthopelagics (30 - 89 cm)</x:v>
      </x:c>
      <x:c r="H77" s="24" t="str">
        <x:v>Perch-likes</x:v>
      </x:c>
      <x:c r="I77" s="31" t="n">
        <x:v>0.032399902800000005</x:v>
      </x:c>
      <x:c r="J77" s="31" t="n">
        <x:v>0.032399902800000005</x:v>
      </x:c>
      <x:c r="K77" s="31" t="n">
        <x:v>0</x:v>
      </x:c>
      <x:c r="L77" s="31" t="n">
        <x:v>0.032399902800000005</x:v>
      </x:c>
      <x:c r="M77" s="31" t="n">
        <x:v>0</x:v>
      </x:c>
      <x:c r="N77" s="24" t="str">
        <x:v>spondyliosoma cantharus</x:v>
      </x:c>
      <x:c r="O77" s="32" t="n">
        <x:v>3.34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Spondyliosoma cantharus</x:v>
      </x:c>
      <x:c r="T77" s="32" t="n">
        <x:f>IF(O77="","",(1/'Metadata'!$B$5)^(O77-1))</x:f>
        <x:v>218.77616239495518</x:v>
      </x:c>
      <x:c r="U77" s="31" t="n">
        <x:f>IF(T77="","",I77*T77)</x:f>
        <x:v>7.088326396553564</x:v>
      </x:c>
    </x:row>
    <x:row r="78" ht="18" customHeight="1">
      <x:c r="A78" s="24" t="str">
        <x:v>EEZ_678</x:v>
      </x:c>
      <x:c r="B78" s="24" t="str">
        <x:v>Sao Tome &amp; Principe</x:v>
      </x:c>
      <x:c r="C78" s="24" t="str">
        <x:v>EEZ</x:v>
      </x:c>
      <x:c r="D78" s="30" t="n">
        <x:v>2019</x:v>
      </x:c>
      <x:c r="E78" s="24" t="str">
        <x:v>Sphyraenidae</x:v>
      </x:c>
      <x:c r="F78" s="24" t="str">
        <x:v>Barracudas</x:v>
      </x:c>
      <x:c r="G78" s="24" t="str">
        <x:v>Medium reef assoc. fish (30 - 89 cm)</x:v>
      </x:c>
      <x:c r="H78" s="24" t="str">
        <x:v>Perch-likes</x:v>
      </x:c>
      <x:c r="I78" s="31" t="n">
        <x:v>0.0318588344</x:v>
      </x:c>
      <x:c r="J78" s="31" t="n">
        <x:v>0.0318588344</x:v>
      </x:c>
      <x:c r="K78" s="31" t="n">
        <x:v>0</x:v>
      </x:c>
      <x:c r="L78" s="31" t="n">
        <x:v>0.0318588344</x:v>
      </x:c>
      <x:c r="M78" s="31" t="n">
        <x:v>0</x:v>
      </x:c>
      <x:c r="N78" s="24" t="str">
        <x:v>sphyraenidae</x:v>
      </x:c>
      <x:c r="O78" s="32" t="n">
        <x:v>4.4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Sphyraenidae</x:v>
      </x:c>
      <x:c r="T78" s="32" t="n">
        <x:f>IF(O78="","",(1/'Metadata'!$B$5)^(O78-1))</x:f>
        <x:v>2511.886431509582</x:v>
      </x:c>
      <x:c r="U78" s="31" t="n">
        <x:f>IF(T78="","",I78*T78)</x:f>
        <x:v>80.02577385307072</x:v>
      </x:c>
    </x:row>
    <x:row r="79" ht="18" customHeight="1">
      <x:c r="A79" s="24" t="str">
        <x:v>EEZ_678</x:v>
      </x:c>
      <x:c r="B79" s="24" t="str">
        <x:v>Sao Tome &amp; Principe</x:v>
      </x:c>
      <x:c r="C79" s="24" t="str">
        <x:v>EEZ</x:v>
      </x:c>
      <x:c r="D79" s="30" t="n">
        <x:v>2019</x:v>
      </x:c>
      <x:c r="E79" s="24" t="str">
        <x:v>Istiophoridae</x:v>
      </x:c>
      <x:c r="F79" s="24" t="str">
        <x:v>Billfishes</x:v>
      </x:c>
      <x:c r="G79" s="24" t="str">
        <x:v>Large pelagics (&gt;=90 cm)</x:v>
      </x:c>
      <x:c r="H79" s="24" t="str">
        <x:v>Tuna &amp; billfishes</x:v>
      </x:c>
      <x:c r="I79" s="31" t="n">
        <x:v>0.0304665397</x:v>
      </x:c>
      <x:c r="J79" s="31" t="n">
        <x:v>0.0304665397</x:v>
      </x:c>
      <x:c r="K79" s="31" t="n">
        <x:v>0</x:v>
      </x:c>
      <x:c r="L79" s="31" t="n">
        <x:v>0.0304665397</x:v>
      </x:c>
      <x:c r="M79" s="31" t="n">
        <x:v>0</x:v>
      </x:c>
      <x:c r="N79" s="24" t="str">
        <x:v>istiophoridae</x:v>
      </x:c>
      <x:c r="O79" s="32" t="n">
        <x:v>4.48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Istiophoridae</x:v>
      </x:c>
      <x:c r="T79" s="32" t="n">
        <x:f>IF(O79="","",(1/'Metadata'!$B$5)^(O79-1))</x:f>
        <x:v>3019.951720402019</x:v>
      </x:c>
      <x:c r="U79" s="31" t="n">
        <x:f>IF(T79="","",I79*T79)</x:f>
        <x:v>92.00747898171142</x:v>
      </x:c>
    </x:row>
    <x:row r="80" ht="18" customHeight="1">
      <x:c r="A80" s="24" t="str">
        <x:v>EEZ_678</x:v>
      </x:c>
      <x:c r="B80" s="24" t="str">
        <x:v>Sao Tome &amp; Principe</x:v>
      </x:c>
      <x:c r="C80" s="24" t="str">
        <x:v>EEZ</x:v>
      </x:c>
      <x:c r="D80" s="30" t="n">
        <x:v>2019</x:v>
      </x:c>
      <x:c r="E80" s="24" t="str">
        <x:v>Dendrobranchiata</x:v>
      </x:c>
      <x:c r="F80" s="24" t="str">
        <x:v>Shrimps and prawns</x:v>
      </x:c>
      <x:c r="G80" s="24" t="str">
        <x:v>Shrimps</x:v>
      </x:c>
      <x:c r="H80" s="24" t="str">
        <x:v>Crustaceans</x:v>
      </x:c>
      <x:c r="I80" s="31" t="n">
        <x:v>0.0295661722</x:v>
      </x:c>
      <x:c r="J80" s="31" t="n">
        <x:v>0.0295661722</x:v>
      </x:c>
      <x:c r="K80" s="31" t="n">
        <x:v>0</x:v>
      </x:c>
      <x:c r="L80" s="31" t="n">
        <x:v>0.0295661722</x:v>
      </x:c>
      <x:c r="M80" s="31" t="n">
        <x:v>0</x:v>
      </x:c>
      <x:c r="N80" s="24" t="str">
        <x:v>dendrobranchiata</x:v>
      </x:c>
      <x:c r="O80" s="32" t="n">
        <x:v>3.24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Dendrobranchiata</x:v>
      </x:c>
      <x:c r="T80" s="32" t="n">
        <x:f>IF(O80="","",(1/'Metadata'!$B$5)^(O80-1))</x:f>
        <x:v>173.78008287493762</x:v>
      </x:c>
      <x:c r="U80" s="31" t="n">
        <x:f>IF(T80="","",I80*T80)</x:f>
        <x:v>5.138011855210677</x:v>
      </x:c>
    </x:row>
    <x:row r="81" ht="18" customHeight="1">
      <x:c r="A81" s="24" t="str">
        <x:v>EEZ_678</x:v>
      </x:c>
      <x:c r="B81" s="24" t="str">
        <x:v>Sao Tome &amp; Principe</x:v>
      </x:c>
      <x:c r="C81" s="24" t="str">
        <x:v>EEZ</x:v>
      </x:c>
      <x:c r="D81" s="30" t="n">
        <x:v>2019</x:v>
      </x:c>
      <x:c r="E81" s="24" t="str">
        <x:v>Penaeus kerathurus</x:v>
      </x:c>
      <x:c r="F81" s="24" t="str">
        <x:v>Caramote prawn</x:v>
      </x:c>
      <x:c r="G81" s="24" t="str">
        <x:v>Shrimps</x:v>
      </x:c>
      <x:c r="H81" s="24" t="str">
        <x:v>Crustaceans</x:v>
      </x:c>
      <x:c r="I81" s="31" t="n">
        <x:v>0.0292543702</x:v>
      </x:c>
      <x:c r="J81" s="31" t="n">
        <x:v>0.0292543702</x:v>
      </x:c>
      <x:c r="K81" s="31" t="n">
        <x:v>0</x:v>
      </x:c>
      <x:c r="L81" s="31" t="n">
        <x:v>0.0292543702</x:v>
      </x:c>
      <x:c r="M81" s="31" t="n">
        <x:v>0</x:v>
      </x:c>
      <x:c r="N81" s="24" t="str">
        <x:v>penaeus kerathurus</x:v>
      </x:c>
      <x:c r="O81" s="32" t="n">
        <x:v>2.7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 kerathurus</x:v>
      </x:c>
      <x:c r="T81" s="32" t="n">
        <x:f>IF(O81="","",(1/'Metadata'!$B$5)^(O81-1))</x:f>
        <x:v>50.11872336272725</x:v>
      </x:c>
      <x:c r="U81" s="31" t="n">
        <x:f>IF(T81="","",I81*T81)</x:f>
        <x:v>1.466191687204612</x:v>
      </x:c>
    </x:row>
    <x:row r="82" ht="18" customHeight="1">
      <x:c r="A82" s="24" t="str">
        <x:v>EEZ_678</x:v>
      </x:c>
      <x:c r="B82" s="24" t="str">
        <x:v>Sao Tome &amp; Principe</x:v>
      </x:c>
      <x:c r="C82" s="24" t="str">
        <x:v>EEZ</x:v>
      </x:c>
      <x:c r="D82" s="30" t="n">
        <x:v>2019</x:v>
      </x:c>
      <x:c r="E82" s="24" t="str">
        <x:v>Trachurus</x:v>
      </x:c>
      <x:c r="F82" s="24" t="str">
        <x:v>Jacks, horse mackerels</x:v>
      </x:c>
      <x:c r="G82" s="24" t="str">
        <x:v>Medium pelagics (30 - 89 cm)</x:v>
      </x:c>
      <x:c r="H82" s="24" t="str">
        <x:v>Perch-likes</x:v>
      </x:c>
      <x:c r="I82" s="31" t="n">
        <x:v>0.0271084382</x:v>
      </x:c>
      <x:c r="J82" s="31" t="n">
        <x:v>0.0271084382</x:v>
      </x:c>
      <x:c r="K82" s="31" t="n">
        <x:v>0</x:v>
      </x:c>
      <x:c r="L82" s="31" t="n">
        <x:v>0.0271084382</x:v>
      </x:c>
      <x:c r="M82" s="31" t="n">
        <x:v>0</x:v>
      </x:c>
      <x:c r="N82" s="24" t="str">
        <x:v>trachurus</x:v>
      </x:c>
      <x:c r="O82" s="32" t="n">
        <x:v>3.69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Trachurus</x:v>
      </x:c>
      <x:c r="T82" s="32" t="n">
        <x:f>IF(O82="","",(1/'Metadata'!$B$5)^(O82-1))</x:f>
        <x:v>489.77881936844614</x:v>
      </x:c>
      <x:c r="U82" s="31" t="n">
        <x:f>IF(T82="","",I82*T82)</x:f>
        <x:v>13.277138856518485</x:v>
      </x:c>
    </x:row>
    <x:row r="83" ht="18" customHeight="1">
      <x:c r="A83" s="24" t="str">
        <x:v>EEZ_678</x:v>
      </x:c>
      <x:c r="B83" s="24" t="str">
        <x:v>Sao Tome &amp; Principe</x:v>
      </x:c>
      <x:c r="C83" s="24" t="str">
        <x:v>EEZ</x:v>
      </x:c>
      <x:c r="D83" s="30" t="n">
        <x:v>2019</x:v>
      </x:c>
      <x:c r="E83" s="24" t="str">
        <x:v>Argyrosomus regius</x:v>
      </x:c>
      <x:c r="F83" s="24" t="str">
        <x:v>Meagre</x:v>
      </x:c>
      <x:c r="G83" s="24" t="str">
        <x:v>Large benthopelagics (&gt;=90 cm)</x:v>
      </x:c>
      <x:c r="H83" s="24" t="str">
        <x:v>Perch-likes</x:v>
      </x:c>
      <x:c r="I83" s="31" t="n">
        <x:v>0.026686590099999997</x:v>
      </x:c>
      <x:c r="J83" s="31" t="n">
        <x:v>0.026686590099999997</x:v>
      </x:c>
      <x:c r="K83" s="31" t="n">
        <x:v>0</x:v>
      </x:c>
      <x:c r="L83" s="31" t="n">
        <x:v>0.026686590099999997</x:v>
      </x:c>
      <x:c r="M83" s="31" t="n">
        <x:v>0</x:v>
      </x:c>
      <x:c r="N83" s="24" t="str">
        <x:v>argyrosomus regius</x:v>
      </x:c>
      <x:c r="O83" s="32" t="n">
        <x:v>4.29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Argyrosomus regius</x:v>
      </x:c>
      <x:c r="T83" s="32" t="n">
        <x:f>IF(O83="","",(1/'Metadata'!$B$5)^(O83-1))</x:f>
        <x:v>1949.8445997580454</x:v>
      </x:c>
      <x:c r="U83" s="31" t="n">
        <x:f>IF(T83="","",I83*T83)</x:f>
        <x:v>52.03470359244151</x:v>
      </x:c>
    </x:row>
    <x:row r="84" ht="18" customHeight="1">
      <x:c r="A84" s="24" t="str">
        <x:v>EEZ_678</x:v>
      </x:c>
      <x:c r="B84" s="24" t="str">
        <x:v>Sao Tome &amp; Principe</x:v>
      </x:c>
      <x:c r="C84" s="24" t="str">
        <x:v>EEZ</x:v>
      </x:c>
      <x:c r="D84" s="30" t="n">
        <x:v>2019</x:v>
      </x:c>
      <x:c r="E84" s="24" t="str">
        <x:v>Sardinella maderensis</x:v>
      </x:c>
      <x:c r="F84" s="24" t="str">
        <x:v>Madeiran sardinella</x:v>
      </x:c>
      <x:c r="G84" s="24" t="str">
        <x:v>Medium pelagics (30 - 89 cm)</x:v>
      </x:c>
      <x:c r="H84" s="24" t="str">
        <x:v>Herring-likes</x:v>
      </x:c>
      <x:c r="I84" s="31" t="n">
        <x:v>0.026044643</x:v>
      </x:c>
      <x:c r="J84" s="31" t="n">
        <x:v>0.026044643</x:v>
      </x:c>
      <x:c r="K84" s="31" t="n">
        <x:v>0</x:v>
      </x:c>
      <x:c r="L84" s="31" t="n">
        <x:v>0.026044643</x:v>
      </x:c>
      <x:c r="M84" s="31" t="n">
        <x:v>0</x:v>
      </x:c>
      <x:c r="N84" s="24" t="str">
        <x:v>sardinella maderensis</x:v>
      </x:c>
      <x:c r="O84" s="32" t="n">
        <x:v>3.2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maderensis</x:v>
      </x:c>
      <x:c r="T84" s="32" t="n">
        <x:f>IF(O84="","",(1/'Metadata'!$B$5)^(O84-1))</x:f>
        <x:v>158.48931924611142</x:v>
      </x:c>
      <x:c r="U84" s="31" t="n">
        <x:f>IF(T84="","",I84*T84)</x:f>
        <x:v>4.127797739078001</x:v>
      </x:c>
    </x:row>
    <x:row r="85" ht="18" customHeight="1">
      <x:c r="A85" s="24" t="str">
        <x:v>EEZ_678</x:v>
      </x:c>
      <x:c r="B85" s="24" t="str">
        <x:v>Sao Tome &amp; Principe</x:v>
      </x:c>
      <x:c r="C85" s="24" t="str">
        <x:v>EEZ</x:v>
      </x:c>
      <x:c r="D85" s="30" t="n">
        <x:v>2019</x:v>
      </x:c>
      <x:c r="E85" s="24" t="str">
        <x:v>Engraulis encrasicolus</x:v>
      </x:c>
      <x:c r="F85" s="24" t="str">
        <x:v>European anchovy</x:v>
      </x:c>
      <x:c r="G85" s="24" t="str">
        <x:v>Small pelagics (&lt;30 cm)</x:v>
      </x:c>
      <x:c r="H85" s="24" t="str">
        <x:v>Anchovies</x:v>
      </x:c>
      <x:c r="I85" s="31" t="n">
        <x:v>0.025778694100000003</x:v>
      </x:c>
      <x:c r="J85" s="31" t="n">
        <x:v>0.025778694100000003</x:v>
      </x:c>
      <x:c r="K85" s="31" t="n">
        <x:v>0</x:v>
      </x:c>
      <x:c r="L85" s="31" t="n">
        <x:v>0.025778694100000003</x:v>
      </x:c>
      <x:c r="M85" s="31" t="n">
        <x:v>0</x:v>
      </x:c>
      <x:c r="N85" s="24" t="str">
        <x:v>engraulis encrasicolus</x:v>
      </x:c>
      <x:c r="O85" s="32" t="n">
        <x:v>3.11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Engraulis encrasicolus</x:v>
      </x:c>
      <x:c r="T85" s="32" t="n">
        <x:f>IF(O85="","",(1/'Metadata'!$B$5)^(O85-1))</x:f>
        <x:v>128.82495516931337</x:v>
      </x:c>
      <x:c r="U85" s="31" t="n">
        <x:f>IF(T85="","",I85*T85)</x:f>
        <x:v>3.3209391117559433</x:v>
      </x:c>
    </x:row>
    <x:row r="86" ht="18" customHeight="1">
      <x:c r="A86" s="24" t="str">
        <x:v>EEZ_678</x:v>
      </x:c>
      <x:c r="B86" s="24" t="str">
        <x:v>Sao Tome &amp; Principe</x:v>
      </x:c>
      <x:c r="C86" s="24" t="str">
        <x:v>EEZ</x:v>
      </x:c>
      <x:c r="D86" s="30" t="n">
        <x:v>2019</x:v>
      </x:c>
      <x:c r="E86" s="24" t="str">
        <x:v>Plectorhinchus mediterraneus</x:v>
      </x:c>
      <x:c r="F86" s="24" t="str">
        <x:v>Rubberlip grunt</x:v>
      </x:c>
      <x:c r="G86" s="24" t="str">
        <x:v>Medium demersals (30 - 89 cm)</x:v>
      </x:c>
      <x:c r="H86" s="24" t="str">
        <x:v>Perch-likes</x:v>
      </x:c>
      <x:c r="I86" s="31" t="n">
        <x:v>0.0246690456</x:v>
      </x:c>
      <x:c r="J86" s="31" t="n">
        <x:v>0.0246690456</x:v>
      </x:c>
      <x:c r="K86" s="31" t="n">
        <x:v>0</x:v>
      </x:c>
      <x:c r="L86" s="31" t="n">
        <x:v>0.0246690456</x:v>
      </x:c>
      <x:c r="M86" s="31" t="n">
        <x:v>0</x:v>
      </x:c>
      <x:c r="N86" s="24" t="str">
        <x:v>plectorhinchus mediterraneus</x:v>
      </x:c>
      <x:c r="O86" s="32" t="n">
        <x:v>3.49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Plectorhinchus mediterraneus</x:v>
      </x:c>
      <x:c r="T86" s="32" t="n">
        <x:f>IF(O86="","",(1/'Metadata'!$B$5)^(O86-1))</x:f>
        <x:v>309.0295432513592</x:v>
      </x:c>
      <x:c r="U86" s="31" t="n">
        <x:f>IF(T86="","",I86*T86)</x:f>
        <x:v>7.623463894214953</x:v>
      </x:c>
    </x:row>
    <x:row r="87" ht="18" customHeight="1">
      <x:c r="A87" s="24" t="str">
        <x:v>EEZ_678</x:v>
      </x:c>
      <x:c r="B87" s="24" t="str">
        <x:v>Sao Tome &amp; Principe</x:v>
      </x:c>
      <x:c r="C87" s="24" t="str">
        <x:v>EEZ</x:v>
      </x:c>
      <x:c r="D87" s="30" t="n">
        <x:v>2019</x:v>
      </x:c>
      <x:c r="E87" s="24" t="str">
        <x:v>Sarda sarda</x:v>
      </x:c>
      <x:c r="F87" s="24" t="str">
        <x:v>Atlantic bonito</x:v>
      </x:c>
      <x:c r="G87" s="24" t="str">
        <x:v>Medium pelagics (30 - 89 cm)</x:v>
      </x:c>
      <x:c r="H87" s="24" t="str">
        <x:v>Tuna &amp; billfishes</x:v>
      </x:c>
      <x:c r="I87" s="31" t="n">
        <x:v>0.0234493494</x:v>
      </x:c>
      <x:c r="J87" s="31" t="n">
        <x:v>0.0234493494</x:v>
      </x:c>
      <x:c r="K87" s="31" t="n">
        <x:v>0</x:v>
      </x:c>
      <x:c r="L87" s="31" t="n">
        <x:v>0.0234493494</x:v>
      </x:c>
      <x:c r="M87" s="31" t="n">
        <x:v>0</x:v>
      </x:c>
      <x:c r="N87" s="24" t="str">
        <x:v>sarda sarda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Sarda sarda</x:v>
      </x:c>
      <x:c r="T87" s="32" t="n">
        <x:f>IF(O87="","",(1/'Metadata'!$B$5)^(O87-1))</x:f>
        <x:v>3162.2776601683795</x:v>
      </x:c>
      <x:c r="U87" s="31" t="n">
        <x:f>IF(T87="","",I87*T87)</x:f>
        <x:v>74.15335375310279</x:v>
      </x:c>
    </x:row>
    <x:row r="88" ht="18" customHeight="1">
      <x:c r="A88" s="24" t="str">
        <x:v>EEZ_678</x:v>
      </x:c>
      <x:c r="B88" s="24" t="str">
        <x:v>Sao Tome &amp; Principe</x:v>
      </x:c>
      <x:c r="C88" s="24" t="str">
        <x:v>EEZ</x:v>
      </x:c>
      <x:c r="D88" s="30" t="n">
        <x:v>2019</x:v>
      </x:c>
      <x:c r="E88" s="24" t="str">
        <x:v>Gymnothorax</x:v>
      </x:c>
      <x:c r="F88" s="24" t="str">
        <x:v>Morays</x:v>
      </x:c>
      <x:c r="G88" s="24" t="str">
        <x:v>Large reef assoc. fish (&gt;=90 cm)</x:v>
      </x:c>
      <x:c r="H88" s="24" t="str">
        <x:v>Other fishes &amp; inverts</x:v>
      </x:c>
      <x:c r="I88" s="31" t="n">
        <x:v>0.0188548542</x:v>
      </x:c>
      <x:c r="J88" s="31" t="n">
        <x:v>0.0188548542</x:v>
      </x:c>
      <x:c r="K88" s="31" t="n">
        <x:v>0</x:v>
      </x:c>
      <x:c r="L88" s="31" t="n">
        <x:v>0.0188548542</x:v>
      </x:c>
      <x:c r="M88" s="31" t="n">
        <x:v>0</x:v>
      </x:c>
      <x:c r="N88" s="24" t="str">
        <x:v>gymnothorax</x:v>
      </x:c>
      <x:c r="O88" s="32" t="n">
        <x:v>4.22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Gymnothorax</x:v>
      </x:c>
      <x:c r="T88" s="32" t="n">
        <x:f>IF(O88="","",(1/'Metadata'!$B$5)^(O88-1))</x:f>
        <x:v>1659.5869074375596</x:v>
      </x:c>
      <x:c r="U88" s="31" t="n">
        <x:f>IF(T88="","",I88*T88)</x:f>
        <x:v>31.291269171964082</x:v>
      </x:c>
    </x:row>
    <x:row r="89" ht="18" customHeight="1">
      <x:c r="A89" s="24" t="str">
        <x:v>EEZ_678</x:v>
      </x:c>
      <x:c r="B89" s="24" t="str">
        <x:v>Sao Tome &amp; Principe</x:v>
      </x:c>
      <x:c r="C89" s="24" t="str">
        <x:v>EEZ</x:v>
      </x:c>
      <x:c r="D89" s="30" t="n">
        <x:v>2019</x:v>
      </x:c>
      <x:c r="E89" s="24" t="str">
        <x:v>Scyris alexandrina</x:v>
      </x:c>
      <x:c r="F89" s="24" t="str">
        <x:v>Alexandria pompano</x:v>
      </x:c>
      <x:c r="G89" s="24" t="str">
        <x:v>Medium pelagics (30 - 89 cm)</x:v>
      </x:c>
      <x:c r="H89" s="24" t="str">
        <x:v>Perch-likes</x:v>
      </x:c>
      <x:c r="I89" s="31" t="n">
        <x:v>0.0171582842</x:v>
      </x:c>
      <x:c r="J89" s="31" t="n">
        <x:v>0.0171582842</x:v>
      </x:c>
      <x:c r="K89" s="31" t="n">
        <x:v>0</x:v>
      </x:c>
      <x:c r="L89" s="31" t="n">
        <x:v>0.0171582842</x:v>
      </x:c>
      <x:c r="M89" s="31" t="n">
        <x:v>0</x:v>
      </x:c>
      <x:c r="N89" s="24" t="str">
        <x:v>scyris alexandrina</x:v>
      </x:c>
      <x:c r="O89" s="32" t="n">
        <x:v>3.6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Scyris alexandrina</x:v>
      </x:c>
      <x:c r="T89" s="32" t="n">
        <x:f>IF(O89="","",(1/'Metadata'!$B$5)^(O89-1))</x:f>
        <x:v>398.1071705534973</x:v>
      </x:c>
      <x:c r="U89" s="31" t="n">
        <x:f>IF(T89="","",I89*T89)</x:f>
        <x:v>6.830835974414778</x:v>
      </x:c>
    </x:row>
    <x:row r="90" ht="18" customHeight="1">
      <x:c r="A90" s="24" t="str">
        <x:v>EEZ_678</x:v>
      </x:c>
      <x:c r="B90" s="24" t="str">
        <x:v>Sao Tome &amp; Principe</x:v>
      </x:c>
      <x:c r="C90" s="24" t="str">
        <x:v>EEZ</x:v>
      </x:c>
      <x:c r="D90" s="30" t="n">
        <x:v>2019</x:v>
      </x:c>
      <x:c r="E90" s="24" t="str">
        <x:v>Bothidae</x:v>
      </x:c>
      <x:c r="F90" s="24" t="str">
        <x:v>Lefteye flounders</x:v>
      </x:c>
      <x:c r="G90" s="24" t="str">
        <x:v>Small to medium flatfishes (&lt;90 cm)</x:v>
      </x:c>
      <x:c r="H90" s="24" t="str">
        <x:v>Flatfishes</x:v>
      </x:c>
      <x:c r="I90" s="31" t="n">
        <x:v>0.0171032602</x:v>
      </x:c>
      <x:c r="J90" s="31" t="n">
        <x:v>0.0171032602</x:v>
      </x:c>
      <x:c r="K90" s="31" t="n">
        <x:v>0</x:v>
      </x:c>
      <x:c r="L90" s="31" t="n">
        <x:v>0.0171032602</x:v>
      </x:c>
      <x:c r="M90" s="31" t="n">
        <x:v>0</x:v>
      </x:c>
      <x:c r="N90" s="24" t="str">
        <x:v>bothidae</x:v>
      </x:c>
      <x:c r="O90" s="32" t="n">
        <x:v>3.77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Bothidae</x:v>
      </x:c>
      <x:c r="T90" s="32" t="n">
        <x:f>IF(O90="","",(1/'Metadata'!$B$5)^(O90-1))</x:f>
        <x:v>588.843655355589</x:v>
      </x:c>
      <x:c r="U90" s="31" t="n">
        <x:f>IF(T90="","",I90*T90)</x:f>
        <x:v>10.071146254665763</x:v>
      </x:c>
    </x:row>
    <x:row r="91" ht="18" customHeight="1">
      <x:c r="A91" s="24" t="str">
        <x:v>EEZ_678</x:v>
      </x:c>
      <x:c r="B91" s="24" t="str">
        <x:v>Sao Tome &amp; Principe</x:v>
      </x:c>
      <x:c r="C91" s="24" t="str">
        <x:v>EEZ</x:v>
      </x:c>
      <x:c r="D91" s="30" t="n">
        <x:v>2019</x:v>
      </x:c>
      <x:c r="E91" s="24" t="str">
        <x:v>Clupeiformes</x:v>
      </x:c>
      <x:c r="F91" s="24" t="str">
        <x:v>Herrings, shads, anchovies</x:v>
      </x:c>
      <x:c r="G91" s="24" t="str">
        <x:v>Small pelagics (&lt;30 cm)</x:v>
      </x:c>
      <x:c r="H91" s="24" t="str">
        <x:v>Other fishes &amp; inverts</x:v>
      </x:c>
      <x:c r="I91" s="31" t="n">
        <x:v>0.0140952874</x:v>
      </x:c>
      <x:c r="J91" s="31" t="n">
        <x:v>0.0140952874</x:v>
      </x:c>
      <x:c r="K91" s="31" t="n">
        <x:v>0</x:v>
      </x:c>
      <x:c r="L91" s="31" t="n">
        <x:v>0.0140952874</x:v>
      </x:c>
      <x:c r="M91" s="31" t="n">
        <x:v>0</x:v>
      </x:c>
      <x:c r="N91" s="24" t="str">
        <x:v>clupeiformes</x:v>
      </x:c>
      <x:c r="O91" s="32" t="n">
        <x:v>3.24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Clupeiformes</x:v>
      </x:c>
      <x:c r="T91" s="32" t="n">
        <x:f>IF(O91="","",(1/'Metadata'!$B$5)^(O91-1))</x:f>
        <x:v>173.78008287493762</x:v>
      </x:c>
      <x:c r="U91" s="31" t="n">
        <x:f>IF(T91="","",I91*T91)</x:f>
        <x:v>2.449480212518064</x:v>
      </x:c>
    </x:row>
    <x:row r="92" ht="18" customHeight="1">
      <x:c r="A92" s="24" t="str">
        <x:v>EEZ_678</x:v>
      </x:c>
      <x:c r="B92" s="24" t="str">
        <x:v>Sao Tome &amp; Principe</x:v>
      </x:c>
      <x:c r="C92" s="24" t="str">
        <x:v>EEZ</x:v>
      </x:c>
      <x:c r="D92" s="30" t="n">
        <x:v>2019</x:v>
      </x:c>
      <x:c r="E92" s="24" t="str">
        <x:v>Scombridae</x:v>
      </x:c>
      <x:c r="F92" s="24" t="str">
        <x:v>Mackerels, tunas, bonitos</x:v>
      </x:c>
      <x:c r="G92" s="24" t="str">
        <x:v>Medium pelagics (30 - 89 cm)</x:v>
      </x:c>
      <x:c r="H92" s="24" t="str">
        <x:v>Perch-likes</x:v>
      </x:c>
      <x:c r="I92" s="31" t="n">
        <x:v>0.0125037433</x:v>
      </x:c>
      <x:c r="J92" s="31" t="n">
        <x:v>0.0125037433</x:v>
      </x:c>
      <x:c r="K92" s="31" t="n">
        <x:v>0</x:v>
      </x:c>
      <x:c r="L92" s="31" t="n">
        <x:v>0.0125037433</x:v>
      </x:c>
      <x:c r="M92" s="31" t="n">
        <x:v>0</x:v>
      </x:c>
      <x:c r="N92" s="24" t="str">
        <x:v>scombridae</x:v>
      </x:c>
      <x:c r="O92" s="32" t="n">
        <x:v>4.26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Scombridae</x:v>
      </x:c>
      <x:c r="T92" s="32" t="n">
        <x:f>IF(O92="","",(1/'Metadata'!$B$5)^(O92-1))</x:f>
        <x:v>1819.7008586099826</x:v>
      </x:c>
      <x:c r="U92" s="31" t="n">
        <x:f>IF(T92="","",I92*T92)</x:f>
        <x:v>22.753072418848816</x:v>
      </x:c>
    </x:row>
    <x:row r="93" ht="18" customHeight="1">
      <x:c r="A93" s="24" t="str">
        <x:v>EEZ_678</x:v>
      </x:c>
      <x:c r="B93" s="24" t="str">
        <x:v>Sao Tome &amp; Principe</x:v>
      </x:c>
      <x:c r="C93" s="24" t="str">
        <x:v>EEZ</x:v>
      </x:c>
      <x:c r="D93" s="30" t="n">
        <x:v>2019</x:v>
      </x:c>
      <x:c r="E93" s="24" t="str">
        <x:v>Gempylidae</x:v>
      </x:c>
      <x:c r="F93" s="24" t="str">
        <x:v>Snake mackerels</x:v>
      </x:c>
      <x:c r="G93" s="24" t="str">
        <x:v>Large benthopelagics (&gt;=90 cm)</x:v>
      </x:c>
      <x:c r="H93" s="24" t="str">
        <x:v>Perch-likes</x:v>
      </x:c>
      <x:c r="I93" s="31" t="n">
        <x:v>0.00833612</x:v>
      </x:c>
      <x:c r="J93" s="31" t="n">
        <x:v>0.00833612</x:v>
      </x:c>
      <x:c r="K93" s="31" t="n">
        <x:v>0</x:v>
      </x:c>
      <x:c r="L93" s="31" t="n">
        <x:v>0.00833612</x:v>
      </x:c>
      <x:c r="M93" s="31" t="n">
        <x:v>0</x:v>
      </x:c>
      <x:c r="N93" s="24" t="str">
        <x:v>gempylidae</x:v>
      </x:c>
      <x:c r="O93" s="32" t="n">
        <x:v>4.21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Gempylidae</x:v>
      </x:c>
      <x:c r="T93" s="32" t="n">
        <x:f>IF(O93="","",(1/'Metadata'!$B$5)^(O93-1))</x:f>
        <x:v>1621.8100973589299</x:v>
      </x:c>
      <x:c r="U93" s="31" t="n">
        <x:f>IF(T93="","",I93*T93)</x:f>
        <x:v>13.519603588795723</x:v>
      </x:c>
    </x:row>
    <x:row r="94" ht="18" customHeight="1">
      <x:c r="A94" s="24" t="str">
        <x:v>EEZ_678</x:v>
      </x:c>
      <x:c r="B94" s="24" t="str">
        <x:v>Sao Tome &amp; Principe</x:v>
      </x:c>
      <x:c r="C94" s="24" t="str">
        <x:v>EEZ</x:v>
      </x:c>
      <x:c r="D94" s="30" t="n">
        <x:v>2019</x:v>
      </x:c>
      <x:c r="E94" s="24" t="str">
        <x:v>Diplodus</x:v>
      </x:c>
      <x:c r="F94" s="24" t="str">
        <x:v>Two-toothed seabreams</x:v>
      </x:c>
      <x:c r="G94" s="24" t="str">
        <x:v>Medium benthopelagics (30 - 89 cm)</x:v>
      </x:c>
      <x:c r="H94" s="24" t="str">
        <x:v>Perch-likes</x:v>
      </x:c>
      <x:c r="I94" s="31" t="n">
        <x:v>0.0076666625</x:v>
      </x:c>
      <x:c r="J94" s="31" t="n">
        <x:v>0.0076666625</x:v>
      </x:c>
      <x:c r="K94" s="31" t="n">
        <x:v>0</x:v>
      </x:c>
      <x:c r="L94" s="31" t="n">
        <x:v>0.0076666625</x:v>
      </x:c>
      <x:c r="M94" s="31" t="n">
        <x:v>0</x:v>
      </x:c>
      <x:c r="N94" s="24" t="str">
        <x:v>diplodus</x:v>
      </x:c>
      <x:c r="O94" s="32" t="n">
        <x:v>2.97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Diplodus</x:v>
      </x:c>
      <x:c r="T94" s="32" t="n">
        <x:f>IF(O94="","",(1/'Metadata'!$B$5)^(O94-1))</x:f>
        <x:v>93.32543007969915</x:v>
      </x:c>
      <x:c r="U94" s="31" t="n">
        <x:f>IF(T94="","",I94*T94)</x:f>
        <x:v>0.7154945750884014</x:v>
      </x:c>
    </x:row>
    <x:row r="95" ht="18" customHeight="1">
      <x:c r="A95" s="24" t="str">
        <x:v>EEZ_678</x:v>
      </x:c>
      <x:c r="B95" s="24" t="str">
        <x:v>Sao Tome &amp; Principe</x:v>
      </x:c>
      <x:c r="C95" s="24" t="str">
        <x:v>EEZ</x:v>
      </x:c>
      <x:c r="D95" s="30" t="n">
        <x:v>2019</x:v>
      </x:c>
      <x:c r="E95" s="24" t="str">
        <x:v>Sepiida</x:v>
      </x:c>
      <x:c r="F95" s="24" t="str">
        <x:v>Cuttlefishes, bobtail squids</x:v>
      </x:c>
      <x:c r="G95" s="24" t="str">
        <x:v>Cephalopods</x:v>
      </x:c>
      <x:c r="H95" s="24" t="str">
        <x:v>Other fishes &amp; inverts</x:v>
      </x:c>
      <x:c r="I95" s="31" t="n">
        <x:v>0.0070063758</x:v>
      </x:c>
      <x:c r="J95" s="31" t="n">
        <x:v>0.0070063758</x:v>
      </x:c>
      <x:c r="K95" s="31" t="n">
        <x:v>0</x:v>
      </x:c>
      <x:c r="L95" s="31" t="n">
        <x:v>0.0070063758</x:v>
      </x:c>
      <x:c r="M95" s="31" t="n">
        <x:v>0</x:v>
      </x:c>
      <x:c r="N95" s="24" t="str">
        <x:v>sepiida</x:v>
      </x:c>
      <x:c r="O95" s="32" t="n">
        <x:v>3.7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Sepiida</x:v>
      </x:c>
      <x:c r="T95" s="32" t="n">
        <x:f>IF(O95="","",(1/'Metadata'!$B$5)^(O95-1))</x:f>
        <x:v>501.18723362727246</x:v>
      </x:c>
      <x:c r="U95" s="31" t="n">
        <x:f>IF(T95="","",I95*T95)</x:f>
        <x:v>3.511506104955068</x:v>
      </x:c>
    </x:row>
    <x:row r="96" ht="18" customHeight="1">
      <x:c r="A96" s="24" t="str">
        <x:v>EEZ_678</x:v>
      </x:c>
      <x:c r="B96" s="24" t="str">
        <x:v>Sao Tome &amp; Principe</x:v>
      </x:c>
      <x:c r="C96" s="24" t="str">
        <x:v>EEZ</x:v>
      </x:c>
      <x:c r="D96" s="30" t="n">
        <x:v>2019</x:v>
      </x:c>
      <x:c r="E96" s="24" t="str">
        <x:v>Mugilidae</x:v>
      </x:c>
      <x:c r="F96" s="24" t="str">
        <x:v>Mullets, grey mullets</x:v>
      </x:c>
      <x:c r="G96" s="24" t="str">
        <x:v>Medium reef assoc. fish (30 - 89 cm)</x:v>
      </x:c>
      <x:c r="H96" s="24" t="str">
        <x:v>Perch-likes</x:v>
      </x:c>
      <x:c r="I96" s="31" t="n">
        <x:v>0.0069880345</x:v>
      </x:c>
      <x:c r="J96" s="31" t="n">
        <x:v>0.0069880345</x:v>
      </x:c>
      <x:c r="K96" s="31" t="n">
        <x:v>0</x:v>
      </x:c>
      <x:c r="L96" s="31" t="n">
        <x:v>0.0069880345</x:v>
      </x:c>
      <x:c r="M96" s="31" t="n">
        <x:v>0</x:v>
      </x:c>
      <x:c r="N96" s="24" t="str">
        <x:v>mugilidae</x:v>
      </x:c>
      <x:c r="O96" s="32" t="n">
        <x:v>2.53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Mugilidae</x:v>
      </x:c>
      <x:c r="T96" s="32" t="n">
        <x:f>IF(O96="","",(1/'Metadata'!$B$5)^(O96-1))</x:f>
        <x:v>33.88441561392024</x:v>
      </x:c>
      <x:c r="U96" s="31" t="n">
        <x:f>IF(T96="","",I96*T96)</x:f>
        <x:v>0.23678546532241332</x:v>
      </x:c>
    </x:row>
    <x:row r="97" ht="18" customHeight="1">
      <x:c r="A97" s="24" t="str">
        <x:v>EEZ_678</x:v>
      </x:c>
      <x:c r="B97" s="24" t="str">
        <x:v>Sao Tome &amp; Principe</x:v>
      </x:c>
      <x:c r="C97" s="24" t="str">
        <x:v>EEZ</x:v>
      </x:c>
      <x:c r="D97" s="30" t="n">
        <x:v>2019</x:v>
      </x:c>
      <x:c r="E97" s="24" t="str">
        <x:v>Scomber colias</x:v>
      </x:c>
      <x:c r="F97" s="24" t="str">
        <x:v>Atlantic chub mackerel</x:v>
      </x:c>
      <x:c r="G97" s="24" t="str">
        <x:v>Medium pelagics (30 - 89 cm)</x:v>
      </x:c>
      <x:c r="H97" s="24" t="str">
        <x:v>Perch-likes</x:v>
      </x:c>
      <x:c r="I97" s="31" t="n">
        <x:v>0.0068504747</x:v>
      </x:c>
      <x:c r="J97" s="31" t="n">
        <x:v>0.0068504747</x:v>
      </x:c>
      <x:c r="K97" s="31" t="n">
        <x:v>0</x:v>
      </x:c>
      <x:c r="L97" s="31" t="n">
        <x:v>0.0068504747</x:v>
      </x:c>
      <x:c r="M97" s="31" t="n">
        <x:v>0</x:v>
      </x:c>
      <x:c r="N97" s="24" t="str">
        <x:v>scomber colias</x:v>
      </x:c>
      <x:c r="O97" s="32" t="n">
        <x:v>3.91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Scomber colias</x:v>
      </x:c>
      <x:c r="T97" s="32" t="n">
        <x:f>IF(O97="","",(1/'Metadata'!$B$5)^(O97-1))</x:f>
        <x:v>812.8305161640995</x:v>
      </x:c>
      <x:c r="U97" s="31" t="n">
        <x:f>IF(T97="","",I97*T97)</x:f>
        <x:v>5.568274886370105</x:v>
      </x:c>
    </x:row>
    <x:row r="98" ht="18" customHeight="1">
      <x:c r="A98" s="24" t="str">
        <x:v>EEZ_678</x:v>
      </x:c>
      <x:c r="B98" s="24" t="str">
        <x:v>Sao Tome &amp; Principe</x:v>
      </x:c>
      <x:c r="C98" s="24" t="str">
        <x:v>EEZ</x:v>
      </x:c>
      <x:c r="D98" s="30" t="n">
        <x:v>2019</x:v>
      </x:c>
      <x:c r="E98" s="24" t="str">
        <x:v>Gadiformes</x:v>
      </x:c>
      <x:c r="F98" s="24" t="str">
        <x:v>Cods</x:v>
      </x:c>
      <x:c r="G98" s="24" t="str">
        <x:v>Medium benthopelagics (30 - 89 cm)</x:v>
      </x:c>
      <x:c r="H98" s="24" t="str">
        <x:v>Cod-likes</x:v>
      </x:c>
      <x:c r="I98" s="31" t="n">
        <x:v>0.0064377956</x:v>
      </x:c>
      <x:c r="J98" s="31" t="n">
        <x:v>0.0064377956</x:v>
      </x:c>
      <x:c r="K98" s="31" t="n">
        <x:v>0</x:v>
      </x:c>
      <x:c r="L98" s="31" t="n">
        <x:v>0.0064377956</x:v>
      </x:c>
      <x:c r="M98" s="31" t="n">
        <x:v>0</x:v>
      </x:c>
      <x:c r="N98" s="24" t="str">
        <x:v>gadiformes</x:v>
      </x:c>
      <x:c r="O98" s="32" t="n">
        <x:v>3.91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Gadiformes</x:v>
      </x:c>
      <x:c r="T98" s="32" t="n">
        <x:f>IF(O98="","",(1/'Metadata'!$B$5)^(O98-1))</x:f>
        <x:v>812.8305161640995</x:v>
      </x:c>
      <x:c r="U98" s="31" t="n">
        <x:f>IF(T98="","",I98*T98)</x:f>
        <x:v>5.232836720506969</x:v>
      </x:c>
    </x:row>
    <x:row r="99" ht="18" customHeight="1">
      <x:c r="A99" s="24" t="str">
        <x:v>EEZ_678</x:v>
      </x:c>
      <x:c r="B99" s="24" t="str">
        <x:v>Sao Tome &amp; Principe</x:v>
      </x:c>
      <x:c r="C99" s="24" t="str">
        <x:v>EEZ</x:v>
      </x:c>
      <x:c r="D99" s="30" t="n">
        <x:v>2019</x:v>
      </x:c>
      <x:c r="E99" s="24" t="str">
        <x:v>Triakidae</x:v>
      </x:c>
      <x:c r="F99" s="24" t="str">
        <x:v>Houndsharks</x:v>
      </x:c>
      <x:c r="G99" s="24" t="str">
        <x:v>Large sharks (&gt;=90 cm)</x:v>
      </x:c>
      <x:c r="H99" s="24" t="str">
        <x:v>Sharks &amp; rays</x:v>
      </x:c>
      <x:c r="I99" s="31" t="n">
        <x:v>0.0057591676</x:v>
      </x:c>
      <x:c r="J99" s="31" t="n">
        <x:v>0.0057591676</x:v>
      </x:c>
      <x:c r="K99" s="31" t="n">
        <x:v>0</x:v>
      </x:c>
      <x:c r="L99" s="31" t="n">
        <x:v>0.0057591676</x:v>
      </x:c>
      <x:c r="M99" s="31" t="n">
        <x:v>0</x:v>
      </x:c>
      <x:c r="N99" s="24" t="str">
        <x:v>triakidae</x:v>
      </x:c>
      <x:c r="O99" s="32" t="n">
        <x:v>3.82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Triakidae</x:v>
      </x:c>
      <x:c r="T99" s="32" t="n">
        <x:f>IF(O99="","",(1/'Metadata'!$B$5)^(O99-1))</x:f>
        <x:v>660.6934480075957</x:v>
      </x:c>
      <x:c r="U99" s="31" t="n">
        <x:f>IF(T99="","",I99*T99)</x:f>
        <x:v>3.80504429929763</x:v>
      </x:c>
    </x:row>
    <x:row r="100" ht="18" customHeight="1">
      <x:c r="A100" s="24" t="str">
        <x:v>EEZ_678</x:v>
      </x:c>
      <x:c r="B100" s="24" t="str">
        <x:v>Sao Tome &amp; Principe</x:v>
      </x:c>
      <x:c r="C100" s="24" t="str">
        <x:v>EEZ</x:v>
      </x:c>
      <x:c r="D100" s="30" t="n">
        <x:v>2019</x:v>
      </x:c>
      <x:c r="E100" s="24" t="str">
        <x:v>Lithognathus mormyrus</x:v>
      </x:c>
      <x:c r="F100" s="24" t="str">
        <x:v>Sand steenbras</x:v>
      </x:c>
      <x:c r="G100" s="24" t="str">
        <x:v>Medium benthopelagics (30 - 89 cm)</x:v>
      </x:c>
      <x:c r="H100" s="24" t="str">
        <x:v>Perch-likes</x:v>
      </x:c>
      <x:c r="I100" s="31" t="n">
        <x:v>0.005429024500000001</x:v>
      </x:c>
      <x:c r="J100" s="31" t="n">
        <x:v>0.005429024500000001</x:v>
      </x:c>
      <x:c r="K100" s="31" t="n">
        <x:v>0</x:v>
      </x:c>
      <x:c r="L100" s="31" t="n">
        <x:v>0.005429024500000001</x:v>
      </x:c>
      <x:c r="M100" s="31" t="n">
        <x:v>0</x:v>
      </x:c>
      <x:c r="N100" s="24" t="str">
        <x:v>lithognathus mormyrus</x:v>
      </x:c>
      <x:c r="O100" s="32" t="n">
        <x:v>3.42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Lithognathus mormyrus</x:v>
      </x:c>
      <x:c r="T100" s="32" t="n">
        <x:f>IF(O100="","",(1/'Metadata'!$B$5)^(O100-1))</x:f>
        <x:v>263.02679918953817</x:v>
      </x:c>
      <x:c r="U100" s="31" t="n">
        <x:f>IF(T100="","",I100*T100)</x:f>
        <x:v>1.427978936956583</x:v>
      </x:c>
    </x:row>
    <x:row r="101" ht="18" customHeight="1">
      <x:c r="A101" s="24" t="str">
        <x:v>EEZ_678</x:v>
      </x:c>
      <x:c r="B101" s="24" t="str">
        <x:v>Sao Tome &amp; Principe</x:v>
      </x:c>
      <x:c r="C101" s="24" t="str">
        <x:v>EEZ</x:v>
      </x:c>
      <x:c r="D101" s="30" t="n">
        <x:v>2019</x:v>
      </x:c>
      <x:c r="E101" s="24" t="str">
        <x:v>Carangidae</x:v>
      </x:c>
      <x:c r="F101" s="24" t="str">
        <x:v>Jacks, pompanos</x:v>
      </x:c>
      <x:c r="G101" s="24" t="str">
        <x:v>Medium pelagics (30 - 89 cm)</x:v>
      </x:c>
      <x:c r="H101" s="24" t="str">
        <x:v>Perch-likes</x:v>
      </x:c>
      <x:c r="I101" s="31" t="n">
        <x:v>0.0050897103</x:v>
      </x:c>
      <x:c r="J101" s="31" t="n">
        <x:v>0.0050897103</x:v>
      </x:c>
      <x:c r="K101" s="31" t="n">
        <x:v>0</x:v>
      </x:c>
      <x:c r="L101" s="31" t="n">
        <x:v>0.0050897103</x:v>
      </x:c>
      <x:c r="M101" s="31" t="n">
        <x:v>0</x:v>
      </x:c>
      <x:c r="N101" s="24" t="str">
        <x:v>carangidae</x:v>
      </x:c>
      <x:c r="O101" s="32" t="n">
        <x:v>4.05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Carangidae</x:v>
      </x:c>
      <x:c r="T101" s="32" t="n">
        <x:f>IF(O101="","",(1/'Metadata'!$B$5)^(O101-1))</x:f>
        <x:v>1122.018454301963</x:v>
      </x:c>
      <x:c r="U101" s="31" t="n">
        <x:f>IF(T101="","",I101*T101)</x:f>
        <x:v>5.710748883650781</x:v>
      </x:c>
    </x:row>
    <x:row r="102" ht="18" customHeight="1">
      <x:c r="A102" s="24" t="str">
        <x:v>EEZ_678</x:v>
      </x:c>
      <x:c r="B102" s="24" t="str">
        <x:v>Sao Tome &amp; Principe</x:v>
      </x:c>
      <x:c r="C102" s="24" t="str">
        <x:v>EEZ</x:v>
      </x:c>
      <x:c r="D102" s="30" t="n">
        <x:v>2019</x:v>
      </x:c>
      <x:c r="E102" s="24" t="str">
        <x:v>Serranidae</x:v>
      </x:c>
      <x:c r="F102" s="24" t="str">
        <x:v>Basses, groupers, hinds</x:v>
      </x:c>
      <x:c r="G102" s="24" t="str">
        <x:v>Medium reef assoc. fish (30 - 89 cm)</x:v>
      </x:c>
      <x:c r="H102" s="24" t="str">
        <x:v>Perch-likes</x:v>
      </x:c>
      <x:c r="I102" s="31" t="n">
        <x:v>0.0046862016</x:v>
      </x:c>
      <x:c r="J102" s="31" t="n">
        <x:v>0.0046862016</x:v>
      </x:c>
      <x:c r="K102" s="31" t="n">
        <x:v>0</x:v>
      </x:c>
      <x:c r="L102" s="31" t="n">
        <x:v>0.0046862016</x:v>
      </x:c>
      <x:c r="M102" s="31" t="n">
        <x:v>0</x:v>
      </x:c>
      <x:c r="N102" s="24" t="str">
        <x:v>serranidae</x:v>
      </x:c>
      <x:c r="O102" s="32" t="n">
        <x:v>3.98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Serranidae</x:v>
      </x:c>
      <x:c r="T102" s="32" t="n">
        <x:f>IF(O102="","",(1/'Metadata'!$B$5)^(O102-1))</x:f>
        <x:v>954.992586021436</x:v>
      </x:c>
      <x:c r="U102" s="31" t="n">
        <x:f>IF(T102="","",I102*T102)</x:f>
        <x:v>4.475287784601791</x:v>
      </x:c>
    </x:row>
    <x:row r="103" ht="18" customHeight="1">
      <x:c r="A103" s="24" t="str">
        <x:v>EEZ_678</x:v>
      </x:c>
      <x:c r="B103" s="24" t="str">
        <x:v>Sao Tome &amp; Principe</x:v>
      </x:c>
      <x:c r="C103" s="24" t="str">
        <x:v>EEZ</x:v>
      </x:c>
      <x:c r="D103" s="30" t="n">
        <x:v>2019</x:v>
      </x:c>
      <x:c r="E103" s="24" t="str">
        <x:v>Auxis rochei</x:v>
      </x:c>
      <x:c r="F103" s="24" t="str">
        <x:v>Bullet tuna</x:v>
      </x:c>
      <x:c r="G103" s="24" t="str">
        <x:v>Medium pelagics (30 - 89 cm)</x:v>
      </x:c>
      <x:c r="H103" s="24" t="str">
        <x:v>Tuna &amp; billfishes</x:v>
      </x:c>
      <x:c r="I103" s="31" t="n">
        <x:v>0.0036313152</x:v>
      </x:c>
      <x:c r="J103" s="31" t="n">
        <x:v>0.0036313152</x:v>
      </x:c>
      <x:c r="K103" s="31" t="n">
        <x:v>0</x:v>
      </x:c>
      <x:c r="L103" s="31" t="n">
        <x:v>0.0036313152</x:v>
      </x:c>
      <x:c r="M103" s="31" t="n">
        <x:v>0</x:v>
      </x:c>
      <x:c r="N103" s="24" t="str">
        <x:v>auxis rochei</x:v>
      </x:c>
      <x:c r="O103" s="32" t="n">
        <x:v>4.13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Auxis rochei</x:v>
      </x:c>
      <x:c r="T103" s="32" t="n">
        <x:f>IF(O103="","",(1/'Metadata'!$B$5)^(O103-1))</x:f>
        <x:v>1348.9628825916532</x:v>
      </x:c>
      <x:c r="U103" s="31" t="n">
        <x:f>IF(T103="","",I103*T103)</x:f>
        <x:v>4.898509419790885</x:v>
      </x:c>
    </x:row>
    <x:row r="104" ht="18" customHeight="1">
      <x:c r="A104" s="24" t="str">
        <x:v>EEZ_678</x:v>
      </x:c>
      <x:c r="B104" s="24" t="str">
        <x:v>Sao Tome &amp; Principe</x:v>
      </x:c>
      <x:c r="C104" s="24" t="str">
        <x:v>EEZ</x:v>
      </x:c>
      <x:c r="D104" s="30" t="n">
        <x:v>2019</x:v>
      </x:c>
      <x:c r="E104" s="24" t="str">
        <x:v>Pomatomus saltatrix</x:v>
      </x:c>
      <x:c r="F104" s="24" t="str">
        <x:v>Bluefish</x:v>
      </x:c>
      <x:c r="G104" s="24" t="str">
        <x:v>Large pelagics (&gt;=90 cm)</x:v>
      </x:c>
      <x:c r="H104" s="24" t="str">
        <x:v>Perch-likes</x:v>
      </x:c>
      <x:c r="I104" s="31" t="n">
        <x:v>0.0029712901</x:v>
      </x:c>
      <x:c r="J104" s="31" t="n">
        <x:v>0.0029712901</x:v>
      </x:c>
      <x:c r="K104" s="31" t="n">
        <x:v>0</x:v>
      </x:c>
      <x:c r="L104" s="31" t="n">
        <x:v>0.0029712901</x:v>
      </x:c>
      <x:c r="M104" s="31" t="n">
        <x:v>0</x:v>
      </x:c>
      <x:c r="N104" s="24" t="str">
        <x:v>pomatomus saltatrix</x:v>
      </x:c>
      <x:c r="O104" s="32" t="n">
        <x:v>4.53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Pomatomus saltatrix</x:v>
      </x:c>
      <x:c r="T104" s="32" t="n">
        <x:f>IF(O104="","",(1/'Metadata'!$B$5)^(O104-1))</x:f>
        <x:v>3388.4415613920273</x:v>
      </x:c>
      <x:c r="U104" s="31" t="n">
        <x:f>IF(T104="","",I104*T104)</x:f>
        <x:v>10.068042865792673</x:v>
      </x:c>
    </x:row>
    <x:row r="105" ht="18" customHeight="1">
      <x:c r="A105" s="24" t="str">
        <x:v>EEZ_678</x:v>
      </x:c>
      <x:c r="B105" s="24" t="str">
        <x:v>Sao Tome &amp; Principe</x:v>
      </x:c>
      <x:c r="C105" s="24" t="str">
        <x:v>EEZ</x:v>
      </x:c>
      <x:c r="D105" s="30" t="n">
        <x:v>2019</x:v>
      </x:c>
      <x:c r="E105" s="24" t="str">
        <x:v>Trichiurus lepturus</x:v>
      </x:c>
      <x:c r="F105" s="24" t="str">
        <x:v>Largehead hairtail</x:v>
      </x:c>
      <x:c r="G105" s="24" t="str">
        <x:v>Large benthopelagics (&gt;=90 cm)</x:v>
      </x:c>
      <x:c r="H105" s="24" t="str">
        <x:v>Perch-likes</x:v>
      </x:c>
      <x:c r="I105" s="31" t="n">
        <x:v>0.0026411469</x:v>
      </x:c>
      <x:c r="J105" s="31" t="n">
        <x:v>0.0026411469</x:v>
      </x:c>
      <x:c r="K105" s="31" t="n">
        <x:v>0</x:v>
      </x:c>
      <x:c r="L105" s="31" t="n">
        <x:v>0.0026411469</x:v>
      </x:c>
      <x:c r="M105" s="31" t="n">
        <x:v>0</x:v>
      </x:c>
      <x:c r="N105" s="24" t="str">
        <x:v>trichiurus lepturus</x:v>
      </x:c>
      <x:c r="O105" s="32" t="n">
        <x:v>4.42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Trichiurus lepturus</x:v>
      </x:c>
      <x:c r="T105" s="32" t="n">
        <x:f>IF(O105="","",(1/'Metadata'!$B$5)^(O105-1))</x:f>
        <x:v>2630.2679918953813</x:v>
      </x:c>
      <x:c r="U105" s="31" t="n">
        <x:f>IF(T105="","",I105*T105)</x:f>
        <x:v>6.946924152963711</x:v>
      </x:c>
    </x:row>
    <x:row r="106" ht="18" customHeight="1">
      <x:c r="A106" s="24" t="str">
        <x:v>EEZ_678</x:v>
      </x:c>
      <x:c r="B106" s="24" t="str">
        <x:v>Sao Tome &amp; Principe</x:v>
      </x:c>
      <x:c r="C106" s="24" t="str">
        <x:v>EEZ</x:v>
      </x:c>
      <x:c r="D106" s="30" t="n">
        <x:v>2019</x:v>
      </x:c>
      <x:c r="E106" s="24" t="str">
        <x:v>Teuthida</x:v>
      </x:c>
      <x:c r="F106" s="24" t="str">
        <x:v>Squids</x:v>
      </x:c>
      <x:c r="G106" s="24" t="str">
        <x:v>Cephalopods</x:v>
      </x:c>
      <x:c r="H106" s="24" t="str">
        <x:v>Other fishes &amp; inverts</x:v>
      </x:c>
      <x:c r="I106" s="31" t="n">
        <x:v>0.0025952936</x:v>
      </x:c>
      <x:c r="J106" s="31" t="n">
        <x:v>0.0025952936</x:v>
      </x:c>
      <x:c r="K106" s="31" t="n">
        <x:v>0</x:v>
      </x:c>
      <x:c r="L106" s="31" t="n">
        <x:v>0.0025952936</x:v>
      </x:c>
      <x:c r="M106" s="31" t="n">
        <x:v>0</x:v>
      </x:c>
      <x:c r="N106" s="24" t="str">
        <x:v>teuthida</x:v>
      </x:c>
      <x:c r="O106" s="32" t="n">
        <x:v>4.13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Teuthida</x:v>
      </x:c>
      <x:c r="T106" s="32" t="n">
        <x:f>IF(O106="","",(1/'Metadata'!$B$5)^(O106-1))</x:f>
        <x:v>1348.9628825916532</x:v>
      </x:c>
      <x:c r="U106" s="31" t="n">
        <x:f>IF(T106="","",I106*T106)</x:f>
        <x:v>3.5009547358276687</x:v>
      </x:c>
    </x:row>
    <x:row r="107" ht="18" customHeight="1">
      <x:c r="A107" s="24" t="str">
        <x:v>EEZ_678</x:v>
      </x:c>
      <x:c r="B107" s="24" t="str">
        <x:v>Sao Tome &amp; Principe</x:v>
      </x:c>
      <x:c r="C107" s="24" t="str">
        <x:v>EEZ</x:v>
      </x:c>
      <x:c r="D107" s="30" t="n">
        <x:v>2019</x:v>
      </x:c>
      <x:c r="E107" s="24" t="str">
        <x:v>Gastropoda</x:v>
      </x:c>
      <x:c r="F107" s="24" t="str">
        <x:v>Sea snails</x:v>
      </x:c>
      <x:c r="G107" s="24" t="str">
        <x:v>Other demersal invertebrates</x:v>
      </x:c>
      <x:c r="H107" s="24" t="str">
        <x:v>Molluscs</x:v>
      </x:c>
      <x:c r="I107" s="31" t="n">
        <x:v>0.0023018329</x:v>
      </x:c>
      <x:c r="J107" s="31" t="n">
        <x:v>0.0023018329</x:v>
      </x:c>
      <x:c r="K107" s="31" t="n">
        <x:v>0</x:v>
      </x:c>
      <x:c r="L107" s="31" t="n">
        <x:v>0.0023018329</x:v>
      </x:c>
      <x:c r="M107" s="31" t="n">
        <x:v>0</x:v>
      </x:c>
      <x:c r="N107" s="24" t="str">
        <x:v>gastropoda</x:v>
      </x:c>
      <x:c r="O107" s="32" t="n">
        <x:v>3.06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Gastropoda</x:v>
      </x:c>
      <x:c r="T107" s="32" t="n">
        <x:f>IF(O107="","",(1/'Metadata'!$B$5)^(O107-1))</x:f>
        <x:v>114.81536214968828</x:v>
      </x:c>
      <x:c r="U107" s="31" t="n">
        <x:f>IF(T107="","",I107*T107)</x:f>
        <x:v>0.2642857780215672</x:v>
      </x:c>
    </x:row>
    <x:row r="108" ht="18" customHeight="1">
      <x:c r="A108" s="24" t="str">
        <x:v>EEZ_678</x:v>
      </x:c>
      <x:c r="B108" s="24" t="str">
        <x:v>Sao Tome &amp; Principe</x:v>
      </x:c>
      <x:c r="C108" s="24" t="str">
        <x:v>EEZ</x:v>
      </x:c>
      <x:c r="D108" s="30" t="n">
        <x:v>2019</x:v>
      </x:c>
      <x:c r="E108" s="24" t="str">
        <x:v>Bivalvia</x:v>
      </x:c>
      <x:c r="F108" s="24" t="str">
        <x:v>Clams</x:v>
      </x:c>
      <x:c r="G108" s="24" t="str">
        <x:v>Other demersal invertebrates</x:v>
      </x:c>
      <x:c r="H108" s="24" t="str">
        <x:v>Molluscs</x:v>
      </x:c>
      <x:c r="I108" s="31" t="n">
        <x:v>0.0011830137000000001</x:v>
      </x:c>
      <x:c r="J108" s="31" t="n">
        <x:v>0.0011830137000000001</x:v>
      </x:c>
      <x:c r="K108" s="31" t="n">
        <x:v>0</x:v>
      </x:c>
      <x:c r="L108" s="31" t="n">
        <x:v>0.0011830137000000001</x:v>
      </x:c>
      <x:c r="M108" s="31" t="n">
        <x:v>0</x:v>
      </x:c>
      <x:c r="N108" s="24" t="str">
        <x:v>bivalvia</x:v>
      </x:c>
      <x:c r="O108" s="32" t="n">
        <x:v>2.23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Bivalvia</x:v>
      </x:c>
      <x:c r="T108" s="32" t="n">
        <x:f>IF(O108="","",(1/'Metadata'!$B$5)^(O108-1))</x:f>
        <x:v>16.982436524617444</x:v>
      </x:c>
      <x:c r="U108" s="31" t="n">
        <x:f>IF(T108="","",I108*T108)</x:f>
        <x:v>0.020090455068002826</x:v>
      </x:c>
    </x:row>
    <x:row r="109" ht="18" customHeight="1">
      <x:c r="A109" s="24" t="str">
        <x:v>EEZ_678</x:v>
      </x:c>
      <x:c r="B109" s="24" t="str">
        <x:v>Sao Tome &amp; Principe</x:v>
      </x:c>
      <x:c r="C109" s="24" t="str">
        <x:v>EEZ</x:v>
      </x:c>
      <x:c r="D109" s="30" t="n">
        <x:v>2019</x:v>
      </x:c>
      <x:c r="E109" s="24" t="str">
        <x:v>Haemulidae</x:v>
      </x:c>
      <x:c r="F109" s="24" t="str">
        <x:v>Grunts, sweetlips, bonnetmouths</x:v>
      </x:c>
      <x:c r="G109" s="24" t="str">
        <x:v>Medium demersals (30 - 89 cm)</x:v>
      </x:c>
      <x:c r="H109" s="24" t="str">
        <x:v>Perch-likes</x:v>
      </x:c>
      <x:c r="I109" s="31" t="n">
        <x:v>0.0009170648</x:v>
      </x:c>
      <x:c r="J109" s="31" t="n">
        <x:v>0.0009170648</x:v>
      </x:c>
      <x:c r="K109" s="31" t="n">
        <x:v>0</x:v>
      </x:c>
      <x:c r="L109" s="31" t="n">
        <x:v>0.0009170648</x:v>
      </x:c>
      <x:c r="M109" s="31" t="n">
        <x:v>0</x:v>
      </x:c>
      <x:c r="N109" s="24" t="str">
        <x:v>haemulidae</x:v>
      </x:c>
      <x:c r="O109" s="32" t="n">
        <x:v>3.36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Haemulidae</x:v>
      </x:c>
      <x:c r="T109" s="32" t="n">
        <x:f>IF(O109="","",(1/'Metadata'!$B$5)^(O109-1))</x:f>
        <x:v>229.08676527677724</x:v>
      </x:c>
      <x:c r="U109" s="31" t="n">
        <x:f>IF(T109="","",I109*T109)</x:f>
        <x:v>0.21008740858119468</x:v>
      </x:c>
    </x:row>
    <x:row r="110" ht="18" customHeight="1">
      <x:c r="A110" s="24" t="str">
        <x:v>EEZ_678</x:v>
      </x:c>
      <x:c r="B110" s="24" t="str">
        <x:v>Sao Tome &amp; Principe</x:v>
      </x:c>
      <x:c r="C110" s="24" t="str">
        <x:v>EEZ</x:v>
      </x:c>
      <x:c r="D110" s="30" t="n">
        <x:v>2019</x:v>
      </x:c>
      <x:c r="E110" s="24" t="str">
        <x:v>Ethmalosa fimbriata</x:v>
      </x:c>
      <x:c r="F110" s="24" t="str">
        <x:v>Bonga shad</x:v>
      </x:c>
      <x:c r="G110" s="24" t="str">
        <x:v>Medium pelagics (30 - 89 cm)</x:v>
      </x:c>
      <x:c r="H110" s="24" t="str">
        <x:v>Herring-likes</x:v>
      </x:c>
      <x:c r="I110" s="31" t="n">
        <x:v>0.0006877987</x:v>
      </x:c>
      <x:c r="J110" s="31" t="n">
        <x:v>0.0006877987</x:v>
      </x:c>
      <x:c r="K110" s="31" t="n">
        <x:v>0</x:v>
      </x:c>
      <x:c r="L110" s="31" t="n">
        <x:v>0.0006877987</x:v>
      </x:c>
      <x:c r="M110" s="31" t="n">
        <x:v>0</x:v>
      </x:c>
      <x:c r="N110" s="24" t="str">
        <x:v>ethmalosa fimbriata</x:v>
      </x:c>
      <x:c r="O110" s="32" t="n">
        <x:v>2.5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Ethmalosa fimbriata</x:v>
      </x:c>
      <x:c r="T110" s="32" t="n">
        <x:f>IF(O110="","",(1/'Metadata'!$B$5)^(O110-1))</x:f>
        <x:v>31.622776601683793</x:v>
      </x:c>
      <x:c r="U110" s="31" t="n">
        <x:f>IF(T110="","",I110*T110)</x:f>
        <x:v>0.02175010463702853</x:v>
      </x:c>
    </x:row>
    <x:row r="111" ht="18" customHeight="1">
      <x:c r="A111" s="24" t="str">
        <x:v>EEZ_678</x:v>
      </x:c>
      <x:c r="B111" s="24" t="str">
        <x:v>Sao Tome &amp; Principe</x:v>
      </x:c>
      <x:c r="C111" s="24" t="str">
        <x:v>EEZ</x:v>
      </x:c>
      <x:c r="D111" s="30" t="n">
        <x:v>2019</x:v>
      </x:c>
      <x:c r="E111" s="24" t="str">
        <x:v>Centrolophidae</x:v>
      </x:c>
      <x:c r="F111" s="24" t="str">
        <x:v>Medusafishes</x:v>
      </x:c>
      <x:c r="G111" s="24" t="str">
        <x:v>Medium benthopelagics (30 - 89 cm)</x:v>
      </x:c>
      <x:c r="H111" s="24" t="str">
        <x:v>Perch-likes</x:v>
      </x:c>
      <x:c r="I111" s="31" t="n">
        <x:v>0.0006236041000000001</x:v>
      </x:c>
      <x:c r="J111" s="31" t="n">
        <x:v>0.0006236041000000001</x:v>
      </x:c>
      <x:c r="K111" s="31" t="n">
        <x:v>0</x:v>
      </x:c>
      <x:c r="L111" s="31" t="n">
        <x:v>0.0006236041000000001</x:v>
      </x:c>
      <x:c r="M111" s="31" t="n">
        <x:v>0</x:v>
      </x:c>
      <x:c r="N111" s="24" t="str">
        <x:v>centrolophidae</x:v>
      </x:c>
      <x:c r="O111" s="32" t="n">
        <x:v>3.65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Centrolophidae</x:v>
      </x:c>
      <x:c r="T111" s="32" t="n">
        <x:f>IF(O111="","",(1/'Metadata'!$B$5)^(O111-1))</x:f>
        <x:v>446.683592150963</x:v>
      </x:c>
      <x:c r="U111" s="31" t="n">
        <x:f>IF(T111="","",I111*T111)</x:f>
        <x:v>0.2785537194680684</x:v>
      </x:c>
    </x:row>
    <x:row r="112" ht="18" customHeight="1">
      <x:c r="A112" s="24" t="str">
        <x:v>EEZ_678</x:v>
      </x:c>
      <x:c r="B112" s="24" t="str">
        <x:v>Sao Tome &amp; Principe</x:v>
      </x:c>
      <x:c r="C112" s="24" t="str">
        <x:v>EEZ</x:v>
      </x:c>
      <x:c r="D112" s="30" t="n">
        <x:v>2019</x:v>
      </x:c>
      <x:c r="E112" s="24" t="str">
        <x:v>Berycidae</x:v>
      </x:c>
      <x:c r="F112" s="24" t="str">
        <x:v>Alfonsinos, redfishes</x:v>
      </x:c>
      <x:c r="G112" s="24" t="str">
        <x:v>Medium benthopelagics (30 - 89 cm)</x:v>
      </x:c>
      <x:c r="H112" s="24" t="str">
        <x:v>Other fishes &amp; inverts</x:v>
      </x:c>
      <x:c r="I112" s="31" t="n">
        <x:v>0.0004035086</x:v>
      </x:c>
      <x:c r="J112" s="31" t="n">
        <x:v>0.0004035086</x:v>
      </x:c>
      <x:c r="K112" s="31" t="n">
        <x:v>0</x:v>
      </x:c>
      <x:c r="L112" s="31" t="n">
        <x:v>0.0004035086</x:v>
      </x:c>
      <x:c r="M112" s="31" t="n">
        <x:v>0</x:v>
      </x:c>
      <x:c r="N112" s="24" t="str">
        <x:v>berycidae</x:v>
      </x:c>
      <x:c r="O112" s="32" t="n">
        <x:v>3.99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Berycidae</x:v>
      </x:c>
      <x:c r="T112" s="32" t="n">
        <x:f>IF(O112="","",(1/'Metadata'!$B$5)^(O112-1))</x:f>
        <x:v>977.2372209558112</x:v>
      </x:c>
      <x:c r="U112" s="31" t="n">
        <x:f>IF(T112="","",I112*T112)</x:f>
        <x:v>0.39432362289577</x:v>
      </x:c>
    </x:row>
    <x:row r="113" ht="18" customHeight="1">
      <x:c r="A113" s="24" t="str">
        <x:v>EEZ_678</x:v>
      </x:c>
      <x:c r="B113" s="24" t="str">
        <x:v>Sao Tome &amp; Principe</x:v>
      </x:c>
      <x:c r="C113" s="24" t="str">
        <x:v>EEZ</x:v>
      </x:c>
      <x:c r="D113" s="30" t="n">
        <x:v>2019</x:v>
      </x:c>
      <x:c r="E113" s="24" t="str">
        <x:v>Palinuridae</x:v>
      </x:c>
      <x:c r="F113" s="24" t="str">
        <x:v>Spiny lobsters</x:v>
      </x:c>
      <x:c r="G113" s="24" t="str">
        <x:v>Lobsters, crabs</x:v>
      </x:c>
      <x:c r="H113" s="24" t="str">
        <x:v>Crustaceans</x:v>
      </x:c>
      <x:c r="I113" s="31" t="n">
        <x:v>0.0003264591</x:v>
      </x:c>
      <x:c r="J113" s="31" t="n">
        <x:v>0.0003264591</x:v>
      </x:c>
      <x:c r="K113" s="31" t="n">
        <x:v>0</x:v>
      </x:c>
      <x:c r="L113" s="31" t="n">
        <x:v>0.0003264591</x:v>
      </x:c>
      <x:c r="M113" s="31" t="n">
        <x:v>0</x:v>
      </x:c>
      <x:c r="N113" s="24" t="str">
        <x:v>palinuridae</x:v>
      </x:c>
      <x:c r="O113" s="32" t="n">
        <x:v>3.14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Palinuridae</x:v>
      </x:c>
      <x:c r="T113" s="32" t="n">
        <x:f>IF(O113="","",(1/'Metadata'!$B$5)^(O113-1))</x:f>
        <x:v>138.03842646028852</x:v>
      </x:c>
      <x:c r="U113" s="31" t="n">
        <x:f>IF(T113="","",I113*T113)</x:f>
        <x:v>0.04506390046764198</x:v>
      </x:c>
    </x:row>
    <x:row r="114" ht="18" customHeight="1">
      <x:c r="A114" s="24" t="str">
        <x:v>EEZ_678</x:v>
      </x:c>
      <x:c r="B114" s="24" t="str">
        <x:v>Sao Tome &amp; Principe</x:v>
      </x:c>
      <x:c r="C114" s="24" t="str">
        <x:v>EEZ</x:v>
      </x:c>
      <x:c r="D114" s="30" t="n">
        <x:v>2019</x:v>
      </x:c>
      <x:c r="E114" s="24" t="str">
        <x:v>Lutjanidae</x:v>
      </x:c>
      <x:c r="F114" s="24" t="str">
        <x:v>Snappers</x:v>
      </x:c>
      <x:c r="G114" s="24" t="str">
        <x:v>Medium reef assoc. fish (30 - 89 cm)</x:v>
      </x:c>
      <x:c r="H114" s="24" t="str">
        <x:v>Perch-likes</x:v>
      </x:c>
      <x:c r="I114" s="31" t="n">
        <x:v>0.0002567782</x:v>
      </x:c>
      <x:c r="J114" s="31" t="n">
        <x:v>0.0002567782</x:v>
      </x:c>
      <x:c r="K114" s="31" t="n">
        <x:v>0</x:v>
      </x:c>
      <x:c r="L114" s="31" t="n">
        <x:v>0.0002567782</x:v>
      </x:c>
      <x:c r="M114" s="31" t="n">
        <x:v>0</x:v>
      </x:c>
      <x:c r="N114" s="24" t="str">
        <x:v>lutjanidae</x:v>
      </x:c>
      <x:c r="O114" s="32" t="n">
        <x:v>4.02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Lutjanidae</x:v>
      </x:c>
      <x:c r="T114" s="32" t="n">
        <x:f>IF(O114="","",(1/'Metadata'!$B$5)^(O114-1))</x:f>
        <x:v>1047.1285480508984</x:v>
      </x:c>
      <x:c r="U114" s="31" t="n">
        <x:f>IF(T114="","",I114*T114)</x:f>
        <x:v>0.2688797837371232</x:v>
      </x:c>
    </x:row>
    <x:row r="115" ht="18" customHeight="1">
      <x:c r="A115" s="24" t="str">
        <x:v>EEZ_678</x:v>
      </x:c>
      <x:c r="B115" s="24" t="str">
        <x:v>Sao Tome &amp; Principe</x:v>
      </x:c>
      <x:c r="C115" s="24" t="str">
        <x:v>EEZ</x:v>
      </x:c>
      <x:c r="D115" s="30" t="n">
        <x:v>2019</x:v>
      </x:c>
      <x:c r="E115" s="24" t="str">
        <x:v>Peristediidae</x:v>
      </x:c>
      <x:c r="F115" s="24" t="str">
        <x:v>Armored searobins, gurnards</x:v>
      </x:c>
      <x:c r="G115" s="24" t="str">
        <x:v>Medium bathydemersals (30 - 89 cm)</x:v>
      </x:c>
      <x:c r="H115" s="24" t="str">
        <x:v>Scorpionfishes</x:v>
      </x:c>
      <x:c r="I115" s="31" t="n">
        <x:v>0.0000550239</x:v>
      </x:c>
      <x:c r="J115" s="31" t="n">
        <x:v>0.0000550239</x:v>
      </x:c>
      <x:c r="K115" s="31" t="n">
        <x:v>0</x:v>
      </x:c>
      <x:c r="L115" s="31" t="n">
        <x:v>0.0000550239</x:v>
      </x:c>
      <x:c r="M115" s="31" t="n">
        <x:v>0</x:v>
      </x:c>
      <x:c r="N115" s="24" t="str">
        <x:v>peristediidae</x:v>
      </x:c>
      <x:c r="O115" s="32" t="n">
        <x:v>3.47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Peristediidae</x:v>
      </x:c>
      <x:c r="T115" s="32" t="n">
        <x:f>IF(O115="","",(1/'Metadata'!$B$5)^(O115-1))</x:f>
        <x:v>295.1209226666387</x:v>
      </x:c>
      <x:c r="U115" s="31" t="n">
        <x:f>IF(T115="","",I115*T115)</x:f>
        <x:v>0.016238704136716863</x:v>
      </x:c>
    </x:row>
    <x:row r="116" ht="18" customHeight="1">
      <x:c r="A116" s="24" t="str">
        <x:v>EEZ_678</x:v>
      </x:c>
      <x:c r="B116" s="24" t="str">
        <x:v>Sao Tome &amp; Principe</x:v>
      </x:c>
      <x:c r="C116" s="24" t="str">
        <x:v>EEZ</x:v>
      </x:c>
      <x:c r="D116" s="30" t="n">
        <x:v>2019</x:v>
      </x:c>
      <x:c r="E116" s="24" t="str">
        <x:v>Trachinotus</x:v>
      </x:c>
      <x:c r="F116" s="24" t="str">
        <x:v>Pompanos</x:v>
      </x:c>
      <x:c r="G116" s="24" t="str">
        <x:v>Medium pelagics (30 - 89 cm)</x:v>
      </x:c>
      <x:c r="H116" s="24" t="str">
        <x:v>Perch-likes</x:v>
      </x:c>
      <x:c r="I116" s="31" t="n">
        <x:v>0.0000458532</x:v>
      </x:c>
      <x:c r="J116" s="31" t="n">
        <x:v>0.0000458532</x:v>
      </x:c>
      <x:c r="K116" s="31" t="n">
        <x:v>0</x:v>
      </x:c>
      <x:c r="L116" s="31" t="n">
        <x:v>0.0000458532</x:v>
      </x:c>
      <x:c r="M116" s="31" t="n">
        <x:v>0</x:v>
      </x:c>
      <x:c r="N116" s="24" t="str">
        <x:v>trachinotus</x:v>
      </x:c>
      <x:c r="O116" s="32" t="n">
        <x:v>3.69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Trachinotus</x:v>
      </x:c>
      <x:c r="T116" s="32" t="n">
        <x:f>IF(O116="","",(1/'Metadata'!$B$5)^(O116-1))</x:f>
        <x:v>489.77881936844614</x:v>
      </x:c>
      <x:c r="U116" s="31" t="n">
        <x:f>IF(T116="","",I116*T116)</x:f>
        <x:v>0.02245792616026523</x:v>
      </x:c>
    </x:row>
  </x:sheetData>
  <x:conditionalFormatting sqref="R2:R11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0b7c3b691743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0.025778694100000003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3.3209391117559433</x:v>
      </x:c>
    </x:row>
    <x:row r="3" ht="18" customHeight="1">
      <x:c r="A3" s="24" t="str">
        <x:v>Cod-likes</x:v>
      </x:c>
      <x:c r="B3" s="31" t="n">
        <x:v>0.0064377956</x:v>
      </x:c>
      <x:c r="C3" s="32" t="n">
        <x:v>3.91</x:v>
      </x:c>
      <x:c r="D3" s="32" t="n">
        <x:f>IF(C3="","",(1/'Metadata'!$B$5)^(C3-1))</x:f>
        <x:v>812.8305161640995</x:v>
      </x:c>
      <x:c r="E3" s="31" t="n">
        <x:f>IF(B3=0,"",B3*D3)</x:f>
        <x:v>5.232836720506969</x:v>
      </x:c>
    </x:row>
    <x:row r="4" ht="18" customHeight="1">
      <x:c r="A4" s="24" t="str">
        <x:v>Crustaceans</x:v>
      </x:c>
      <x:c r="B4" s="31" t="n">
        <x:v>2.4522370103999998</x:v>
      </x:c>
      <x:c r="C4" s="32" t="n">
        <x:v>3.334338235084082</x:v>
      </x:c>
      <x:c r="D4" s="32" t="n">
        <x:f>IF(C4="","",(1/'Metadata'!$B$5)^(C4-1))</x:f>
        <x:v>215.94255475625965</x:v>
      </x:c>
      <x:c r="E4" s="31" t="n">
        <x:f>IF(B4=0,"",B4*D4)</x:f>
        <x:v>529.5423248936285</x:v>
      </x:c>
    </x:row>
    <x:row r="5" ht="18" customHeight="1">
      <x:c r="A5" s="24" t="str">
        <x:v>Flatfishes</x:v>
      </x:c>
      <x:c r="B5" s="31" t="n">
        <x:v>0.4894375341</x:v>
      </x:c>
      <x:c r="C5" s="32" t="n">
        <x:v>3.5769889450679133</x:v>
      </x:c>
      <x:c r="D5" s="32" t="n">
        <x:f>IF(C5="","",(1/'Metadata'!$B$5)^(C5-1))</x:f>
        <x:v>377.5625799771355</x:v>
      </x:c>
      <x:c r="E5" s="31" t="n">
        <x:f>IF(B5=0,"",B5*D5)</x:f>
        <x:v>184.79329811244324</x:v>
      </x:c>
    </x:row>
    <x:row r="6" ht="18" customHeight="1">
      <x:c r="A6" s="24" t="str">
        <x:v>Herring-likes</x:v>
      </x:c>
      <x:c r="B6" s="31" t="n">
        <x:v>89.9167324417</x:v>
      </x:c>
      <x:c r="C6" s="32" t="n">
        <x:v>2.7701224854433866</x:v>
      </x:c>
      <x:c r="D6" s="32" t="n">
        <x:f>IF(C6="","",(1/'Metadata'!$B$5)^(C6-1))</x:f>
        <x:v>58.90097522114386</x:v>
      </x:c>
      <x:c r="E6" s="31" t="n">
        <x:f>IF(B6=0,"",B6*D6)</x:f>
        <x:v>5296.183229514794</x:v>
      </x:c>
    </x:row>
    <x:row r="7" ht="18" customHeight="1">
      <x:c r="A7" s="24" t="str">
        <x:v>Molluscs</x:v>
      </x:c>
      <x:c r="B7" s="31" t="n">
        <x:v>67.8534848466</x:v>
      </x:c>
      <x:c r="C7" s="32" t="n">
        <x:v>2.1000348331610432</x:v>
      </x:c>
      <x:c r="D7" s="32" t="n">
        <x:f>IF(C7="","",(1/'Metadata'!$B$5)^(C7-1))</x:f>
        <x:v>12.590263896147535</x:v>
      </x:c>
      <x:c r="E7" s="31" t="n">
        <x:f>IF(B7=0,"",B7*D7)</x:f>
        <x:v>854.2932804919418</x:v>
      </x:c>
    </x:row>
    <x:row r="8" ht="18" customHeight="1">
      <x:c r="A8" s="24" t="str">
        <x:v>Other fishes &amp; inverts</x:v>
      </x:c>
      <x:c r="B8" s="31" t="n">
        <x:v>4488.0837308462005</x:v>
      </x:c>
      <x:c r="C8" s="32" t="n">
        <x:v>3.3743188813719414</x:v>
      </x:c>
      <x:c r="D8" s="32" t="n">
        <x:f>IF(C8="","",(1/'Metadata'!$B$5)^(C8-1))</x:f>
        <x:v>236.76575154767096</x:v>
      </x:c>
      <x:c r="E8" s="31" t="n">
        <x:f>IF(B8=0,"",B8*D8)</x:f>
        <x:v>1062624.5175426756</x:v>
      </x:c>
    </x:row>
    <x:row r="9" ht="18" customHeight="1">
      <x:c r="A9" s="24" t="str">
        <x:v>Perch-likes</x:v>
      </x:c>
      <x:c r="B9" s="31" t="n">
        <x:v>3512.6578363686003</x:v>
      </x:c>
      <x:c r="C9" s="32" t="n">
        <x:v>3.8772742106736824</x:v>
      </x:c>
      <x:c r="D9" s="32" t="n">
        <x:f>IF(C9="","",(1/'Metadata'!$B$5)^(C9-1))</x:f>
        <x:v>753.8313776687991</x:v>
      </x:c>
      <x:c r="E9" s="31" t="n">
        <x:f>IF(B9=0,"",B9*D9)</x:f>
        <x:v>2647951.6960688448</x:v>
      </x:c>
    </x:row>
    <x:row r="10" ht="18" customHeight="1">
      <x:c r="A10" s="24" t="str">
        <x:v>Scorpionfishes</x:v>
      </x:c>
      <x:c r="B10" s="31" t="n">
        <x:v>225.7627062192</x:v>
      </x:c>
      <x:c r="C10" s="32" t="n">
        <x:v>3.7799785254377385</x:v>
      </x:c>
      <x:c r="D10" s="32" t="n">
        <x:f>IF(C10="","",(1/'Metadata'!$B$5)^(C10-1))</x:f>
        <x:v>602.5297920429412</x:v>
      </x:c>
      <x:c r="E10" s="31" t="n">
        <x:f>IF(B10=0,"",B10*D10)</x:f>
        <x:v>136028.7564293062</x:v>
      </x:c>
    </x:row>
    <x:row r="11" ht="18" customHeight="1">
      <x:c r="A11" s="24" t="str">
        <x:v>Sharks &amp; rays</x:v>
      </x:c>
      <x:c r="B11" s="31" t="n">
        <x:v>340.1028704277</x:v>
      </x:c>
      <x:c r="C11" s="32" t="n">
        <x:v>4.3160214298824044</x:v>
      </x:c>
      <x:c r="D11" s="32" t="n">
        <x:f>IF(C11="","",(1/'Metadata'!$B$5)^(C11-1))</x:f>
        <x:v>2070.243500630533</x:v>
      </x:c>
      <x:c r="E11" s="31" t="n">
        <x:f>IF(B11=0,"",B11*D11)</x:f>
        <x:v>704095.7570487342</x:v>
      </x:c>
    </x:row>
    <x:row r="12" ht="18" customHeight="1">
      <x:c r="A12" s="24" t="str">
        <x:v>Tuna &amp; billfishes</x:v>
      </x:c>
      <x:c r="B12" s="31" t="n">
        <x:v>2802.9972486813</x:v>
      </x:c>
      <x:c r="C12" s="32" t="n">
        <x:v>4.437861139457499</x:v>
      </x:c>
      <x:c r="D12" s="32" t="n">
        <x:f>IF(C12="","",(1/'Metadata'!$B$5)^(C12-1))</x:f>
        <x:v>2740.6977260194903</x:v>
      </x:c>
      <x:c r="E12" s="31" t="n">
        <x:f>IF(B12=0,"",B12*D12)</x:f>
        <x:v>7682168.185499727</x:v>
      </x:c>
    </x:row>
  </x:sheetData>
  <x:pageMargins left="0.7" right="0.7" top="0.75" bottom="0.75" header="0.3" footer="0.3"/>
  <x:tableParts count="1">
    <x:tablePart xmlns:r="http://schemas.openxmlformats.org/officeDocument/2006/relationships" r:id="Rcc0836c09173447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462.0467465608999</x:v>
      </x:c>
      <x:c r="C2" s="32" t="n">
        <x:v>3.8090104067587554</x:v>
      </x:c>
      <x:c r="D2" s="32" t="n">
        <x:f>IF(C2="","",(1/'Metadata'!$B$5)^(C2-1))</x:f>
        <x:v>644.1847015723747</x:v>
      </x:c>
      <x:c r="E2" s="31" t="n">
        <x:f>IF(B2=0,"",B2*D2)</x:f>
        <x:v>297643.44554581994</x:v>
      </x:c>
    </x:row>
    <x:row r="3" ht="18" customHeight="1">
      <x:c r="A3" s="24" t="str">
        <x:v>Large benthopelagics (&gt;=90 cm)</x:v>
      </x:c>
      <x:c r="B3" s="31" t="n">
        <x:v>176.3398364405</x:v>
      </x:c>
      <x:c r="C3" s="32" t="n">
        <x:v>3.8101316405957415</x:v>
      </x:c>
      <x:c r="D3" s="32" t="n">
        <x:f>IF(C3="","",(1/'Metadata'!$B$5)^(C3-1))</x:f>
        <x:v>645.8499653234303</x:v>
      </x:c>
      <x:c r="E3" s="31" t="n">
        <x:f>IF(B3=0,"",B3*D3)</x:f>
        <x:v>113889.0772502363</x:v>
      </x:c>
    </x:row>
    <x:row r="4" ht="18" customHeight="1">
      <x:c r="A4" s="24" t="str">
        <x:v>Large pelagics (&gt;=90 cm)</x:v>
      </x:c>
      <x:c r="B4" s="31" t="n">
        <x:v>3100.9696014803003</x:v>
      </x:c>
      <x:c r="C4" s="32" t="n">
        <x:v>4.4267551514693295</x:v>
      </x:c>
      <x:c r="D4" s="32" t="n">
        <x:f>IF(C4="","",(1/'Metadata'!$B$5)^(C4-1))</x:f>
        <x:v>2671.499833608313</x:v>
      </x:c>
      <x:c r="E4" s="31" t="n">
        <x:f>IF(B4=0,"",B4*D4)</x:f>
        <x:v>8284239.77437906</x:v>
      </x:c>
    </x:row>
    <x:row r="5" ht="18" customHeight="1">
      <x:c r="A5" s="24" t="str">
        <x:v>Large rays (&gt;=90 cm)</x:v>
      </x:c>
      <x:c r="B5" s="31" t="n">
        <x:v>0.051676606800000004</x:v>
      </x:c>
      <x:c r="C5" s="32" t="n">
        <x:v>3.61</x:v>
      </x:c>
      <x:c r="D5" s="32" t="n">
        <x:f>IF(C5="","",(1/'Metadata'!$B$5)^(C5-1))</x:f>
        <x:v>407.3802778041126</x:v>
      </x:c>
      <x:c r="E5" s="31" t="n">
        <x:f>IF(B5=0,"",B5*D5)</x:f>
        <x:v>21.052030434157896</x:v>
      </x:c>
    </x:row>
    <x:row r="6" ht="18" customHeight="1">
      <x:c r="A6" s="24" t="str">
        <x:v>Large reef assoc. fish (&gt;=90 cm)</x:v>
      </x:c>
      <x:c r="B6" s="31" t="n">
        <x:v>127.52573265160001</x:v>
      </x:c>
      <x:c r="C6" s="32" t="n">
        <x:v>3.562150593697503</x:v>
      </x:c>
      <x:c r="D6" s="32" t="n">
        <x:f>IF(C6="","",(1/'Metadata'!$B$5)^(C6-1))</x:f>
        <x:v>364.88044903994665</x:v>
      </x:c>
      <x:c r="E6" s="31" t="n">
        <x:f>IF(B6=0,"",B6*D6)</x:f>
        <x:v>46531.646594064</x:v>
      </x:c>
    </x:row>
    <x:row r="7" ht="18" customHeight="1">
      <x:c r="A7" s="24" t="str">
        <x:v>Large sharks (&gt;=90 cm)</x:v>
      </x:c>
      <x:c r="B7" s="31" t="n">
        <x:v>340.0511938209</x:v>
      </x:c>
      <x:c r="C7" s="32" t="n">
        <x:v>4.316128721938681</x:v>
      </x:c>
      <x:c r="D7" s="32" t="n">
        <x:f>IF(C7="","",(1/'Metadata'!$B$5)^(C7-1))</x:f>
        <x:v>2070.755015584208</x:v>
      </x:c>
      <x:c r="E7" s="31" t="n">
        <x:f>IF(B7=0,"",B7*D7)</x:f>
        <x:v>704162.7151600263</x:v>
      </x:c>
    </x:row>
    <x:row r="8" ht="18" customHeight="1">
      <x:c r="A8" s="24" t="str">
        <x:v>Lobsters, crabs</x:v>
      </x:c>
      <x:c r="B8" s="31" t="n">
        <x:v>0.0003264591</x:v>
      </x:c>
      <x:c r="C8" s="32" t="n">
        <x:v>3.14</x:v>
      </x:c>
      <x:c r="D8" s="32" t="n">
        <x:f>IF(C8="","",(1/'Metadata'!$B$5)^(C8-1))</x:f>
        <x:v>138.03842646028852</x:v>
      </x:c>
      <x:c r="E8" s="31" t="n">
        <x:f>IF(B8=0,"",B8*D8)</x:f>
        <x:v>0.04506390046764198</x:v>
      </x:c>
    </x:row>
    <x:row r="9" ht="18" customHeight="1">
      <x:c r="A9" s="24" t="str">
        <x:v>Medium bathydemersals (30 - 89 cm)</x:v>
      </x:c>
      <x:c r="B9" s="31" t="n">
        <x:v>0.5546041653</x:v>
      </x:c>
      <x:c r="C9" s="32" t="n">
        <x:v>4.390729876187967</x:v>
      </x:c>
      <x:c r="D9" s="32" t="n">
        <x:f>IF(C9="","",(1/'Metadata'!$B$5)^(C9-1))</x:f>
        <x:v>2458.8377729833187</x:v>
      </x:c>
      <x:c r="E9" s="31" t="n">
        <x:f>IF(B9=0,"",B9*D9)</x:f>
        <x:v>1363.6816706935244</x:v>
      </x:c>
    </x:row>
    <x:row r="10" ht="18" customHeight="1">
      <x:c r="A10" s="24" t="str">
        <x:v>Medium bathypelagics (30 - 89 cm)</x:v>
      </x:c>
      <x:c r="B10" s="31" t="n">
        <x:v>2.6976775876000003</x:v>
      </x:c>
      <x:c r="C10" s="32" t="n">
        <x:v>4.08</x:v>
      </x:c>
      <x:c r="D10" s="32" t="n">
        <x:f>IF(C10="","",(1/'Metadata'!$B$5)^(C10-1))</x:f>
        <x:v>1202.2644346174131</x:v>
      </x:c>
      <x:c r="E10" s="31" t="n">
        <x:f>IF(B10=0,"",B10*D10)</x:f>
        <x:v>3243.3218196359812</x:v>
      </x:c>
    </x:row>
    <x:row r="11" ht="18" customHeight="1">
      <x:c r="A11" s="24" t="str">
        <x:v>Medium benthopelagics (30 - 89 cm)</x:v>
      </x:c>
      <x:c r="B11" s="31" t="n">
        <x:v>334.1184906409</x:v>
      </x:c>
      <x:c r="C11" s="32" t="n">
        <x:v>3.5842076382555073</x:v>
      </x:c>
      <x:c r="D11" s="32" t="n">
        <x:f>IF(C11="","",(1/'Metadata'!$B$5)^(C11-1))</x:f>
        <x:v>383.89074161136205</x:v>
      </x:c>
      <x:c r="E11" s="31" t="n">
        <x:f>IF(B11=0,"",B11*D11)</x:f>
        <x:v>128264.99515820404</x:v>
      </x:c>
    </x:row>
    <x:row r="12" ht="18" customHeight="1">
      <x:c r="A12" s="24" t="str">
        <x:v>Medium demersals (30 - 89 cm)</x:v>
      </x:c>
      <x:c r="B12" s="31" t="n">
        <x:v>4262.690334094499</x:v>
      </x:c>
      <x:c r="C12" s="32" t="n">
        <x:v>3.3898313144299697</x:v>
      </x:c>
      <x:c r="D12" s="32" t="n">
        <x:f>IF(C12="","",(1/'Metadata'!$B$5)^(C12-1))</x:f>
        <x:v>245.3755660268417</x:v>
      </x:c>
      <x:c r="E12" s="31" t="n">
        <x:f>IF(B12=0,"",B12*D12)</x:f>
        <x:v>1045960.0535255847</x:v>
      </x:c>
    </x:row>
    <x:row r="13" ht="18" customHeight="1">
      <x:c r="A13" s="24" t="str">
        <x:v>Medium pelagics (30 - 89 cm)</x:v>
      </x:c>
      <x:c r="B13" s="31" t="n">
        <x:v>869.6075840786001</x:v>
      </x:c>
      <x:c r="C13" s="32" t="n">
        <x:v>3.773623504450704</x:v>
      </x:c>
      <x:c r="D13" s="32" t="n">
        <x:f>IF(C13="","",(1/'Metadata'!$B$5)^(C13-1))</x:f>
        <x:v>593.7771822461799</x:v>
      </x:c>
      <x:c r="E13" s="31" t="n">
        <x:f>IF(B13=0,"",B13*D13)</x:f>
        <x:v>516353.14093409915</x:v>
      </x:c>
    </x:row>
    <x:row r="14" ht="18" customHeight="1">
      <x:c r="A14" s="24" t="str">
        <x:v>Medium reef assoc. fish (30 - 89 cm)</x:v>
      </x:c>
      <x:c r="B14" s="31" t="n">
        <x:v>1292.0471661908002</x:v>
      </x:c>
      <x:c r="C14" s="32" t="n">
        <x:v>3.916955735009739</x:v>
      </x:c>
      <x:c r="D14" s="32" t="n">
        <x:f>IF(C14="","",(1/'Metadata'!$B$5)^(C14-1))</x:f>
        <x:v>825.9537608527565</x:v>
      </x:c>
      <x:c r="E14" s="31" t="n">
        <x:f>IF(B14=0,"",B14*D14)</x:f>
        <x:v>1067171.216114438</x:v>
      </x:c>
    </x:row>
    <x:row r="15" ht="18" customHeight="1">
      <x:c r="A15" s="24" t="str">
        <x:v>Other demersal invertebrates</x:v>
      </x:c>
      <x:c r="B15" s="31" t="n">
        <x:v>67.8534848466</x:v>
      </x:c>
      <x:c r="C15" s="32" t="n">
        <x:v>2.1000348331610432</x:v>
      </x:c>
      <x:c r="D15" s="32" t="n">
        <x:f>IF(C15="","",(1/'Metadata'!$B$5)^(C15-1))</x:f>
        <x:v>12.590263896147535</x:v>
      </x:c>
      <x:c r="E15" s="31" t="n">
        <x:f>IF(B15=0,"",B15*D15)</x:f>
        <x:v>854.2932804919418</x:v>
      </x:c>
    </x:row>
    <x:row r="16" ht="18" customHeight="1">
      <x:c r="A16" s="24" t="str">
        <x:v>Shrimps</x:v>
      </x:c>
      <x:c r="B16" s="31" t="n">
        <x:v>2.4519105512999997</x:v>
      </x:c>
      <x:c r="C16" s="32" t="n">
        <x:v>3.334364110206357</x:v>
      </x:c>
      <x:c r="D16" s="32" t="n">
        <x:f>IF(C16="","",(1/'Metadata'!$B$5)^(C16-1))</x:f>
        <x:v>215.9554209258675</x:v>
      </x:c>
      <x:c r="E16" s="31" t="n">
        <x:f>IF(B16=0,"",B16*D16)</x:f>
        <x:v>529.5033751785672</x:v>
      </x:c>
    </x:row>
    <x:row r="17" ht="18" customHeight="1">
      <x:c r="A17" s="24" t="str">
        <x:v>Small demersals (&lt;30 cm)</x:v>
      </x:c>
      <x:c r="B17" s="31" t="n">
        <x:v>32.7900000001</x:v>
      </x:c>
      <x:c r="C17" s="32" t="n">
        <x:v>3.62</x:v>
      </x:c>
      <x:c r="D17" s="32" t="n">
        <x:f>IF(C17="","",(1/'Metadata'!$B$5)^(C17-1))</x:f>
        <x:v>416.8693834703355</x:v>
      </x:c>
      <x:c r="E17" s="31" t="n">
        <x:f>IF(B17=0,"",B17*D17)</x:f>
        <x:v>13669.147084033988</x:v>
      </x:c>
    </x:row>
    <x:row r="18" ht="18" customHeight="1">
      <x:c r="A18" s="24" t="str">
        <x:v>Small pelagics (&lt;30 cm)</x:v>
      </x:c>
      <x:c r="B18" s="31" t="n">
        <x:v>421.39669897459993</x:v>
      </x:c>
      <x:c r="C18" s="32" t="n">
        <x:v>3.422906999401837</x:v>
      </x:c>
      <x:c r="D18" s="32" t="n">
        <x:f>IF(C18="","",(1/'Metadata'!$B$5)^(C18-1))</x:f>
        <x:v>264.7933044765049</x:v>
      </x:c>
      <x:c r="E18" s="31" t="n">
        <x:f>IF(B18=0,"",B18*D18)</x:f>
        <x:v>111583.02441697531</x:v>
      </x:c>
    </x:row>
    <x:row r="19" ht="18" customHeight="1">
      <x:c r="A19" s="24" t="str">
        <x:v>Small reef assoc. fish (&lt;30 cm)</x:v>
      </x:c>
      <x:c r="B19" s="31" t="n">
        <x:v>36.665998181</x:v>
      </x:c>
      <x:c r="C19" s="32" t="n">
        <x:v>3.49</x:v>
      </x:c>
      <x:c r="D19" s="32" t="n">
        <x:f>IF(C19="","",(1/'Metadata'!$B$5)^(C19-1))</x:f>
        <x:v>309.0295432513592</x:v>
      </x:c>
      <x:c r="E19" s="31" t="n">
        <x:f>IF(B19=0,"",B19*D19)</x:f>
        <x:v>11330.876670729596</x:v>
      </x:c>
    </x:row>
    <x:row r="20" ht="18" customHeight="1">
      <x:c r="A20" s="24" t="str">
        <x:v>Small to medium flatfishes (&lt;90 cm)</x:v>
      </x:c>
      <x:c r="B20" s="31" t="n">
        <x:v>0.4894375341</x:v>
      </x:c>
      <x:c r="C20" s="32" t="n">
        <x:v>3.5769889450679133</x:v>
      </x:c>
      <x:c r="D20" s="32" t="n">
        <x:f>IF(C20="","",(1/'Metadata'!$B$5)^(C20-1))</x:f>
        <x:v>377.5625799771355</x:v>
      </x:c>
      <x:c r="E20" s="31" t="n">
        <x:f>IF(B20=0,"",B20*D20)</x:f>
        <x:v>184.79329811244324</x:v>
      </x:c>
    </x:row>
  </x:sheetData>
  <x:pageMargins left="0.7" right="0.7" top="0.75" bottom="0.75" header="0.3" footer="0.3"/>
  <x:tableParts count="1">
    <x:tablePart xmlns:r="http://schemas.openxmlformats.org/officeDocument/2006/relationships" r:id="R0f07fa3a4af042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EEZ_678</x:v>
      </x:c>
      <x:c r="B2" s="24" t="str">
        <x:v>raw_filtered_tonnes</x:v>
      </x:c>
      <x:c r="C2" s="24" t="n">
        <x:v>11530.348500865499</x:v>
      </x:c>
      <x:c r="D2" s="24" t="str">
        <x:v>tonnes</x:v>
      </x:c>
    </x:row>
    <x:row r="3" ht="18" customHeight="1">
      <x:c r="A3" s="24" t="str">
        <x:v>EEZ_678</x:v>
      </x:c>
      <x:c r="B3" s="24" t="str">
        <x:v>species_catch_tonnes</x:v>
      </x:c>
      <x:c r="C3" s="24" t="n">
        <x:v>11530.348500865499</x:v>
      </x:c>
      <x:c r="D3" s="24" t="str">
        <x:v>tonnes</x:v>
      </x:c>
    </x:row>
    <x:row r="4" ht="18" customHeight="1">
      <x:c r="A4" s="24" t="str">
        <x:v>EEZ_678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EEZ_678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EEZ_678</x:v>
      </x:c>
      <x:c r="B6" s="24" t="str">
        <x:v>matched_catch_tonnes</x:v>
      </x:c>
      <x:c r="C6" s="24" t="n">
        <x:v>11530.348500865499</x:v>
      </x:c>
      <x:c r="D6" s="24" t="str">
        <x:v>tonnes</x:v>
      </x:c>
    </x:row>
    <x:row r="7" ht="18" customHeight="1">
      <x:c r="A7" s="24" t="str">
        <x:v>EEZ_678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EEZ_678</x:v>
      </x:c>
      <x:c r="B8" s="24" t="str">
        <x:v>taxa_count</x:v>
      </x:c>
      <x:c r="C8" s="24" t="n">
        <x:v>115</x:v>
      </x:c>
      <x:c r="D8" s="24" t="str">
        <x:v>count</x:v>
      </x:c>
    </x:row>
    <x:row r="9" ht="18" customHeight="1">
      <x:c r="A9" s="24" t="str">
        <x:v>EEZ_678</x:v>
      </x:c>
      <x:c r="B9" s="24" t="str">
        <x:v>matched_taxa_count</x:v>
      </x:c>
      <x:c r="C9" s="24" t="n">
        <x:v>115</x:v>
      </x:c>
      <x:c r="D9" s="24" t="str">
        <x:v>count</x:v>
      </x:c>
    </x:row>
    <x:row r="10" ht="18" customHeight="1">
      <x:c r="A10" s="24" t="str">
        <x:v>EEZ_678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EEZ_678</x:v>
      </x:c>
      <x:c r="B11" s="24" t="str">
        <x:v>species_ppr</x:v>
      </x:c>
      <x:c r="C11" s="24" t="n">
        <x:v>13253757.621874493</x:v>
      </x:c>
      <x:c r="D11" s="24" t="str">
        <x:v>tonnes_primary_production_equivalent</x:v>
      </x:c>
    </x:row>
    <x:row r="12" ht="18" customHeight="1">
      <x:c r="A12" s="24" t="str">
        <x:v>EEZ_678</x:v>
      </x:c>
      <x:c r="B12" s="24" t="str">
        <x:v>commercial_ppr</x:v>
      </x:c>
      <x:c r="C12" s="24" t="n">
        <x:v>12239742.278498132</x:v>
      </x:c>
      <x:c r="D12" s="24" t="str">
        <x:v>tonnes_primary_production_equivalent</x:v>
      </x:c>
    </x:row>
    <x:row r="13" ht="18" customHeight="1">
      <x:c r="A13" s="24" t="str">
        <x:v>EEZ_678</x:v>
      </x:c>
      <x:c r="B13" s="24" t="str">
        <x:v>functional_ppr</x:v>
      </x:c>
      <x:c r="C13" s="24" t="n">
        <x:v>12346995.80337172</x:v>
      </x:c>
      <x:c r="D13" s="24" t="str">
        <x:v>tonnes_primary_production_equivalent</x:v>
      </x:c>
    </x:row>
    <x:row r="14" ht="18" customHeight="1">
      <x:c r="A14" s="24" t="str">
        <x:v>EEZ_678</x:v>
      </x:c>
      <x:c r="B14" s="24" t="str">
        <x:v>commercial_ppr_difference</x:v>
      </x:c>
      <x:c r="C14" s="24" t="n">
        <x:v>-1014015.3433763608</x:v>
      </x:c>
      <x:c r="D14" s="24" t="str">
        <x:v>tonnes_primary_production_equivalent</x:v>
      </x:c>
    </x:row>
    <x:row r="15" ht="18" customHeight="1">
      <x:c r="A15" s="24" t="str">
        <x:v>EEZ_678</x:v>
      </x:c>
      <x:c r="B15" s="24" t="str">
        <x:v>functional_ppr_difference</x:v>
      </x:c>
      <x:c r="C15" s="24" t="n">
        <x:v>-906761.8185027726</x:v>
      </x:c>
      <x:c r="D15" s="24" t="str">
        <x:v>tonnes_primary_production_equivalent</x:v>
      </x:c>
    </x:row>
    <x:row r="16" ht="18" customHeight="1">
      <x:c r="A16" s="24" t="str">
        <x:v>EEZ_678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EEZ_678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1f74dc515794a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EEZ_678 - Sao Tome &amp; Principe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EEZ_678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