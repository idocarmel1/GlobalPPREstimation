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5ffd6d17f4f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ff0e332a9d34c92"/>
    <x:sheet xmlns:r="http://schemas.openxmlformats.org/officeDocument/2006/relationships" name="Commercial" sheetId="2" r:id="R15fbf52275344d54"/>
    <x:sheet xmlns:r="http://schemas.openxmlformats.org/officeDocument/2006/relationships" name="Functional" sheetId="3" r:id="R87c549f72b2c4311"/>
    <x:sheet xmlns:r="http://schemas.openxmlformats.org/officeDocument/2006/relationships" name="Missing TL" sheetId="4" r:id="R200f4275e6f24c92"/>
    <x:sheet xmlns:r="http://schemas.openxmlformats.org/officeDocument/2006/relationships" name="Validation" sheetId="5" r:id="R428be2cec8a14a36"/>
    <x:sheet xmlns:r="http://schemas.openxmlformats.org/officeDocument/2006/relationships" name="Metadata" sheetId="6" r:id="R6b566aa07a7e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b34d52daf48b7" /><Relationship Type="http://schemas.openxmlformats.org/officeDocument/2006/relationships/theme" Target="/xl/theme/theme1.xml" Id="Rb04a922cf26d4690" /><Relationship Type="http://schemas.microsoft.com/office/2022/11/relationships/FeaturePropertyBag" Target="/xl/featurePropertyBag/featurePropertyBag.xml" Id="Rb204920a276243c8" /><Relationship Type="http://schemas.openxmlformats.org/officeDocument/2006/relationships/sharedStrings" Target="/xl/sharedStrings.xml" Id="Rc650ea1d022c4f8a" /><Relationship Type="http://schemas.openxmlformats.org/officeDocument/2006/relationships/worksheet" Target="/xl/worksheets/sheet1.xml" Id="R5ff0e332a9d34c92" /><Relationship Type="http://schemas.openxmlformats.org/officeDocument/2006/relationships/worksheet" Target="/xl/worksheets/sheet2.xml" Id="R15fbf52275344d54" /><Relationship Type="http://schemas.openxmlformats.org/officeDocument/2006/relationships/worksheet" Target="/xl/worksheets/sheet3.xml" Id="R87c549f72b2c4311" /><Relationship Type="http://schemas.openxmlformats.org/officeDocument/2006/relationships/worksheet" Target="/xl/worksheets/sheet4.xml" Id="R200f4275e6f24c92" /><Relationship Type="http://schemas.openxmlformats.org/officeDocument/2006/relationships/worksheet" Target="/xl/worksheets/sheet5.xml" Id="R428be2cec8a14a36" /><Relationship Type="http://schemas.openxmlformats.org/officeDocument/2006/relationships/worksheet" Target="/xl/worksheets/sheet6.xml" Id="R6b566aa07a7e48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3SpeciesTable" displayName="EEZ233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3CommercialTable" displayName="EEZ233CommercialTable" ref="A1:E9" headerRowCount="1" totalsRowCount="0" totalsRowShown="0">
  <x:autoFilter ref="A1:E9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3FunctionalTable" displayName="EEZ233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3ValidationTable" displayName="EEZ23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7d79ba8cfb43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6716286cd641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6f5522f77844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5eefe2ca1f4e4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EEZ_233</x:v>
      </x:c>
      <x:c r="B2" s="24" t="str">
        <x:v>Estonia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40606.3423370297</x:v>
      </x:c>
      <x:c r="J2" s="31" t="n">
        <x:v>38846.065713738</x:v>
      </x:c>
      <x:c r="K2" s="31" t="n">
        <x:v>1760.2766232917</x:v>
      </x:c>
      <x:c r="L2" s="31" t="n">
        <x:v>33903.7910010383</x:v>
      </x:c>
      <x:c r="M2" s="31" t="n">
        <x:v>6702.5513359914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9740783.071904166</x:v>
      </x:c>
    </x:row>
    <x:row r="3" ht="18" customHeight="1">
      <x:c r="A3" s="24" t="str">
        <x:v>EEZ_233</x:v>
      </x:c>
      <x:c r="B3" s="24" t="str">
        <x:v>Estonia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34648.3392050645</x:v>
      </x:c>
      <x:c r="J3" s="31" t="n">
        <x:v>33247.1557393479</x:v>
      </x:c>
      <x:c r="K3" s="31" t="n">
        <x:v>1401.1834657166</x:v>
      </x:c>
      <x:c r="L3" s="31" t="n">
        <x:v>30581.3261195438</x:v>
      </x:c>
      <x:c r="M3" s="31" t="n">
        <x:v>4067.0130855207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3545540.2702709</x:v>
      </x:c>
    </x:row>
    <x:row r="4" ht="18" customHeight="1">
      <x:c r="A4" s="24" t="str">
        <x:v>EEZ_233</x:v>
      </x:c>
      <x:c r="B4" s="24" t="str">
        <x:v>Estonia</x:v>
      </x:c>
      <x:c r="C4" s="24" t="str">
        <x:v>EEZ</x:v>
      </x:c>
      <x:c r="D4" s="30" t="n">
        <x:v>2019</x:v>
      </x:c>
      <x:c r="E4" s="24" t="str">
        <x:v>Osmerus eperlanus</x:v>
      </x:c>
      <x:c r="F4" s="24" t="str">
        <x:v>European smelt</x:v>
      </x:c>
      <x:c r="G4" s="24" t="str">
        <x:v>Medium pelagics (30 - 89 cm)</x:v>
      </x:c>
      <x:c r="H4" s="24" t="str">
        <x:v>Salmon, smelts, etc</x:v>
      </x:c>
      <x:c r="I4" s="31" t="n">
        <x:v>2148.3433146728003</x:v>
      </x:c>
      <x:c r="J4" s="31" t="n">
        <x:v>2048.3067533531</x:v>
      </x:c>
      <x:c r="K4" s="31" t="n">
        <x:v>100.0365613197</x:v>
      </x:c>
      <x:c r="L4" s="31" t="n">
        <x:v>1856.1570538996998</x:v>
      </x:c>
      <x:c r="M4" s="31" t="n">
        <x:v>292.1862607731</x:v>
      </x:c>
      <x:c r="N4" s="24" t="str">
        <x:v>osmerus eperlanus</x:v>
      </x:c>
      <x:c r="O4" s="32" t="n">
        <x:v>3.46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Osmerus eperlanus</x:v>
      </x:c>
      <x:c r="T4" s="32" t="n">
        <x:f>IF(O4="","",(1/'Metadata'!$B$5)^(O4-1))</x:f>
        <x:v>288.40315031266056</x:v>
      </x:c>
      <x:c r="U4" s="31" t="n">
        <x:f>IF(T4="","",I4*T4)</x:f>
        <x:v>619588.979904779</x:v>
      </x:c>
    </x:row>
    <x:row r="5" ht="18" customHeight="1">
      <x:c r="A5" s="24" t="str">
        <x:v>EEZ_233</x:v>
      </x:c>
      <x:c r="B5" s="24" t="str">
        <x:v>Estonia</x:v>
      </x:c>
      <x:c r="C5" s="24" t="str">
        <x:v>EEZ</x:v>
      </x:c>
      <x:c r="D5" s="30" t="n">
        <x:v>2019</x:v>
      </x:c>
      <x:c r="E5" s="24" t="str">
        <x:v>Perca fluviatilis</x:v>
      </x:c>
      <x:c r="F5" s="24" t="str">
        <x:v>European perch</x:v>
      </x:c>
      <x:c r="G5" s="24" t="str">
        <x:v>Medium demersals (30 - 89 cm)</x:v>
      </x:c>
      <x:c r="H5" s="24" t="str">
        <x:v>Perch-likes</x:v>
      </x:c>
      <x:c r="I5" s="31" t="n">
        <x:v>564.8451946408</x:v>
      </x:c>
      <x:c r="J5" s="31" t="n">
        <x:v>505.5032538974</x:v>
      </x:c>
      <x:c r="K5" s="31" t="n">
        <x:v>59.341940743399995</x:v>
      </x:c>
      <x:c r="L5" s="31" t="n">
        <x:v>445.274684746</x:v>
      </x:c>
      <x:c r="M5" s="31" t="n">
        <x:v>119.5705098948</x:v>
      </x:c>
      <x:c r="N5" s="24" t="str">
        <x:v>perca fluviatilis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Perca fluviatilis</x:v>
      </x:c>
      <x:c r="T5" s="32" t="n">
        <x:f>IF(O5="","",(1/'Metadata'!$B$5)^(O5-1))</x:f>
        <x:v>2238.7211385683377</x:v>
      </x:c>
      <x:c r="U5" s="31" t="n">
        <x:f>IF(T5="","",I5*T5)</x:f>
        <x:v>1264530.877261106</x:v>
      </x:c>
    </x:row>
    <x:row r="6" ht="18" customHeight="1">
      <x:c r="A6" s="24" t="str">
        <x:v>EEZ_233</x:v>
      </x:c>
      <x:c r="B6" s="24" t="str">
        <x:v>Estonia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354.3988820289</x:v>
      </x:c>
      <x:c r="J6" s="31" t="n">
        <x:v>293.9355413235</x:v>
      </x:c>
      <x:c r="K6" s="31" t="n">
        <x:v>60.4633407054</x:v>
      </x:c>
      <x:c r="L6" s="31" t="n">
        <x:v>202.57802961710001</x:v>
      </x:c>
      <x:c r="M6" s="31" t="n">
        <x:v>151.82085241180002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74044.42130019778</x:v>
      </x:c>
    </x:row>
    <x:row r="7" ht="18" customHeight="1">
      <x:c r="A7" s="24" t="str">
        <x:v>EEZ_233</x:v>
      </x:c>
      <x:c r="B7" s="24" t="str">
        <x:v>Estonia</x:v>
      </x:c>
      <x:c r="C7" s="24" t="str">
        <x:v>EEZ</x:v>
      </x:c>
      <x:c r="D7" s="30" t="n">
        <x:v>2019</x:v>
      </x:c>
      <x:c r="E7" s="24" t="str">
        <x:v>Myoxocephalus quadricornis</x:v>
      </x:c>
      <x:c r="F7" s="24" t="str">
        <x:v>Fourhorn sculpin</x:v>
      </x:c>
      <x:c r="G7" s="24" t="str">
        <x:v>Medium demersals (30 - 89 cm)</x:v>
      </x:c>
      <x:c r="H7" s="24" t="str">
        <x:v>Scorpionfishes</x:v>
      </x:c>
      <x:c r="I7" s="31" t="n">
        <x:v>244.54852662849999</x:v>
      </x:c>
      <x:c r="J7" s="31" t="n">
        <x:v>244.54852662849999</x:v>
      </x:c>
      <x:c r="K7" s="31" t="n">
        <x:v>0</x:v>
      </x:c>
      <x:c r="L7" s="31" t="n">
        <x:v>244.54852662849999</x:v>
      </x:c>
      <x:c r="M7" s="31" t="n">
        <x:v>0</x:v>
      </x:c>
      <x:c r="N7" s="24" t="str">
        <x:v>myoxocephalus quadricornis</x:v>
      </x:c>
      <x:c r="O7" s="32" t="n">
        <x:v>3.69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Myoxocephalus quadricornis</x:v>
      </x:c>
      <x:c r="T7" s="32" t="n">
        <x:f>IF(O7="","",(1/'Metadata'!$B$5)^(O7-1))</x:f>
        <x:v>489.77881936844614</x:v>
      </x:c>
      <x:c r="U7" s="31" t="n">
        <x:f>IF(T7="","",I7*T7)</x:f>
        <x:v>119774.68865039974</x:v>
      </x:c>
    </x:row>
    <x:row r="8" ht="18" customHeight="1">
      <x:c r="A8" s="24" t="str">
        <x:v>EEZ_233</x:v>
      </x:c>
      <x:c r="B8" s="24" t="str">
        <x:v>Estonia</x:v>
      </x:c>
      <x:c r="C8" s="24" t="str">
        <x:v>EEZ</x:v>
      </x:c>
      <x:c r="D8" s="30" t="n">
        <x:v>2019</x:v>
      </x:c>
      <x:c r="E8" s="24" t="str">
        <x:v>Gobiidae</x:v>
      </x:c>
      <x:c r="F8" s="24" t="str">
        <x:v>Gobies</x:v>
      </x:c>
      <x:c r="G8" s="24" t="str">
        <x:v>Small reef assoc. fish (&lt;30 cm)</x:v>
      </x:c>
      <x:c r="H8" s="24" t="str">
        <x:v>Perch-likes</x:v>
      </x:c>
      <x:c r="I8" s="31" t="n">
        <x:v>229.3049697845</x:v>
      </x:c>
      <x:c r="J8" s="31" t="n">
        <x:v>197.5421960756</x:v>
      </x:c>
      <x:c r="K8" s="31" t="n">
        <x:v>31.762773708900003</x:v>
      </x:c>
      <x:c r="L8" s="31" t="n">
        <x:v>163.4780149947</x:v>
      </x:c>
      <x:c r="M8" s="31" t="n">
        <x:v>65.8269547898</x:v>
      </x:c>
      <x:c r="N8" s="24" t="str">
        <x:v>gobiidae</x:v>
      </x:c>
      <x:c r="O8" s="32" t="n">
        <x:v>3.11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Gobiidae</x:v>
      </x:c>
      <x:c r="T8" s="32" t="n">
        <x:f>IF(O8="","",(1/'Metadata'!$B$5)^(O8-1))</x:f>
        <x:v>128.82495516931337</x:v>
      </x:c>
      <x:c r="U8" s="31" t="n">
        <x:f>IF(T8="","",I8*T8)</x:f>
        <x:v>29540.20245258897</x:v>
      </x:c>
    </x:row>
    <x:row r="9" ht="18" customHeight="1">
      <x:c r="A9" s="24" t="str">
        <x:v>EEZ_233</x:v>
      </x:c>
      <x:c r="B9" s="24" t="str">
        <x:v>Estonia</x:v>
      </x:c>
      <x:c r="C9" s="24" t="str">
        <x:v>EEZ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149.0239426813</x:v>
      </x:c>
      <x:c r="J9" s="31" t="n">
        <x:v>95.5599334191</x:v>
      </x:c>
      <x:c r="K9" s="31" t="n">
        <x:v>53.4640092622</x:v>
      </x:c>
      <x:c r="L9" s="31" t="n">
        <x:v>23.0187019503</x:v>
      </x:c>
      <x:c r="M9" s="31" t="n">
        <x:v>126.005240731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183339.5027841377</x:v>
      </x:c>
    </x:row>
    <x:row r="10" ht="18" customHeight="1">
      <x:c r="A10" s="24" t="str">
        <x:v>EEZ_233</x:v>
      </x:c>
      <x:c r="B10" s="24" t="str">
        <x:v>Estonia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133.14448386339998</x:v>
      </x:c>
      <x:c r="J10" s="31" t="n">
        <x:v>125.91136071060001</x:v>
      </x:c>
      <x:c r="K10" s="31" t="n">
        <x:v>7.2331231528</x:v>
      </x:c>
      <x:c r="L10" s="31" t="n">
        <x:v>48.7939088867</x:v>
      </x:c>
      <x:c r="M10" s="31" t="n">
        <x:v>84.35057497670002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192452.33223159777</x:v>
      </x:c>
    </x:row>
    <x:row r="11" ht="18" customHeight="1">
      <x:c r="A11" s="24" t="str">
        <x:v>EEZ_233</x:v>
      </x:c>
      <x:c r="B11" s="24" t="str">
        <x:v>Estonia</x:v>
      </x:c>
      <x:c r="C11" s="24" t="str">
        <x:v>EEZ</x:v>
      </x:c>
      <x:c r="D11" s="30" t="n">
        <x:v>2019</x:v>
      </x:c>
      <x:c r="E11" s="24" t="str">
        <x:v>Sander lucioperca</x:v>
      </x:c>
      <x:c r="F11" s="24" t="str">
        <x:v>Pike-perch</x:v>
      </x:c>
      <x:c r="G11" s="24" t="str">
        <x:v>Large pelagics (&gt;=90 cm)</x:v>
      </x:c>
      <x:c r="H11" s="24" t="str">
        <x:v>Perch-likes</x:v>
      </x:c>
      <x:c r="I11" s="31" t="n">
        <x:v>111.70343241329999</x:v>
      </x:c>
      <x:c r="J11" s="31" t="n">
        <x:v>107.79115104169999</x:v>
      </x:c>
      <x:c r="K11" s="31" t="n">
        <x:v>3.9122813716</x:v>
      </x:c>
      <x:c r="L11" s="31" t="n">
        <x:v>105.51850697969999</x:v>
      </x:c>
      <x:c r="M11" s="31" t="n">
        <x:v>6.1849254336</x:v>
      </x:c>
      <x:c r="N11" s="24" t="str">
        <x:v>sander lucioperca</x:v>
      </x:c>
      <x:c r="O11" s="32" t="n">
        <x:v>4.04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Sander lucioperca</x:v>
      </x:c>
      <x:c r="T11" s="32" t="n">
        <x:f>IF(O11="","",(1/'Metadata'!$B$5)^(O11-1))</x:f>
        <x:v>1096.4781961431852</x:v>
      </x:c>
      <x:c r="U11" s="31" t="n">
        <x:f>IF(T11="","",I11*T11)</x:f>
        <x:v>122480.37807553737</x:v>
      </x:c>
    </x:row>
    <x:row r="12" ht="18" customHeight="1">
      <x:c r="A12" s="24" t="str">
        <x:v>EEZ_233</x:v>
      </x:c>
      <x:c r="B12" s="24" t="str">
        <x:v>Estonia</x:v>
      </x:c>
      <x:c r="C12" s="24" t="str">
        <x:v>EEZ</x:v>
      </x:c>
      <x:c r="D12" s="30" t="n">
        <x:v>2019</x:v>
      </x:c>
      <x:c r="E12" s="24" t="str">
        <x:v>Scophthalmidae</x:v>
      </x:c>
      <x:c r="F12" s="24" t="str">
        <x:v>Turbots</x:v>
      </x:c>
      <x:c r="G12" s="24" t="str">
        <x:v>Small to medium flatfishes (&lt;90 cm)</x:v>
      </x:c>
      <x:c r="H12" s="24" t="str">
        <x:v>Flatfishes</x:v>
      </x:c>
      <x:c r="I12" s="31" t="n">
        <x:v>81.86290921270002</x:v>
      </x:c>
      <x:c r="J12" s="31" t="n">
        <x:v>81.77204560070001</x:v>
      </x:c>
      <x:c r="K12" s="31" t="n">
        <x:v>0.090863612</x:v>
      </x:c>
      <x:c r="L12" s="31" t="n">
        <x:v>0</x:v>
      </x:c>
      <x:c r="M12" s="31" t="n">
        <x:v>81.86290921270002</x:v>
      </x:c>
      <x:c r="N12" s="24" t="str">
        <x:v>scophthalmidae</x:v>
      </x:c>
      <x:c r="O12" s="32" t="n">
        <x:v>3.71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Scophthalmidae</x:v>
      </x:c>
      <x:c r="T12" s="32" t="n">
        <x:f>IF(O12="","",(1/'Metadata'!$B$5)^(O12-1))</x:f>
        <x:v>512.8613839913648</x:v>
      </x:c>
      <x:c r="U12" s="31" t="n">
        <x:f>IF(T12="","",I12*T12)</x:f>
        <x:v>41984.32491638478</x:v>
      </x:c>
    </x:row>
    <x:row r="13" ht="18" customHeight="1">
      <x:c r="A13" s="24" t="str">
        <x:v>EEZ_233</x:v>
      </x:c>
      <x:c r="B13" s="24" t="str">
        <x:v>Estonia</x:v>
      </x:c>
      <x:c r="C13" s="24" t="str">
        <x:v>EEZ</x:v>
      </x:c>
      <x:c r="D13" s="30" t="n">
        <x:v>2019</x:v>
      </x:c>
      <x:c r="E13" s="24" t="str">
        <x:v>Rutilus rutilus</x:v>
      </x:c>
      <x:c r="F13" s="24" t="str">
        <x:v>Roach</x:v>
      </x:c>
      <x:c r="G13" s="24" t="str">
        <x:v>Medium benthopelagics (30 - 89 cm)</x:v>
      </x:c>
      <x:c r="H13" s="24" t="str">
        <x:v>Other fishes &amp; inverts</x:v>
      </x:c>
      <x:c r="I13" s="31" t="n">
        <x:v>72.3237804006</x:v>
      </x:c>
      <x:c r="J13" s="31" t="n">
        <x:v>65.5678777204</x:v>
      </x:c>
      <x:c r="K13" s="31" t="n">
        <x:v>6.7559026802</x:v>
      </x:c>
      <x:c r="L13" s="31" t="n">
        <x:v>57.1817288011</x:v>
      </x:c>
      <x:c r="M13" s="31" t="n">
        <x:v>15.1420515995</x:v>
      </x:c>
      <x:c r="N13" s="24" t="str">
        <x:v>rutilus rutilus</x:v>
      </x:c>
      <x:c r="O13" s="32" t="n">
        <x:v>2.96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Rutilus rutilus</x:v>
      </x:c>
      <x:c r="T13" s="32" t="n">
        <x:f>IF(O13="","",(1/'Metadata'!$B$5)^(O13-1))</x:f>
        <x:v>91.20108393559097</x:v>
      </x:c>
      <x:c r="U13" s="31" t="n">
        <x:f>IF(T13="","",I13*T13)</x:f>
        <x:v>6596.00716685437</x:v>
      </x:c>
    </x:row>
    <x:row r="14" ht="18" customHeight="1">
      <x:c r="A14" s="24" t="str">
        <x:v>EEZ_233</x:v>
      </x:c>
      <x:c r="B14" s="24" t="str">
        <x:v>Estonia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63.621228502200005</x:v>
      </x:c>
      <x:c r="J14" s="31" t="n">
        <x:v>39.5869624184</x:v>
      </x:c>
      <x:c r="K14" s="31" t="n">
        <x:v>24.034266083800002</x:v>
      </x:c>
      <x:c r="L14" s="31" t="n">
        <x:v>15.4250374473</x:v>
      </x:c>
      <x:c r="M14" s="31" t="n">
        <x:v>48.196191054900005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12122.775173950578</x:v>
      </x:c>
    </x:row>
    <x:row r="15" ht="18" customHeight="1">
      <x:c r="A15" s="24" t="str">
        <x:v>EEZ_233</x:v>
      </x:c>
      <x:c r="B15" s="24" t="str">
        <x:v>Estonia</x:v>
      </x:c>
      <x:c r="C15" s="24" t="str">
        <x:v>EEZ</x:v>
      </x:c>
      <x:c r="D15" s="30" t="n">
        <x:v>2019</x:v>
      </x:c>
      <x:c r="E15" s="24" t="str">
        <x:v>Esox lucius</x:v>
      </x:c>
      <x:c r="F15" s="24" t="str">
        <x:v>Northern pike</x:v>
      </x:c>
      <x:c r="G15" s="24" t="str">
        <x:v>Large demersals (&gt;=90 cm)</x:v>
      </x:c>
      <x:c r="H15" s="24" t="str">
        <x:v>Salmon, smelts, etc</x:v>
      </x:c>
      <x:c r="I15" s="31" t="n">
        <x:v>62.196951492800004</x:v>
      </x:c>
      <x:c r="J15" s="31" t="n">
        <x:v>60.242221434600005</x:v>
      </x:c>
      <x:c r="K15" s="31" t="n">
        <x:v>1.9547300582</x:v>
      </x:c>
      <x:c r="L15" s="31" t="n">
        <x:v>58.883077815300005</x:v>
      </x:c>
      <x:c r="M15" s="31" t="n">
        <x:v>3.3138736775</x:v>
      </x:c>
      <x:c r="N15" s="24" t="str">
        <x:v>esox lucius</x:v>
      </x:c>
      <x:c r="O15" s="32" t="n">
        <x:v>4.07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Esox lucius</x:v>
      </x:c>
      <x:c r="T15" s="32" t="n">
        <x:f>IF(O15="","",(1/'Metadata'!$B$5)^(O15-1))</x:f>
        <x:v>1174.8975549395302</x:v>
      </x:c>
      <x:c r="U15" s="31" t="n">
        <x:f>IF(T15="","",I15*T15)</x:f>
        <x:v>73075.04623358329</x:v>
      </x:c>
    </x:row>
    <x:row r="16" ht="18" customHeight="1">
      <x:c r="A16" s="24" t="str">
        <x:v>EEZ_233</x:v>
      </x:c>
      <x:c r="B16" s="24" t="str">
        <x:v>Estonia</x:v>
      </x:c>
      <x:c r="C16" s="24" t="str">
        <x:v>EEZ</x:v>
      </x:c>
      <x:c r="D16" s="30" t="n">
        <x:v>2019</x:v>
      </x:c>
      <x:c r="E16" s="24" t="str">
        <x:v>Vimba</x:v>
      </x:c>
      <x:c r="F16" s="24" t="str">
        <x:v>Vimba breams</x:v>
      </x:c>
      <x:c r="G16" s="24" t="str">
        <x:v>Medium demersals (30 - 89 cm)</x:v>
      </x:c>
      <x:c r="H16" s="24" t="str">
        <x:v>Other fishes &amp; inverts</x:v>
      </x:c>
      <x:c r="I16" s="31" t="n">
        <x:v>62.05090269040001</x:v>
      </x:c>
      <x:c r="J16" s="31" t="n">
        <x:v>58.1817148184</x:v>
      </x:c>
      <x:c r="K16" s="31" t="n">
        <x:v>3.8691878720000004</x:v>
      </x:c>
      <x:c r="L16" s="31" t="n">
        <x:v>53.9647520294</x:v>
      </x:c>
      <x:c r="M16" s="31" t="n">
        <x:v>8.086150661</x:v>
      </x:c>
      <x:c r="N16" s="24" t="str">
        <x:v>vimba</x:v>
      </x:c>
      <x:c r="O16" s="32" t="n">
        <x:v>3.05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Vimba</x:v>
      </x:c>
      <x:c r="T16" s="32" t="n">
        <x:f>IF(O16="","",(1/'Metadata'!$B$5)^(O16-1))</x:f>
        <x:v>112.2018454301963</x:v>
      </x:c>
      <x:c r="U16" s="31" t="n">
        <x:f>IF(T16="","",I16*T16)</x:f>
        <x:v>6962.225792472414</x:v>
      </x:c>
    </x:row>
    <x:row r="17" ht="18" customHeight="1">
      <x:c r="A17" s="24" t="str">
        <x:v>EEZ_233</x:v>
      </x:c>
      <x:c r="B17" s="24" t="str">
        <x:v>Estonia</x:v>
      </x:c>
      <x:c r="C17" s="24" t="str">
        <x:v>EEZ</x:v>
      </x:c>
      <x:c r="D17" s="30" t="n">
        <x:v>2019</x:v>
      </x:c>
      <x:c r="E17" s="24" t="str">
        <x:v>Gymnocephalus cernua</x:v>
      </x:c>
      <x:c r="F17" s="24" t="str">
        <x:v>Ruffe</x:v>
      </x:c>
      <x:c r="G17" s="24" t="str">
        <x:v>Small demersals (&lt;30 cm)</x:v>
      </x:c>
      <x:c r="H17" s="24" t="str">
        <x:v>Perch-likes</x:v>
      </x:c>
      <x:c r="I17" s="31" t="n">
        <x:v>38.3664037082</x:v>
      </x:c>
      <x:c r="J17" s="31" t="n">
        <x:v>30.8971610772</x:v>
      </x:c>
      <x:c r="K17" s="31" t="n">
        <x:v>7.469242631</x:v>
      </x:c>
      <x:c r="L17" s="31" t="n">
        <x:v>19.419612295</x:v>
      </x:c>
      <x:c r="M17" s="31" t="n">
        <x:v>18.9467914132</x:v>
      </x:c>
      <x:c r="N17" s="24" t="str">
        <x:v>gymnocephalus cernua</x:v>
      </x:c>
      <x:c r="O17" s="32" t="n">
        <x:v>3.32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Gymnocephalus cernua</x:v>
      </x:c>
      <x:c r="T17" s="32" t="n">
        <x:f>IF(O17="","",(1/'Metadata'!$B$5)^(O17-1))</x:f>
        <x:v>208.92961308540387</x:v>
      </x:c>
      <x:c r="U17" s="31" t="n">
        <x:f>IF(T17="","",I17*T17)</x:f>
        <x:v>8015.877882232629</x:v>
      </x:c>
    </x:row>
    <x:row r="18" ht="18" customHeight="1">
      <x:c r="A18" s="24" t="str">
        <x:v>EEZ_233</x:v>
      </x:c>
      <x:c r="B18" s="24" t="str">
        <x:v>Estonia</x:v>
      </x:c>
      <x:c r="C18" s="24" t="str">
        <x:v>EEZ</x:v>
      </x:c>
      <x:c r="D18" s="30" t="n">
        <x:v>2019</x:v>
      </x:c>
      <x:c r="E18" s="24" t="str">
        <x:v>Salmo salar</x:v>
      </x:c>
      <x:c r="F18" s="24" t="str">
        <x:v>Atlantic salmon</x:v>
      </x:c>
      <x:c r="G18" s="24" t="str">
        <x:v>Large benthopelagics (&gt;=90 cm)</x:v>
      </x:c>
      <x:c r="H18" s="24" t="str">
        <x:v>Salmon, smelts, etc</x:v>
      </x:c>
      <x:c r="I18" s="31" t="n">
        <x:v>35.9068617012</x:v>
      </x:c>
      <x:c r="J18" s="31" t="n">
        <x:v>33.1825989892</x:v>
      </x:c>
      <x:c r="K18" s="31" t="n">
        <x:v>2.724262712</x:v>
      </x:c>
      <x:c r="L18" s="31" t="n">
        <x:v>27.2161861293</x:v>
      </x:c>
      <x:c r="M18" s="31" t="n">
        <x:v>8.6906755719</x:v>
      </x:c>
      <x:c r="N18" s="24" t="str">
        <x:v>salmo salar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Salmo salar</x:v>
      </x:c>
      <x:c r="T18" s="32" t="n">
        <x:f>IF(O18="","",(1/'Metadata'!$B$5)^(O18-1))</x:f>
        <x:v>3162.2776601683795</x:v>
      </x:c>
      <x:c r="U18" s="31" t="n">
        <x:f>IF(T18="","",I18*T18)</x:f>
        <x:v>113547.46660446034</x:v>
      </x:c>
    </x:row>
    <x:row r="19" ht="18" customHeight="1">
      <x:c r="A19" s="24" t="str">
        <x:v>EEZ_233</x:v>
      </x:c>
      <x:c r="B19" s="24" t="str">
        <x:v>Estonia</x:v>
      </x:c>
      <x:c r="C19" s="24" t="str">
        <x:v>EEZ</x:v>
      </x:c>
      <x:c r="D19" s="30" t="n">
        <x:v>2019</x:v>
      </x:c>
      <x:c r="E19" s="24" t="str">
        <x:v>Zoarces viviparus</x:v>
      </x:c>
      <x:c r="F19" s="24" t="str">
        <x:v>Eelpout</x:v>
      </x:c>
      <x:c r="G19" s="24" t="str">
        <x:v>Medium demersals (30 - 89 cm)</x:v>
      </x:c>
      <x:c r="H19" s="24" t="str">
        <x:v>Perch-likes</x:v>
      </x:c>
      <x:c r="I19" s="31" t="n">
        <x:v>34.5258696737</x:v>
      </x:c>
      <x:c r="J19" s="31" t="n">
        <x:v>29.950829798</x:v>
      </x:c>
      <x:c r="K19" s="31" t="n">
        <x:v>4.5750398757</x:v>
      </x:c>
      <x:c r="L19" s="31" t="n">
        <x:v>24.370854074300002</x:v>
      </x:c>
      <x:c r="M19" s="31" t="n">
        <x:v>10.1550155994</x:v>
      </x:c>
      <x:c r="N19" s="24" t="str">
        <x:v>zoarces viviparus</x:v>
      </x:c>
      <x:c r="O19" s="32" t="n">
        <x:v>3.47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Zoarces viviparus</x:v>
      </x:c>
      <x:c r="T19" s="32" t="n">
        <x:f>IF(O19="","",(1/'Metadata'!$B$5)^(O19-1))</x:f>
        <x:v>295.1209226666387</x:v>
      </x:c>
      <x:c r="U19" s="31" t="n">
        <x:f>IF(T19="","",I19*T19)</x:f>
        <x:v>10189.306513970465</x:v>
      </x:c>
    </x:row>
    <x:row r="20" ht="18" customHeight="1">
      <x:c r="A20" s="24" t="str">
        <x:v>EEZ_233</x:v>
      </x:c>
      <x:c r="B20" s="24" t="str">
        <x:v>Estonia</x:v>
      </x:c>
      <x:c r="C20" s="24" t="str">
        <x:v>EEZ</x:v>
      </x:c>
      <x:c r="D20" s="30" t="n">
        <x:v>2019</x:v>
      </x:c>
      <x:c r="E20" s="24" t="str">
        <x:v>Cyprinidae</x:v>
      </x:c>
      <x:c r="F20" s="24" t="str">
        <x:v>Carps, barbels, other cyprinids</x:v>
      </x:c>
      <x:c r="G20" s="24" t="str">
        <x:v>Medium demersals (30 - 89 cm)</x:v>
      </x:c>
      <x:c r="H20" s="24" t="str">
        <x:v>Other fishes &amp; inverts</x:v>
      </x:c>
      <x:c r="I20" s="31" t="n">
        <x:v>30.9330674942</x:v>
      </x:c>
      <x:c r="J20" s="31" t="n">
        <x:v>29.3372724402</x:v>
      </x:c>
      <x:c r="K20" s="31" t="n">
        <x:v>1.5957950539999999</x:v>
      </x:c>
      <x:c r="L20" s="31" t="n">
        <x:v>27.505801431000002</x:v>
      </x:c>
      <x:c r="M20" s="31" t="n">
        <x:v>3.4272660632</x:v>
      </x:c>
      <x:c r="N20" s="24" t="str">
        <x:v>cyprinidae</x:v>
      </x:c>
      <x:c r="O20" s="32" t="n">
        <x:v>2.8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Cyprinidae</x:v>
      </x:c>
      <x:c r="T20" s="32" t="n">
        <x:f>IF(O20="","",(1/'Metadata'!$B$5)^(O20-1))</x:f>
        <x:v>63.0957344480193</x:v>
      </x:c>
      <x:c r="U20" s="31" t="n">
        <x:f>IF(T20="","",I20*T20)</x:f>
        <x:v>1951.744612276701</x:v>
      </x:c>
    </x:row>
    <x:row r="21" ht="18" customHeight="1">
      <x:c r="A21" s="24" t="str">
        <x:v>EEZ_233</x:v>
      </x:c>
      <x:c r="B21" s="24" t="str">
        <x:v>Estonia</x:v>
      </x:c>
      <x:c r="C21" s="24" t="str">
        <x:v>EEZ</x:v>
      </x:c>
      <x:c r="D21" s="30" t="n">
        <x:v>2019</x:v>
      </x:c>
      <x:c r="E21" s="24" t="str">
        <x:v>Salmo trutta</x:v>
      </x:c>
      <x:c r="F21" s="24" t="str">
        <x:v>Sea trout</x:v>
      </x:c>
      <x:c r="G21" s="24" t="str">
        <x:v>Large pelagics (&gt;=90 cm)</x:v>
      </x:c>
      <x:c r="H21" s="24" t="str">
        <x:v>Salmon, smelts, etc</x:v>
      </x:c>
      <x:c r="I21" s="31" t="n">
        <x:v>24.4901479247</x:v>
      </x:c>
      <x:c r="J21" s="31" t="n">
        <x:v>23.3861691898</x:v>
      </x:c>
      <x:c r="K21" s="31" t="n">
        <x:v>1.1039787348999999</x:v>
      </x:c>
      <x:c r="L21" s="31" t="n">
        <x:v>14.1842406242</x:v>
      </x:c>
      <x:c r="M21" s="31" t="n">
        <x:v>10.305907300500001</x:v>
      </x:c>
      <x:c r="N21" s="24" t="str">
        <x:v>salmo trutta</x:v>
      </x:c>
      <x:c r="O21" s="32" t="n">
        <x:v>3.36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Salmo trutta</x:v>
      </x:c>
      <x:c r="T21" s="32" t="n">
        <x:f>IF(O21="","",(1/'Metadata'!$B$5)^(O21-1))</x:f>
        <x:v>229.08676527677724</x:v>
      </x:c>
      <x:c r="U21" s="31" t="n">
        <x:f>IF(T21="","",I21*T21)</x:f>
        <x:v>5610.3687692193025</x:v>
      </x:c>
    </x:row>
    <x:row r="22" ht="18" customHeight="1">
      <x:c r="A22" s="24" t="str">
        <x:v>EEZ_233</x:v>
      </x:c>
      <x:c r="B22" s="24" t="str">
        <x:v>Estonia</x:v>
      </x:c>
      <x:c r="C22" s="24" t="str">
        <x:v>EEZ</x:v>
      </x:c>
      <x:c r="D22" s="30" t="n">
        <x:v>2019</x:v>
      </x:c>
      <x:c r="E22" s="24" t="str">
        <x:v>Leuciscus idus</x:v>
      </x:c>
      <x:c r="F22" s="24" t="str">
        <x:v>Ide</x:v>
      </x:c>
      <x:c r="G22" s="24" t="str">
        <x:v>Medium benthopelagics (30 - 89 cm)</x:v>
      </x:c>
      <x:c r="H22" s="24" t="str">
        <x:v>Other fishes &amp; inverts</x:v>
      </x:c>
      <x:c r="I22" s="31" t="n">
        <x:v>21.2847461972</x:v>
      </x:c>
      <x:c r="J22" s="31" t="n">
        <x:v>19.8713018344</x:v>
      </x:c>
      <x:c r="K22" s="31" t="n">
        <x:v>1.4134443628000002</x:v>
      </x:c>
      <x:c r="L22" s="31" t="n">
        <x:v>17.9688623746</x:v>
      </x:c>
      <x:c r="M22" s="31" t="n">
        <x:v>3.3158838226</x:v>
      </x:c>
      <x:c r="N22" s="24" t="str">
        <x:v>leuciscus idus</x:v>
      </x:c>
      <x:c r="O22" s="32" t="n">
        <x:v>3.79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Leuciscus idus</x:v>
      </x:c>
      <x:c r="T22" s="32" t="n">
        <x:f>IF(O22="","",(1/'Metadata'!$B$5)^(O22-1))</x:f>
        <x:v>616.5950018614822</x:v>
      </x:c>
      <x:c r="U22" s="31" t="n">
        <x:f>IF(T22="","",I22*T22)</x:f>
        <x:v>13124.06812108371</x:v>
      </x:c>
    </x:row>
    <x:row r="23" ht="18" customHeight="1">
      <x:c r="A23" s="24" t="str">
        <x:v>EEZ_233</x:v>
      </x:c>
      <x:c r="B23" s="24" t="str">
        <x:v>Estonia</x:v>
      </x:c>
      <x:c r="C23" s="24" t="str">
        <x:v>EEZ</x:v>
      </x:c>
      <x:c r="D23" s="30" t="n">
        <x:v>2019</x:v>
      </x:c>
      <x:c r="E23" s="24" t="str">
        <x:v>Coregonus</x:v>
      </x:c>
      <x:c r="F23" s="24" t="str">
        <x:v>Whitefishes</x:v>
      </x:c>
      <x:c r="G23" s="24" t="str">
        <x:v>Medium pelagics (30 - 89 cm)</x:v>
      </x:c>
      <x:c r="H23" s="24" t="str">
        <x:v>Salmon, smelts, etc</x:v>
      </x:c>
      <x:c r="I23" s="31" t="n">
        <x:v>15.913684584</x:v>
      </x:c>
      <x:c r="J23" s="31" t="n">
        <x:v>15.1079960823</x:v>
      </x:c>
      <x:c r="K23" s="31" t="n">
        <x:v>0.8056885017</x:v>
      </x:c>
      <x:c r="L23" s="31" t="n">
        <x:v>13.7335192042</x:v>
      </x:c>
      <x:c r="M23" s="31" t="n">
        <x:v>2.1801653798</x:v>
      </x:c>
      <x:c r="N23" s="24" t="str">
        <x:v>coregonus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Coregonus</x:v>
      </x:c>
      <x:c r="T23" s="32" t="n">
        <x:f>IF(O23="","",(1/'Metadata'!$B$5)^(O23-1))</x:f>
        <x:v>199.52623149688787</x:v>
      </x:c>
      <x:c r="U23" s="31" t="n">
        <x:f>IF(T23="","",I23*T23)</x:f>
        <x:v>3175.19751427564</x:v>
      </x:c>
    </x:row>
    <x:row r="24" ht="18" customHeight="1">
      <x:c r="A24" s="24" t="str">
        <x:v>EEZ_233</x:v>
      </x:c>
      <x:c r="B24" s="24" t="str">
        <x:v>Estonia</x:v>
      </x:c>
      <x:c r="C24" s="24" t="str">
        <x:v>EEZ</x:v>
      </x:c>
      <x:c r="D24" s="30" t="n">
        <x:v>2019</x:v>
      </x:c>
      <x:c r="E24" s="24" t="str">
        <x:v>Gasterosteus aculeatus</x:v>
      </x:c>
      <x:c r="F24" s="24" t="str">
        <x:v>Three-spined stickleback</x:v>
      </x:c>
      <x:c r="G24" s="24" t="str">
        <x:v>Small benthopelagics (&lt;30 cm)</x:v>
      </x:c>
      <x:c r="H24" s="24" t="str">
        <x:v>Other fishes &amp; inverts</x:v>
      </x:c>
      <x:c r="I24" s="31" t="n">
        <x:v>9.3446182052</x:v>
      </x:c>
      <x:c r="J24" s="31" t="n">
        <x:v>8.7718148625</x:v>
      </x:c>
      <x:c r="K24" s="31" t="n">
        <x:v>0.5728033427</x:v>
      </x:c>
      <x:c r="L24" s="31" t="n">
        <x:v>7.8392112235</x:v>
      </x:c>
      <x:c r="M24" s="31" t="n">
        <x:v>1.5054069817</x:v>
      </x:c>
      <x:c r="N24" s="24" t="str">
        <x:v>gasterosteus aculeatus</x:v>
      </x:c>
      <x:c r="O24" s="32" t="n">
        <x:v>3.31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Gasterosteus aculeatus</x:v>
      </x:c>
      <x:c r="T24" s="32" t="n">
        <x:f>IF(O24="","",(1/'Metadata'!$B$5)^(O24-1))</x:f>
        <x:v>204.17379446695296</x:v>
      </x:c>
      <x:c r="U24" s="31" t="n">
        <x:f>IF(T24="","",I24*T24)</x:f>
        <x:v>1907.9261568006516</x:v>
      </x:c>
    </x:row>
    <x:row r="25" ht="18" customHeight="1">
      <x:c r="A25" s="24" t="str">
        <x:v>EEZ_233</x:v>
      </x:c>
      <x:c r="B25" s="24" t="str">
        <x:v>Estonia</x:v>
      </x:c>
      <x:c r="C25" s="24" t="str">
        <x:v>EEZ</x:v>
      </x:c>
      <x:c r="D25" s="30" t="n">
        <x:v>2019</x:v>
      </x:c>
      <x:c r="E25" s="24" t="str">
        <x:v>Marine finfishes not identified</x:v>
      </x:c>
      <x:c r="F25" s="24" t="str">
        <x:v>Finfishes</x:v>
      </x:c>
      <x:c r="G25" s="24" t="str">
        <x:v>Medium demersals (30 - 89 cm)</x:v>
      </x:c>
      <x:c r="H25" s="24" t="str">
        <x:v>Other fishes &amp; inverts</x:v>
      </x:c>
      <x:c r="I25" s="31" t="n">
        <x:v>3.4471186487</x:v>
      </x:c>
      <x:c r="J25" s="31" t="n">
        <x:v>2.227535162</x:v>
      </x:c>
      <x:c r="K25" s="31" t="n">
        <x:v>1.2195834867</x:v>
      </x:c>
      <x:c r="L25" s="31" t="n">
        <x:v>0</x:v>
      </x:c>
      <x:c r="M25" s="31" t="n">
        <x:v>3.4471186487</x:v>
      </x:c>
      <x:c r="N25" s="24" t="str">
        <x:v>marine finfishes not identified</x:v>
      </x:c>
      <x:c r="O25" s="32" t="n">
        <x:v>3.23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finfishes not identified</x:v>
      </x:c>
      <x:c r="T25" s="32" t="n">
        <x:f>IF(O25="","",(1/'Metadata'!$B$5)^(O25-1))</x:f>
        <x:v>169.82436524617444</x:v>
      </x:c>
      <x:c r="U25" s="31" t="n">
        <x:f>IF(T25="","",I25*T25)</x:f>
        <x:v>585.4047364437281</x:v>
      </x:c>
    </x:row>
    <x:row r="26" ht="18" customHeight="1">
      <x:c r="A26" s="24" t="str">
        <x:v>EEZ_233</x:v>
      </x:c>
      <x:c r="B26" s="24" t="str">
        <x:v>Estonia</x:v>
      </x:c>
      <x:c r="C26" s="24" t="str">
        <x:v>EEZ</x:v>
      </x:c>
      <x:c r="D26" s="30" t="n">
        <x:v>2019</x:v>
      </x:c>
      <x:c r="E26" s="24" t="str">
        <x:v>Petromyzontidae</x:v>
      </x:c>
      <x:c r="F26" s="24" t="str">
        <x:v>Lampreys</x:v>
      </x:c>
      <x:c r="G26" s="24" t="str">
        <x:v>Large demersals (&gt;=90 cm)</x:v>
      </x:c>
      <x:c r="H26" s="24" t="str">
        <x:v>Other fishes &amp; inverts</x:v>
      </x:c>
      <x:c r="I26" s="31" t="n">
        <x:v>1.61868013</x:v>
      </x:c>
      <x:c r="J26" s="31" t="n">
        <x:v>1.0164702181</x:v>
      </x:c>
      <x:c r="K26" s="31" t="n">
        <x:v>0.6022099119</x:v>
      </x:c>
      <x:c r="L26" s="31" t="n">
        <x:v>0.04454208</x:v>
      </x:c>
      <x:c r="M26" s="31" t="n">
        <x:v>1.57413805</x:v>
      </x:c>
      <x:c r="N26" s="24" t="str">
        <x:v>petromyzontidae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Petromyzontidae</x:v>
      </x:c>
      <x:c r="T26" s="32" t="n">
        <x:f>IF(O26="","",(1/'Metadata'!$B$5)^(O26-1))</x:f>
        <x:v>1000</x:v>
      </x:c>
      <x:c r="U26" s="31" t="n">
        <x:f>IF(T26="","",I26*T26)</x:f>
        <x:v>1618.68013</x:v>
      </x:c>
    </x:row>
    <x:row r="27" ht="18" customHeight="1">
      <x:c r="A27" s="24" t="str">
        <x:v>EEZ_233</x:v>
      </x:c>
      <x:c r="B27" s="24" t="str">
        <x:v>Estonia</x:v>
      </x:c>
      <x:c r="C27" s="24" t="str">
        <x:v>EEZ</x:v>
      </x:c>
      <x:c r="D27" s="30" t="n">
        <x:v>2019</x:v>
      </x:c>
      <x:c r="E27" s="24" t="str">
        <x:v>Tinca tinca</x:v>
      </x:c>
      <x:c r="F27" s="24" t="str">
        <x:v>Tench</x:v>
      </x:c>
      <x:c r="G27" s="24" t="str">
        <x:v>Medium demersals (30 - 89 cm)</x:v>
      </x:c>
      <x:c r="H27" s="24" t="str">
        <x:v>Other fishes &amp; inverts</x:v>
      </x:c>
      <x:c r="I27" s="31" t="n">
        <x:v>1.4452649089</x:v>
      </x:c>
      <x:c r="J27" s="31" t="n">
        <x:v>1.3819246044</x:v>
      </x:c>
      <x:c r="K27" s="31" t="n">
        <x:v>0.0633403045</x:v>
      </x:c>
      <x:c r="L27" s="31" t="n">
        <x:v>1.3206566209</x:v>
      </x:c>
      <x:c r="M27" s="31" t="n">
        <x:v>0.124608288</x:v>
      </x:c>
      <x:c r="N27" s="24" t="str">
        <x:v>tinca tinca</x:v>
      </x:c>
      <x:c r="O27" s="32" t="n">
        <x:v>3.69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Tinca tinca</x:v>
      </x:c>
      <x:c r="T27" s="32" t="n">
        <x:f>IF(O27="","",(1/'Metadata'!$B$5)^(O27-1))</x:f>
        <x:v>489.77881936844614</x:v>
      </x:c>
      <x:c r="U27" s="31" t="n">
        <x:f>IF(T27="","",I27*T27)</x:f>
        <x:v>707.8601407556869</x:v>
      </x:c>
    </x:row>
    <x:row r="28" ht="18" customHeight="1">
      <x:c r="A28" s="24" t="str">
        <x:v>EEZ_233</x:v>
      </x:c>
      <x:c r="B28" s="24" t="str">
        <x:v>Estonia</x:v>
      </x:c>
      <x:c r="C28" s="24" t="str">
        <x:v>EEZ</x:v>
      </x:c>
      <x:c r="D28" s="30" t="n">
        <x:v>2019</x:v>
      </x:c>
      <x:c r="E28" s="24" t="str">
        <x:v>Lota lota</x:v>
      </x:c>
      <x:c r="F28" s="24" t="str">
        <x:v>Burbot</x:v>
      </x:c>
      <x:c r="G28" s="24" t="str">
        <x:v>Large demersals (&gt;=90 cm)</x:v>
      </x:c>
      <x:c r="H28" s="24" t="str">
        <x:v>Cod-likes</x:v>
      </x:c>
      <x:c r="I28" s="31" t="n">
        <x:v>1.2932316622</x:v>
      </x:c>
      <x:c r="J28" s="31" t="n">
        <x:v>1.0548102048</x:v>
      </x:c>
      <x:c r="K28" s="31" t="n">
        <x:v>0.2384214574</x:v>
      </x:c>
      <x:c r="L28" s="31" t="n">
        <x:v>0.7731815692</x:v>
      </x:c>
      <x:c r="M28" s="31" t="n">
        <x:v>0.520050093</x:v>
      </x:c>
      <x:c r="N28" s="24" t="str">
        <x:v>lota lota</x:v>
      </x:c>
      <x:c r="O28" s="32" t="n">
        <x:v>3.84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Lota lota</x:v>
      </x:c>
      <x:c r="T28" s="32" t="n">
        <x:f>IF(O28="","",(1/'Metadata'!$B$5)^(O28-1))</x:f>
        <x:v>691.8309709189363</x:v>
      </x:c>
      <x:c r="U28" s="31" t="n">
        <x:f>IF(T28="","",I28*T28)</x:f>
        <x:v>894.6977164829358</x:v>
      </x:c>
    </x:row>
    <x:row r="29" ht="18" customHeight="1">
      <x:c r="A29" s="24" t="str">
        <x:v>EEZ_233</x:v>
      </x:c>
      <x:c r="B29" s="24" t="str">
        <x:v>Estonia</x:v>
      </x:c>
      <x:c r="C29" s="24" t="str">
        <x:v>EEZ</x:v>
      </x:c>
      <x:c r="D29" s="30" t="n">
        <x:v>2019</x:v>
      </x:c>
      <x:c r="E29" s="24" t="str">
        <x:v>Anguilla anguilla</x:v>
      </x:c>
      <x:c r="F29" s="24" t="str">
        <x:v>European eel</x:v>
      </x:c>
      <x:c r="G29" s="24" t="str">
        <x:v>Large demersals (&gt;=90 cm)</x:v>
      </x:c>
      <x:c r="H29" s="24" t="str">
        <x:v>Other fishes &amp; inverts</x:v>
      </x:c>
      <x:c r="I29" s="31" t="n">
        <x:v>1.0912527676</x:v>
      </x:c>
      <x:c r="J29" s="31" t="n">
        <x:v>0.9847594038</x:v>
      </x:c>
      <x:c r="K29" s="31" t="n">
        <x:v>0.10649336379999999</x:v>
      </x:c>
      <x:c r="L29" s="31" t="n">
        <x:v>0.6545072425</x:v>
      </x:c>
      <x:c r="M29" s="31" t="n">
        <x:v>0.4367455251</x:v>
      </x:c>
      <x:c r="N29" s="24" t="str">
        <x:v>anguilla anguilla</x:v>
      </x:c>
      <x:c r="O29" s="32" t="n">
        <x:v>3.55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Anguilla anguilla</x:v>
      </x:c>
      <x:c r="T29" s="32" t="n">
        <x:f>IF(O29="","",(1/'Metadata'!$B$5)^(O29-1))</x:f>
        <x:v>354.8133892335753</x:v>
      </x:c>
      <x:c r="U29" s="31" t="n">
        <x:f>IF(T29="","",I29*T29)</x:f>
        <x:v>387.19109298267506</x:v>
      </x:c>
    </x:row>
    <x:row r="30" ht="18" customHeight="1">
      <x:c r="A30" s="24" t="str">
        <x:v>EEZ_233</x:v>
      </x:c>
      <x:c r="B30" s="24" t="str">
        <x:v>Estonia</x:v>
      </x:c>
      <x:c r="C30" s="24" t="str">
        <x:v>EEZ</x:v>
      </x:c>
      <x:c r="D30" s="30" t="n">
        <x:v>2019</x:v>
      </x:c>
      <x:c r="E30" s="24" t="str">
        <x:v>Scophthalmus maximus</x:v>
      </x:c>
      <x:c r="F30" s="24" t="str">
        <x:v>Turbot</x:v>
      </x:c>
      <x:c r="G30" s="24" t="str">
        <x:v>Large flatfishes (&gt;=90 cm)</x:v>
      </x:c>
      <x:c r="H30" s="24" t="str">
        <x:v>Flatfishes</x:v>
      </x:c>
      <x:c r="I30" s="31" t="n">
        <x:v>1.048558287</x:v>
      </x:c>
      <x:c r="J30" s="31" t="n">
        <x:v>0.6430699276</x:v>
      </x:c>
      <x:c r="K30" s="31" t="n">
        <x:v>0.4054883594</x:v>
      </x:c>
      <x:c r="L30" s="31" t="n">
        <x:v>0.6144353618</x:v>
      </x:c>
      <x:c r="M30" s="31" t="n">
        <x:v>0.43412292519999995</x:v>
      </x:c>
      <x:c r="N30" s="24" t="str">
        <x:v>scophthalmus maximus</x:v>
      </x:c>
      <x:c r="O30" s="32" t="n">
        <x:v>4.36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Scophthalmus maximus</x:v>
      </x:c>
      <x:c r="T30" s="32" t="n">
        <x:f>IF(O30="","",(1/'Metadata'!$B$5)^(O30-1))</x:f>
        <x:v>2290.867652767775</x:v>
      </x:c>
      <x:c r="U30" s="31" t="n">
        <x:f>IF(T30="","",I30*T30)</x:f>
        <x:v>2402.108261729889</x:v>
      </x:c>
    </x:row>
    <x:row r="31" ht="18" customHeight="1">
      <x:c r="A31" s="24" t="str">
        <x:v>EEZ_233</x:v>
      </x:c>
      <x:c r="B31" s="24" t="str">
        <x:v>Estonia</x:v>
      </x:c>
      <x:c r="C31" s="24" t="str">
        <x:v>EEZ</x:v>
      </x:c>
      <x:c r="D31" s="30" t="n">
        <x:v>2019</x:v>
      </x:c>
      <x:c r="E31" s="24" t="str">
        <x:v>Carassius carassius</x:v>
      </x:c>
      <x:c r="F31" s="24" t="str">
        <x:v>Crucian carp</x:v>
      </x:c>
      <x:c r="G31" s="24" t="str">
        <x:v>Medium demersals (30 - 89 cm)</x:v>
      </x:c>
      <x:c r="H31" s="24" t="str">
        <x:v>Other fishes &amp; inverts</x:v>
      </x:c>
      <x:c r="I31" s="31" t="n">
        <x:v>1.0418140718</x:v>
      </x:c>
      <x:c r="J31" s="31" t="n">
        <x:v>0.8780120763</x:v>
      </x:c>
      <x:c r="K31" s="31" t="n">
        <x:v>0.16380199550000002</x:v>
      </x:c>
      <x:c r="L31" s="31" t="n">
        <x:v>0.6923191283</x:v>
      </x:c>
      <x:c r="M31" s="31" t="n">
        <x:v>0.34949494350000004</x:v>
      </x:c>
      <x:c r="N31" s="24" t="str">
        <x:v>carassius carassius</x:v>
      </x:c>
      <x:c r="O31" s="32" t="n">
        <x:v>3.11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Carassius carassius</x:v>
      </x:c>
      <x:c r="T31" s="32" t="n">
        <x:f>IF(O31="","",(1/'Metadata'!$B$5)^(O31-1))</x:f>
        <x:v>128.82495516931337</x:v>
      </x:c>
      <x:c r="U31" s="31" t="n">
        <x:f>IF(T31="","",I31*T31)</x:f>
        <x:v>134.21165109439482</x:v>
      </x:c>
    </x:row>
    <x:row r="32" ht="18" customHeight="1">
      <x:c r="A32" s="24" t="str">
        <x:v>EEZ_233</x:v>
      </x:c>
      <x:c r="B32" s="24" t="str">
        <x:v>Estonia</x:v>
      </x:c>
      <x:c r="C32" s="24" t="str">
        <x:v>EEZ</x:v>
      </x:c>
      <x:c r="D32" s="30" t="n">
        <x:v>2019</x:v>
      </x:c>
      <x:c r="E32" s="24" t="str">
        <x:v>Perciformes</x:v>
      </x:c>
      <x:c r="F32" s="24" t="str">
        <x:v>Perch-likes</x:v>
      </x:c>
      <x:c r="G32" s="24" t="str">
        <x:v>Medium demersals (30 - 89 cm)</x:v>
      </x:c>
      <x:c r="H32" s="24" t="str">
        <x:v>Perch-likes</x:v>
      </x:c>
      <x:c r="I32" s="31" t="n">
        <x:v>1.0416876378</x:v>
      </x:c>
      <x:c r="J32" s="31" t="n">
        <x:v>0.6431745468</x:v>
      </x:c>
      <x:c r="K32" s="31" t="n">
        <x:v>0.398513091</x:v>
      </x:c>
      <x:c r="L32" s="31" t="n">
        <x:v>0</x:v>
      </x:c>
      <x:c r="M32" s="31" t="n">
        <x:v>1.0416876378</x:v>
      </x:c>
      <x:c r="N32" s="24" t="str">
        <x:v>perciformes</x:v>
      </x:c>
      <x:c r="O32" s="32" t="n">
        <x:v>3.53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Perciformes</x:v>
      </x:c>
      <x:c r="T32" s="32" t="n">
        <x:f>IF(O32="","",(1/'Metadata'!$B$5)^(O32-1))</x:f>
        <x:v>338.84415613920237</x:v>
      </x:c>
      <x:c r="U32" s="31" t="n">
        <x:f>IF(T32="","",I32*T32)</x:f>
        <x:v>352.9697685909801</x:v>
      </x:c>
    </x:row>
    <x:row r="33" ht="18" customHeight="1">
      <x:c r="A33" s="24" t="str">
        <x:v>EEZ_233</x:v>
      </x:c>
      <x:c r="B33" s="24" t="str">
        <x:v>Estonia</x:v>
      </x:c>
      <x:c r="C33" s="24" t="str">
        <x:v>EEZ</x:v>
      </x:c>
      <x:c r="D33" s="30" t="n">
        <x:v>2019</x:v>
      </x:c>
      <x:c r="E33" s="24" t="str">
        <x:v>Scardinius erythrophthalmus</x:v>
      </x:c>
      <x:c r="F33" s="24" t="str">
        <x:v>Rudd</x:v>
      </x:c>
      <x:c r="G33" s="24" t="str">
        <x:v>Medium benthopelagics (30 - 89 cm)</x:v>
      </x:c>
      <x:c r="H33" s="24" t="str">
        <x:v>Other fishes &amp; inverts</x:v>
      </x:c>
      <x:c r="I33" s="31" t="n">
        <x:v>0.995495447</x:v>
      </x:c>
      <x:c r="J33" s="31" t="n">
        <x:v>0.9407670739999999</x:v>
      </x:c>
      <x:c r="K33" s="31" t="n">
        <x:v>0.054728373</x:v>
      </x:c>
      <x:c r="L33" s="31" t="n">
        <x:v>0.8800540649999999</x:v>
      </x:c>
      <x:c r="M33" s="31" t="n">
        <x:v>0.115441382</x:v>
      </x:c>
      <x:c r="N33" s="24" t="str">
        <x:v>scardinius erythrophthalmus</x:v>
      </x:c>
      <x:c r="O33" s="32" t="n">
        <x:v>2.89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Scardinius erythrophthalmus</x:v>
      </x:c>
      <x:c r="T33" s="32" t="n">
        <x:f>IF(O33="","",(1/'Metadata'!$B$5)^(O33-1))</x:f>
        <x:v>77.6247116628692</x:v>
      </x:c>
      <x:c r="U33" s="31" t="n">
        <x:f>IF(T33="","",I33*T33)</x:f>
        <x:v>77.2750470350741</x:v>
      </x:c>
    </x:row>
    <x:row r="34" ht="18" customHeight="1">
      <x:c r="A34" s="24" t="str">
        <x:v>EEZ_233</x:v>
      </x:c>
      <x:c r="B34" s="24" t="str">
        <x:v>Estonia</x:v>
      </x:c>
      <x:c r="C34" s="24" t="str">
        <x:v>EEZ</x:v>
      </x:c>
      <x:c r="D34" s="30" t="n">
        <x:v>2019</x:v>
      </x:c>
      <x:c r="E34" s="24" t="str">
        <x:v>Coregonus albula</x:v>
      </x:c>
      <x:c r="F34" s="24" t="str">
        <x:v>Vendace</x:v>
      </x:c>
      <x:c r="G34" s="24" t="str">
        <x:v>Medium pelagics (30 - 89 cm)</x:v>
      </x:c>
      <x:c r="H34" s="24" t="str">
        <x:v>Salmon, smelts, etc</x:v>
      </x:c>
      <x:c r="I34" s="31" t="n">
        <x:v>0.5578576511</x:v>
      </x:c>
      <x:c r="J34" s="31" t="n">
        <x:v>0.3444409139</x:v>
      </x:c>
      <x:c r="K34" s="31" t="n">
        <x:v>0.2134167372</x:v>
      </x:c>
      <x:c r="L34" s="31" t="n">
        <x:v>0</x:v>
      </x:c>
      <x:c r="M34" s="31" t="n">
        <x:v>0.5578576511</x:v>
      </x:c>
      <x:c r="N34" s="24" t="str">
        <x:v>coregonus albula</x:v>
      </x:c>
      <x:c r="O34" s="32" t="n">
        <x:v>3.06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Coregonus albula</x:v>
      </x:c>
      <x:c r="T34" s="32" t="n">
        <x:f>IF(O34="","",(1/'Metadata'!$B$5)^(O34-1))</x:f>
        <x:v>114.81536214968828</x:v>
      </x:c>
      <x:c r="U34" s="31" t="n">
        <x:f>IF(T34="","",I34*T34)</x:f>
        <x:v>64.05062823902095</x:v>
      </x:c>
    </x:row>
    <x:row r="35" ht="18" customHeight="1">
      <x:c r="A35" s="24" t="str">
        <x:v>EEZ_233</x:v>
      </x:c>
      <x:c r="B35" s="24" t="str">
        <x:v>Estonia</x:v>
      </x:c>
      <x:c r="C35" s="24" t="str">
        <x:v>EEZ</x:v>
      </x:c>
      <x:c r="D35" s="30" t="n">
        <x:v>2019</x:v>
      </x:c>
      <x:c r="E35" s="24" t="str">
        <x:v>Pelecus cultratus</x:v>
      </x:c>
      <x:c r="F35" s="24" t="str">
        <x:v>Sichel</x:v>
      </x:c>
      <x:c r="G35" s="24" t="str">
        <x:v>Medium pelagics (30 - 89 cm)</x:v>
      </x:c>
      <x:c r="H35" s="24" t="str">
        <x:v>Other fishes &amp; inverts</x:v>
      </x:c>
      <x:c r="I35" s="31" t="n">
        <x:v>0.4425486621</x:v>
      </x:c>
      <x:c r="J35" s="31" t="n">
        <x:v>0.27324509249999995</x:v>
      </x:c>
      <x:c r="K35" s="31" t="n">
        <x:v>0.1693035696</x:v>
      </x:c>
      <x:c r="L35" s="31" t="n">
        <x:v>0</x:v>
      </x:c>
      <x:c r="M35" s="31" t="n">
        <x:v>0.4425486621</x:v>
      </x:c>
      <x:c r="N35" s="24" t="str">
        <x:v>pelecus cultratus</x:v>
      </x:c>
      <x:c r="O35" s="32" t="n">
        <x:v>3.33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Pelecus cultratus</x:v>
      </x:c>
      <x:c r="T35" s="32" t="n">
        <x:f>IF(O35="","",(1/'Metadata'!$B$5)^(O35-1))</x:f>
        <x:v>213.79620895022325</x:v>
      </x:c>
      <x:c r="U35" s="31" t="n">
        <x:f>IF(T35="","",I35*T35)</x:f>
        <x:v>94.61522623297334</x:v>
      </x:c>
    </x:row>
    <x:row r="36" ht="18" customHeight="1">
      <x:c r="A36" s="24" t="str">
        <x:v>EEZ_233</x:v>
      </x:c>
      <x:c r="B36" s="24" t="str">
        <x:v>Estonia</x:v>
      </x:c>
      <x:c r="C36" s="24" t="str">
        <x:v>EEZ</x:v>
      </x:c>
      <x:c r="D36" s="30" t="n">
        <x:v>2019</x:v>
      </x:c>
      <x:c r="E36" s="24" t="str">
        <x:v>Cyprinus carpio</x:v>
      </x:c>
      <x:c r="F36" s="24" t="str">
        <x:v>Common carp</x:v>
      </x:c>
      <x:c r="G36" s="24" t="str">
        <x:v>Large benthopelagics (&gt;=90 cm)</x:v>
      </x:c>
      <x:c r="H36" s="24" t="str">
        <x:v>Other fishes &amp; inverts</x:v>
      </x:c>
      <x:c r="I36" s="31" t="n">
        <x:v>0.19637961150000002</x:v>
      </x:c>
      <x:c r="J36" s="31" t="n">
        <x:v>0.19637961150000002</x:v>
      </x:c>
      <x:c r="K36" s="31" t="n">
        <x:v>0</x:v>
      </x:c>
      <x:c r="L36" s="31" t="n">
        <x:v>0.19637961150000002</x:v>
      </x:c>
      <x:c r="M36" s="31" t="n">
        <x:v>0</x:v>
      </x:c>
      <x:c r="N36" s="24" t="str">
        <x:v>cyprinus carpio</x:v>
      </x:c>
      <x:c r="O36" s="32" t="n">
        <x:v>3.06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Cyprinus carpio</x:v>
      </x:c>
      <x:c r="T36" s="32" t="n">
        <x:f>IF(O36="","",(1/'Metadata'!$B$5)^(O36-1))</x:f>
        <x:v>114.81536214968828</x:v>
      </x:c>
      <x:c r="U36" s="31" t="n">
        <x:f>IF(T36="","",I36*T36)</x:f>
        <x:v>22.547396213187593</x:v>
      </x:c>
    </x:row>
    <x:row r="37" ht="18" customHeight="1">
      <x:c r="A37" s="24" t="str">
        <x:v>EEZ_233</x:v>
      </x:c>
      <x:c r="B37" s="24" t="str">
        <x:v>Estonia</x:v>
      </x:c>
      <x:c r="C37" s="24" t="str">
        <x:v>EEZ</x:v>
      </x:c>
      <x:c r="D37" s="30" t="n">
        <x:v>2019</x:v>
      </x:c>
      <x:c r="E37" s="24" t="str">
        <x:v>Salmo</x:v>
      </x:c>
      <x:c r="F37" s="24" t="str">
        <x:v>Trouts</x:v>
      </x:c>
      <x:c r="G37" s="24" t="str">
        <x:v>Large benthopelagics (&gt;=90 cm)</x:v>
      </x:c>
      <x:c r="H37" s="24" t="str">
        <x:v>Salmon, smelts, etc</x:v>
      </x:c>
      <x:c r="I37" s="31" t="n">
        <x:v>0.1359194427</x:v>
      </x:c>
      <x:c r="J37" s="31" t="n">
        <x:v>0.1027304788</x:v>
      </x:c>
      <x:c r="K37" s="31" t="n">
        <x:v>0.0331889639</x:v>
      </x:c>
      <x:c r="L37" s="31" t="n">
        <x:v>0.029729972700000003</x:v>
      </x:c>
      <x:c r="M37" s="31" t="n">
        <x:v>0.10618946999999998</x:v>
      </x:c>
      <x:c r="N37" s="24" t="str">
        <x:v>salmo</x:v>
      </x:c>
      <x:c r="O37" s="32" t="n">
        <x:v>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Salmo</x:v>
      </x:c>
      <x:c r="T37" s="32" t="n">
        <x:f>IF(O37="","",(1/'Metadata'!$B$5)^(O37-1))</x:f>
        <x:v>1000</x:v>
      </x:c>
      <x:c r="U37" s="31" t="n">
        <x:f>IF(T37="","",I37*T37)</x:f>
        <x:v>135.9194427</x:v>
      </x:c>
    </x:row>
    <x:row r="38" ht="18" customHeight="1">
      <x:c r="A38" s="24" t="str">
        <x:v>EEZ_233</x:v>
      </x:c>
      <x:c r="B38" s="24" t="str">
        <x:v>Estonia</x:v>
      </x:c>
      <x:c r="C38" s="24" t="str">
        <x:v>EEZ</x:v>
      </x:c>
      <x:c r="D38" s="30" t="n">
        <x:v>2019</x:v>
      </x:c>
      <x:c r="E38" s="24" t="str">
        <x:v>Limanda limanda</x:v>
      </x:c>
      <x:c r="F38" s="24" t="str">
        <x:v>Common dab</x:v>
      </x:c>
      <x:c r="G38" s="24" t="str">
        <x:v>Small to medium flatfishes (&lt;90 cm)</x:v>
      </x:c>
      <x:c r="H38" s="24" t="str">
        <x:v>Flatfishes</x:v>
      </x:c>
      <x:c r="I38" s="31" t="n">
        <x:v>0.053888635000000004</x:v>
      </x:c>
      <x:c r="J38" s="31" t="n">
        <x:v>0.0021845101</x:v>
      </x:c>
      <x:c r="K38" s="31" t="n">
        <x:v>0.0517041249</x:v>
      </x:c>
      <x:c r="L38" s="31" t="n">
        <x:v>0</x:v>
      </x:c>
      <x:c r="M38" s="31" t="n">
        <x:v>0.053888635000000004</x:v>
      </x:c>
      <x:c r="N38" s="24" t="str">
        <x:v>limanda limanda</x:v>
      </x:c>
      <x:c r="O38" s="32" t="n">
        <x:v>3.29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Limanda limanda</x:v>
      </x:c>
      <x:c r="T38" s="32" t="n">
        <x:f>IF(O38="","",(1/'Metadata'!$B$5)^(O38-1))</x:f>
        <x:v>194.98445997580455</x:v>
      </x:c>
      <x:c r="U38" s="31" t="n">
        <x:f>IF(T38="","",I38*T38)</x:f>
        <x:v>10.507446394308241</x:v>
      </x:c>
    </x:row>
    <x:row r="39" ht="18" customHeight="1">
      <x:c r="A39" s="24" t="str">
        <x:v>EEZ_233</x:v>
      </x:c>
      <x:c r="B39" s="24" t="str">
        <x:v>Estonia</x:v>
      </x:c>
      <x:c r="C39" s="24" t="str">
        <x:v>EEZ</x:v>
      </x:c>
      <x:c r="D39" s="30" t="n">
        <x:v>2019</x:v>
      </x:c>
      <x:c r="E39" s="24" t="str">
        <x:v>Osteichthyes</x:v>
      </x:c>
      <x:c r="F39" s="24" t="str">
        <x:v>Bony fishes</x:v>
      </x:c>
      <x:c r="G39" s="24" t="str">
        <x:v>Medium demersals (30 - 89 cm)</x:v>
      </x:c>
      <x:c r="H39" s="24" t="str">
        <x:v>Other fishes &amp; inverts</x:v>
      </x:c>
      <x:c r="I39" s="31" t="n">
        <x:v>0.0448833857</x:v>
      </x:c>
      <x:c r="J39" s="31" t="n">
        <x:v>0.0448833857</x:v>
      </x:c>
      <x:c r="K39" s="31" t="n">
        <x:v>0</x:v>
      </x:c>
      <x:c r="L39" s="31" t="n">
        <x:v>0.0448833857</x:v>
      </x:c>
      <x:c r="M39" s="31" t="n">
        <x:v>0</x:v>
      </x:c>
      <x:c r="N39" s="24" t="str">
        <x:v>osteichthyes</x:v>
      </x:c>
      <x:c r="O39" s="32" t="n">
        <x:v>3.79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Osteichthyes</x:v>
      </x:c>
      <x:c r="T39" s="32" t="n">
        <x:f>IF(O39="","",(1/'Metadata'!$B$5)^(O39-1))</x:f>
        <x:v>616.5950018614822</x:v>
      </x:c>
      <x:c r="U39" s="31" t="n">
        <x:f>IF(T39="","",I39*T39)</x:f>
        <x:v>27.67487128924112</x:v>
      </x:c>
    </x:row>
    <x:row r="40" ht="18" customHeight="1">
      <x:c r="A40" s="24" t="str">
        <x:v>EEZ_233</x:v>
      </x:c>
      <x:c r="B40" s="24" t="str">
        <x:v>Estonia</x:v>
      </x:c>
      <x:c r="C40" s="24" t="str">
        <x:v>EEZ</x:v>
      </x:c>
      <x:c r="D40" s="30" t="n">
        <x:v>2019</x:v>
      </x:c>
      <x:c r="E40" s="24" t="str">
        <x:v>Cyclopterus lumpus</x:v>
      </x:c>
      <x:c r="F40" s="24" t="str">
        <x:v>Lumpfish</x:v>
      </x:c>
      <x:c r="G40" s="24" t="str">
        <x:v>Medium benthopelagics (30 - 89 cm)</x:v>
      </x:c>
      <x:c r="H40" s="24" t="str">
        <x:v>Scorpionfishes</x:v>
      </x:c>
      <x:c r="I40" s="31" t="n">
        <x:v>0.0177601791</x:v>
      </x:c>
      <x:c r="J40" s="31" t="n">
        <x:v>0.016402418</x:v>
      </x:c>
      <x:c r="K40" s="31" t="n">
        <x:v>0.0013577611</x:v>
      </x:c>
      <x:c r="L40" s="31" t="n">
        <x:v>0.0136806572</x:v>
      </x:c>
      <x:c r="M40" s="31" t="n">
        <x:v>0.0040795219</x:v>
      </x:c>
      <x:c r="N40" s="24" t="str">
        <x:v>cyclopterus lumpus</x:v>
      </x:c>
      <x:c r="O40" s="32" t="n">
        <x:v>3.89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Cyclopterus lumpus</x:v>
      </x:c>
      <x:c r="T40" s="32" t="n">
        <x:f>IF(O40="","",(1/'Metadata'!$B$5)^(O40-1))</x:f>
        <x:v>776.247116628692</x:v>
      </x:c>
      <x:c r="U40" s="31" t="n">
        <x:f>IF(T40="","",I40*T40)</x:f>
        <x:v>13.786287817184157</x:v>
      </x:c>
    </x:row>
    <x:row r="41" ht="18" customHeight="1">
      <x:c r="A41" s="24" t="str">
        <x:v>EEZ_233</x:v>
      </x:c>
      <x:c r="B41" s="24" t="str">
        <x:v>Estonia</x:v>
      </x:c>
      <x:c r="C41" s="24" t="str">
        <x:v>EEZ</x:v>
      </x:c>
      <x:c r="D41" s="30" t="n">
        <x:v>2019</x:v>
      </x:c>
      <x:c r="E41" s="24" t="str">
        <x:v>Ammodytes tobianus</x:v>
      </x:c>
      <x:c r="F41" s="24" t="str">
        <x:v>Small sandeel</x:v>
      </x:c>
      <x:c r="G41" s="24" t="str">
        <x:v>Small demersals (&lt;30 cm)</x:v>
      </x:c>
      <x:c r="H41" s="24" t="str">
        <x:v>Perch-likes</x:v>
      </x:c>
      <x:c r="I41" s="31" t="n">
        <x:v>0.008699625</x:v>
      </x:c>
      <x:c r="J41" s="31" t="n">
        <x:v>0.008699625</x:v>
      </x:c>
      <x:c r="K41" s="31" t="n">
        <x:v>0</x:v>
      </x:c>
      <x:c r="L41" s="31" t="n">
        <x:v>0.008699625</x:v>
      </x:c>
      <x:c r="M41" s="31" t="n">
        <x:v>0</x:v>
      </x:c>
      <x:c r="N41" s="24" t="str">
        <x:v>ammodytes tobianus</x:v>
      </x:c>
      <x:c r="O41" s="32" t="n">
        <x:v>3.08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Ammodytes tobianus</x:v>
      </x:c>
      <x:c r="T41" s="32" t="n">
        <x:f>IF(O41="","",(1/'Metadata'!$B$5)^(O41-1))</x:f>
        <x:v>120.22644346174131</x:v>
      </x:c>
      <x:c r="U41" s="31" t="n">
        <x:f>IF(T41="","",I41*T41)</x:f>
        <x:v>1.0459249732008513</x:v>
      </x:c>
    </x:row>
    <x:row r="42" ht="18" customHeight="1">
      <x:c r="A42" s="24" t="str">
        <x:v>EEZ_233</x:v>
      </x:c>
      <x:c r="B42" s="24" t="str">
        <x:v>Estonia</x:v>
      </x:c>
      <x:c r="C42" s="24" t="str">
        <x:v>EEZ</x:v>
      </x:c>
      <x:c r="D42" s="30" t="n">
        <x:v>2019</x:v>
      </x:c>
      <x:c r="E42" s="24" t="str">
        <x:v>Pleuronectes platessa</x:v>
      </x:c>
      <x:c r="F42" s="24" t="str">
        <x:v>European plaice</x:v>
      </x:c>
      <x:c r="G42" s="24" t="str">
        <x:v>Large flatfishes (&gt;=90 cm)</x:v>
      </x:c>
      <x:c r="H42" s="24" t="str">
        <x:v>Flatfishes</x:v>
      </x:c>
      <x:c r="I42" s="31" t="n">
        <x:v>0.0048791366</x:v>
      </x:c>
      <x:c r="J42" s="31" t="n">
        <x:v>0.004445918</x:v>
      </x:c>
      <x:c r="K42" s="31" t="n">
        <x:v>0.00043321859999999996</x:v>
      </x:c>
      <x:c r="L42" s="31" t="n">
        <x:v>0.0042781665</x:v>
      </x:c>
      <x:c r="M42" s="31" t="n">
        <x:v>0.0006009701</x:v>
      </x:c>
      <x:c r="N42" s="24" t="str">
        <x:v>pleuronectes platessa</x:v>
      </x:c>
      <x:c r="O42" s="32" t="n">
        <x:v>3.26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Pleuronectes platessa</x:v>
      </x:c>
      <x:c r="T42" s="32" t="n">
        <x:f>IF(O42="","",(1/'Metadata'!$B$5)^(O42-1))</x:f>
        <x:v>181.97008586099827</x:v>
      </x:c>
      <x:c r="U42" s="31" t="n">
        <x:f>IF(T42="","",I42*T42)</x:f>
        <x:v>0.8878569060295393</x:v>
      </x:c>
    </x:row>
    <x:row r="43" ht="18" customHeight="1">
      <x:c r="A43" s="24" t="str">
        <x:v>EEZ_233</x:v>
      </x:c>
      <x:c r="B43" s="24" t="str">
        <x:v>Estonia</x:v>
      </x:c>
      <x:c r="C43" s="24" t="str">
        <x:v>EEZ</x:v>
      </x:c>
      <x:c r="D43" s="30" t="n">
        <x:v>2019</x:v>
      </x:c>
      <x:c r="E43" s="24" t="str">
        <x:v>Leuciscus aspius</x:v>
      </x:c>
      <x:c r="F43" s="24" t="str">
        <x:v>Asp</x:v>
      </x:c>
      <x:c r="G43" s="24" t="str">
        <x:v>Large benthopelagics (&gt;=90 cm)</x:v>
      </x:c>
      <x:c r="H43" s="24" t="str">
        <x:v>Other fishes &amp; inverts</x:v>
      </x:c>
      <x:c r="I43" s="31" t="n">
        <x:v>0.0026797183</x:v>
      </x:c>
      <x:c r="J43" s="31" t="n">
        <x:v>0.0013398592</x:v>
      </x:c>
      <x:c r="K43" s="31" t="n">
        <x:v>0.0013398591</x:v>
      </x:c>
      <x:c r="L43" s="31" t="n">
        <x:v>0</x:v>
      </x:c>
      <x:c r="M43" s="31" t="n">
        <x:v>0.0026797183</x:v>
      </x:c>
      <x:c r="N43" s="24" t="str">
        <x:v>leuciscus aspius</x:v>
      </x:c>
      <x:c r="O43" s="32" t="n">
        <x:v>4.47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Leuciscus aspius</x:v>
      </x:c>
      <x:c r="T43" s="32" t="n">
        <x:f>IF(O43="","",(1/'Metadata'!$B$5)^(O43-1))</x:f>
        <x:v>2951.209226666384</x:v>
      </x:c>
      <x:c r="U43" s="31" t="n">
        <x:f>IF(T43="","",I43*T43)</x:f>
        <x:v>7.908409371826757</x:v>
      </x:c>
    </x:row>
    <x:row r="44" ht="18" customHeight="1">
      <x:c r="A44" s="24" t="str">
        <x:v>EEZ_233</x:v>
      </x:c>
      <x:c r="B44" s="24" t="str">
        <x:v>Estonia</x:v>
      </x:c>
      <x:c r="C44" s="24" t="str">
        <x:v>EEZ</x:v>
      </x:c>
      <x:c r="D44" s="30" t="n">
        <x:v>2019</x:v>
      </x:c>
      <x:c r="E44" s="24" t="str">
        <x:v>Acipenser sturio</x:v>
      </x:c>
      <x:c r="F44" s="24" t="str">
        <x:v>Sturgeon</x:v>
      </x:c>
      <x:c r="G44" s="24" t="str">
        <x:v>Large demersals (&gt;=90 cm)</x:v>
      </x:c>
      <x:c r="H44" s="24" t="str">
        <x:v>Other fishes &amp; inverts</x:v>
      </x:c>
      <x:c r="I44" s="31" t="n">
        <x:v>0.0012485494</x:v>
      </x:c>
      <x:c r="J44" s="31" t="n">
        <x:v>0.0006242747</x:v>
      </x:c>
      <x:c r="K44" s="31" t="n">
        <x:v>0.0006242747</x:v>
      </x:c>
      <x:c r="L44" s="31" t="n">
        <x:v>0</x:v>
      </x:c>
      <x:c r="M44" s="31" t="n">
        <x:v>0.0012485494</x:v>
      </x:c>
      <x:c r="N44" s="24" t="str">
        <x:v>acipenser sturio</x:v>
      </x:c>
      <x:c r="O44" s="32" t="n">
        <x:v>3.51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Acipenser sturio</x:v>
      </x:c>
      <x:c r="T44" s="32" t="n">
        <x:f>IF(O44="","",(1/'Metadata'!$B$5)^(O44-1))</x:f>
        <x:v>323.5936569296281</x:v>
      </x:c>
      <x:c r="U44" s="31" t="n">
        <x:f>IF(T44="","",I44*T44)</x:f>
        <x:v>0.40402266620329297</x:v>
      </x:c>
    </x:row>
    <x:row r="45" ht="18" customHeight="1">
      <x:c r="A45" s="24" t="str">
        <x:v>EEZ_233</x:v>
      </x:c>
      <x:c r="B45" s="24" t="str">
        <x:v>Estonia</x:v>
      </x:c>
      <x:c r="C45" s="24" t="str">
        <x:v>EEZ</x:v>
      </x:c>
      <x:c r="D45" s="30" t="n">
        <x:v>2019</x:v>
      </x:c>
      <x:c r="E45" s="24" t="str">
        <x:v>Salvelinus</x:v>
      </x:c>
      <x:c r="F45" s="24" t="str">
        <x:v>Chars</x:v>
      </x:c>
      <x:c r="G45" s="24" t="str">
        <x:v>Large benthopelagics (&gt;=90 cm)</x:v>
      </x:c>
      <x:c r="H45" s="24" t="str">
        <x:v>Salmon, smelts, etc</x:v>
      </x:c>
      <x:c r="I45" s="31" t="n">
        <x:v>0.0006959700000000001</x:v>
      </x:c>
      <x:c r="J45" s="31" t="n">
        <x:v>0.0006959700000000001</x:v>
      </x:c>
      <x:c r="K45" s="31" t="n">
        <x:v>0</x:v>
      </x:c>
      <x:c r="L45" s="31" t="n">
        <x:v>0.0006959700000000001</x:v>
      </x:c>
      <x:c r="M45" s="31" t="n">
        <x:v>0</x:v>
      </x:c>
      <x:c r="N45" s="24" t="str">
        <x:v>salvelinus</x:v>
      </x:c>
      <x:c r="O45" s="32" t="n">
        <x:v>4.1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Salvelinus</x:v>
      </x:c>
      <x:c r="T45" s="32" t="n">
        <x:f>IF(O45="","",(1/'Metadata'!$B$5)^(O45-1))</x:f>
        <x:v>1258.9254117941662</x:v>
      </x:c>
      <x:c r="U45" s="31" t="n">
        <x:f>IF(T45="","",I45*T45)</x:f>
        <x:v>0.876174318846386</x:v>
      </x:c>
    </x:row>
    <x:row r="46" ht="18" customHeight="1">
      <x:c r="A46" s="24" t="str">
        <x:v>EEZ_233</x:v>
      </x:c>
      <x:c r="B46" s="24" t="str">
        <x:v>Estonia</x:v>
      </x:c>
      <x:c r="C46" s="24" t="str">
        <x:v>EEZ</x:v>
      </x:c>
      <x:c r="D46" s="30" t="n">
        <x:v>2019</x:v>
      </x:c>
      <x:c r="E46" s="24" t="str">
        <x:v>Alosa fallax</x:v>
      </x:c>
      <x:c r="F46" s="24" t="str">
        <x:v>Twaite shad</x:v>
      </x:c>
      <x:c r="G46" s="24" t="str">
        <x:v>Medium pelagics (30 - 89 cm)</x:v>
      </x:c>
      <x:c r="H46" s="24" t="str">
        <x:v>Herring-likes</x:v>
      </x:c>
      <x:c r="I46" s="31" t="n">
        <x:v>0.00034798500000000004</x:v>
      </x:c>
      <x:c r="J46" s="31" t="n">
        <x:v>0.00034798500000000004</x:v>
      </x:c>
      <x:c r="K46" s="31" t="n">
        <x:v>0</x:v>
      </x:c>
      <x:c r="L46" s="31" t="n">
        <x:v>0.00034798500000000004</x:v>
      </x:c>
      <x:c r="M46" s="31" t="n">
        <x:v>0</x:v>
      </x:c>
      <x:c r="N46" s="24" t="str">
        <x:v>alosa fallax</x:v>
      </x:c>
      <x:c r="O46" s="32" t="n">
        <x:v>4.03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Alosa fallax</x:v>
      </x:c>
      <x:c r="T46" s="32" t="n">
        <x:f>IF(O46="","",(1/'Metadata'!$B$5)^(O46-1))</x:f>
        <x:v>1071.519305237607</x:v>
      </x:c>
      <x:c r="U46" s="31" t="n">
        <x:f>IF(T46="","",I46*T46)</x:f>
        <x:v>0.3728726454331088</x:v>
      </x:c>
    </x:row>
    <x:row r="47" ht="18" customHeight="1">
      <x:c r="A47" s="24" t="str">
        <x:v>EEZ_233</x:v>
      </x:c>
      <x:c r="B47" s="24" t="str">
        <x:v>Estonia</x:v>
      </x:c>
      <x:c r="C47" s="24" t="str">
        <x:v>EEZ</x:v>
      </x:c>
      <x:c r="D47" s="30" t="n">
        <x:v>2019</x:v>
      </x:c>
      <x:c r="E47" s="24" t="str">
        <x:v>Gastropoda</x:v>
      </x:c>
      <x:c r="F47" s="24" t="str">
        <x:v>Sea snails</x:v>
      </x:c>
      <x:c r="G47" s="24" t="str">
        <x:v>Other demersal invertebrates</x:v>
      </x:c>
      <x:c r="H47" s="24" t="str">
        <x:v>Molluscs</x:v>
      </x:c>
      <x:c r="I47" s="31" t="n">
        <x:v>0.000034800000000000006</x:v>
      </x:c>
      <x:c r="J47" s="31" t="n">
        <x:v>0.000034800000000000006</x:v>
      </x:c>
      <x:c r="K47" s="31" t="n">
        <x:v>0</x:v>
      </x:c>
      <x:c r="L47" s="31" t="n">
        <x:v>0.000034800000000000006</x:v>
      </x:c>
      <x:c r="M47" s="31" t="n">
        <x:v>0</x:v>
      </x:c>
      <x:c r="N47" s="24" t="str">
        <x:v>gastropoda</x:v>
      </x:c>
      <x:c r="O47" s="32" t="n">
        <x:v>3.06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Gastropoda</x:v>
      </x:c>
      <x:c r="T47" s="32" t="n">
        <x:f>IF(O47="","",(1/'Metadata'!$B$5)^(O47-1))</x:f>
        <x:v>114.81536214968828</x:v>
      </x:c>
      <x:c r="U47" s="31" t="n">
        <x:f>IF(T47="","",I47*T47)</x:f>
        <x:v>0.003995574602809153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67d79ba8cfb43b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150.3171743435</x:v>
      </x:c>
      <x:c r="C2" s="32" t="n">
        <x:v>4.087849161834222</x:v>
      </x:c>
      <x:c r="D2" s="32" t="n">
        <x:f>IF(C2="","",(1/'Metadata'!$B$5)^(C2-1))</x:f>
        <x:v>1224.1909422225986</x:v>
      </x:c>
      <x:c r="E2" s="31" t="n">
        <x:f>IF(B2=0,"",B2*D2)</x:f>
        <x:v>184016.92329180788</x:v>
      </x:c>
    </x:row>
    <x:row r="3" ht="18" customHeight="1">
      <x:c r="A3" s="24" t="str">
        <x:v>Flatfishes</x:v>
      </x:c>
      <x:c r="B3" s="31" t="n">
        <x:v>437.3691173002</x:v>
      </x:c>
      <x:c r="C3" s="32" t="n">
        <x:v>3.3954857270398593</x:v>
      </x:c>
      <x:c r="D3" s="32" t="n">
        <x:f>IF(C3="","",(1/'Metadata'!$B$5)^(C3-1))</x:f>
        <x:v>248.59118641250092</x:v>
      </x:c>
      <x:c r="E3" s="31" t="n">
        <x:f>IF(B3=0,"",B3*D3)</x:f>
        <x:v>108726.107769845</x:v>
      </x:c>
    </x:row>
    <x:row r="4" ht="18" customHeight="1">
      <x:c r="A4" s="24" t="str">
        <x:v>Herring-likes</x:v>
      </x:c>
      <x:c r="B4" s="31" t="n">
        <x:v>75254.6818900792</x:v>
      </x:c>
      <x:c r="C4" s="32" t="n">
        <x:v>3.2096466750280204</x:v>
      </x:c>
      <x:c r="D4" s="32" t="n">
        <x:f>IF(C4="","",(1/'Metadata'!$B$5)^(C4-1))</x:f>
        <x:v>162.04911927941222</x:v>
      </x:c>
      <x:c r="E4" s="31" t="n">
        <x:f>IF(B4=0,"",B4*D4)</x:f>
        <x:v>12194954.921939667</x:v>
      </x:c>
    </x:row>
    <x:row r="5" ht="18" customHeight="1">
      <x:c r="A5" s="24" t="str">
        <x:v>Molluscs</x:v>
      </x:c>
      <x:c r="B5" s="31" t="n">
        <x:v>0.000034800000000000006</x:v>
      </x:c>
      <x:c r="C5" s="32" t="n">
        <x:v>3.06</x:v>
      </x:c>
      <x:c r="D5" s="32" t="n">
        <x:f>IF(C5="","",(1/'Metadata'!$B$5)^(C5-1))</x:f>
        <x:v>114.81536214968828</x:v>
      </x:c>
      <x:c r="E5" s="31" t="n">
        <x:f>IF(B5=0,"",B5*D5)</x:f>
        <x:v>0.003995574602809153</x:v>
      </x:c>
    </x:row>
    <x:row r="6" ht="18" customHeight="1">
      <x:c r="A6" s="24" t="str">
        <x:v>Other fishes &amp; inverts</x:v>
      </x:c>
      <x:c r="B6" s="31" t="n">
        <x:v>403.0301932542</x:v>
      </x:c>
      <x:c r="C6" s="32" t="n">
        <x:v>3.471945283351211</x:v>
      </x:c>
      <x:c r="D6" s="32" t="n">
        <x:f>IF(C6="","",(1/'Metadata'!$B$5)^(C6-1))</x:f>
        <x:v>296.44578747189183</x:v>
      </x:c>
      <x:c r="E6" s="31" t="n">
        <x:f>IF(B6=0,"",B6*D6)</x:f>
        <x:v>119476.60301419007</x:v>
      </x:c>
    </x:row>
    <x:row r="7" ht="18" customHeight="1">
      <x:c r="A7" s="24" t="str">
        <x:v>Perch-likes</x:v>
      </x:c>
      <x:c r="B7" s="31" t="n">
        <x:v>979.7962574832999</x:v>
      </x:c>
      <x:c r="C7" s="32" t="n">
        <x:v>3.952231977185733</x:v>
      </x:c>
      <x:c r="D7" s="32" t="n">
        <x:f>IF(C7="","",(1/'Metadata'!$B$5)^(C7-1))</x:f>
        <x:v>895.8431498933078</x:v>
      </x:c>
      <x:c r="E7" s="31" t="n">
        <x:f>IF(B7=0,"",B7*D7)</x:f>
        <x:v>877743.7655575138</x:v>
      </x:c>
    </x:row>
    <x:row r="8" ht="18" customHeight="1">
      <x:c r="A8" s="24" t="str">
        <x:v>Salmon, smelts, etc</x:v>
      </x:c>
      <x:c r="B8" s="31" t="n">
        <x:v>2287.5454334393003</x:v>
      </x:c>
      <x:c r="C8" s="32" t="n">
        <x:v>3.490661148883899</x:v>
      </x:c>
      <x:c r="D8" s="32" t="n">
        <x:f>IF(C8="","",(1/'Metadata'!$B$5)^(C8-1))</x:f>
        <x:v>309.50035313810383</x:v>
      </x:c>
      <x:c r="E8" s="31" t="n">
        <x:f>IF(B8=0,"",B8*D8)</x:f>
        <x:v>707996.1194689203</x:v>
      </x:c>
    </x:row>
    <x:row r="9" ht="18" customHeight="1">
      <x:c r="A9" s="24" t="str">
        <x:v>Scorpionfishes</x:v>
      </x:c>
      <x:c r="B9" s="31" t="n">
        <x:v>244.5662868076</x:v>
      </x:c>
      <x:c r="C9" s="32" t="n">
        <x:v>3.6900145238162887</x:v>
      </x:c>
      <x:c r="D9" s="32" t="n">
        <x:f>IF(C9="","",(1/'Metadata'!$B$5)^(C9-1))</x:f>
        <x:v>489.7951989837478</x:v>
      </x:c>
      <x:c r="E9" s="31" t="n">
        <x:f>IF(B9=0,"",B9*D9)</x:f>
        <x:v>119787.39311164478</x:v>
      </x:c>
    </x:row>
  </x:sheetData>
  <x:pageMargins left="0.7" right="0.7" top="0.75" bottom="0.75" header="0.3" footer="0.3"/>
  <x:tableParts count="1">
    <x:tablePart xmlns:r="http://schemas.openxmlformats.org/officeDocument/2006/relationships" r:id="R696716286cd641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185.266479125</x:v>
      </x:c>
      <x:c r="C2" s="32" t="n">
        <x:v>4.168310630552163</x:v>
      </x:c>
      <x:c r="D2" s="32" t="n">
        <x:f>IF(C2="","",(1/'Metadata'!$B$5)^(C2-1))</x:f>
        <x:v>1473.365955475521</x:v>
      </x:c>
      <x:c r="E2" s="31" t="n">
        <x:f>IF(B2=0,"",B2*D2)</x:f>
        <x:v>272965.32303359127</x:v>
      </x:c>
    </x:row>
    <x:row r="3" ht="18" customHeight="1">
      <x:c r="A3" s="24" t="str">
        <x:v>Large demersals (&gt;=90 cm)</x:v>
      </x:c>
      <x:c r="B3" s="31" t="n">
        <x:v>66.201364602</x:v>
      </x:c>
      <x:c r="C3" s="32" t="n">
        <x:v>4.055213272806277</x:v>
      </x:c>
      <x:c r="D3" s="32" t="n">
        <x:f>IF(C3="","",(1/'Metadata'!$B$5)^(C3-1))</x:f>
        <x:v>1135.5683322851276</x:v>
      </x:c>
      <x:c r="E3" s="31" t="n">
        <x:f>IF(B3=0,"",B3*D3)</x:f>
        <x:v>75176.17319609282</x:v>
      </x:c>
    </x:row>
    <x:row r="4" ht="18" customHeight="1">
      <x:c r="A4" s="24" t="str">
        <x:v>Large flatfishes (&gt;=90 cm)</x:v>
      </x:c>
      <x:c r="B4" s="31" t="n">
        <x:v>1.0534374236000001</x:v>
      </x:c>
      <x:c r="C4" s="32" t="n">
        <x:v>4.3549052025874895</x:v>
      </x:c>
      <x:c r="D4" s="32" t="n">
        <x:f>IF(C4="","",(1/'Metadata'!$B$5)^(C4-1))</x:f>
        <x:v>2264.1500369980554</x:v>
      </x:c>
      <x:c r="E4" s="31" t="n">
        <x:f>IF(B4=0,"",B4*D4)</x:f>
        <x:v>2385.1403816190764</x:v>
      </x:c>
    </x:row>
    <x:row r="5" ht="18" customHeight="1">
      <x:c r="A5" s="24" t="str">
        <x:v>Large pelagics (&gt;=90 cm)</x:v>
      </x:c>
      <x:c r="B5" s="31" t="n">
        <x:v>136.193580338</x:v>
      </x:c>
      <x:c r="C5" s="32" t="n">
        <x:v>3.9177233071671473</x:v>
      </x:c>
      <x:c r="D5" s="32" t="n">
        <x:f>IF(C5="","",(1/'Metadata'!$B$5)^(C5-1))</x:f>
        <x:v>827.4148424786804</x:v>
      </x:c>
      <x:c r="E5" s="31" t="n">
        <x:f>IF(B5=0,"",B5*D5)</x:f>
        <x:v>112688.58982197377</x:v>
      </x:c>
    </x:row>
    <x:row r="6" ht="18" customHeight="1">
      <x:c r="A6" s="24" t="str">
        <x:v>Medium benthopelagics (30 - 89 cm)</x:v>
      </x:c>
      <x:c r="B6" s="31" t="n">
        <x:v>94.62178222389998</x:v>
      </x:c>
      <x:c r="C6" s="32" t="n">
        <x:v>3.1461428860774534</x:v>
      </x:c>
      <x:c r="D6" s="32" t="n">
        <x:f>IF(C6="","",(1/'Metadata'!$B$5)^(C6-1))</x:f>
        <x:v>140.00478728494866</x:v>
      </x:c>
      <x:c r="E6" s="31" t="n">
        <x:f>IF(B6=0,"",B6*D6)</x:f>
        <x:v>13247.502492779853</x:v>
      </x:c>
    </x:row>
    <x:row r="7" ht="18" customHeight="1">
      <x:c r="A7" s="24" t="str">
        <x:v>Medium demersals (30 - 89 cm)</x:v>
      </x:c>
      <x:c r="B7" s="31" t="n">
        <x:v>1007.5455582827</x:v>
      </x:c>
      <x:c r="C7" s="32" t="n">
        <x:v>3.957503851332518</x:v>
      </x:c>
      <x:c r="D7" s="32" t="n">
        <x:f>IF(C7="","",(1/'Metadata'!$B$5)^(C7-1))</x:f>
        <x:v>906.7840059277147</x:v>
      </x:c>
      <x:c r="E7" s="31" t="n">
        <x:f>IF(B7=0,"",B7*D7)</x:f>
        <x:v>913626.1974942625</x:v>
      </x:c>
    </x:row>
    <x:row r="8" ht="18" customHeight="1">
      <x:c r="A8" s="24" t="str">
        <x:v>Medium pelagics (30 - 89 cm)</x:v>
      </x:c>
      <x:c r="B8" s="31" t="n">
        <x:v>42904.744574448094</x:v>
      </x:c>
      <x:c r="C8" s="32" t="n">
        <x:v>3.386391988924522</x:v>
      </x:c>
      <x:c r="D8" s="32" t="n">
        <x:f>IF(C8="","",(1/'Metadata'!$B$5)^(C8-1))</x:f>
        <x:v>243.44002778850728</x:v>
      </x:c>
      <x:c r="E8" s="31" t="n">
        <x:f>IF(B8=0,"",B8*D8)</x:f>
        <x:v>10444732.211462451</x:v>
      </x:c>
    </x:row>
    <x:row r="9" ht="18" customHeight="1">
      <x:c r="A9" s="24" t="str">
        <x:v>Other demersal invertebrates</x:v>
      </x:c>
      <x:c r="B9" s="31" t="n">
        <x:v>0.000034800000000000006</x:v>
      </x:c>
      <x:c r="C9" s="32" t="n">
        <x:v>3.06</x:v>
      </x:c>
      <x:c r="D9" s="32" t="n">
        <x:f>IF(C9="","",(1/'Metadata'!$B$5)^(C9-1))</x:f>
        <x:v>114.81536214968828</x:v>
      </x:c>
      <x:c r="E9" s="31" t="n">
        <x:f>IF(B9=0,"",B9*D9)</x:f>
        <x:v>0.003995574602809153</x:v>
      </x:c>
    </x:row>
    <x:row r="10" ht="18" customHeight="1">
      <x:c r="A10" s="24" t="str">
        <x:v>Small benthopelagics (&lt;30 cm)</x:v>
      </x:c>
      <x:c r="B10" s="31" t="n">
        <x:v>9.3446182052</x:v>
      </x:c>
      <x:c r="C10" s="32" t="n">
        <x:v>3.31</x:v>
      </x:c>
      <x:c r="D10" s="32" t="n">
        <x:f>IF(C10="","",(1/'Metadata'!$B$5)^(C10-1))</x:f>
        <x:v>204.17379446695296</x:v>
      </x:c>
      <x:c r="E10" s="31" t="n">
        <x:f>IF(B10=0,"",B10*D10)</x:f>
        <x:v>1907.9261568006516</x:v>
      </x:c>
    </x:row>
    <x:row r="11" ht="18" customHeight="1">
      <x:c r="A11" s="24" t="str">
        <x:v>Small demersals (&lt;30 cm)</x:v>
      </x:c>
      <x:c r="B11" s="31" t="n">
        <x:v>38.375103333199995</x:v>
      </x:c>
      <x:c r="C11" s="32" t="n">
        <x:v>3.319945592068329</x:v>
      </x:c>
      <x:c r="D11" s="32" t="n">
        <x:f>IF(C11="","",(1/'Metadata'!$B$5)^(C11-1))</x:f>
        <x:v>208.9034402543717</x:v>
      </x:c>
      <x:c r="E11" s="31" t="n">
        <x:f>IF(B11=0,"",B11*D11)</x:f>
        <x:v>8016.691106422485</x:v>
      </x:c>
    </x:row>
    <x:row r="12" ht="18" customHeight="1">
      <x:c r="A12" s="24" t="str">
        <x:v>Small pelagics (&lt;30 cm)</x:v>
      </x:c>
      <x:c r="B12" s="31" t="n">
        <x:v>34648.3392050645</x:v>
      </x:c>
      <x:c r="C12" s="32" t="n">
        <x:v>3.01</x:v>
      </x:c>
      <x:c r="D12" s="32" t="n">
        <x:f>IF(C12="","",(1/'Metadata'!$B$5)^(C12-1))</x:f>
        <x:v>102.32929922807536</x:v>
      </x:c>
      <x:c r="E12" s="31" t="n">
        <x:f>IF(B12=0,"",B12*D12)</x:f>
        <x:v>3545540.2702709</x:v>
      </x:c>
    </x:row>
    <x:row r="13" ht="18" customHeight="1">
      <x:c r="A13" s="24" t="str">
        <x:v>Small reef assoc. fish (&lt;30 cm)</x:v>
      </x:c>
      <x:c r="B13" s="31" t="n">
        <x:v>229.3049697845</x:v>
      </x:c>
      <x:c r="C13" s="32" t="n">
        <x:v>3.11</x:v>
      </x:c>
      <x:c r="D13" s="32" t="n">
        <x:f>IF(C13="","",(1/'Metadata'!$B$5)^(C13-1))</x:f>
        <x:v>128.82495516931337</x:v>
      </x:c>
      <x:c r="E13" s="31" t="n">
        <x:f>IF(B13=0,"",B13*D13)</x:f>
        <x:v>29540.20245258897</x:v>
      </x:c>
    </x:row>
    <x:row r="14" ht="18" customHeight="1">
      <x:c r="A14" s="24" t="str">
        <x:v>Small to medium flatfishes (&lt;90 cm)</x:v>
      </x:c>
      <x:c r="B14" s="31" t="n">
        <x:v>436.31567987660003</x:v>
      </x:c>
      <x:c r="C14" s="32" t="n">
        <x:v>3.39316931159323</x:v>
      </x:c>
      <x:c r="D14" s="32" t="n">
        <x:f>IF(C14="","",(1/'Metadata'!$B$5)^(C14-1))</x:f>
        <x:v>247.26879452863113</x:v>
      </x:c>
      <x:c r="E14" s="31" t="n">
        <x:f>IF(B14=0,"",B14*D14)</x:f>
        <x:v>107887.25219702702</x:v>
      </x:c>
    </x:row>
  </x:sheetData>
  <x:pageMargins left="0.7" right="0.7" top="0.75" bottom="0.75" header="0.3" footer="0.3"/>
  <x:tableParts count="1">
    <x:tablePart xmlns:r="http://schemas.openxmlformats.org/officeDocument/2006/relationships" r:id="R096f5522f77844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EEZ_233</x:v>
      </x:c>
      <x:c r="B2" s="24" t="str">
        <x:v>raw_filtered_tonnes</x:v>
      </x:c>
      <x:c r="C2" s="24" t="n">
        <x:v>79757.3063875073</x:v>
      </x:c>
      <x:c r="D2" s="24" t="str">
        <x:v>tonnes</x:v>
      </x:c>
    </x:row>
    <x:row r="3" ht="18" customHeight="1">
      <x:c r="A3" s="24" t="str">
        <x:v>EEZ_233</x:v>
      </x:c>
      <x:c r="B3" s="24" t="str">
        <x:v>species_catch_tonnes</x:v>
      </x:c>
      <x:c r="C3" s="24" t="n">
        <x:v>79757.30638750728</x:v>
      </x:c>
      <x:c r="D3" s="24" t="str">
        <x:v>tonnes</x:v>
      </x:c>
    </x:row>
    <x:row r="4" ht="18" customHeight="1">
      <x:c r="A4" s="24" t="str">
        <x:v>EEZ_233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EEZ_233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EEZ_233</x:v>
      </x:c>
      <x:c r="B6" s="24" t="str">
        <x:v>matched_catch_tonnes</x:v>
      </x:c>
      <x:c r="C6" s="24" t="n">
        <x:v>79757.30638750728</x:v>
      </x:c>
      <x:c r="D6" s="24" t="str">
        <x:v>tonnes</x:v>
      </x:c>
    </x:row>
    <x:row r="7" ht="18" customHeight="1">
      <x:c r="A7" s="24" t="str">
        <x:v>EEZ_233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EEZ_233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EEZ_233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EEZ_233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EEZ_233</x:v>
      </x:c>
      <x:c r="B11" s="24" t="str">
        <x:v>species_ppr</x:v>
      </x:c>
      <x:c r="C11" s="24" t="n">
        <x:v>16197878.05939343</x:v>
      </x:c>
      <x:c r="D11" s="24" t="str">
        <x:v>tonnes_primary_production_equivalent</x:v>
      </x:c>
    </x:row>
    <x:row r="12" ht="18" customHeight="1">
      <x:c r="A12" s="24" t="str">
        <x:v>EEZ_233</x:v>
      </x:c>
      <x:c r="B12" s="24" t="str">
        <x:v>commercial_ppr</x:v>
      </x:c>
      <x:c r="C12" s="24" t="n">
        <x:v>14312701.838149164</x:v>
      </x:c>
      <x:c r="D12" s="24" t="str">
        <x:v>tonnes_primary_production_equivalent</x:v>
      </x:c>
    </x:row>
    <x:row r="13" ht="18" customHeight="1">
      <x:c r="A13" s="24" t="str">
        <x:v>EEZ_233</x:v>
      </x:c>
      <x:c r="B13" s="24" t="str">
        <x:v>functional_ppr</x:v>
      </x:c>
      <x:c r="C13" s="24" t="n">
        <x:v>15527713.484062083</x:v>
      </x:c>
      <x:c r="D13" s="24" t="str">
        <x:v>tonnes_primary_production_equivalent</x:v>
      </x:c>
    </x:row>
    <x:row r="14" ht="18" customHeight="1">
      <x:c r="A14" s="24" t="str">
        <x:v>EEZ_233</x:v>
      </x:c>
      <x:c r="B14" s="24" t="str">
        <x:v>commercial_ppr_difference</x:v>
      </x:c>
      <x:c r="C14" s="24" t="n">
        <x:v>-1885176.2212442663</x:v>
      </x:c>
      <x:c r="D14" s="24" t="str">
        <x:v>tonnes_primary_production_equivalent</x:v>
      </x:c>
    </x:row>
    <x:row r="15" ht="18" customHeight="1">
      <x:c r="A15" s="24" t="str">
        <x:v>EEZ_233</x:v>
      </x:c>
      <x:c r="B15" s="24" t="str">
        <x:v>functional_ppr_difference</x:v>
      </x:c>
      <x:c r="C15" s="24" t="n">
        <x:v>-670164.5753313471</x:v>
      </x:c>
      <x:c r="D15" s="24" t="str">
        <x:v>tonnes_primary_production_equivalent</x:v>
      </x:c>
    </x:row>
    <x:row r="16" ht="18" customHeight="1">
      <x:c r="A16" s="24" t="str">
        <x:v>EEZ_233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EEZ_233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25eefe2ca1f4e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EEZ_233 - Estonia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