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9a2c8a76844d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40fa7e7f9cd54ccd"/>
    <x:sheet xmlns:r="http://schemas.openxmlformats.org/officeDocument/2006/relationships" name="Commercial" sheetId="2" r:id="Rb50b847fdcf8499e"/>
    <x:sheet xmlns:r="http://schemas.openxmlformats.org/officeDocument/2006/relationships" name="Functional" sheetId="3" r:id="R745870ec3b9b42f6"/>
    <x:sheet xmlns:r="http://schemas.openxmlformats.org/officeDocument/2006/relationships" name="Missing TL" sheetId="4" r:id="R611d21a04e7647db"/>
    <x:sheet xmlns:r="http://schemas.openxmlformats.org/officeDocument/2006/relationships" name="Validation" sheetId="5" r:id="R4dc3e68f581146c4"/>
    <x:sheet xmlns:r="http://schemas.openxmlformats.org/officeDocument/2006/relationships" name="Metadata" sheetId="6" r:id="R93f0501f6f5a47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e806b1b5de4265" /><Relationship Type="http://schemas.openxmlformats.org/officeDocument/2006/relationships/theme" Target="/xl/theme/theme1.xml" Id="R2901ab68267e48c3" /><Relationship Type="http://schemas.microsoft.com/office/2022/11/relationships/FeaturePropertyBag" Target="/xl/featurePropertyBag/featurePropertyBag.xml" Id="Re741e1a334564d6b" /><Relationship Type="http://schemas.openxmlformats.org/officeDocument/2006/relationships/sharedStrings" Target="/xl/sharedStrings.xml" Id="R863b5e905e03456b" /><Relationship Type="http://schemas.openxmlformats.org/officeDocument/2006/relationships/worksheet" Target="/xl/worksheets/sheet1.xml" Id="R40fa7e7f9cd54ccd" /><Relationship Type="http://schemas.openxmlformats.org/officeDocument/2006/relationships/worksheet" Target="/xl/worksheets/sheet2.xml" Id="Rb50b847fdcf8499e" /><Relationship Type="http://schemas.openxmlformats.org/officeDocument/2006/relationships/worksheet" Target="/xl/worksheets/sheet3.xml" Id="R745870ec3b9b42f6" /><Relationship Type="http://schemas.openxmlformats.org/officeDocument/2006/relationships/worksheet" Target="/xl/worksheets/sheet4.xml" Id="R611d21a04e7647db" /><Relationship Type="http://schemas.openxmlformats.org/officeDocument/2006/relationships/worksheet" Target="/xl/worksheets/sheet5.xml" Id="R4dc3e68f581146c4" /><Relationship Type="http://schemas.openxmlformats.org/officeDocument/2006/relationships/worksheet" Target="/xl/worksheets/sheet6.xml" Id="R93f0501f6f5a477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76SpeciesTable" displayName="EEZ876SpeciesTable" ref="A1:U72" headerRowCount="1" totalsRowCount="0" totalsRowShown="0">
  <x:autoFilter ref="A1:U72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76CommercialTable" displayName="EEZ876CommercialTable" ref="A1:E7" headerRowCount="1" totalsRowCount="0" totalsRowShown="0">
  <x:autoFilter ref="A1:E7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76FunctionalTable" displayName="EEZ876FunctionalTable" ref="A1:E12" headerRowCount="1" totalsRowCount="0" totalsRowShown="0">
  <x:autoFilter ref="A1:E12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76ValidationTable" displayName="EEZ876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5bf773ba142485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145a82b9c1040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6a8553918a29463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7e102f123bd40d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EEZ_876</x:v>
      </x:c>
      <x:c r="B2" s="24" t="str">
        <x:v>Wallis &amp; Futuna Isl. (France)</x:v>
      </x:c>
      <x:c r="C2" s="24" t="str">
        <x:v>EEZ</x:v>
      </x:c>
      <x:c r="D2" s="30" t="n">
        <x:v>2019</x:v>
      </x:c>
      <x:c r="E2" s="24" t="str">
        <x:v>Thunnus alalunga</x:v>
      </x:c>
      <x:c r="F2" s="24" t="str">
        <x:v>Albacore</x:v>
      </x:c>
      <x:c r="G2" s="24" t="str">
        <x:v>Large pelagics (&gt;=90 cm)</x:v>
      </x:c>
      <x:c r="H2" s="24" t="str">
        <x:v>Tuna &amp; billfishes</x:v>
      </x:c>
      <x:c r="I2" s="31" t="n">
        <x:v>106.6190101017</x:v>
      </x:c>
      <x:c r="J2" s="31" t="n">
        <x:v>106.61893608909999</x:v>
      </x:c>
      <x:c r="K2" s="31" t="n">
        <x:v>0.0000740126</x:v>
      </x:c>
      <x:c r="L2" s="31" t="n">
        <x:v>106.61893608909999</x:v>
      </x:c>
      <x:c r="M2" s="31" t="n">
        <x:v>0.0000740126</x:v>
      </x:c>
      <x:c r="N2" s="24" t="str">
        <x:v>thunnus alalunga</x:v>
      </x:c>
      <x:c r="O2" s="32" t="n">
        <x:v>4.3</x:v>
      </x:c>
      <x:c r="P2" s="24" t="str">
        <x:v>exact_2020_supplement</x:v>
      </x:c>
      <x:c r="Q2" s="32" t="str">
        <x:v>2020 supplement MeanTL</x:v>
      </x:c>
      <x:c r="R2" s="24" t="str">
        <x:v>high</x:v>
      </x:c>
      <x:c r="S2" s="24" t="str">
        <x:v>Thunnus alalunga</x:v>
      </x:c>
      <x:c r="T2" s="32" t="n">
        <x:f>IF(O2="","",(1/'Metadata'!$B$5)^(O2-1))</x:f>
        <x:v>1995.2623149688789</x:v>
      </x:c>
      <x:c r="U2" s="31" t="n">
        <x:f>IF(T2="","",I2*T2)</x:f>
        <x:v>212732.8929152082</x:v>
      </x:c>
    </x:row>
    <x:row r="3" ht="18" customHeight="1">
      <x:c r="A3" s="24" t="str">
        <x:v>EEZ_876</x:v>
      </x:c>
      <x:c r="B3" s="24" t="str">
        <x:v>Wallis &amp; Futuna Isl. (France)</x:v>
      </x:c>
      <x:c r="C3" s="24" t="str">
        <x:v>EEZ</x:v>
      </x:c>
      <x:c r="D3" s="30" t="n">
        <x:v>2019</x:v>
      </x:c>
      <x:c r="E3" s="24" t="str">
        <x:v>Marine fishes not identified</x:v>
      </x:c>
      <x:c r="F3" s="24" t="str">
        <x:v>Marine fishes nei</x:v>
      </x:c>
      <x:c r="G3" s="24" t="str">
        <x:v>Medium demersals (30 - 89 cm)</x:v>
      </x:c>
      <x:c r="H3" s="24" t="str">
        <x:v>Other fishes &amp; inverts</x:v>
      </x:c>
      <x:c r="I3" s="31" t="n">
        <x:v>103.4444381647</x:v>
      </x:c>
      <x:c r="J3" s="31" t="n">
        <x:v>89.2270626061</x:v>
      </x:c>
      <x:c r="K3" s="31" t="n">
        <x:v>14.217375558599999</x:v>
      </x:c>
      <x:c r="L3" s="31" t="n">
        <x:v>38.6867917783</x:v>
      </x:c>
      <x:c r="M3" s="31" t="n">
        <x:v>64.7576463864</x:v>
      </x:c>
      <x:c r="N3" s="24" t="str">
        <x:v>marine fishes not identified</x:v>
      </x:c>
      <x:c r="O3" s="32" t="n">
        <x:v>3.28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Marine fishes not identified</x:v>
      </x:c>
      <x:c r="T3" s="32" t="n">
        <x:f>IF(O3="","",(1/'Metadata'!$B$5)^(O3-1))</x:f>
        <x:v>190.54607179632464</x:v>
      </x:c>
      <x:c r="U3" s="31" t="n">
        <x:f>IF(T3="","",I3*T3)</x:f>
        <x:v>19710.93134146139</x:v>
      </x:c>
    </x:row>
    <x:row r="4" ht="18" customHeight="1">
      <x:c r="A4" s="24" t="str">
        <x:v>EEZ_876</x:v>
      </x:c>
      <x:c r="B4" s="24" t="str">
        <x:v>Wallis &amp; Futuna Isl. (France)</x:v>
      </x:c>
      <x:c r="C4" s="24" t="str">
        <x:v>EEZ</x:v>
      </x:c>
      <x:c r="D4" s="30" t="n">
        <x:v>2019</x:v>
      </x:c>
      <x:c r="E4" s="24" t="str">
        <x:v>Prionace glauca</x:v>
      </x:c>
      <x:c r="F4" s="24" t="str">
        <x:v>Blue shark</x:v>
      </x:c>
      <x:c r="G4" s="24" t="str">
        <x:v>Large sharks (&gt;=90 cm)</x:v>
      </x:c>
      <x:c r="H4" s="24" t="str">
        <x:v>Sharks &amp; rays</x:v>
      </x:c>
      <x:c r="I4" s="31" t="n">
        <x:v>75.9921156412</x:v>
      </x:c>
      <x:c r="J4" s="31" t="n">
        <x:v>19.1942342774</x:v>
      </x:c>
      <x:c r="K4" s="31" t="n">
        <x:v>56.7978813638</x:v>
      </x:c>
      <x:c r="L4" s="31" t="n">
        <x:v>19.1942342774</x:v>
      </x:c>
      <x:c r="M4" s="31" t="n">
        <x:v>56.7978813638</x:v>
      </x:c>
      <x:c r="N4" s="24" t="str">
        <x:v>prionace glauca</x:v>
      </x:c>
      <x:c r="O4" s="32" t="n">
        <x:v>4.35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Prionace glauca</x:v>
      </x:c>
      <x:c r="T4" s="32" t="n">
        <x:f>IF(O4="","",(1/'Metadata'!$B$5)^(O4-1))</x:f>
        <x:v>2238.7211385683377</x:v>
      </x:c>
      <x:c r="U4" s="31" t="n">
        <x:f>IF(T4="","",I4*T4)</x:f>
        <x:v>170125.15565048406</x:v>
      </x:c>
    </x:row>
    <x:row r="5" ht="18" customHeight="1">
      <x:c r="A5" s="24" t="str">
        <x:v>EEZ_876</x:v>
      </x:c>
      <x:c r="B5" s="24" t="str">
        <x:v>Wallis &amp; Futuna Isl. (France)</x:v>
      </x:c>
      <x:c r="C5" s="24" t="str">
        <x:v>EEZ</x:v>
      </x:c>
      <x:c r="D5" s="30" t="n">
        <x:v>2019</x:v>
      </x:c>
      <x:c r="E5" s="24" t="str">
        <x:v>Thunnus albacares</x:v>
      </x:c>
      <x:c r="F5" s="24" t="str">
        <x:v>Yellowfin tuna</x:v>
      </x:c>
      <x:c r="G5" s="24" t="str">
        <x:v>Large pelagics (&gt;=90 cm)</x:v>
      </x:c>
      <x:c r="H5" s="24" t="str">
        <x:v>Tuna &amp; billfishes</x:v>
      </x:c>
      <x:c r="I5" s="31" t="n">
        <x:v>62.132548681399996</x:v>
      </x:c>
      <x:c r="J5" s="31" t="n">
        <x:v>61.7200246844</x:v>
      </x:c>
      <x:c r="K5" s="31" t="n">
        <x:v>0.41252399700000003</x:v>
      </x:c>
      <x:c r="L5" s="31" t="n">
        <x:v>61.7200246844</x:v>
      </x:c>
      <x:c r="M5" s="31" t="n">
        <x:v>0.41252399700000003</x:v>
      </x:c>
      <x:c r="N5" s="24" t="str">
        <x:v>thunnus albacares</x:v>
      </x:c>
      <x:c r="O5" s="32" t="n">
        <x:v>4.41</x:v>
      </x:c>
      <x:c r="P5" s="24" t="str">
        <x:v>exact_2020_supplement</x:v>
      </x:c>
      <x:c r="Q5" s="32" t="str">
        <x:v>2020 supplement MeanTL</x:v>
      </x:c>
      <x:c r="R5" s="24" t="str">
        <x:v>high</x:v>
      </x:c>
      <x:c r="S5" s="24" t="str">
        <x:v>Thunnus albacares</x:v>
      </x:c>
      <x:c r="T5" s="32" t="n">
        <x:f>IF(O5="","",(1/'Metadata'!$B$5)^(O5-1))</x:f>
        <x:v>2570.3957827688646</x:v>
      </x:c>
      <x:c r="U5" s="31" t="n">
        <x:f>IF(T5="","",I5*T5)</x:f>
        <x:v>159705.24110335173</x:v>
      </x:c>
    </x:row>
    <x:row r="6" ht="18" customHeight="1">
      <x:c r="A6" s="24" t="str">
        <x:v>EEZ_876</x:v>
      </x:c>
      <x:c r="B6" s="24" t="str">
        <x:v>Wallis &amp; Futuna Isl. (France)</x:v>
      </x:c>
      <x:c r="C6" s="24" t="str">
        <x:v>EEZ</x:v>
      </x:c>
      <x:c r="D6" s="30" t="n">
        <x:v>2019</x:v>
      </x:c>
      <x:c r="E6" s="24" t="str">
        <x:v>Mugil</x:v>
      </x:c>
      <x:c r="F6" s="24" t="str">
        <x:v>Grey mullets</x:v>
      </x:c>
      <x:c r="G6" s="24" t="str">
        <x:v>Medium demersals (30 - 89 cm)</x:v>
      </x:c>
      <x:c r="H6" s="24" t="str">
        <x:v>Perch-likes</x:v>
      </x:c>
      <x:c r="I6" s="31" t="n">
        <x:v>45.0845050821</x:v>
      </x:c>
      <x:c r="J6" s="31" t="n">
        <x:v>45.0845050821</x:v>
      </x:c>
      <x:c r="K6" s="31" t="n">
        <x:v>0</x:v>
      </x:c>
      <x:c r="L6" s="31" t="n">
        <x:v>19.258153963999998</x:v>
      </x:c>
      <x:c r="M6" s="31" t="n">
        <x:v>25.8263511181</x:v>
      </x:c>
      <x:c r="N6" s="24" t="str">
        <x:v>mugil</x:v>
      </x:c>
      <x:c r="O6" s="32" t="n">
        <x:v>2.26</x:v>
      </x:c>
      <x:c r="P6" s="24" t="str">
        <x:v>exact_sea_around_us</x:v>
      </x:c>
      <x:c r="Q6" s="32" t="str">
        <x:v>Sea Around Us exploited organisms</x:v>
      </x:c>
      <x:c r="R6" s="24" t="str">
        <x:v>high</x:v>
      </x:c>
      <x:c r="S6" s="24" t="str">
        <x:v>Mugil</x:v>
      </x:c>
      <x:c r="T6" s="32" t="n">
        <x:f>IF(O6="","",(1/'Metadata'!$B$5)^(O6-1))</x:f>
        <x:v>18.197008586099827</x:v>
      </x:c>
      <x:c r="U6" s="31" t="n">
        <x:f>IF(T6="","",I6*T6)</x:f>
        <x:v>820.403126079035</x:v>
      </x:c>
    </x:row>
    <x:row r="7" ht="18" customHeight="1">
      <x:c r="A7" s="24" t="str">
        <x:v>EEZ_876</x:v>
      </x:c>
      <x:c r="B7" s="24" t="str">
        <x:v>Wallis &amp; Futuna Isl. (France)</x:v>
      </x:c>
      <x:c r="C7" s="24" t="str">
        <x:v>EEZ</x:v>
      </x:c>
      <x:c r="D7" s="30" t="n">
        <x:v>2019</x:v>
      </x:c>
      <x:c r="E7" s="24" t="str">
        <x:v>Caranx ignobilis</x:v>
      </x:c>
      <x:c r="F7" s="24" t="str">
        <x:v>Giant trevally</x:v>
      </x:c>
      <x:c r="G7" s="24" t="str">
        <x:v>Large reef assoc. fish (&gt;=90 cm)</x:v>
      </x:c>
      <x:c r="H7" s="24" t="str">
        <x:v>Perch-likes</x:v>
      </x:c>
      <x:c r="I7" s="31" t="n">
        <x:v>42.923305380399995</x:v>
      </x:c>
      <x:c r="J7" s="31" t="n">
        <x:v>42.923305380399995</x:v>
      </x:c>
      <x:c r="K7" s="31" t="n">
        <x:v>0</x:v>
      </x:c>
      <x:c r="L7" s="31" t="n">
        <x:v>18.3349827652</x:v>
      </x:c>
      <x:c r="M7" s="31" t="n">
        <x:v>24.5883226152</x:v>
      </x:c>
      <x:c r="N7" s="24" t="str">
        <x:v>caranx ignobilis</x:v>
      </x:c>
      <x:c r="O7" s="32" t="n">
        <x:v>4.22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Caranx ignobilis</x:v>
      </x:c>
      <x:c r="T7" s="32" t="n">
        <x:f>IF(O7="","",(1/'Metadata'!$B$5)^(O7-1))</x:f>
        <x:v>1659.5869074375596</x:v>
      </x:c>
      <x:c r="U7" s="31" t="n">
        <x:f>IF(T7="","",I7*T7)</x:f>
        <x:v>71234.95563325599</x:v>
      </x:c>
    </x:row>
    <x:row r="8" ht="18" customHeight="1">
      <x:c r="A8" s="24" t="str">
        <x:v>EEZ_876</x:v>
      </x:c>
      <x:c r="B8" s="24" t="str">
        <x:v>Wallis &amp; Futuna Isl. (France)</x:v>
      </x:c>
      <x:c r="C8" s="24" t="str">
        <x:v>EEZ</x:v>
      </x:c>
      <x:c r="D8" s="30" t="n">
        <x:v>2019</x:v>
      </x:c>
      <x:c r="E8" s="24" t="str">
        <x:v>Lethrinus harak</x:v>
      </x:c>
      <x:c r="F8" s="24" t="str">
        <x:v>Thumbprint emperor</x:v>
      </x:c>
      <x:c r="G8" s="24" t="str">
        <x:v>Medium reef assoc. fish (30 - 89 cm)</x:v>
      </x:c>
      <x:c r="H8" s="24" t="str">
        <x:v>Perch-likes</x:v>
      </x:c>
      <x:c r="I8" s="31" t="n">
        <x:v>39.897625798</x:v>
      </x:c>
      <x:c r="J8" s="31" t="n">
        <x:v>39.897625798</x:v>
      </x:c>
      <x:c r="K8" s="31" t="n">
        <x:v>0</x:v>
      </x:c>
      <x:c r="L8" s="31" t="n">
        <x:v>17.042543087</x:v>
      </x:c>
      <x:c r="M8" s="31" t="n">
        <x:v>22.855082711</x:v>
      </x:c>
      <x:c r="N8" s="24" t="str">
        <x:v>lethrinus harak</x:v>
      </x:c>
      <x:c r="O8" s="32" t="n">
        <x:v>3.59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Lethrinus harak</x:v>
      </x:c>
      <x:c r="T8" s="32" t="n">
        <x:f>IF(O8="","",(1/'Metadata'!$B$5)^(O8-1))</x:f>
        <x:v>389.04514499428046</x:v>
      </x:c>
      <x:c r="U8" s="31" t="n">
        <x:f>IF(T8="","",I8*T8)</x:f>
        <x:v>15521.977613510455</x:v>
      </x:c>
    </x:row>
    <x:row r="9" ht="18" customHeight="1">
      <x:c r="A9" s="24" t="str">
        <x:v>EEZ_876</x:v>
      </x:c>
      <x:c r="B9" s="24" t="str">
        <x:v>Wallis &amp; Futuna Isl. (France)</x:v>
      </x:c>
      <x:c r="C9" s="24" t="str">
        <x:v>EEZ</x:v>
      </x:c>
      <x:c r="D9" s="30" t="n">
        <x:v>2019</x:v>
      </x:c>
      <x:c r="E9" s="24" t="str">
        <x:v>Naso unicornis</x:v>
      </x:c>
      <x:c r="F9" s="24" t="str">
        <x:v>Bluespine unicornfish</x:v>
      </x:c>
      <x:c r="G9" s="24" t="str">
        <x:v>Medium reef assoc. fish (30 - 89 cm)</x:v>
      </x:c>
      <x:c r="H9" s="24" t="str">
        <x:v>Perch-likes</x:v>
      </x:c>
      <x:c r="I9" s="31" t="n">
        <x:v>39.08952504</x:v>
      </x:c>
      <x:c r="J9" s="31" t="n">
        <x:v>39.08952504</x:v>
      </x:c>
      <x:c r="K9" s="31" t="n">
        <x:v>0</x:v>
      </x:c>
      <x:c r="L9" s="31" t="n">
        <x:v>16.6973573344</x:v>
      </x:c>
      <x:c r="M9" s="31" t="n">
        <x:v>22.3921677056</x:v>
      </x:c>
      <x:c r="N9" s="24" t="str">
        <x:v>naso unicornis</x:v>
      </x:c>
      <x:c r="O9" s="32" t="n">
        <x:v>2.17</x:v>
      </x:c>
      <x:c r="P9" s="24" t="str">
        <x:v>exact_2020_supplement</x:v>
      </x:c>
      <x:c r="Q9" s="32" t="str">
        <x:v>2020 supplement MeanTL</x:v>
      </x:c>
      <x:c r="R9" s="24" t="str">
        <x:v>high</x:v>
      </x:c>
      <x:c r="S9" s="24" t="str">
        <x:v>Naso unicornis</x:v>
      </x:c>
      <x:c r="T9" s="32" t="n">
        <x:f>IF(O9="","",(1/'Metadata'!$B$5)^(O9-1))</x:f>
        <x:v>14.791083881682072</x:v>
      </x:c>
      <x:c r="U9" s="31" t="n">
        <x:f>IF(T9="","",I9*T9)</x:f>
        <x:v>578.1764437617517</x:v>
      </x:c>
    </x:row>
    <x:row r="10" ht="18" customHeight="1">
      <x:c r="A10" s="24" t="str">
        <x:v>EEZ_876</x:v>
      </x:c>
      <x:c r="B10" s="24" t="str">
        <x:v>Wallis &amp; Futuna Isl. (France)</x:v>
      </x:c>
      <x:c r="C10" s="24" t="str">
        <x:v>EEZ</x:v>
      </x:c>
      <x:c r="D10" s="30" t="n">
        <x:v>2019</x:v>
      </x:c>
      <x:c r="E10" s="24" t="str">
        <x:v>Lethrinus xanthochilus</x:v>
      </x:c>
      <x:c r="F10" s="24" t="str">
        <x:v>Yellowlip emperor</x:v>
      </x:c>
      <x:c r="G10" s="24" t="str">
        <x:v>Medium reef assoc. fish (30 - 89 cm)</x:v>
      </x:c>
      <x:c r="H10" s="24" t="str">
        <x:v>Perch-likes</x:v>
      </x:c>
      <x:c r="I10" s="31" t="n">
        <x:v>36.5806540819</x:v>
      </x:c>
      <x:c r="J10" s="31" t="n">
        <x:v>36.5806540819</x:v>
      </x:c>
      <x:c r="K10" s="31" t="n">
        <x:v>0</x:v>
      </x:c>
      <x:c r="L10" s="31" t="n">
        <x:v>15.6256759863</x:v>
      </x:c>
      <x:c r="M10" s="31" t="n">
        <x:v>20.9549780956</x:v>
      </x:c>
      <x:c r="N10" s="24" t="str">
        <x:v>lethrinus xanthochilus</x:v>
      </x:c>
      <x:c r="O10" s="32" t="n">
        <x:v>3.78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Lethrinus xanthochilus</x:v>
      </x:c>
      <x:c r="T10" s="32" t="n">
        <x:f>IF(O10="","",(1/'Metadata'!$B$5)^(O10-1))</x:f>
        <x:v>602.5595860743575</x:v>
      </x:c>
      <x:c r="U10" s="31" t="n">
        <x:f>IF(T10="","",I10*T10)</x:f>
        <x:v>22042.02378191892</x:v>
      </x:c>
    </x:row>
    <x:row r="11" ht="18" customHeight="1">
      <x:c r="A11" s="24" t="str">
        <x:v>EEZ_876</x:v>
      </x:c>
      <x:c r="B11" s="24" t="str">
        <x:v>Wallis &amp; Futuna Isl. (France)</x:v>
      </x:c>
      <x:c r="C11" s="24" t="str">
        <x:v>EEZ</x:v>
      </x:c>
      <x:c r="D11" s="30" t="n">
        <x:v>2019</x:v>
      </x:c>
      <x:c r="E11" s="24" t="str">
        <x:v>Acanthurus xanthopterus</x:v>
      </x:c>
      <x:c r="F11" s="24" t="str">
        <x:v>Yellowfin surgeonfish</x:v>
      </x:c>
      <x:c r="G11" s="24" t="str">
        <x:v>Medium reef assoc. fish (30 - 89 cm)</x:v>
      </x:c>
      <x:c r="H11" s="24" t="str">
        <x:v>Perch-likes</x:v>
      </x:c>
      <x:c r="I11" s="31" t="n">
        <x:v>35.7725533239</x:v>
      </x:c>
      <x:c r="J11" s="31" t="n">
        <x:v>35.7725533239</x:v>
      </x:c>
      <x:c r="K11" s="31" t="n">
        <x:v>0</x:v>
      </x:c>
      <x:c r="L11" s="31" t="n">
        <x:v>15.2804902337</x:v>
      </x:c>
      <x:c r="M11" s="31" t="n">
        <x:v>20.4920630902</x:v>
      </x:c>
      <x:c r="N11" s="24" t="str">
        <x:v>acanthurus xanthopterus</x:v>
      </x:c>
      <x:c r="O11" s="32" t="n">
        <x:v>2.87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Acanthurus xanthopterus</x:v>
      </x:c>
      <x:c r="T11" s="32" t="n">
        <x:f>IF(O11="","",(1/'Metadata'!$B$5)^(O11-1))</x:f>
        <x:v>74.13102413009177</x:v>
      </x:c>
      <x:c r="U11" s="31" t="n">
        <x:f>IF(T11="","",I11*T11)</x:f>
        <x:v>2651.8560136490255</x:v>
      </x:c>
    </x:row>
    <x:row r="12" ht="18" customHeight="1">
      <x:c r="A12" s="24" t="str">
        <x:v>EEZ_876</x:v>
      </x:c>
      <x:c r="B12" s="24" t="str">
        <x:v>Wallis &amp; Futuna Isl. (France)</x:v>
      </x:c>
      <x:c r="C12" s="24" t="str">
        <x:v>EEZ</x:v>
      </x:c>
      <x:c r="D12" s="30" t="n">
        <x:v>2019</x:v>
      </x:c>
      <x:c r="E12" s="24" t="str">
        <x:v>Scombridae</x:v>
      </x:c>
      <x:c r="F12" s="24" t="str">
        <x:v>Mackerels, tunas, bonitos</x:v>
      </x:c>
      <x:c r="G12" s="24" t="str">
        <x:v>Medium pelagics (30 - 89 cm)</x:v>
      </x:c>
      <x:c r="H12" s="24" t="str">
        <x:v>Perch-likes</x:v>
      </x:c>
      <x:c r="I12" s="31" t="n">
        <x:v>31.0177844004</x:v>
      </x:c>
      <x:c r="J12" s="31" t="n">
        <x:v>27</x:v>
      </x:c>
      <x:c r="K12" s="31" t="n">
        <x:v>4.0177844004</x:v>
      </x:c>
      <x:c r="L12" s="31" t="n">
        <x:v>27</x:v>
      </x:c>
      <x:c r="M12" s="31" t="n">
        <x:v>4.0177844004</x:v>
      </x:c>
      <x:c r="N12" s="24" t="str">
        <x:v>scombridae</x:v>
      </x:c>
      <x:c r="O12" s="32" t="n">
        <x:v>4.26</x:v>
      </x:c>
      <x:c r="P12" s="24" t="str">
        <x:v>exact_sea_around_us</x:v>
      </x:c>
      <x:c r="Q12" s="32" t="str">
        <x:v>Sea Around Us exploited organisms</x:v>
      </x:c>
      <x:c r="R12" s="24" t="str">
        <x:v>high</x:v>
      </x:c>
      <x:c r="S12" s="24" t="str">
        <x:v>Scombridae</x:v>
      </x:c>
      <x:c r="T12" s="32" t="n">
        <x:f>IF(O12="","",(1/'Metadata'!$B$5)^(O12-1))</x:f>
        <x:v>1819.7008586099826</x:v>
      </x:c>
      <x:c r="U12" s="31" t="n">
        <x:f>IF(T12="","",I12*T12)</x:f>
        <x:v>56443.0889055872</x:v>
      </x:c>
    </x:row>
    <x:row r="13" ht="18" customHeight="1">
      <x:c r="A13" s="24" t="str">
        <x:v>EEZ_876</x:v>
      </x:c>
      <x:c r="B13" s="24" t="str">
        <x:v>Wallis &amp; Futuna Isl. (France)</x:v>
      </x:c>
      <x:c r="C13" s="24" t="str">
        <x:v>EEZ</x:v>
      </x:c>
      <x:c r="D13" s="30" t="n">
        <x:v>2019</x:v>
      </x:c>
      <x:c r="E13" s="24" t="str">
        <x:v>Lutjanus gibbus</x:v>
      </x:c>
      <x:c r="F13" s="24" t="str">
        <x:v>Humpback red snapper</x:v>
      </x:c>
      <x:c r="G13" s="24" t="str">
        <x:v>Medium reef assoc. fish (30 - 89 cm)</x:v>
      </x:c>
      <x:c r="H13" s="24" t="str">
        <x:v>Perch-likes</x:v>
      </x:c>
      <x:c r="I13" s="31" t="n">
        <x:v>29.326540300399998</x:v>
      </x:c>
      <x:c r="J13" s="31" t="n">
        <x:v>29.326540300399998</x:v>
      </x:c>
      <x:c r="K13" s="31" t="n">
        <x:v>0</x:v>
      </x:c>
      <x:c r="L13" s="31" t="n">
        <x:v>12.527031788599999</x:v>
      </x:c>
      <x:c r="M13" s="31" t="n">
        <x:v>16.7995085118</x:v>
      </x:c>
      <x:c r="N13" s="24" t="str">
        <x:v>lutjanus gibbus</x:v>
      </x:c>
      <x:c r="O13" s="32" t="n">
        <x:v>4.12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Lutjanus gibbus</x:v>
      </x:c>
      <x:c r="T13" s="32" t="n">
        <x:f>IF(O13="","",(1/'Metadata'!$B$5)^(O13-1))</x:f>
        <x:v>1318.2567385564075</x:v>
      </x:c>
      <x:c r="U13" s="31" t="n">
        <x:f>IF(T13="","",I13*T13)</x:f>
        <x:v>38659.909369548346</x:v>
      </x:c>
    </x:row>
    <x:row r="14" ht="18" customHeight="1">
      <x:c r="A14" s="24" t="str">
        <x:v>EEZ_876</x:v>
      </x:c>
      <x:c r="B14" s="24" t="str">
        <x:v>Wallis &amp; Futuna Isl. (France)</x:v>
      </x:c>
      <x:c r="C14" s="24" t="str">
        <x:v>EEZ</x:v>
      </x:c>
      <x:c r="D14" s="30" t="n">
        <x:v>2019</x:v>
      </x:c>
      <x:c r="E14" s="24" t="str">
        <x:v>Caranx</x:v>
      </x:c>
      <x:c r="F14" s="24" t="str">
        <x:v>Jacks</x:v>
      </x:c>
      <x:c r="G14" s="24" t="str">
        <x:v>Medium reef assoc. fish (30 - 89 cm)</x:v>
      </x:c>
      <x:c r="H14" s="24" t="str">
        <x:v>Perch-likes</x:v>
      </x:c>
      <x:c r="I14" s="31" t="n">
        <x:v>21.1797570769</x:v>
      </x:c>
      <x:c r="J14" s="31" t="n">
        <x:v>21.1797570769</x:v>
      </x:c>
      <x:c r="K14" s="31" t="n">
        <x:v>0</x:v>
      </x:c>
      <x:c r="L14" s="31" t="n">
        <x:v>9.047077748</x:v>
      </x:c>
      <x:c r="M14" s="31" t="n">
        <x:v>12.1326793289</x:v>
      </x:c>
      <x:c r="N14" s="24" t="str">
        <x:v>caranx</x:v>
      </x:c>
      <x:c r="O14" s="32" t="n">
        <x:v>4.12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Caranx</x:v>
      </x:c>
      <x:c r="T14" s="32" t="n">
        <x:f>IF(O14="","",(1/'Metadata'!$B$5)^(O14-1))</x:f>
        <x:v>1318.2567385564075</x:v>
      </x:c>
      <x:c r="U14" s="31" t="n">
        <x:f>IF(T14="","",I14*T14)</x:f>
        <x:v>27920.357487611185</x:v>
      </x:c>
    </x:row>
    <x:row r="15" ht="18" customHeight="1">
      <x:c r="A15" s="24" t="str">
        <x:v>EEZ_876</x:v>
      </x:c>
      <x:c r="B15" s="24" t="str">
        <x:v>Wallis &amp; Futuna Isl. (France)</x:v>
      </x:c>
      <x:c r="C15" s="24" t="str">
        <x:v>EEZ</x:v>
      </x:c>
      <x:c r="D15" s="30" t="n">
        <x:v>2019</x:v>
      </x:c>
      <x:c r="E15" s="24" t="str">
        <x:v>Sargocentron spiniferum</x:v>
      </x:c>
      <x:c r="F15" s="24" t="str">
        <x:v>Sabre squirrelfish</x:v>
      </x:c>
      <x:c r="G15" s="24" t="str">
        <x:v>Medium reef assoc. fish (30 - 89 cm)</x:v>
      </x:c>
      <x:c r="H15" s="24" t="str">
        <x:v>Other fishes &amp; inverts</x:v>
      </x:c>
      <x:c r="I15" s="31" t="n">
        <x:v>20.0897607056</x:v>
      </x:c>
      <x:c r="J15" s="31" t="n">
        <x:v>20.0897607056</x:v>
      </x:c>
      <x:c r="K15" s="31" t="n">
        <x:v>0</x:v>
      </x:c>
      <x:c r="L15" s="31" t="n">
        <x:v>8.5814783608</x:v>
      </x:c>
      <x:c r="M15" s="31" t="n">
        <x:v>11.5082823448</x:v>
      </x:c>
      <x:c r="N15" s="24" t="str">
        <x:v>sargocentron spiniferum</x:v>
      </x:c>
      <x:c r="O15" s="32" t="n">
        <x:v>3.6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Sargocentron spiniferum</x:v>
      </x:c>
      <x:c r="T15" s="32" t="n">
        <x:f>IF(O15="","",(1/'Metadata'!$B$5)^(O15-1))</x:f>
        <x:v>398.1071705534973</x:v>
      </x:c>
      <x:c r="U15" s="31" t="n">
        <x:f>IF(T15="","",I15*T15)</x:f>
        <x:v>7997.877791603248</x:v>
      </x:c>
    </x:row>
    <x:row r="16" ht="18" customHeight="1">
      <x:c r="A16" s="24" t="str">
        <x:v>EEZ_876</x:v>
      </x:c>
      <x:c r="B16" s="24" t="str">
        <x:v>Wallis &amp; Futuna Isl. (France)</x:v>
      </x:c>
      <x:c r="C16" s="24" t="str">
        <x:v>EEZ</x:v>
      </x:c>
      <x:c r="D16" s="30" t="n">
        <x:v>2019</x:v>
      </x:c>
      <x:c r="E16" s="24" t="str">
        <x:v>Sphyraena barracuda</x:v>
      </x:c>
      <x:c r="F16" s="24" t="str">
        <x:v>Great barracuda</x:v>
      </x:c>
      <x:c r="G16" s="24" t="str">
        <x:v>Large pelagics (&gt;=90 cm)</x:v>
      </x:c>
      <x:c r="H16" s="24" t="str">
        <x:v>Perch-likes</x:v>
      </x:c>
      <x:c r="I16" s="31" t="n">
        <x:v>18.877609568700002</x:v>
      </x:c>
      <x:c r="J16" s="31" t="n">
        <x:v>18.877609568700002</x:v>
      </x:c>
      <x:c r="K16" s="31" t="n">
        <x:v>0</x:v>
      </x:c>
      <x:c r="L16" s="31" t="n">
        <x:v>8.063699732</x:v>
      </x:c>
      <x:c r="M16" s="31" t="n">
        <x:v>10.8139098367</x:v>
      </x:c>
      <x:c r="N16" s="24" t="str">
        <x:v>sphyraena barracuda</x:v>
      </x:c>
      <x:c r="O16" s="32" t="n">
        <x:v>4.49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Sphyraena barracuda</x:v>
      </x:c>
      <x:c r="T16" s="32" t="n">
        <x:f>IF(O16="","",(1/'Metadata'!$B$5)^(O16-1))</x:f>
        <x:v>3090.295432513592</x:v>
      </x:c>
      <x:c r="U16" s="31" t="n">
        <x:f>IF(T16="","",I16*T16)</x:f>
        <x:v>58337.3906269285</x:v>
      </x:c>
    </x:row>
    <x:row r="17" ht="18" customHeight="1">
      <x:c r="A17" s="24" t="str">
        <x:v>EEZ_876</x:v>
      </x:c>
      <x:c r="B17" s="24" t="str">
        <x:v>Wallis &amp; Futuna Isl. (France)</x:v>
      </x:c>
      <x:c r="C17" s="24" t="str">
        <x:v>EEZ</x:v>
      </x:c>
      <x:c r="D17" s="30" t="n">
        <x:v>2019</x:v>
      </x:c>
      <x:c r="E17" s="24" t="str">
        <x:v>Selar crumenophthalmus</x:v>
      </x:c>
      <x:c r="F17" s="24" t="str">
        <x:v>Bigeye scad</x:v>
      </x:c>
      <x:c r="G17" s="24" t="str">
        <x:v>Medium pelagics (30 - 89 cm)</x:v>
      </x:c>
      <x:c r="H17" s="24" t="str">
        <x:v>Perch-likes</x:v>
      </x:c>
      <x:c r="I17" s="31" t="n">
        <x:v>18.172870535399998</x:v>
      </x:c>
      <x:c r="J17" s="31" t="n">
        <x:v>18.172870535399998</x:v>
      </x:c>
      <x:c r="K17" s="31" t="n">
        <x:v>0</x:v>
      </x:c>
      <x:c r="L17" s="31" t="n">
        <x:v>7.7626656453</x:v>
      </x:c>
      <x:c r="M17" s="31" t="n">
        <x:v>10.4102048901</x:v>
      </x:c>
      <x:c r="N17" s="24" t="str">
        <x:v>selar crumenophthalmus</x:v>
      </x:c>
      <x:c r="O17" s="32" t="n">
        <x:v>3.81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Selar crumenophthalmus</x:v>
      </x:c>
      <x:c r="T17" s="32" t="n">
        <x:f>IF(O17="","",(1/'Metadata'!$B$5)^(O17-1))</x:f>
        <x:v>645.6542290346556</x:v>
      </x:c>
      <x:c r="U17" s="31" t="n">
        <x:f>IF(T17="","",I17*T17)</x:f>
        <x:v>11733.390714880294</x:v>
      </x:c>
    </x:row>
    <x:row r="18" ht="18" customHeight="1">
      <x:c r="A18" s="24" t="str">
        <x:v>EEZ_876</x:v>
      </x:c>
      <x:c r="B18" s="24" t="str">
        <x:v>Wallis &amp; Futuna Isl. (France)</x:v>
      </x:c>
      <x:c r="C18" s="24" t="str">
        <x:v>EEZ</x:v>
      </x:c>
      <x:c r="D18" s="30" t="n">
        <x:v>2019</x:v>
      </x:c>
      <x:c r="E18" s="24" t="str">
        <x:v>Acanthurus lineatus</x:v>
      </x:c>
      <x:c r="F18" s="24" t="str">
        <x:v>Lined surgeonfish</x:v>
      </x:c>
      <x:c r="G18" s="24" t="str">
        <x:v>Small reef assoc. fish (&lt;30 cm)</x:v>
      </x:c>
      <x:c r="H18" s="24" t="str">
        <x:v>Perch-likes</x:v>
      </x:c>
      <x:c r="I18" s="31" t="n">
        <x:v>15.8049473839</x:v>
      </x:c>
      <x:c r="J18" s="31" t="n">
        <x:v>15.8049473839</x:v>
      </x:c>
      <x:c r="K18" s="31" t="n">
        <x:v>0</x:v>
      </x:c>
      <x:c r="L18" s="31" t="n">
        <x:v>6.751191114500001</x:v>
      </x:c>
      <x:c r="M18" s="31" t="n">
        <x:v>9.0537562694</x:v>
      </x:c>
      <x:c r="N18" s="24" t="str">
        <x:v>acanthurus lineatus</x:v>
      </x:c>
      <x:c r="O18" s="32" t="n">
        <x:v>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Acanthurus lineatus</x:v>
      </x:c>
      <x:c r="T18" s="32" t="n">
        <x:f>IF(O18="","",(1/'Metadata'!$B$5)^(O18-1))</x:f>
        <x:v>10</x:v>
      </x:c>
      <x:c r="U18" s="31" t="n">
        <x:f>IF(T18="","",I18*T18)</x:f>
        <x:v>158.049473839</x:v>
      </x:c>
    </x:row>
    <x:row r="19" ht="18" customHeight="1">
      <x:c r="A19" s="24" t="str">
        <x:v>EEZ_876</x:v>
      </x:c>
      <x:c r="B19" s="24" t="str">
        <x:v>Wallis &amp; Futuna Isl. (France)</x:v>
      </x:c>
      <x:c r="C19" s="24" t="str">
        <x:v>EEZ</x:v>
      </x:c>
      <x:c r="D19" s="30" t="n">
        <x:v>2019</x:v>
      </x:c>
      <x:c r="E19" s="24" t="str">
        <x:v>Ctenochaetus striatus</x:v>
      </x:c>
      <x:c r="F19" s="24" t="str">
        <x:v>Striated surgeonfish</x:v>
      </x:c>
      <x:c r="G19" s="24" t="str">
        <x:v>Small reef assoc. fish (&lt;30 cm)</x:v>
      </x:c>
      <x:c r="H19" s="24" t="str">
        <x:v>Perch-likes</x:v>
      </x:c>
      <x:c r="I19" s="31" t="n">
        <x:v>15.8049473839</x:v>
      </x:c>
      <x:c r="J19" s="31" t="n">
        <x:v>15.8049473839</x:v>
      </x:c>
      <x:c r="K19" s="31" t="n">
        <x:v>0</x:v>
      </x:c>
      <x:c r="L19" s="31" t="n">
        <x:v>6.751191114500001</x:v>
      </x:c>
      <x:c r="M19" s="31" t="n">
        <x:v>9.0537562694</x:v>
      </x:c>
      <x:c r="N19" s="24" t="str">
        <x:v>ctenochaetus striatus</x:v>
      </x:c>
      <x:c r="O19" s="32" t="n">
        <x:v>2</x:v>
      </x:c>
      <x:c r="P19" s="24" t="str">
        <x:v>exact_2020_supplement</x:v>
      </x:c>
      <x:c r="Q19" s="32" t="str">
        <x:v>2020 supplement MeanTL</x:v>
      </x:c>
      <x:c r="R19" s="24" t="str">
        <x:v>high</x:v>
      </x:c>
      <x:c r="S19" s="24" t="str">
        <x:v>Ctenochaetus striatus</x:v>
      </x:c>
      <x:c r="T19" s="32" t="n">
        <x:f>IF(O19="","",(1/'Metadata'!$B$5)^(O19-1))</x:f>
        <x:v>10</x:v>
      </x:c>
      <x:c r="U19" s="31" t="n">
        <x:f>IF(T19="","",I19*T19)</x:f>
        <x:v>158.049473839</x:v>
      </x:c>
    </x:row>
    <x:row r="20" ht="18" customHeight="1">
      <x:c r="A20" s="24" t="str">
        <x:v>EEZ_876</x:v>
      </x:c>
      <x:c r="B20" s="24" t="str">
        <x:v>Wallis &amp; Futuna Isl. (France)</x:v>
      </x:c>
      <x:c r="C20" s="24" t="str">
        <x:v>EEZ</x:v>
      </x:c>
      <x:c r="D20" s="30" t="n">
        <x:v>2019</x:v>
      </x:c>
      <x:c r="E20" s="24" t="str">
        <x:v>Kyphosus vaigiensis</x:v>
      </x:c>
      <x:c r="F20" s="24" t="str">
        <x:v>Brassy chub</x:v>
      </x:c>
      <x:c r="G20" s="24" t="str">
        <x:v>Medium reef assoc. fish (30 - 89 cm)</x:v>
      </x:c>
      <x:c r="H20" s="24" t="str">
        <x:v>Perch-likes</x:v>
      </x:c>
      <x:c r="I20" s="31" t="n">
        <x:v>12.619526954000001</x:v>
      </x:c>
      <x:c r="J20" s="31" t="n">
        <x:v>12.619526954000001</x:v>
      </x:c>
      <x:c r="K20" s="31" t="n">
        <x:v>0</x:v>
      </x:c>
      <x:c r="L20" s="31" t="n">
        <x:v>5.3905170433</x:v>
      </x:c>
      <x:c r="M20" s="31" t="n">
        <x:v>7.2290099107</x:v>
      </x:c>
      <x:c r="N20" s="24" t="str">
        <x:v>kyphosus vaigiensis</x:v>
      </x:c>
      <x:c r="O20" s="32" t="n">
        <x:v>2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Kyphosus vaigiensis</x:v>
      </x:c>
      <x:c r="T20" s="32" t="n">
        <x:f>IF(O20="","",(1/'Metadata'!$B$5)^(O20-1))</x:f>
        <x:v>10</x:v>
      </x:c>
      <x:c r="U20" s="31" t="n">
        <x:f>IF(T20="","",I20*T20)</x:f>
        <x:v>126.19526954000001</x:v>
      </x:c>
    </x:row>
    <x:row r="21" ht="18" customHeight="1">
      <x:c r="A21" s="24" t="str">
        <x:v>EEZ_876</x:v>
      </x:c>
      <x:c r="B21" s="24" t="str">
        <x:v>Wallis &amp; Futuna Isl. (France)</x:v>
      </x:c>
      <x:c r="C21" s="24" t="str">
        <x:v>EEZ</x:v>
      </x:c>
      <x:c r="D21" s="30" t="n">
        <x:v>2019</x:v>
      </x:c>
      <x:c r="E21" s="24" t="str">
        <x:v>Trochus</x:v>
      </x:c>
      <x:c r="F21" s="24" t="str">
        <x:v>Trochus</x:v>
      </x:c>
      <x:c r="G21" s="24" t="str">
        <x:v>Other demersal invertebrates</x:v>
      </x:c>
      <x:c r="H21" s="24" t="str">
        <x:v>Molluscs</x:v>
      </x:c>
      <x:c r="I21" s="31" t="n">
        <x:v>12.24</x:v>
      </x:c>
      <x:c r="J21" s="31" t="n">
        <x:v>12.24</x:v>
      </x:c>
      <x:c r="K21" s="31" t="n">
        <x:v>0</x:v>
      </x:c>
      <x:c r="L21" s="31" t="n">
        <x:v>12.24</x:v>
      </x:c>
      <x:c r="M21" s="31" t="n">
        <x:v>0</x:v>
      </x:c>
      <x:c r="N21" s="24" t="str">
        <x:v>trochus</x:v>
      </x:c>
      <x:c r="O21" s="32" t="n">
        <x:v>2.1</x:v>
      </x:c>
      <x:c r="P21" s="24" t="str">
        <x:v>exact_sea_around_us</x:v>
      </x:c>
      <x:c r="Q21" s="32" t="str">
        <x:v>Sea Around Us exploited organisms</x:v>
      </x:c>
      <x:c r="R21" s="24" t="str">
        <x:v>high</x:v>
      </x:c>
      <x:c r="S21" s="24" t="str">
        <x:v>Trochus</x:v>
      </x:c>
      <x:c r="T21" s="32" t="n">
        <x:f>IF(O21="","",(1/'Metadata'!$B$5)^(O21-1))</x:f>
        <x:v>12.589254117941675</x:v>
      </x:c>
      <x:c r="U21" s="31" t="n">
        <x:f>IF(T21="","",I21*T21)</x:f>
        <x:v>154.0924704036061</x:v>
      </x:c>
    </x:row>
    <x:row r="22" ht="18" customHeight="1">
      <x:c r="A22" s="24" t="str">
        <x:v>EEZ_876</x:v>
      </x:c>
      <x:c r="B22" s="24" t="str">
        <x:v>Wallis &amp; Futuna Isl. (France)</x:v>
      </x:c>
      <x:c r="C22" s="24" t="str">
        <x:v>EEZ</x:v>
      </x:c>
      <x:c r="D22" s="30" t="n">
        <x:v>2019</x:v>
      </x:c>
      <x:c r="E22" s="24" t="str">
        <x:v>Acanthurus triostegus</x:v>
      </x:c>
      <x:c r="F22" s="24" t="str">
        <x:v>Convict surgeonfish</x:v>
      </x:c>
      <x:c r="G22" s="24" t="str">
        <x:v>Small reef assoc. fish (&lt;30 cm)</x:v>
      </x:c>
      <x:c r="H22" s="24" t="str">
        <x:v>Perch-likes</x:v>
      </x:c>
      <x:c r="I22" s="31" t="n">
        <x:v>11.7550470733</x:v>
      </x:c>
      <x:c r="J22" s="31" t="n">
        <x:v>11.7550470733</x:v>
      </x:c>
      <x:c r="K22" s="31" t="n">
        <x:v>0</x:v>
      </x:c>
      <x:c r="L22" s="31" t="n">
        <x:v>5.0212485638</x:v>
      </x:c>
      <x:c r="M22" s="31" t="n">
        <x:v>6.7337985095</x:v>
      </x:c>
      <x:c r="N22" s="24" t="str">
        <x:v>acanthurus triostegus</x:v>
      </x:c>
      <x:c r="O22" s="32" t="n">
        <x:v>2.78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Acanthurus triostegus</x:v>
      </x:c>
      <x:c r="T22" s="32" t="n">
        <x:f>IF(O22="","",(1/'Metadata'!$B$5)^(O22-1))</x:f>
        <x:v>60.255958607435744</x:v>
      </x:c>
      <x:c r="U22" s="31" t="n">
        <x:f>IF(T22="","",I22*T22)</x:f>
        <x:v>708.3116298772235</x:v>
      </x:c>
    </x:row>
    <x:row r="23" ht="18" customHeight="1">
      <x:c r="A23" s="24" t="str">
        <x:v>EEZ_876</x:v>
      </x:c>
      <x:c r="B23" s="24" t="str">
        <x:v>Wallis &amp; Futuna Isl. (France)</x:v>
      </x:c>
      <x:c r="C23" s="24" t="str">
        <x:v>EEZ</x:v>
      </x:c>
      <x:c r="D23" s="30" t="n">
        <x:v>2019</x:v>
      </x:c>
      <x:c r="E23" s="24" t="str">
        <x:v>Thunnus obesus</x:v>
      </x:c>
      <x:c r="F23" s="24" t="str">
        <x:v>Bigeye tuna</x:v>
      </x:c>
      <x:c r="G23" s="24" t="str">
        <x:v>Large pelagics (&gt;=90 cm)</x:v>
      </x:c>
      <x:c r="H23" s="24" t="str">
        <x:v>Tuna &amp; billfishes</x:v>
      </x:c>
      <x:c r="I23" s="31" t="n">
        <x:v>11.5090117129</x:v>
      </x:c>
      <x:c r="J23" s="31" t="n">
        <x:v>10.9270282154</x:v>
      </x:c>
      <x:c r="K23" s="31" t="n">
        <x:v>0.5819834975</x:v>
      </x:c>
      <x:c r="L23" s="31" t="n">
        <x:v>10.9270282154</x:v>
      </x:c>
      <x:c r="M23" s="31" t="n">
        <x:v>0.5819834975</x:v>
      </x:c>
      <x:c r="N23" s="24" t="str">
        <x:v>thunnus obesus</x:v>
      </x:c>
      <x:c r="O23" s="32" t="n">
        <x:v>4.49</x:v>
      </x:c>
      <x:c r="P23" s="24" t="str">
        <x:v>exact_2020_supplement</x:v>
      </x:c>
      <x:c r="Q23" s="32" t="str">
        <x:v>2020 supplement MeanTL</x:v>
      </x:c>
      <x:c r="R23" s="24" t="str">
        <x:v>high</x:v>
      </x:c>
      <x:c r="S23" s="24" t="str">
        <x:v>Thunnus obesus</x:v>
      </x:c>
      <x:c r="T23" s="32" t="n">
        <x:f>IF(O23="","",(1/'Metadata'!$B$5)^(O23-1))</x:f>
        <x:v>3090.295432513592</x:v>
      </x:c>
      <x:c r="U23" s="31" t="n">
        <x:f>IF(T23="","",I23*T23)</x:f>
        <x:v>35566.2463291203</x:v>
      </x:c>
    </x:row>
    <x:row r="24" ht="18" customHeight="1">
      <x:c r="A24" s="24" t="str">
        <x:v>EEZ_876</x:v>
      </x:c>
      <x:c r="B24" s="24" t="str">
        <x:v>Wallis &amp; Futuna Isl. (France)</x:v>
      </x:c>
      <x:c r="C24" s="24" t="str">
        <x:v>EEZ</x:v>
      </x:c>
      <x:c r="D24" s="30" t="n">
        <x:v>2019</x:v>
      </x:c>
      <x:c r="E24" s="24" t="str">
        <x:v>Scarus rubroviolaceus</x:v>
      </x:c>
      <x:c r="F24" s="24" t="str">
        <x:v>Ember parrotfish</x:v>
      </x:c>
      <x:c r="G24" s="24" t="str">
        <x:v>Medium reef assoc. fish (30 - 89 cm)</x:v>
      </x:c>
      <x:c r="H24" s="24" t="str">
        <x:v>Perch-likes</x:v>
      </x:c>
      <x:c r="I24" s="31" t="n">
        <x:v>10.7684124269</x:v>
      </x:c>
      <x:c r="J24" s="31" t="n">
        <x:v>10.7684124269</x:v>
      </x:c>
      <x:c r="K24" s="31" t="n">
        <x:v>0</x:v>
      </x:c>
      <x:c r="L24" s="31" t="n">
        <x:v>4.5998008426000005</x:v>
      </x:c>
      <x:c r="M24" s="31" t="n">
        <x:v>6.1686115843</x:v>
      </x:c>
      <x:c r="N24" s="24" t="str">
        <x:v>scarus rubroviolaceus</x:v>
      </x:c>
      <x:c r="O24" s="32" t="n">
        <x:v>2</x:v>
      </x:c>
      <x:c r="P24" s="24" t="str">
        <x:v>exact_2020_supplement</x:v>
      </x:c>
      <x:c r="Q24" s="32" t="str">
        <x:v>2020 supplement MeanTL</x:v>
      </x:c>
      <x:c r="R24" s="24" t="str">
        <x:v>high</x:v>
      </x:c>
      <x:c r="S24" s="24" t="str">
        <x:v>Scarus rubroviolaceus</x:v>
      </x:c>
      <x:c r="T24" s="32" t="n">
        <x:f>IF(O24="","",(1/'Metadata'!$B$5)^(O24-1))</x:f>
        <x:v>10</x:v>
      </x:c>
      <x:c r="U24" s="31" t="n">
        <x:f>IF(T24="","",I24*T24)</x:f>
        <x:v>107.684124269</x:v>
      </x:c>
    </x:row>
    <x:row r="25" ht="18" customHeight="1">
      <x:c r="A25" s="24" t="str">
        <x:v>EEZ_876</x:v>
      </x:c>
      <x:c r="B25" s="24" t="str">
        <x:v>Wallis &amp; Futuna Isl. (France)</x:v>
      </x:c>
      <x:c r="C25" s="24" t="str">
        <x:v>EEZ</x:v>
      </x:c>
      <x:c r="D25" s="30" t="n">
        <x:v>2019</x:v>
      </x:c>
      <x:c r="E25" s="24" t="str">
        <x:v>Katsuwonus pelamis</x:v>
      </x:c>
      <x:c r="F25" s="24" t="str">
        <x:v>Skipjack tuna</x:v>
      </x:c>
      <x:c r="G25" s="24" t="str">
        <x:v>Large pelagics (&gt;=90 cm)</x:v>
      </x:c>
      <x:c r="H25" s="24" t="str">
        <x:v>Tuna &amp; billfishes</x:v>
      </x:c>
      <x:c r="I25" s="31" t="n">
        <x:v>10.7549724254</x:v>
      </x:c>
      <x:c r="J25" s="31" t="n">
        <x:v>10.6671079324</x:v>
      </x:c>
      <x:c r="K25" s="31" t="n">
        <x:v>0.08786449299999999</x:v>
      </x:c>
      <x:c r="L25" s="31" t="n">
        <x:v>10.6671079324</x:v>
      </x:c>
      <x:c r="M25" s="31" t="n">
        <x:v>0.08786449299999999</x:v>
      </x:c>
      <x:c r="N25" s="24" t="str">
        <x:v>katsuwonus pelamis</x:v>
      </x:c>
      <x:c r="O25" s="32" t="n">
        <x:v>4.43</x:v>
      </x:c>
      <x:c r="P25" s="24" t="str">
        <x:v>exact_2020_supplement</x:v>
      </x:c>
      <x:c r="Q25" s="32" t="str">
        <x:v>2020 supplement MeanTL</x:v>
      </x:c>
      <x:c r="R25" s="24" t="str">
        <x:v>high</x:v>
      </x:c>
      <x:c r="S25" s="24" t="str">
        <x:v>Katsuwonus pelamis</x:v>
      </x:c>
      <x:c r="T25" s="32" t="n">
        <x:f>IF(O25="","",(1/'Metadata'!$B$5)^(O25-1))</x:f>
        <x:v>2691.534803926914</x:v>
      </x:c>
      <x:c r="U25" s="31" t="n">
        <x:f>IF(T25="","",I25*T25)</x:f>
        <x:v>28947.382598238353</x:v>
      </x:c>
    </x:row>
    <x:row r="26" ht="18" customHeight="1">
      <x:c r="A26" s="24" t="str">
        <x:v>EEZ_876</x:v>
      </x:c>
      <x:c r="B26" s="24" t="str">
        <x:v>Wallis &amp; Futuna Isl. (France)</x:v>
      </x:c>
      <x:c r="C26" s="24" t="str">
        <x:v>EEZ</x:v>
      </x:c>
      <x:c r="D26" s="30" t="n">
        <x:v>2019</x:v>
      </x:c>
      <x:c r="E26" s="24" t="str">
        <x:v>Chlorurus microrhinos</x:v>
      </x:c>
      <x:c r="F26" s="24" t="str">
        <x:v>Steephead parrotfish</x:v>
      </x:c>
      <x:c r="G26" s="24" t="str">
        <x:v>Medium reef assoc. fish (30 - 89 cm)</x:v>
      </x:c>
      <x:c r="H26" s="24" t="str">
        <x:v>Perch-likes</x:v>
      </x:c>
      <x:c r="I26" s="31" t="n">
        <x:v>9.495183907</x:v>
      </x:c>
      <x:c r="J26" s="31" t="n">
        <x:v>9.495183907</x:v>
      </x:c>
      <x:c r="K26" s="31" t="n">
        <x:v>0</x:v>
      </x:c>
      <x:c r="L26" s="31" t="n">
        <x:v>4.0559325929</x:v>
      </x:c>
      <x:c r="M26" s="31" t="n">
        <x:v>5.4392513141</x:v>
      </x:c>
      <x:c r="N26" s="24" t="str">
        <x:v>chlorurus microrhinos</x:v>
      </x:c>
      <x:c r="O26" s="32" t="n">
        <x:v>2</x:v>
      </x:c>
      <x:c r="P26" s="24" t="str">
        <x:v>exact_sea_around_us</x:v>
      </x:c>
      <x:c r="Q26" s="32" t="str">
        <x:v>Sea Around Us exploited organisms</x:v>
      </x:c>
      <x:c r="R26" s="24" t="str">
        <x:v>high</x:v>
      </x:c>
      <x:c r="S26" s="24" t="str">
        <x:v>Chlorurus microrhinos</x:v>
      </x:c>
      <x:c r="T26" s="32" t="n">
        <x:f>IF(O26="","",(1/'Metadata'!$B$5)^(O26-1))</x:f>
        <x:v>10</x:v>
      </x:c>
      <x:c r="U26" s="31" t="n">
        <x:f>IF(T26="","",I26*T26)</x:f>
        <x:v>94.95183906999999</x:v>
      </x:c>
    </x:row>
    <x:row r="27" ht="18" customHeight="1">
      <x:c r="A27" s="24" t="str">
        <x:v>EEZ_876</x:v>
      </x:c>
      <x:c r="B27" s="24" t="str">
        <x:v>Wallis &amp; Futuna Isl. (France)</x:v>
      </x:c>
      <x:c r="C27" s="24" t="str">
        <x:v>EEZ</x:v>
      </x:c>
      <x:c r="D27" s="30" t="n">
        <x:v>2019</x:v>
      </x:c>
      <x:c r="E27" s="24" t="str">
        <x:v>Mulloidichthys vanicolensis</x:v>
      </x:c>
      <x:c r="F27" s="24" t="str">
        <x:v>Yellowfin goatfish</x:v>
      </x:c>
      <x:c r="G27" s="24" t="str">
        <x:v>Medium reef assoc. fish (30 - 89 cm)</x:v>
      </x:c>
      <x:c r="H27" s="24" t="str">
        <x:v>Perch-likes</x:v>
      </x:c>
      <x:c r="I27" s="31" t="n">
        <x:v>9.3495378401</x:v>
      </x:c>
      <x:c r="J27" s="31" t="n">
        <x:v>9.3495378401</x:v>
      </x:c>
      <x:c r="K27" s="31" t="n">
        <x:v>0</x:v>
      </x:c>
      <x:c r="L27" s="31" t="n">
        <x:v>3.9937188817</x:v>
      </x:c>
      <x:c r="M27" s="31" t="n">
        <x:v>5.3558189584</x:v>
      </x:c>
      <x:c r="N27" s="24" t="str">
        <x:v>mulloidichthys vanicolensis</x:v>
      </x:c>
      <x:c r="O27" s="32" t="n">
        <x:v>3.6</x:v>
      </x:c>
      <x:c r="P27" s="24" t="str">
        <x:v>exact_2020_supplement</x:v>
      </x:c>
      <x:c r="Q27" s="32" t="str">
        <x:v>2020 supplement MeanTL</x:v>
      </x:c>
      <x:c r="R27" s="24" t="str">
        <x:v>high</x:v>
      </x:c>
      <x:c r="S27" s="24" t="str">
        <x:v>Mulloidichthys vanicolensis</x:v>
      </x:c>
      <x:c r="T27" s="32" t="n">
        <x:f>IF(O27="","",(1/'Metadata'!$B$5)^(O27-1))</x:f>
        <x:v>398.1071705534973</x:v>
      </x:c>
      <x:c r="U27" s="31" t="n">
        <x:f>IF(T27="","",I27*T27)</x:f>
        <x:v>3722.118055505068</x:v>
      </x:c>
    </x:row>
    <x:row r="28" ht="18" customHeight="1">
      <x:c r="A28" s="24" t="str">
        <x:v>EEZ_876</x:v>
      </x:c>
      <x:c r="B28" s="24" t="str">
        <x:v>Wallis &amp; Futuna Isl. (France)</x:v>
      </x:c>
      <x:c r="C28" s="24" t="str">
        <x:v>EEZ</x:v>
      </x:c>
      <x:c r="D28" s="30" t="n">
        <x:v>2019</x:v>
      </x:c>
      <x:c r="E28" s="24" t="str">
        <x:v>Lutjanus kasmira</x:v>
      </x:c>
      <x:c r="F28" s="24" t="str">
        <x:v>Common bluestripe snapper</x:v>
      </x:c>
      <x:c r="G28" s="24" t="str">
        <x:v>Medium reef assoc. fish (30 - 89 cm)</x:v>
      </x:c>
      <x:c r="H28" s="24" t="str">
        <x:v>Perch-likes</x:v>
      </x:c>
      <x:c r="I28" s="31" t="n">
        <x:v>9.0394526654</x:v>
      </x:c>
      <x:c r="J28" s="31" t="n">
        <x:v>9.0394526654</x:v>
      </x:c>
      <x:c r="K28" s="31" t="n">
        <x:v>0</x:v>
      </x:c>
      <x:c r="L28" s="31" t="n">
        <x:v>3.8612638835</x:v>
      </x:c>
      <x:c r="M28" s="31" t="n">
        <x:v>5.1781887819</x:v>
      </x:c>
      <x:c r="N28" s="24" t="str">
        <x:v>lutjanus kasmira</x:v>
      </x:c>
      <x:c r="O28" s="32" t="n">
        <x:v>3.87</x:v>
      </x:c>
      <x:c r="P28" s="24" t="str">
        <x:v>exact_2020_supplement</x:v>
      </x:c>
      <x:c r="Q28" s="32" t="str">
        <x:v>2020 supplement MeanTL</x:v>
      </x:c>
      <x:c r="R28" s="24" t="str">
        <x:v>high</x:v>
      </x:c>
      <x:c r="S28" s="24" t="str">
        <x:v>Lutjanus kasmira</x:v>
      </x:c>
      <x:c r="T28" s="32" t="n">
        <x:f>IF(O28="","",(1/'Metadata'!$B$5)^(O28-1))</x:f>
        <x:v>741.3102413009177</x:v>
      </x:c>
      <x:c r="U28" s="31" t="n">
        <x:f>IF(T28="","",I28*T28)</x:f>
        <x:v>6701.038836615899</x:v>
      </x:c>
    </x:row>
    <x:row r="29" ht="18" customHeight="1">
      <x:c r="A29" s="24" t="str">
        <x:v>EEZ_876</x:v>
      </x:c>
      <x:c r="B29" s="24" t="str">
        <x:v>Wallis &amp; Futuna Isl. (France)</x:v>
      </x:c>
      <x:c r="C29" s="24" t="str">
        <x:v>EEZ</x:v>
      </x:c>
      <x:c r="D29" s="30" t="n">
        <x:v>2019</x:v>
      </x:c>
      <x:c r="E29" s="24" t="str">
        <x:v>Cephalopholis argus</x:v>
      </x:c>
      <x:c r="F29" s="24" t="str">
        <x:v>Peacock hind</x:v>
      </x:c>
      <x:c r="G29" s="24" t="str">
        <x:v>Medium reef assoc. fish (30 - 89 cm)</x:v>
      </x:c>
      <x:c r="H29" s="24" t="str">
        <x:v>Perch-likes</x:v>
      </x:c>
      <x:c r="I29" s="31" t="n">
        <x:v>8.8703152975</x:v>
      </x:c>
      <x:c r="J29" s="31" t="n">
        <x:v>8.8703152975</x:v>
      </x:c>
      <x:c r="K29" s="31" t="n">
        <x:v>0</x:v>
      </x:c>
      <x:c r="L29" s="31" t="n">
        <x:v>3.7890157027999996</x:v>
      </x:c>
      <x:c r="M29" s="31" t="n">
        <x:v>5.0812995947</x:v>
      </x:c>
      <x:c r="N29" s="24" t="str">
        <x:v>cephalopholis argus</x:v>
      </x:c>
      <x:c r="O29" s="32" t="n">
        <x:v>4.48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Cephalopholis argus</x:v>
      </x:c>
      <x:c r="T29" s="32" t="n">
        <x:f>IF(O29="","",(1/'Metadata'!$B$5)^(O29-1))</x:f>
        <x:v>3019.951720402019</x:v>
      </x:c>
      <x:c r="U29" s="31" t="n">
        <x:f>IF(T29="","",I29*T29)</x:f>
        <x:v>26787.92394319347</x:v>
      </x:c>
    </x:row>
    <x:row r="30" ht="18" customHeight="1">
      <x:c r="A30" s="24" t="str">
        <x:v>EEZ_876</x:v>
      </x:c>
      <x:c r="B30" s="24" t="str">
        <x:v>Wallis &amp; Futuna Isl. (France)</x:v>
      </x:c>
      <x:c r="C30" s="24" t="str">
        <x:v>EEZ</x:v>
      </x:c>
      <x:c r="D30" s="30" t="n">
        <x:v>2019</x:v>
      </x:c>
      <x:c r="E30" s="24" t="str">
        <x:v>Xiphias gladius</x:v>
      </x:c>
      <x:c r="F30" s="24" t="str">
        <x:v>Swordfish</x:v>
      </x:c>
      <x:c r="G30" s="24" t="str">
        <x:v>Large pelagics (&gt;=90 cm)</x:v>
      </x:c>
      <x:c r="H30" s="24" t="str">
        <x:v>Tuna &amp; billfishes</x:v>
      </x:c>
      <x:c r="I30" s="31" t="n">
        <x:v>8.451335991</x:v>
      </x:c>
      <x:c r="J30" s="31" t="n">
        <x:v>2.5030986585</x:v>
      </x:c>
      <x:c r="K30" s="31" t="n">
        <x:v>5.9482373325</x:v>
      </x:c>
      <x:c r="L30" s="31" t="n">
        <x:v>2.5030986585</x:v>
      </x:c>
      <x:c r="M30" s="31" t="n">
        <x:v>5.9482373325</x:v>
      </x:c>
      <x:c r="N30" s="24" t="str">
        <x:v>xiphias gladius</x:v>
      </x:c>
      <x:c r="O30" s="32" t="n">
        <x:v>4.53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Xiphias gladius</x:v>
      </x:c>
      <x:c r="T30" s="32" t="n">
        <x:f>IF(O30="","",(1/'Metadata'!$B$5)^(O30-1))</x:f>
        <x:v>3388.4415613920273</x:v>
      </x:c>
      <x:c r="U30" s="31" t="n">
        <x:f>IF(T30="","",I30*T30)</x:f>
        <x:v>28636.85812119268</x:v>
      </x:c>
    </x:row>
    <x:row r="31" ht="18" customHeight="1">
      <x:c r="A31" s="24" t="str">
        <x:v>EEZ_876</x:v>
      </x:c>
      <x:c r="B31" s="24" t="str">
        <x:v>Wallis &amp; Futuna Isl. (France)</x:v>
      </x:c>
      <x:c r="C31" s="24" t="str">
        <x:v>EEZ</x:v>
      </x:c>
      <x:c r="D31" s="30" t="n">
        <x:v>2019</x:v>
      </x:c>
      <x:c r="E31" s="24" t="str">
        <x:v>Isurus</x:v>
      </x:c>
      <x:c r="F31" s="24" t="str">
        <x:v>Mako sharks</x:v>
      </x:c>
      <x:c r="G31" s="24" t="str">
        <x:v>Large sharks (&gt;=90 cm)</x:v>
      </x:c>
      <x:c r="H31" s="24" t="str">
        <x:v>Sharks &amp; rays</x:v>
      </x:c>
      <x:c r="I31" s="31" t="n">
        <x:v>7.725888747299999</x:v>
      </x:c>
      <x:c r="J31" s="31" t="n">
        <x:v>3.0153730806</x:v>
      </x:c>
      <x:c r="K31" s="31" t="n">
        <x:v>4.7105156667</x:v>
      </x:c>
      <x:c r="L31" s="31" t="n">
        <x:v>3.0153730806</x:v>
      </x:c>
      <x:c r="M31" s="31" t="n">
        <x:v>4.7105156667</x:v>
      </x:c>
      <x:c r="N31" s="24" t="str">
        <x:v>isurus</x:v>
      </x:c>
      <x:c r="O31" s="32" t="n">
        <x:v>4.5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Isurus</x:v>
      </x:c>
      <x:c r="T31" s="32" t="n">
        <x:f>IF(O31="","",(1/'Metadata'!$B$5)^(O31-1))</x:f>
        <x:v>3162.2776601683795</x:v>
      </x:c>
      <x:c r="U31" s="31" t="n">
        <x:f>IF(T31="","",I31*T31)</x:f>
        <x:v>24431.405390533055</x:v>
      </x:c>
    </x:row>
    <x:row r="32" ht="18" customHeight="1">
      <x:c r="A32" s="24" t="str">
        <x:v>EEZ_876</x:v>
      </x:c>
      <x:c r="B32" s="24" t="str">
        <x:v>Wallis &amp; Futuna Isl. (France)</x:v>
      </x:c>
      <x:c r="C32" s="24" t="str">
        <x:v>EEZ</x:v>
      </x:c>
      <x:c r="D32" s="30" t="n">
        <x:v>2019</x:v>
      </x:c>
      <x:c r="E32" s="24" t="str">
        <x:v>Acanthurus</x:v>
      </x:c>
      <x:c r="F32" s="24" t="str">
        <x:v>Surgeonfishes</x:v>
      </x:c>
      <x:c r="G32" s="24" t="str">
        <x:v>Small reef assoc. fish (&lt;30 cm)</x:v>
      </x:c>
      <x:c r="H32" s="24" t="str">
        <x:v>Perch-likes</x:v>
      </x:c>
      <x:c r="I32" s="31" t="n">
        <x:v>7.4044581086</x:v>
      </x:c>
      <x:c r="J32" s="31" t="n">
        <x:v>7.4044581086</x:v>
      </x:c>
      <x:c r="K32" s="31" t="n">
        <x:v>0</x:v>
      </x:c>
      <x:c r="L32" s="31" t="n">
        <x:v>3.1628648027999997</x:v>
      </x:c>
      <x:c r="M32" s="31" t="n">
        <x:v>4.2415933058</x:v>
      </x:c>
      <x:c r="N32" s="24" t="str">
        <x:v>acanthurus</x:v>
      </x:c>
      <x:c r="O32" s="32" t="n">
        <x:v>2.03</x:v>
      </x:c>
      <x:c r="P32" s="24" t="str">
        <x:v>exact_sea_around_us</x:v>
      </x:c>
      <x:c r="Q32" s="32" t="str">
        <x:v>Sea Around Us exploited organisms</x:v>
      </x:c>
      <x:c r="R32" s="24" t="str">
        <x:v>high</x:v>
      </x:c>
      <x:c r="S32" s="24" t="str">
        <x:v>Acanthurus</x:v>
      </x:c>
      <x:c r="T32" s="32" t="n">
        <x:f>IF(O32="","",(1/'Metadata'!$B$5)^(O32-1))</x:f>
        <x:v>10.71519305237606</x:v>
      </x:c>
      <x:c r="U32" s="31" t="n">
        <x:f>IF(T32="","",I32*T32)</x:f>
        <x:v>79.3401980818803</x:v>
      </x:c>
    </x:row>
    <x:row r="33" ht="18" customHeight="1">
      <x:c r="A33" s="24" t="str">
        <x:v>EEZ_876</x:v>
      </x:c>
      <x:c r="B33" s="24" t="str">
        <x:v>Wallis &amp; Futuna Isl. (France)</x:v>
      </x:c>
      <x:c r="C33" s="24" t="str">
        <x:v>EEZ</x:v>
      </x:c>
      <x:c r="D33" s="30" t="n">
        <x:v>2019</x:v>
      </x:c>
      <x:c r="E33" s="24" t="str">
        <x:v>Lutjanus bohar</x:v>
      </x:c>
      <x:c r="F33" s="24" t="str">
        <x:v>Two-spot red snapper</x:v>
      </x:c>
      <x:c r="G33" s="24" t="str">
        <x:v>Medium reef assoc. fish (30 - 89 cm)</x:v>
      </x:c>
      <x:c r="H33" s="24" t="str">
        <x:v>Perch-likes</x:v>
      </x:c>
      <x:c r="I33" s="31" t="n">
        <x:v>7.0285972908</x:v>
      </x:c>
      <x:c r="J33" s="31" t="n">
        <x:v>7.0285972908</x:v>
      </x:c>
      <x:c r="K33" s="31" t="n">
        <x:v>0</x:v>
      </x:c>
      <x:c r="L33" s="31" t="n">
        <x:v>3.0023132899</x:v>
      </x:c>
      <x:c r="M33" s="31" t="n">
        <x:v>4.0262840009</x:v>
      </x:c>
      <x:c r="N33" s="24" t="str">
        <x:v>lutjanus bohar</x:v>
      </x:c>
      <x:c r="O33" s="32" t="n">
        <x:v>4.27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Lutjanus bohar</x:v>
      </x:c>
      <x:c r="T33" s="32" t="n">
        <x:f>IF(O33="","",(1/'Metadata'!$B$5)^(O33-1))</x:f>
        <x:v>1862.0871366628655</x:v>
      </x:c>
      <x:c r="U33" s="31" t="n">
        <x:f>IF(T33="","",I33*T33)</x:f>
        <x:v>13087.860603982146</x:v>
      </x:c>
    </x:row>
    <x:row r="34" ht="18" customHeight="1">
      <x:c r="A34" s="24" t="str">
        <x:v>EEZ_876</x:v>
      </x:c>
      <x:c r="B34" s="24" t="str">
        <x:v>Wallis &amp; Futuna Isl. (France)</x:v>
      </x:c>
      <x:c r="C34" s="24" t="str">
        <x:v>EEZ</x:v>
      </x:c>
      <x:c r="D34" s="30" t="n">
        <x:v>2019</x:v>
      </x:c>
      <x:c r="E34" s="24" t="str">
        <x:v>Lutjanus monostigma</x:v>
      </x:c>
      <x:c r="F34" s="24" t="str">
        <x:v>One-spot snapper</x:v>
      </x:c>
      <x:c r="G34" s="24" t="str">
        <x:v>Medium reef assoc. fish (30 - 89 cm)</x:v>
      </x:c>
      <x:c r="H34" s="24" t="str">
        <x:v>Perch-likes</x:v>
      </x:c>
      <x:c r="I34" s="31" t="n">
        <x:v>5.9573939605</x:v>
      </x:c>
      <x:c r="J34" s="31" t="n">
        <x:v>5.9573939605</x:v>
      </x:c>
      <x:c r="K34" s="31" t="n">
        <x:v>0</x:v>
      </x:c>
      <x:c r="L34" s="31" t="n">
        <x:v>2.5447414783999998</x:v>
      </x:c>
      <x:c r="M34" s="31" t="n">
        <x:v>3.4126524821</x:v>
      </x:c>
      <x:c r="N34" s="24" t="str">
        <x:v>lutjanus monostigma</x:v>
      </x:c>
      <x:c r="O34" s="32" t="n">
        <x:v>4.27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Lutjanus monostigma</x:v>
      </x:c>
      <x:c r="T34" s="32" t="n">
        <x:f>IF(O34="","",(1/'Metadata'!$B$5)^(O34-1))</x:f>
        <x:v>1862.0871366628655</x:v>
      </x:c>
      <x:c r="U34" s="31" t="n">
        <x:f>IF(T34="","",I34*T34)</x:f>
        <x:v>11093.186661880094</x:v>
      </x:c>
    </x:row>
    <x:row r="35" ht="18" customHeight="1">
      <x:c r="A35" s="24" t="str">
        <x:v>EEZ_876</x:v>
      </x:c>
      <x:c r="B35" s="24" t="str">
        <x:v>Wallis &amp; Futuna Isl. (France)</x:v>
      </x:c>
      <x:c r="C35" s="24" t="str">
        <x:v>EEZ</x:v>
      </x:c>
      <x:c r="D35" s="30" t="n">
        <x:v>2019</x:v>
      </x:c>
      <x:c r="E35" s="24" t="str">
        <x:v>Parupeneus barberinus</x:v>
      </x:c>
      <x:c r="F35" s="24" t="str">
        <x:v>Dash-and-dot goatfish</x:v>
      </x:c>
      <x:c r="G35" s="24" t="str">
        <x:v>Medium reef assoc. fish (30 - 89 cm)</x:v>
      </x:c>
      <x:c r="H35" s="24" t="str">
        <x:v>Perch-likes</x:v>
      </x:c>
      <x:c r="I35" s="31" t="n">
        <x:v>5.5157574996</x:v>
      </x:c>
      <x:c r="J35" s="31" t="n">
        <x:v>5.5157574996</x:v>
      </x:c>
      <x:c r="K35" s="31" t="n">
        <x:v>0</x:v>
      </x:c>
      <x:c r="L35" s="31" t="n">
        <x:v>2.3560934508</x:v>
      </x:c>
      <x:c r="M35" s="31" t="n">
        <x:v>3.1596640488</x:v>
      </x:c>
      <x:c r="N35" s="24" t="str">
        <x:v>parupeneus barberinus</x:v>
      </x:c>
      <x:c r="O35" s="32" t="n">
        <x:v>3.22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Parupeneus barberinus</x:v>
      </x:c>
      <x:c r="T35" s="32" t="n">
        <x:f>IF(O35="","",(1/'Metadata'!$B$5)^(O35-1))</x:f>
        <x:v>165.95869074375614</x:v>
      </x:c>
      <x:c r="U35" s="31" t="n">
        <x:f>IF(T35="","",I35*T35)</x:f>
        <x:v>915.3878930936701</x:v>
      </x:c>
    </x:row>
    <x:row r="36" ht="18" customHeight="1">
      <x:c r="A36" s="24" t="str">
        <x:v>EEZ_876</x:v>
      </x:c>
      <x:c r="B36" s="24" t="str">
        <x:v>Wallis &amp; Futuna Isl. (France)</x:v>
      </x:c>
      <x:c r="C36" s="24" t="str">
        <x:v>EEZ</x:v>
      </x:c>
      <x:c r="D36" s="30" t="n">
        <x:v>2019</x:v>
      </x:c>
      <x:c r="E36" s="24" t="str">
        <x:v>Bolbometopon muricatum</x:v>
      </x:c>
      <x:c r="F36" s="24" t="str">
        <x:v>Green humphead parrotfish</x:v>
      </x:c>
      <x:c r="G36" s="24" t="str">
        <x:v>Large reef assoc. fish (&gt;=90 cm)</x:v>
      </x:c>
      <x:c r="H36" s="24" t="str">
        <x:v>Perch-likes</x:v>
      </x:c>
      <x:c r="I36" s="31" t="n">
        <x:v>5.017741916199999</x:v>
      </x:c>
      <x:c r="J36" s="31" t="n">
        <x:v>5.017741916199999</x:v>
      </x:c>
      <x:c r="K36" s="31" t="n">
        <x:v>0</x:v>
      </x:c>
      <x:c r="L36" s="31" t="n">
        <x:v>2.1433626963</x:v>
      </x:c>
      <x:c r="M36" s="31" t="n">
        <x:v>2.8743792199</x:v>
      </x:c>
      <x:c r="N36" s="24" t="str">
        <x:v>bolbometopon muricatum</x:v>
      </x:c>
      <x:c r="O36" s="32" t="n">
        <x:v>2.67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Bolbometopon muricatum</x:v>
      </x:c>
      <x:c r="T36" s="32" t="n">
        <x:f>IF(O36="","",(1/'Metadata'!$B$5)^(O36-1))</x:f>
        <x:v>46.77351412871981</x:v>
      </x:c>
      <x:c r="U36" s="31" t="n">
        <x:f>IF(T36="","",I36*T36)</x:f>
        <x:v>234.69742241165028</x:v>
      </x:c>
    </x:row>
    <x:row r="37" ht="18" customHeight="1">
      <x:c r="A37" s="24" t="str">
        <x:v>EEZ_876</x:v>
      </x:c>
      <x:c r="B37" s="24" t="str">
        <x:v>Wallis &amp; Futuna Isl. (France)</x:v>
      </x:c>
      <x:c r="C37" s="24" t="str">
        <x:v>EEZ</x:v>
      </x:c>
      <x:c r="D37" s="30" t="n">
        <x:v>2019</x:v>
      </x:c>
      <x:c r="E37" s="24" t="str">
        <x:v>Lutjanus fulvus</x:v>
      </x:c>
      <x:c r="F37" s="24" t="str">
        <x:v>Blacktail snapper</x:v>
      </x:c>
      <x:c r="G37" s="24" t="str">
        <x:v>Medium reef assoc. fish (30 - 89 cm)</x:v>
      </x:c>
      <x:c r="H37" s="24" t="str">
        <x:v>Perch-likes</x:v>
      </x:c>
      <x:c r="I37" s="31" t="n">
        <x:v>4.6042950167</x:v>
      </x:c>
      <x:c r="J37" s="31" t="n">
        <x:v>4.6042950167</x:v>
      </x:c>
      <x:c r="K37" s="31" t="n">
        <x:v>0</x:v>
      </x:c>
      <x:c r="L37" s="31" t="n">
        <x:v>1.9667560321</x:v>
      </x:c>
      <x:c r="M37" s="31" t="n">
        <x:v>2.6375389846</x:v>
      </x:c>
      <x:c r="N37" s="24" t="str">
        <x:v>lutjanus fulvus</x:v>
      </x:c>
      <x:c r="O37" s="32" t="n">
        <x:v>3.61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Lutjanus fulvus</x:v>
      </x:c>
      <x:c r="T37" s="32" t="n">
        <x:f>IF(O37="","",(1/'Metadata'!$B$5)^(O37-1))</x:f>
        <x:v>407.3802778041126</x:v>
      </x:c>
      <x:c r="U37" s="31" t="n">
        <x:f>IF(T37="","",I37*T37)</x:f>
        <x:v>1875.6989829953372</x:v>
      </x:c>
    </x:row>
    <x:row r="38" ht="18" customHeight="1">
      <x:c r="A38" s="24" t="str">
        <x:v>EEZ_876</x:v>
      </x:c>
      <x:c r="B38" s="24" t="str">
        <x:v>Wallis &amp; Futuna Isl. (France)</x:v>
      </x:c>
      <x:c r="C38" s="24" t="str">
        <x:v>EEZ</x:v>
      </x:c>
      <x:c r="D38" s="30" t="n">
        <x:v>2019</x:v>
      </x:c>
      <x:c r="E38" s="24" t="str">
        <x:v>Lethrinus olivaceus</x:v>
      </x:c>
      <x:c r="F38" s="24" t="str">
        <x:v>Longface emperor</x:v>
      </x:c>
      <x:c r="G38" s="24" t="str">
        <x:v>Medium demersals (30 - 89 cm)</x:v>
      </x:c>
      <x:c r="H38" s="24" t="str">
        <x:v>Perch-likes</x:v>
      </x:c>
      <x:c r="I38" s="31" t="n">
        <x:v>4.566708934999999</x:v>
      </x:c>
      <x:c r="J38" s="31" t="n">
        <x:v>4.566708934999999</x:v>
      </x:c>
      <x:c r="K38" s="31" t="n">
        <x:v>0</x:v>
      </x:c>
      <x:c r="L38" s="31" t="n">
        <x:v>1.9507008809</x:v>
      </x:c>
      <x:c r="M38" s="31" t="n">
        <x:v>2.6160080541</x:v>
      </x:c>
      <x:c r="N38" s="24" t="str">
        <x:v>lethrinus olivaceus</x:v>
      </x:c>
      <x:c r="O38" s="32" t="n">
        <x:v>3.95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Lethrinus olivaceus</x:v>
      </x:c>
      <x:c r="T38" s="32" t="n">
        <x:f>IF(O38="","",(1/'Metadata'!$B$5)^(O38-1))</x:f>
        <x:v>891.2509381337459</x:v>
      </x:c>
      <x:c r="U38" s="31" t="n">
        <x:f>IF(T38="","",I38*T38)</x:f>
        <x:v>4070.083622502509</x:v>
      </x:c>
    </x:row>
    <x:row r="39" ht="18" customHeight="1">
      <x:c r="A39" s="24" t="str">
        <x:v>EEZ_876</x:v>
      </x:c>
      <x:c r="B39" s="24" t="str">
        <x:v>Wallis &amp; Futuna Isl. (France)</x:v>
      </x:c>
      <x:c r="C39" s="24" t="str">
        <x:v>EEZ</x:v>
      </x:c>
      <x:c r="D39" s="30" t="n">
        <x:v>2019</x:v>
      </x:c>
      <x:c r="E39" s="24" t="str">
        <x:v>Monotaxis grandoculis</x:v>
      </x:c>
      <x:c r="F39" s="24" t="str">
        <x:v>Humpnose big-eye bream</x:v>
      </x:c>
      <x:c r="G39" s="24" t="str">
        <x:v>Medium reef assoc. fish (30 - 89 cm)</x:v>
      </x:c>
      <x:c r="H39" s="24" t="str">
        <x:v>Perch-likes</x:v>
      </x:c>
      <x:c r="I39" s="31" t="n">
        <x:v>4.1720550763999995</x:v>
      </x:c>
      <x:c r="J39" s="31" t="n">
        <x:v>4.1720550763999995</x:v>
      </x:c>
      <x:c r="K39" s="31" t="n">
        <x:v>0</x:v>
      </x:c>
      <x:c r="L39" s="31" t="n">
        <x:v>1.7821217924</x:v>
      </x:c>
      <x:c r="M39" s="31" t="n">
        <x:v>2.389933284</x:v>
      </x:c>
      <x:c r="N39" s="24" t="str">
        <x:v>monotaxis grandoculis</x:v>
      </x:c>
      <x:c r="O39" s="32" t="n">
        <x:v>3.37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Monotaxis grandoculis</x:v>
      </x:c>
      <x:c r="T39" s="32" t="n">
        <x:f>IF(O39="","",(1/'Metadata'!$B$5)^(O39-1))</x:f>
        <x:v>234.42288153199226</x:v>
      </x:c>
      <x:c r="U39" s="31" t="n">
        <x:f>IF(T39="","",I39*T39)</x:f>
        <x:v>978.025172919864</x:v>
      </x:c>
    </x:row>
    <x:row r="40" ht="18" customHeight="1">
      <x:c r="A40" s="24" t="str">
        <x:v>EEZ_876</x:v>
      </x:c>
      <x:c r="B40" s="24" t="str">
        <x:v>Wallis &amp; Futuna Isl. (France)</x:v>
      </x:c>
      <x:c r="C40" s="24" t="str">
        <x:v>EEZ</x:v>
      </x:c>
      <x:c r="D40" s="30" t="n">
        <x:v>2019</x:v>
      </x:c>
      <x:c r="E40" s="24" t="str">
        <x:v>Gymnocranius</x:v>
      </x:c>
      <x:c r="F40" s="24" t="str">
        <x:v>Largeeye breams</x:v>
      </x:c>
      <x:c r="G40" s="24" t="str">
        <x:v>Medium reef assoc. fish (30 - 89 cm)</x:v>
      </x:c>
      <x:c r="H40" s="24" t="str">
        <x:v>Perch-likes</x:v>
      </x:c>
      <x:c r="I40" s="31" t="n">
        <x:v>3.4391264819</x:v>
      </x:c>
      <x:c r="J40" s="31" t="n">
        <x:v>3.4391264819</x:v>
      </x:c>
      <x:c r="K40" s="31" t="n">
        <x:v>0</x:v>
      </x:c>
      <x:c r="L40" s="31" t="n">
        <x:v>1.4690463424</x:v>
      </x:c>
      <x:c r="M40" s="31" t="n">
        <x:v>1.9700801395</x:v>
      </x:c>
      <x:c r="N40" s="24" t="str">
        <x:v>gymnocranius</x:v>
      </x:c>
      <x:c r="O40" s="32" t="n">
        <x:v>3.4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Gymnocranius</x:v>
      </x:c>
      <x:c r="T40" s="32" t="n">
        <x:f>IF(O40="","",(1/'Metadata'!$B$5)^(O40-1))</x:f>
        <x:v>251.18864315095797</x:v>
      </x:c>
      <x:c r="U40" s="31" t="n">
        <x:f>IF(T40="","",I40*T40)</x:f>
        <x:v>863.8695146129886</x:v>
      </x:c>
    </x:row>
    <x:row r="41" ht="18" customHeight="1">
      <x:c r="A41" s="24" t="str">
        <x:v>EEZ_876</x:v>
      </x:c>
      <x:c r="B41" s="24" t="str">
        <x:v>Wallis &amp; Futuna Isl. (France)</x:v>
      </x:c>
      <x:c r="C41" s="24" t="str">
        <x:v>EEZ</x:v>
      </x:c>
      <x:c r="D41" s="30" t="n">
        <x:v>2019</x:v>
      </x:c>
      <x:c r="E41" s="24" t="str">
        <x:v>Lutjanus fulviflamma</x:v>
      </x:c>
      <x:c r="F41" s="24" t="str">
        <x:v>Dory snapper</x:v>
      </x:c>
      <x:c r="G41" s="24" t="str">
        <x:v>Medium reef assoc. fish (30 - 89 cm)</x:v>
      </x:c>
      <x:c r="H41" s="24" t="str">
        <x:v>Perch-likes</x:v>
      </x:c>
      <x:c r="I41" s="31" t="n">
        <x:v>3.2511960731</x:v>
      </x:c>
      <x:c r="J41" s="31" t="n">
        <x:v>3.2511960731</x:v>
      </x:c>
      <x:c r="K41" s="31" t="n">
        <x:v>0</x:v>
      </x:c>
      <x:c r="L41" s="31" t="n">
        <x:v>1.3887705860000001</x:v>
      </x:c>
      <x:c r="M41" s="31" t="n">
        <x:v>1.8624254871</x:v>
      </x:c>
      <x:c r="N41" s="24" t="str">
        <x:v>lutjanus fulviflamma</x:v>
      </x:c>
      <x:c r="O41" s="32" t="n">
        <x:v>3.79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Lutjanus fulviflamma</x:v>
      </x:c>
      <x:c r="T41" s="32" t="n">
        <x:f>IF(O41="","",(1/'Metadata'!$B$5)^(O41-1))</x:f>
        <x:v>616.5950018614822</x:v>
      </x:c>
      <x:c r="U41" s="31" t="n">
        <x:f>IF(T41="","",I41*T41)</x:f>
        <x:v>2004.671248745138</x:v>
      </x:c>
    </x:row>
    <x:row r="42" ht="18" customHeight="1">
      <x:c r="A42" s="24" t="str">
        <x:v>EEZ_876</x:v>
      </x:c>
      <x:c r="B42" s="24" t="str">
        <x:v>Wallis &amp; Futuna Isl. (France)</x:v>
      </x:c>
      <x:c r="C42" s="24" t="str">
        <x:v>EEZ</x:v>
      </x:c>
      <x:c r="D42" s="30" t="n">
        <x:v>2019</x:v>
      </x:c>
      <x:c r="E42" s="24" t="str">
        <x:v>Cephalopholis</x:v>
      </x:c>
      <x:c r="F42" s="24" t="str">
        <x:v>Hinds</x:v>
      </x:c>
      <x:c r="G42" s="24" t="str">
        <x:v>Medium reef assoc. fish (30 - 89 cm)</x:v>
      </x:c>
      <x:c r="H42" s="24" t="str">
        <x:v>Perch-likes</x:v>
      </x:c>
      <x:c r="I42" s="31" t="n">
        <x:v>3.2511960731</x:v>
      </x:c>
      <x:c r="J42" s="31" t="n">
        <x:v>3.2511960731</x:v>
      </x:c>
      <x:c r="K42" s="31" t="n">
        <x:v>0</x:v>
      </x:c>
      <x:c r="L42" s="31" t="n">
        <x:v>1.3887705860000001</x:v>
      </x:c>
      <x:c r="M42" s="31" t="n">
        <x:v>1.8624254871</x:v>
      </x:c>
      <x:c r="N42" s="24" t="str">
        <x:v>cephalopholis</x:v>
      </x:c>
      <x:c r="O42" s="32" t="n">
        <x:v>4.13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Cephalopholis</x:v>
      </x:c>
      <x:c r="T42" s="32" t="n">
        <x:f>IF(O42="","",(1/'Metadata'!$B$5)^(O42-1))</x:f>
        <x:v>1348.9628825916532</x:v>
      </x:c>
      <x:c r="U42" s="31" t="n">
        <x:f>IF(T42="","",I42*T42)</x:f>
        <x:v>4385.742826639639</x:v>
      </x:c>
    </x:row>
    <x:row r="43" ht="18" customHeight="1">
      <x:c r="A43" s="24" t="str">
        <x:v>EEZ_876</x:v>
      </x:c>
      <x:c r="B43" s="24" t="str">
        <x:v>Wallis &amp; Futuna Isl. (France)</x:v>
      </x:c>
      <x:c r="C43" s="24" t="str">
        <x:v>EEZ</x:v>
      </x:c>
      <x:c r="D43" s="30" t="n">
        <x:v>2019</x:v>
      </x:c>
      <x:c r="E43" s="24" t="str">
        <x:v>Marine pelagic fishes not identified</x:v>
      </x:c>
      <x:c r="F43" s="24" t="str">
        <x:v>Pelagic fishes</x:v>
      </x:c>
      <x:c r="G43" s="24" t="str">
        <x:v>Medium pelagics (30 - 89 cm)</x:v>
      </x:c>
      <x:c r="H43" s="24" t="str">
        <x:v>Other fishes &amp; inverts</x:v>
      </x:c>
      <x:c r="I43" s="31" t="n">
        <x:v>2.9174852647</x:v>
      </x:c>
      <x:c r="J43" s="31" t="n">
        <x:v>2.7993657998</x:v>
      </x:c>
      <x:c r="K43" s="31" t="n">
        <x:v>0.1181194649</x:v>
      </x:c>
      <x:c r="L43" s="31" t="n">
        <x:v>2.7993657998</x:v>
      </x:c>
      <x:c r="M43" s="31" t="n">
        <x:v>0.1181194649</x:v>
      </x:c>
      <x:c r="N43" s="24" t="str">
        <x:v>marine pelagic fishes not identified</x:v>
      </x:c>
      <x:c r="O43" s="32" t="n">
        <x:v>3.35</x:v>
      </x:c>
      <x:c r="P43" s="24" t="str">
        <x:v>exact_sea_around_us</x:v>
      </x:c>
      <x:c r="Q43" s="32" t="str">
        <x:v>Sea Around Us exploited organisms</x:v>
      </x:c>
      <x:c r="R43" s="24" t="str">
        <x:v>high</x:v>
      </x:c>
      <x:c r="S43" s="24" t="str">
        <x:v>Marine pelagic fishes not identified</x:v>
      </x:c>
      <x:c r="T43" s="32" t="n">
        <x:f>IF(O43="","",(1/'Metadata'!$B$5)^(O43-1))</x:f>
        <x:v>223.872113856834</x:v>
      </x:c>
      <x:c r="U43" s="31" t="n">
        <x:f>IF(T43="","",I43*T43)</x:f>
        <x:v>653.1435933545539</x:v>
      </x:c>
    </x:row>
    <x:row r="44" ht="18" customHeight="1">
      <x:c r="A44" s="24" t="str">
        <x:v>EEZ_876</x:v>
      </x:c>
      <x:c r="B44" s="24" t="str">
        <x:v>Wallis &amp; Futuna Isl. (France)</x:v>
      </x:c>
      <x:c r="C44" s="24" t="str">
        <x:v>EEZ</x:v>
      </x:c>
      <x:c r="D44" s="30" t="n">
        <x:v>2019</x:v>
      </x:c>
      <x:c r="E44" s="24" t="str">
        <x:v>Scarus</x:v>
      </x:c>
      <x:c r="F44" s="24" t="str">
        <x:v>Parrots</x:v>
      </x:c>
      <x:c r="G44" s="24" t="str">
        <x:v>Medium reef assoc. fish (30 - 89 cm)</x:v>
      </x:c>
      <x:c r="H44" s="24" t="str">
        <x:v>Perch-likes</x:v>
      </x:c>
      <x:c r="I44" s="31" t="n">
        <x:v>2.5981379024</x:v>
      </x:c>
      <x:c r="J44" s="31" t="n">
        <x:v>2.5981379024</x:v>
      </x:c>
      <x:c r="K44" s="31" t="n">
        <x:v>0</x:v>
      </x:c>
      <x:c r="L44" s="31" t="n">
        <x:v>1.1098123325</x:v>
      </x:c>
      <x:c r="M44" s="31" t="n">
        <x:v>1.4883255699</x:v>
      </x:c>
      <x:c r="N44" s="24" t="str">
        <x:v>scarus</x:v>
      </x:c>
      <x:c r="O44" s="32" t="n">
        <x:v>2</x:v>
      </x:c>
      <x:c r="P44" s="24" t="str">
        <x:v>exact_sea_around_us</x:v>
      </x:c>
      <x:c r="Q44" s="32" t="str">
        <x:v>Sea Around Us exploited organisms</x:v>
      </x:c>
      <x:c r="R44" s="24" t="str">
        <x:v>high</x:v>
      </x:c>
      <x:c r="S44" s="24" t="str">
        <x:v>Scarus</x:v>
      </x:c>
      <x:c r="T44" s="32" t="n">
        <x:f>IF(O44="","",(1/'Metadata'!$B$5)^(O44-1))</x:f>
        <x:v>10</x:v>
      </x:c>
      <x:c r="U44" s="31" t="n">
        <x:f>IF(T44="","",I44*T44)</x:f>
        <x:v>25.981379024</x:v>
      </x:c>
    </x:row>
    <x:row r="45" ht="18" customHeight="1">
      <x:c r="A45" s="24" t="str">
        <x:v>EEZ_876</x:v>
      </x:c>
      <x:c r="B45" s="24" t="str">
        <x:v>Wallis &amp; Futuna Isl. (France)</x:v>
      </x:c>
      <x:c r="C45" s="24" t="str">
        <x:v>EEZ</x:v>
      </x:c>
      <x:c r="D45" s="30" t="n">
        <x:v>2019</x:v>
      </x:c>
      <x:c r="E45" s="24" t="str">
        <x:v>Epinephelus merra</x:v>
      </x:c>
      <x:c r="F45" s="24" t="str">
        <x:v>Honeycomb grouper</x:v>
      </x:c>
      <x:c r="G45" s="24" t="str">
        <x:v>Small reef assoc. fish (&lt;30 cm)</x:v>
      </x:c>
      <x:c r="H45" s="24" t="str">
        <x:v>Perch-likes</x:v>
      </x:c>
      <x:c r="I45" s="31" t="n">
        <x:v>2.4932100908</x:v>
      </x:c>
      <x:c r="J45" s="31" t="n">
        <x:v>2.4932100908</x:v>
      </x:c>
      <x:c r="K45" s="31" t="n">
        <x:v>0</x:v>
      </x:c>
      <x:c r="L45" s="31" t="n">
        <x:v>1.0649917019</x:v>
      </x:c>
      <x:c r="M45" s="31" t="n">
        <x:v>1.4282183889</x:v>
      </x:c>
      <x:c r="N45" s="24" t="str">
        <x:v>epinephelus merra</x:v>
      </x:c>
      <x:c r="O45" s="32" t="n">
        <x:v>3.82</x:v>
      </x:c>
      <x:c r="P45" s="24" t="str">
        <x:v>exact_2020_supplement</x:v>
      </x:c>
      <x:c r="Q45" s="32" t="str">
        <x:v>2020 supplement MeanTL</x:v>
      </x:c>
      <x:c r="R45" s="24" t="str">
        <x:v>high</x:v>
      </x:c>
      <x:c r="S45" s="24" t="str">
        <x:v>Epinephelus merra</x:v>
      </x:c>
      <x:c r="T45" s="32" t="n">
        <x:f>IF(O45="","",(1/'Metadata'!$B$5)^(O45-1))</x:f>
        <x:v>660.6934480075957</x:v>
      </x:c>
      <x:c r="U45" s="31" t="n">
        <x:f>IF(T45="","",I45*T45)</x:f>
        <x:v>1647.2475714979828</x:v>
      </x:c>
    </x:row>
    <x:row r="46" ht="18" customHeight="1">
      <x:c r="A46" s="24" t="str">
        <x:v>EEZ_876</x:v>
      </x:c>
      <x:c r="B46" s="24" t="str">
        <x:v>Wallis &amp; Futuna Isl. (France)</x:v>
      </x:c>
      <x:c r="C46" s="24" t="str">
        <x:v>EEZ</x:v>
      </x:c>
      <x:c r="D46" s="30" t="n">
        <x:v>2019</x:v>
      </x:c>
      <x:c r="E46" s="24" t="str">
        <x:v>Epinephelus fuscoguttatus</x:v>
      </x:c>
      <x:c r="F46" s="24" t="str">
        <x:v>Brown-marbled grouper</x:v>
      </x:c>
      <x:c r="G46" s="24" t="str">
        <x:v>Large reef assoc. fish (&gt;=90 cm)</x:v>
      </x:c>
      <x:c r="H46" s="24" t="str">
        <x:v>Perch-likes</x:v>
      </x:c>
      <x:c r="I46" s="31" t="n">
        <x:v>2.4838135702999997</x:v>
      </x:c>
      <x:c r="J46" s="31" t="n">
        <x:v>2.4838135702999997</x:v>
      </x:c>
      <x:c r="K46" s="31" t="n">
        <x:v>0</x:v>
      </x:c>
      <x:c r="L46" s="31" t="n">
        <x:v>1.060977914</x:v>
      </x:c>
      <x:c r="M46" s="31" t="n">
        <x:v>1.4228356563</x:v>
      </x:c>
      <x:c r="N46" s="24" t="str">
        <x:v>epinephelus fuscoguttatus</x:v>
      </x:c>
      <x:c r="O46" s="32" t="n">
        <x:v>4.14</x:v>
      </x:c>
      <x:c r="P46" s="24" t="str">
        <x:v>exact_2020_supplement</x:v>
      </x:c>
      <x:c r="Q46" s="32" t="str">
        <x:v>2020 supplement MeanTL</x:v>
      </x:c>
      <x:c r="R46" s="24" t="str">
        <x:v>high</x:v>
      </x:c>
      <x:c r="S46" s="24" t="str">
        <x:v>Epinephelus fuscoguttatus</x:v>
      </x:c>
      <x:c r="T46" s="32" t="n">
        <x:f>IF(O46="","",(1/'Metadata'!$B$5)^(O46-1))</x:f>
        <x:v>1380.3842646028838</x:v>
      </x:c>
      <x:c r="U46" s="31" t="n">
        <x:f>IF(T46="","",I46*T46)</x:f>
        <x:v>3428.6171686492285</x:v>
      </x:c>
    </x:row>
    <x:row r="47" ht="18" customHeight="1">
      <x:c r="A47" s="24" t="str">
        <x:v>EEZ_876</x:v>
      </x:c>
      <x:c r="B47" s="24" t="str">
        <x:v>Wallis &amp; Futuna Isl. (France)</x:v>
      </x:c>
      <x:c r="C47" s="24" t="str">
        <x:v>EEZ</x:v>
      </x:c>
      <x:c r="D47" s="30" t="n">
        <x:v>2019</x:v>
      </x:c>
      <x:c r="E47" s="24" t="str">
        <x:v>Coryphaena hippurus</x:v>
      </x:c>
      <x:c r="F47" s="24" t="str">
        <x:v>Common dolphinfish</x:v>
      </x:c>
      <x:c r="G47" s="24" t="str">
        <x:v>Large pelagics (&gt;=90 cm)</x:v>
      </x:c>
      <x:c r="H47" s="24" t="str">
        <x:v>Perch-likes</x:v>
      </x:c>
      <x:c r="I47" s="31" t="n">
        <x:v>2.4524193068</x:v>
      </x:c>
      <x:c r="J47" s="31" t="n">
        <x:v>0.404050379</x:v>
      </x:c>
      <x:c r="K47" s="31" t="n">
        <x:v>2.0483689278</x:v>
      </x:c>
      <x:c r="L47" s="31" t="n">
        <x:v>0.1725928763</x:v>
      </x:c>
      <x:c r="M47" s="31" t="n">
        <x:v>2.2798264305</x:v>
      </x:c>
      <x:c r="N47" s="24" t="str">
        <x:v>coryphaena hippurus</x:v>
      </x:c>
      <x:c r="O47" s="32" t="n">
        <x:v>4.37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Coryphaena hippurus</x:v>
      </x:c>
      <x:c r="T47" s="32" t="n">
        <x:f>IF(O47="","",(1/'Metadata'!$B$5)^(O47-1))</x:f>
        <x:v>2344.228815319923</x:v>
      </x:c>
      <x:c r="U47" s="31" t="n">
        <x:f>IF(T47="","",I47*T47)</x:f>
        <x:v>5749.03200624747</x:v>
      </x:c>
    </x:row>
    <x:row r="48" ht="18" customHeight="1">
      <x:c r="A48" s="24" t="str">
        <x:v>EEZ_876</x:v>
      </x:c>
      <x:c r="B48" s="24" t="str">
        <x:v>Wallis &amp; Futuna Isl. (France)</x:v>
      </x:c>
      <x:c r="C48" s="24" t="str">
        <x:v>EEZ</x:v>
      </x:c>
      <x:c r="D48" s="30" t="n">
        <x:v>2019</x:v>
      </x:c>
      <x:c r="E48" s="24" t="str">
        <x:v>Diodon hystrix</x:v>
      </x:c>
      <x:c r="F48" s="24" t="str">
        <x:v>Spotted porcupinefish</x:v>
      </x:c>
      <x:c r="G48" s="24" t="str">
        <x:v>Medium reef assoc. fish (30 - 89 cm)</x:v>
      </x:c>
      <x:c r="H48" s="24" t="str">
        <x:v>Other fishes &amp; inverts</x:v>
      </x:c>
      <x:c r="I48" s="31" t="n">
        <x:v>2.0578379768999997</x:v>
      </x:c>
      <x:c r="J48" s="31" t="n">
        <x:v>2.0578379768999997</x:v>
      </x:c>
      <x:c r="K48" s="31" t="n">
        <x:v>0</x:v>
      </x:c>
      <x:c r="L48" s="31" t="n">
        <x:v>0.8790195327999999</x:v>
      </x:c>
      <x:c r="M48" s="31" t="n">
        <x:v>1.1788184441</x:v>
      </x:c>
      <x:c r="N48" s="24" t="str">
        <x:v>diodon hystrix</x:v>
      </x:c>
      <x:c r="O48" s="32" t="n">
        <x:v>3.67</x:v>
      </x:c>
      <x:c r="P48" s="24" t="str">
        <x:v>exact_2020_supplement</x:v>
      </x:c>
      <x:c r="Q48" s="32" t="str">
        <x:v>2020 supplement MeanTL</x:v>
      </x:c>
      <x:c r="R48" s="24" t="str">
        <x:v>high</x:v>
      </x:c>
      <x:c r="S48" s="24" t="str">
        <x:v>Diodon hystrix</x:v>
      </x:c>
      <x:c r="T48" s="32" t="n">
        <x:f>IF(O48="","",(1/'Metadata'!$B$5)^(O48-1))</x:f>
        <x:v>467.73514128719813</x:v>
      </x:c>
      <x:c r="U48" s="31" t="n">
        <x:f>IF(T48="","",I48*T48)</x:f>
        <x:v>962.5231368714833</x:v>
      </x:c>
    </x:row>
    <x:row r="49" ht="18" customHeight="1">
      <x:c r="A49" s="24" t="str">
        <x:v>EEZ_876</x:v>
      </x:c>
      <x:c r="B49" s="24" t="str">
        <x:v>Wallis &amp; Futuna Isl. (France)</x:v>
      </x:c>
      <x:c r="C49" s="24" t="str">
        <x:v>EEZ</x:v>
      </x:c>
      <x:c r="D49" s="30" t="n">
        <x:v>2019</x:v>
      </x:c>
      <x:c r="E49" s="24" t="str">
        <x:v>Carcharhinus falciformis</x:v>
      </x:c>
      <x:c r="F49" s="24" t="str">
        <x:v>Silky shark</x:v>
      </x:c>
      <x:c r="G49" s="24" t="str">
        <x:v>Large sharks (&gt;=90 cm)</x:v>
      </x:c>
      <x:c r="H49" s="24" t="str">
        <x:v>Sharks &amp; rays</x:v>
      </x:c>
      <x:c r="I49" s="31" t="n">
        <x:v>1.9172553547000002</x:v>
      </x:c>
      <x:c r="J49" s="31" t="n">
        <x:v>0.0085514357</x:v>
      </x:c>
      <x:c r="K49" s="31" t="n">
        <x:v>1.9087039190000001</x:v>
      </x:c>
      <x:c r="L49" s="31" t="n">
        <x:v>0.0085514357</x:v>
      </x:c>
      <x:c r="M49" s="31" t="n">
        <x:v>1.9087039190000001</x:v>
      </x:c>
      <x:c r="N49" s="24" t="str">
        <x:v>carcharhinus falciformis</x:v>
      </x:c>
      <x:c r="O49" s="32" t="n">
        <x:v>4.51</x:v>
      </x:c>
      <x:c r="P49" s="24" t="str">
        <x:v>exact_2020_supplement</x:v>
      </x:c>
      <x:c r="Q49" s="32" t="str">
        <x:v>2020 supplement MeanTL</x:v>
      </x:c>
      <x:c r="R49" s="24" t="str">
        <x:v>high</x:v>
      </x:c>
      <x:c r="S49" s="24" t="str">
        <x:v>Carcharhinus falciformis</x:v>
      </x:c>
      <x:c r="T49" s="32" t="n">
        <x:f>IF(O49="","",(1/'Metadata'!$B$5)^(O49-1))</x:f>
        <x:v>3235.936569296281</x:v>
      </x:c>
      <x:c r="U49" s="31" t="n">
        <x:f>IF(T49="","",I49*T49)</x:f>
        <x:v>6204.116714952843</x:v>
      </x:c>
    </x:row>
    <x:row r="50" ht="18" customHeight="1">
      <x:c r="A50" s="24" t="str">
        <x:v>EEZ_876</x:v>
      </x:c>
      <x:c r="B50" s="24" t="str">
        <x:v>Wallis &amp; Futuna Isl. (France)</x:v>
      </x:c>
      <x:c r="C50" s="24" t="str">
        <x:v>EEZ</x:v>
      </x:c>
      <x:c r="D50" s="30" t="n">
        <x:v>2019</x:v>
      </x:c>
      <x:c r="E50" s="24" t="str">
        <x:v>Upeneus</x:v>
      </x:c>
      <x:c r="F50" s="24" t="str">
        <x:v>Upeneid goatfishes</x:v>
      </x:c>
      <x:c r="G50" s="24" t="str">
        <x:v>Small reef assoc. fish (&lt;30 cm)</x:v>
      </x:c>
      <x:c r="H50" s="24" t="str">
        <x:v>Perch-likes</x:v>
      </x:c>
      <x:c r="I50" s="31" t="n">
        <x:v>1.6819771592000001</x:v>
      </x:c>
      <x:c r="J50" s="31" t="n">
        <x:v>1.6819771592000001</x:v>
      </x:c>
      <x:c r="K50" s="31" t="n">
        <x:v>0</x:v>
      </x:c>
      <x:c r="L50" s="31" t="n">
        <x:v>0.7184680199</x:v>
      </x:c>
      <x:c r="M50" s="31" t="n">
        <x:v>0.9635091393</x:v>
      </x:c>
      <x:c r="N50" s="24" t="str">
        <x:v>upeneus</x:v>
      </x:c>
      <x:c r="O50" s="32" t="n">
        <x:v>3.54</x:v>
      </x:c>
      <x:c r="P50" s="24" t="str">
        <x:v>exact_sea_around_us</x:v>
      </x:c>
      <x:c r="Q50" s="32" t="str">
        <x:v>Sea Around Us exploited organisms</x:v>
      </x:c>
      <x:c r="R50" s="24" t="str">
        <x:v>high</x:v>
      </x:c>
      <x:c r="S50" s="24" t="str">
        <x:v>Upeneus</x:v>
      </x:c>
      <x:c r="T50" s="32" t="n">
        <x:f>IF(O50="","",(1/'Metadata'!$B$5)^(O50-1))</x:f>
        <x:v>346.73685045253166</x:v>
      </x:c>
      <x:c r="U50" s="31" t="n">
        <x:f>IF(T50="","",I50*T50)</x:f>
        <x:v>583.2034627141045</x:v>
      </x:c>
    </x:row>
    <x:row r="51" ht="18" customHeight="1">
      <x:c r="A51" s="24" t="str">
        <x:v>EEZ_876</x:v>
      </x:c>
      <x:c r="B51" s="24" t="str">
        <x:v>Wallis &amp; Futuna Isl. (France)</x:v>
      </x:c>
      <x:c r="C51" s="24" t="str">
        <x:v>EEZ</x:v>
      </x:c>
      <x:c r="D51" s="30" t="n">
        <x:v>2019</x:v>
      </x:c>
      <x:c r="E51" s="24" t="str">
        <x:v>Carcharhinus longimanus</x:v>
      </x:c>
      <x:c r="F51" s="24" t="str">
        <x:v>Oceanic whitetip shark</x:v>
      </x:c>
      <x:c r="G51" s="24" t="str">
        <x:v>Large sharks (&gt;=90 cm)</x:v>
      </x:c>
      <x:c r="H51" s="24" t="str">
        <x:v>Sharks &amp; rays</x:v>
      </x:c>
      <x:c r="I51" s="31" t="n">
        <x:v>1.5309362386999998</x:v>
      </x:c>
      <x:c r="J51" s="31" t="n">
        <x:v>0.0480856357</x:v>
      </x:c>
      <x:c r="K51" s="31" t="n">
        <x:v>1.482850603</x:v>
      </x:c>
      <x:c r="L51" s="31" t="n">
        <x:v>0.0480856357</x:v>
      </x:c>
      <x:c r="M51" s="31" t="n">
        <x:v>1.482850603</x:v>
      </x:c>
      <x:c r="N51" s="24" t="str">
        <x:v>carcharhinus longimanus</x:v>
      </x:c>
      <x:c r="O51" s="32" t="n">
        <x:v>4.16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Carcharhinus longimanus</x:v>
      </x:c>
      <x:c r="T51" s="32" t="n">
        <x:f>IF(O51="","",(1/'Metadata'!$B$5)^(O51-1))</x:f>
        <x:v>1445.439770745928</x:v>
      </x:c>
      <x:c r="U51" s="31" t="n">
        <x:f>IF(T51="","",I51*T51)</x:f>
        <x:v>2212.876125893161</x:v>
      </x:c>
    </x:row>
    <x:row r="52" ht="18" customHeight="1">
      <x:c r="A52" s="24" t="str">
        <x:v>EEZ_876</x:v>
      </x:c>
      <x:c r="B52" s="24" t="str">
        <x:v>Wallis &amp; Futuna Isl. (France)</x:v>
      </x:c>
      <x:c r="C52" s="24" t="str">
        <x:v>EEZ</x:v>
      </x:c>
      <x:c r="D52" s="30" t="n">
        <x:v>2019</x:v>
      </x:c>
      <x:c r="E52" s="24" t="str">
        <x:v>Carangidae</x:v>
      </x:c>
      <x:c r="F52" s="24" t="str">
        <x:v>Jacks, pompanos</x:v>
      </x:c>
      <x:c r="G52" s="24" t="str">
        <x:v>Medium pelagics (30 - 89 cm)</x:v>
      </x:c>
      <x:c r="H52" s="24" t="str">
        <x:v>Perch-likes</x:v>
      </x:c>
      <x:c r="I52" s="31" t="n">
        <x:v>1.4671459732</x:v>
      </x:c>
      <x:c r="J52" s="31" t="n">
        <x:v>1.4282711072</x:v>
      </x:c>
      <x:c r="K52" s="31" t="n">
        <x:v>0.038874866</x:v>
      </x:c>
      <x:c r="L52" s="31" t="n">
        <x:v>0.6100957487</x:v>
      </x:c>
      <x:c r="M52" s="31" t="n">
        <x:v>0.8570502245</x:v>
      </x:c>
      <x:c r="N52" s="24" t="str">
        <x:v>carangidae</x:v>
      </x:c>
      <x:c r="O52" s="32" t="n">
        <x:v>4.05</x:v>
      </x:c>
      <x:c r="P52" s="24" t="str">
        <x:v>exact_sea_around_us</x:v>
      </x:c>
      <x:c r="Q52" s="32" t="str">
        <x:v>Sea Around Us exploited organisms</x:v>
      </x:c>
      <x:c r="R52" s="24" t="str">
        <x:v>high</x:v>
      </x:c>
      <x:c r="S52" s="24" t="str">
        <x:v>Carangidae</x:v>
      </x:c>
      <x:c r="T52" s="32" t="n">
        <x:f>IF(O52="","",(1/'Metadata'!$B$5)^(O52-1))</x:f>
        <x:v>1122.018454301963</x:v>
      </x:c>
      <x:c r="U52" s="31" t="n">
        <x:f>IF(T52="","",I52*T52)</x:f>
        <x:v>1646.1648570852133</x:v>
      </x:c>
    </x:row>
    <x:row r="53" ht="18" customHeight="1">
      <x:c r="A53" s="24" t="str">
        <x:v>EEZ_876</x:v>
      </x:c>
      <x:c r="B53" s="24" t="str">
        <x:v>Wallis &amp; Futuna Isl. (France)</x:v>
      </x:c>
      <x:c r="C53" s="24" t="str">
        <x:v>EEZ</x:v>
      </x:c>
      <x:c r="D53" s="30" t="n">
        <x:v>2019</x:v>
      </x:c>
      <x:c r="E53" s="24" t="str">
        <x:v>Scarus ghobban</x:v>
      </x:c>
      <x:c r="F53" s="24" t="str">
        <x:v>Blue-barred parrotfish</x:v>
      </x:c>
      <x:c r="G53" s="24" t="str">
        <x:v>Medium reef assoc. fish (30 - 89 cm)</x:v>
      </x:c>
      <x:c r="H53" s="24" t="str">
        <x:v>Perch-likes</x:v>
      </x:c>
      <x:c r="I53" s="31" t="n">
        <x:v>1.3906850255</x:v>
      </x:c>
      <x:c r="J53" s="31" t="n">
        <x:v>1.3906850255</x:v>
      </x:c>
      <x:c r="K53" s="31" t="n">
        <x:v>0</x:v>
      </x:c>
      <x:c r="L53" s="31" t="n">
        <x:v>0.5940405975</x:v>
      </x:c>
      <x:c r="M53" s="31" t="n">
        <x:v>0.796644428</x:v>
      </x:c>
      <x:c r="N53" s="24" t="str">
        <x:v>scarus ghobban</x:v>
      </x:c>
      <x:c r="O53" s="32" t="n">
        <x:v>2</x:v>
      </x:c>
      <x:c r="P53" s="24" t="str">
        <x:v>exact_2020_supplement</x:v>
      </x:c>
      <x:c r="Q53" s="32" t="str">
        <x:v>2020 supplement MeanTL</x:v>
      </x:c>
      <x:c r="R53" s="24" t="str">
        <x:v>high</x:v>
      </x:c>
      <x:c r="S53" s="24" t="str">
        <x:v>Scarus ghobban</x:v>
      </x:c>
      <x:c r="T53" s="32" t="n">
        <x:f>IF(O53="","",(1/'Metadata'!$B$5)^(O53-1))</x:f>
        <x:v>10</x:v>
      </x:c>
      <x:c r="U53" s="31" t="n">
        <x:f>IF(T53="","",I53*T53)</x:f>
        <x:v>13.906850255</x:v>
      </x:c>
    </x:row>
    <x:row r="54" ht="18" customHeight="1">
      <x:c r="A54" s="24" t="str">
        <x:v>EEZ_876</x:v>
      </x:c>
      <x:c r="B54" s="24" t="str">
        <x:v>Wallis &amp; Futuna Isl. (France)</x:v>
      </x:c>
      <x:c r="C54" s="24" t="str">
        <x:v>EEZ</x:v>
      </x:c>
      <x:c r="D54" s="30" t="n">
        <x:v>2019</x:v>
      </x:c>
      <x:c r="E54" s="24" t="str">
        <x:v>Epinephelus chlorostigma</x:v>
      </x:c>
      <x:c r="F54" s="24" t="str">
        <x:v>Brownspotted grouper</x:v>
      </x:c>
      <x:c r="G54" s="24" t="str">
        <x:v>Medium reef assoc. fish (30 - 89 cm)</x:v>
      </x:c>
      <x:c r="H54" s="24" t="str">
        <x:v>Perch-likes</x:v>
      </x:c>
      <x:c r="I54" s="31" t="n">
        <x:v>1.315512862</x:v>
      </x:c>
      <x:c r="J54" s="31" t="n">
        <x:v>1.315512862</x:v>
      </x:c>
      <x:c r="K54" s="31" t="n">
        <x:v>0</x:v>
      </x:c>
      <x:c r="L54" s="31" t="n">
        <x:v>0.561930295</x:v>
      </x:c>
      <x:c r="M54" s="31" t="n">
        <x:v>0.753582567</x:v>
      </x:c>
      <x:c r="N54" s="24" t="str">
        <x:v>epinephelus chlorostigma</x:v>
      </x:c>
      <x:c r="O54" s="32" t="n">
        <x:v>3.99</x:v>
      </x:c>
      <x:c r="P54" s="24" t="str">
        <x:v>exact_2020_supplement</x:v>
      </x:c>
      <x:c r="Q54" s="32" t="str">
        <x:v>2020 supplement MeanTL</x:v>
      </x:c>
      <x:c r="R54" s="24" t="str">
        <x:v>high</x:v>
      </x:c>
      <x:c r="S54" s="24" t="str">
        <x:v>Epinephelus chlorostigma</x:v>
      </x:c>
      <x:c r="T54" s="32" t="n">
        <x:f>IF(O54="","",(1/'Metadata'!$B$5)^(O54-1))</x:f>
        <x:v>977.2372209558112</x:v>
      </x:c>
      <x:c r="U54" s="31" t="n">
        <x:f>IF(T54="","",I54*T54)</x:f>
        <x:v>1285.5681333925056</x:v>
      </x:c>
    </x:row>
    <x:row r="55" ht="18" customHeight="1">
      <x:c r="A55" s="24" t="str">
        <x:v>EEZ_876</x:v>
      </x:c>
      <x:c r="B55" s="24" t="str">
        <x:v>Wallis &amp; Futuna Isl. (France)</x:v>
      </x:c>
      <x:c r="C55" s="24" t="str">
        <x:v>EEZ</x:v>
      </x:c>
      <x:c r="D55" s="30" t="n">
        <x:v>2019</x:v>
      </x:c>
      <x:c r="E55" s="24" t="str">
        <x:v>Istiompax indica</x:v>
      </x:c>
      <x:c r="F55" s="24" t="str">
        <x:v>Black marlin</x:v>
      </x:c>
      <x:c r="G55" s="24" t="str">
        <x:v>Large pelagics (&gt;=90 cm)</x:v>
      </x:c>
      <x:c r="H55" s="24" t="str">
        <x:v>Tuna &amp; billfishes</x:v>
      </x:c>
      <x:c r="I55" s="31" t="n">
        <x:v>1.2579435517</x:v>
      </x:c>
      <x:c r="J55" s="31" t="n">
        <x:v>1.2579435517</x:v>
      </x:c>
      <x:c r="K55" s="31" t="n">
        <x:v>0</x:v>
      </x:c>
      <x:c r="L55" s="31" t="n">
        <x:v>1.2579435517</x:v>
      </x:c>
      <x:c r="M55" s="31" t="n">
        <x:v>0</x:v>
      </x:c>
      <x:c r="N55" s="24" t="str">
        <x:v>istiompax indica</x:v>
      </x:c>
      <x:c r="O55" s="32" t="n">
        <x:v>4.5</x:v>
      </x:c>
      <x:c r="P55" s="24" t="str">
        <x:v>exact_2020_supplement</x:v>
      </x:c>
      <x:c r="Q55" s="32" t="str">
        <x:v>2020 supplement MeanTL</x:v>
      </x:c>
      <x:c r="R55" s="24" t="str">
        <x:v>high</x:v>
      </x:c>
      <x:c r="S55" s="24" t="str">
        <x:v>Istiompax indica</x:v>
      </x:c>
      <x:c r="T55" s="32" t="n">
        <x:f>IF(O55="","",(1/'Metadata'!$B$5)^(O55-1))</x:f>
        <x:v>3162.2776601683795</x:v>
      </x:c>
      <x:c r="U55" s="31" t="n">
        <x:f>IF(T55="","",I55*T55)</x:f>
        <x:v>3977.9667912937766</x:v>
      </x:c>
    </x:row>
    <x:row r="56" ht="18" customHeight="1">
      <x:c r="A56" s="24" t="str">
        <x:v>EEZ_876</x:v>
      </x:c>
      <x:c r="B56" s="24" t="str">
        <x:v>Wallis &amp; Futuna Isl. (France)</x:v>
      </x:c>
      <x:c r="C56" s="24" t="str">
        <x:v>EEZ</x:v>
      </x:c>
      <x:c r="D56" s="30" t="n">
        <x:v>2019</x:v>
      </x:c>
      <x:c r="E56" s="24" t="str">
        <x:v>Aprion virescens</x:v>
      </x:c>
      <x:c r="F56" s="24" t="str">
        <x:v>Green jobfish</x:v>
      </x:c>
      <x:c r="G56" s="24" t="str">
        <x:v>Large reef assoc. fish (&gt;=90 cm)</x:v>
      </x:c>
      <x:c r="H56" s="24" t="str">
        <x:v>Perch-likes</x:v>
      </x:c>
      <x:c r="I56" s="31" t="n">
        <x:v>1.2497372189</x:v>
      </x:c>
      <x:c r="J56" s="31" t="n">
        <x:v>1.2497372189</x:v>
      </x:c>
      <x:c r="K56" s="31" t="n">
        <x:v>0</x:v>
      </x:c>
      <x:c r="L56" s="31" t="n">
        <x:v>0.5338337801999999</x:v>
      </x:c>
      <x:c r="M56" s="31" t="n">
        <x:v>0.7159034387</x:v>
      </x:c>
      <x:c r="N56" s="24" t="str">
        <x:v>aprion virescens</x:v>
      </x:c>
      <x:c r="O56" s="32" t="n">
        <x:v>4.28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Aprion virescens</x:v>
      </x:c>
      <x:c r="T56" s="32" t="n">
        <x:f>IF(O56="","",(1/'Metadata'!$B$5)^(O56-1))</x:f>
        <x:v>1905.4607179632483</x:v>
      </x:c>
      <x:c r="U56" s="31" t="n">
        <x:f>IF(T56="","",I56*T56)</x:f>
        <x:v>2381.325178390587</x:v>
      </x:c>
    </x:row>
    <x:row r="57" ht="18" customHeight="1">
      <x:c r="A57" s="24" t="str">
        <x:v>EEZ_876</x:v>
      </x:c>
      <x:c r="B57" s="24" t="str">
        <x:v>Wallis &amp; Futuna Isl. (France)</x:v>
      </x:c>
      <x:c r="C57" s="24" t="str">
        <x:v>EEZ</x:v>
      </x:c>
      <x:c r="D57" s="30" t="n">
        <x:v>2019</x:v>
      </x:c>
      <x:c r="E57" s="24" t="str">
        <x:v>Palinuridae</x:v>
      </x:c>
      <x:c r="F57" s="24" t="str">
        <x:v>Spiny lobsters</x:v>
      </x:c>
      <x:c r="G57" s="24" t="str">
        <x:v>Lobsters, crabs</x:v>
      </x:c>
      <x:c r="H57" s="24" t="str">
        <x:v>Crustaceans</x:v>
      </x:c>
      <x:c r="I57" s="31" t="n">
        <x:v>1</x:v>
      </x:c>
      <x:c r="J57" s="31" t="n">
        <x:v>1</x:v>
      </x:c>
      <x:c r="K57" s="31" t="n">
        <x:v>0</x:v>
      </x:c>
      <x:c r="L57" s="31" t="n">
        <x:v>1</x:v>
      </x:c>
      <x:c r="M57" s="31" t="n">
        <x:v>0</x:v>
      </x:c>
      <x:c r="N57" s="24" t="str">
        <x:v>palinuridae</x:v>
      </x:c>
      <x:c r="O57" s="32" t="n">
        <x:v>3.14</x:v>
      </x:c>
      <x:c r="P57" s="24" t="str">
        <x:v>exact_sea_around_us</x:v>
      </x:c>
      <x:c r="Q57" s="32" t="str">
        <x:v>Sea Around Us exploited organisms</x:v>
      </x:c>
      <x:c r="R57" s="24" t="str">
        <x:v>high</x:v>
      </x:c>
      <x:c r="S57" s="24" t="str">
        <x:v>Palinuridae</x:v>
      </x:c>
      <x:c r="T57" s="32" t="n">
        <x:f>IF(O57="","",(1/'Metadata'!$B$5)^(O57-1))</x:f>
        <x:v>138.03842646028852</x:v>
      </x:c>
      <x:c r="U57" s="31" t="n">
        <x:f>IF(T57="","",I57*T57)</x:f>
        <x:v>138.03842646028852</x:v>
      </x:c>
    </x:row>
    <x:row r="58" ht="18" customHeight="1">
      <x:c r="A58" s="24" t="str">
        <x:v>EEZ_876</x:v>
      </x:c>
      <x:c r="B58" s="24" t="str">
        <x:v>Wallis &amp; Futuna Isl. (France)</x:v>
      </x:c>
      <x:c r="C58" s="24" t="str">
        <x:v>EEZ</x:v>
      </x:c>
      <x:c r="D58" s="30" t="n">
        <x:v>2019</x:v>
      </x:c>
      <x:c r="E58" s="24" t="str">
        <x:v>Octopus</x:v>
      </x:c>
      <x:c r="F58" s="24" t="str">
        <x:v>Octopuses, pikas</x:v>
      </x:c>
      <x:c r="G58" s="24" t="str">
        <x:v>Cephalopods</x:v>
      </x:c>
      <x:c r="H58" s="24" t="str">
        <x:v>Other fishes &amp; inverts</x:v>
      </x:c>
      <x:c r="I58" s="31" t="n">
        <x:v>1</x:v>
      </x:c>
      <x:c r="J58" s="31" t="n">
        <x:v>1</x:v>
      </x:c>
      <x:c r="K58" s="31" t="n">
        <x:v>0</x:v>
      </x:c>
      <x:c r="L58" s="31" t="n">
        <x:v>1</x:v>
      </x:c>
      <x:c r="M58" s="31" t="n">
        <x:v>0</x:v>
      </x:c>
      <x:c r="N58" s="24" t="str">
        <x:v>octopus</x:v>
      </x:c>
      <x:c r="O58" s="32" t="n">
        <x:v>3.8</x:v>
      </x:c>
      <x:c r="P58" s="24" t="str">
        <x:v>exact_sea_around_us</x:v>
      </x:c>
      <x:c r="Q58" s="32" t="str">
        <x:v>Sea Around Us exploited organisms</x:v>
      </x:c>
      <x:c r="R58" s="24" t="str">
        <x:v>high</x:v>
      </x:c>
      <x:c r="S58" s="24" t="str">
        <x:v>Octopus</x:v>
      </x:c>
      <x:c r="T58" s="32" t="n">
        <x:f>IF(O58="","",(1/'Metadata'!$B$5)^(O58-1))</x:f>
        <x:v>630.957344480193</x:v>
      </x:c>
      <x:c r="U58" s="31" t="n">
        <x:f>IF(T58="","",I58*T58)</x:f>
        <x:v>630.957344480193</x:v>
      </x:c>
    </x:row>
    <x:row r="59" ht="18" customHeight="1">
      <x:c r="A59" s="24" t="str">
        <x:v>EEZ_876</x:v>
      </x:c>
      <x:c r="B59" s="24" t="str">
        <x:v>Wallis &amp; Futuna Isl. (France)</x:v>
      </x:c>
      <x:c r="C59" s="24" t="str">
        <x:v>EEZ</x:v>
      </x:c>
      <x:c r="D59" s="30" t="n">
        <x:v>2019</x:v>
      </x:c>
      <x:c r="E59" s="24" t="str">
        <x:v>Acanthocybium solandri</x:v>
      </x:c>
      <x:c r="F59" s="24" t="str">
        <x:v>Wahoo</x:v>
      </x:c>
      <x:c r="G59" s="24" t="str">
        <x:v>Large pelagics (&gt;=90 cm)</x:v>
      </x:c>
      <x:c r="H59" s="24" t="str">
        <x:v>Perch-likes</x:v>
      </x:c>
      <x:c r="I59" s="31" t="n">
        <x:v>0.9571426662</x:v>
      </x:c>
      <x:c r="J59" s="31" t="n">
        <x:v>0</x:v>
      </x:c>
      <x:c r="K59" s="31" t="n">
        <x:v>0.9571426662</x:v>
      </x:c>
      <x:c r="L59" s="31" t="n">
        <x:v>0</x:v>
      </x:c>
      <x:c r="M59" s="31" t="n">
        <x:v>0.9571426662</x:v>
      </x:c>
      <x:c r="N59" s="24" t="str">
        <x:v>acanthocybium solandri</x:v>
      </x:c>
      <x:c r="O59" s="32" t="n">
        <x:v>4.26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Acanthocybium solandri</x:v>
      </x:c>
      <x:c r="T59" s="32" t="n">
        <x:f>IF(O59="","",(1/'Metadata'!$B$5)^(O59-1))</x:f>
        <x:v>1819.7008586099826</x:v>
      </x:c>
      <x:c r="U59" s="31" t="n">
        <x:f>IF(T59="","",I59*T59)</x:f>
        <x:v>1741.7133314963878</x:v>
      </x:c>
    </x:row>
    <x:row r="60" ht="18" customHeight="1">
      <x:c r="A60" s="24" t="str">
        <x:v>EEZ_876</x:v>
      </x:c>
      <x:c r="B60" s="24" t="str">
        <x:v>Wallis &amp; Futuna Isl. (France)</x:v>
      </x:c>
      <x:c r="C60" s="24" t="str">
        <x:v>EEZ</x:v>
      </x:c>
      <x:c r="D60" s="30" t="n">
        <x:v>2019</x:v>
      </x:c>
      <x:c r="E60" s="24" t="str">
        <x:v>Istiophoridae</x:v>
      </x:c>
      <x:c r="F60" s="24" t="str">
        <x:v>Billfishes</x:v>
      </x:c>
      <x:c r="G60" s="24" t="str">
        <x:v>Large pelagics (&gt;=90 cm)</x:v>
      </x:c>
      <x:c r="H60" s="24" t="str">
        <x:v>Tuna &amp; billfishes</x:v>
      </x:c>
      <x:c r="I60" s="31" t="n">
        <x:v>0.8964696533000001</x:v>
      </x:c>
      <x:c r="J60" s="31" t="n">
        <x:v>0</x:v>
      </x:c>
      <x:c r="K60" s="31" t="n">
        <x:v>0.8964696533000001</x:v>
      </x:c>
      <x:c r="L60" s="31" t="n">
        <x:v>0</x:v>
      </x:c>
      <x:c r="M60" s="31" t="n">
        <x:v>0.8964696533000001</x:v>
      </x:c>
      <x:c r="N60" s="24" t="str">
        <x:v>istiophoridae</x:v>
      </x:c>
      <x:c r="O60" s="32" t="n">
        <x:v>4.48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Istiophoridae</x:v>
      </x:c>
      <x:c r="T60" s="32" t="n">
        <x:f>IF(O60="","",(1/'Metadata'!$B$5)^(O60-1))</x:f>
        <x:v>3019.951720402019</x:v>
      </x:c>
      <x:c r="U60" s="31" t="n">
        <x:f>IF(T60="","",I60*T60)</x:f>
        <x:v>2707.2950717715366</x:v>
      </x:c>
    </x:row>
    <x:row r="61" ht="18" customHeight="1">
      <x:c r="A61" s="24" t="str">
        <x:v>EEZ_876</x:v>
      </x:c>
      <x:c r="B61" s="24" t="str">
        <x:v>Wallis &amp; Futuna Isl. (France)</x:v>
      </x:c>
      <x:c r="C61" s="24" t="str">
        <x:v>EEZ</x:v>
      </x:c>
      <x:c r="D61" s="30" t="n">
        <x:v>2019</x:v>
      </x:c>
      <x:c r="E61" s="24" t="str">
        <x:v>Carcharhinus</x:v>
      </x:c>
      <x:c r="F61" s="24" t="str">
        <x:v>Sharp-nosed sharks</x:v>
      </x:c>
      <x:c r="G61" s="24" t="str">
        <x:v>Large sharks (&gt;=90 cm)</x:v>
      </x:c>
      <x:c r="H61" s="24" t="str">
        <x:v>Sharks &amp; rays</x:v>
      </x:c>
      <x:c r="I61" s="31" t="n">
        <x:v>0.8738764011</x:v>
      </x:c>
      <x:c r="J61" s="31" t="n">
        <x:v>0.8738764011</x:v>
      </x:c>
      <x:c r="K61" s="31" t="n">
        <x:v>0</x:v>
      </x:c>
      <x:c r="L61" s="31" t="n">
        <x:v>0.3732822673</x:v>
      </x:c>
      <x:c r="M61" s="31" t="n">
        <x:v>0.5005941338</x:v>
      </x:c>
      <x:c r="N61" s="24" t="str">
        <x:v>carcharhinus</x:v>
      </x:c>
      <x:c r="O61" s="32" t="n">
        <x:v>4.26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Carcharhinus</x:v>
      </x:c>
      <x:c r="T61" s="32" t="n">
        <x:f>IF(O61="","",(1/'Metadata'!$B$5)^(O61-1))</x:f>
        <x:v>1819.7008586099826</x:v>
      </x:c>
      <x:c r="U61" s="31" t="n">
        <x:f>IF(T61="","",I61*T61)</x:f>
        <x:v>1590.1936374006714</x:v>
      </x:c>
    </x:row>
    <x:row r="62" ht="18" customHeight="1">
      <x:c r="A62" s="24" t="str">
        <x:v>EEZ_876</x:v>
      </x:c>
      <x:c r="B62" s="24" t="str">
        <x:v>Wallis &amp; Futuna Isl. (France)</x:v>
      </x:c>
      <x:c r="C62" s="24" t="str">
        <x:v>EEZ</x:v>
      </x:c>
      <x:c r="D62" s="30" t="n">
        <x:v>2019</x:v>
      </x:c>
      <x:c r="E62" s="24" t="str">
        <x:v>Kajikia audax</x:v>
      </x:c>
      <x:c r="F62" s="24" t="str">
        <x:v>Striped marlin</x:v>
      </x:c>
      <x:c r="G62" s="24" t="str">
        <x:v>Large pelagics (&gt;=90 cm)</x:v>
      </x:c>
      <x:c r="H62" s="24" t="str">
        <x:v>Tuna &amp; billfishes</x:v>
      </x:c>
      <x:c r="I62" s="31" t="n">
        <x:v>0.8520068046</x:v>
      </x:c>
      <x:c r="J62" s="31" t="n">
        <x:v>0.8520068046</x:v>
      </x:c>
      <x:c r="K62" s="31" t="n">
        <x:v>0</x:v>
      </x:c>
      <x:c r="L62" s="31" t="n">
        <x:v>0.8520068046</x:v>
      </x:c>
      <x:c r="M62" s="31" t="n">
        <x:v>0</x:v>
      </x:c>
      <x:c r="N62" s="24" t="str">
        <x:v>kajikia audax</x:v>
      </x:c>
      <x:c r="O62" s="32" t="n">
        <x:v>4.58</x:v>
      </x:c>
      <x:c r="P62" s="24" t="str">
        <x:v>exact_2020_supplement</x:v>
      </x:c>
      <x:c r="Q62" s="32" t="str">
        <x:v>2020 supplement MeanTL</x:v>
      </x:c>
      <x:c r="R62" s="24" t="str">
        <x:v>high</x:v>
      </x:c>
      <x:c r="S62" s="24" t="str">
        <x:v>Kajikia audax</x:v>
      </x:c>
      <x:c r="T62" s="32" t="n">
        <x:f>IF(O62="","",(1/'Metadata'!$B$5)^(O62-1))</x:f>
        <x:v>3801.8939632056126</x:v>
      </x:c>
      <x:c r="U62" s="31" t="n">
        <x:f>IF(T62="","",I62*T62)</x:f>
        <x:v>3239.239527018844</x:v>
      </x:c>
    </x:row>
    <x:row r="63" ht="18" customHeight="1">
      <x:c r="A63" s="24" t="str">
        <x:v>EEZ_876</x:v>
      </x:c>
      <x:c r="B63" s="24" t="str">
        <x:v>Wallis &amp; Futuna Isl. (France)</x:v>
      </x:c>
      <x:c r="C63" s="24" t="str">
        <x:v>EEZ</x:v>
      </x:c>
      <x:c r="D63" s="30" t="n">
        <x:v>2019</x:v>
      </x:c>
      <x:c r="E63" s="24" t="str">
        <x:v>Balistidae</x:v>
      </x:c>
      <x:c r="F63" s="24" t="str">
        <x:v>Triggerfishes</x:v>
      </x:c>
      <x:c r="G63" s="24" t="str">
        <x:v>Medium reef assoc. fish (30 - 89 cm)</x:v>
      </x:c>
      <x:c r="H63" s="24" t="str">
        <x:v>Other fishes &amp; inverts</x:v>
      </x:c>
      <x:c r="I63" s="31" t="n">
        <x:v>0.7047390331</x:v>
      </x:c>
      <x:c r="J63" s="31" t="n">
        <x:v>0.7047390331</x:v>
      </x:c>
      <x:c r="K63" s="31" t="n">
        <x:v>0</x:v>
      </x:c>
      <x:c r="L63" s="31" t="n">
        <x:v>0.3010340865</x:v>
      </x:c>
      <x:c r="M63" s="31" t="n">
        <x:v>0.4037049466</x:v>
      </x:c>
      <x:c r="N63" s="24" t="str">
        <x:v>balistidae</x:v>
      </x:c>
      <x:c r="O63" s="32" t="n">
        <x:v>3.25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Balistidae</x:v>
      </x:c>
      <x:c r="T63" s="32" t="n">
        <x:f>IF(O63="","",(1/'Metadata'!$B$5)^(O63-1))</x:f>
        <x:v>177.82794100389228</x:v>
      </x:c>
      <x:c r="U63" s="31" t="n">
        <x:f>IF(T63="","",I63*T63)</x:f>
        <x:v>125.32229120124688</x:v>
      </x:c>
    </x:row>
    <x:row r="64" ht="18" customHeight="1">
      <x:c r="A64" s="24" t="str">
        <x:v>EEZ_876</x:v>
      </x:c>
      <x:c r="B64" s="24" t="str">
        <x:v>Wallis &amp; Futuna Isl. (France)</x:v>
      </x:c>
      <x:c r="C64" s="24" t="str">
        <x:v>EEZ</x:v>
      </x:c>
      <x:c r="D64" s="30" t="n">
        <x:v>2019</x:v>
      </x:c>
      <x:c r="E64" s="24" t="str">
        <x:v>Alopias</x:v>
      </x:c>
      <x:c r="F64" s="24" t="str">
        <x:v>Thresher sharks</x:v>
      </x:c>
      <x:c r="G64" s="24" t="str">
        <x:v>Large sharks (&gt;=90 cm)</x:v>
      </x:c>
      <x:c r="H64" s="24" t="str">
        <x:v>Sharks &amp; rays</x:v>
      </x:c>
      <x:c r="I64" s="31" t="n">
        <x:v>0.6201190347</x:v>
      </x:c>
      <x:c r="J64" s="31" t="n">
        <x:v>0.1026810527</x:v>
      </x:c>
      <x:c r="K64" s="31" t="n">
        <x:v>0.517437982</x:v>
      </x:c>
      <x:c r="L64" s="31" t="n">
        <x:v>0.1026810527</x:v>
      </x:c>
      <x:c r="M64" s="31" t="n">
        <x:v>0.517437982</x:v>
      </x:c>
      <x:c r="N64" s="24" t="str">
        <x:v>alopias</x:v>
      </x:c>
      <x:c r="O64" s="32" t="n">
        <x:v>4.5</x:v>
      </x:c>
      <x:c r="P64" s="24" t="str">
        <x:v>exact_sea_around_us</x:v>
      </x:c>
      <x:c r="Q64" s="32" t="str">
        <x:v>Sea Around Us exploited organisms</x:v>
      </x:c>
      <x:c r="R64" s="24" t="str">
        <x:v>high</x:v>
      </x:c>
      <x:c r="S64" s="24" t="str">
        <x:v>Alopias</x:v>
      </x:c>
      <x:c r="T64" s="32" t="n">
        <x:f>IF(O64="","",(1/'Metadata'!$B$5)^(O64-1))</x:f>
        <x:v>3162.2776601683795</x:v>
      </x:c>
      <x:c r="U64" s="31" t="n">
        <x:f>IF(T64="","",I64*T64)</x:f>
        <x:v>1960.98857007699</x:v>
      </x:c>
    </x:row>
    <x:row r="65" ht="18" customHeight="1">
      <x:c r="A65" s="24" t="str">
        <x:v>EEZ_876</x:v>
      </x:c>
      <x:c r="B65" s="24" t="str">
        <x:v>Wallis &amp; Futuna Isl. (France)</x:v>
      </x:c>
      <x:c r="C65" s="24" t="str">
        <x:v>EEZ</x:v>
      </x:c>
      <x:c r="D65" s="30" t="n">
        <x:v>2019</x:v>
      </x:c>
      <x:c r="E65" s="24" t="str">
        <x:v>Sphyraena</x:v>
      </x:c>
      <x:c r="F65" s="24" t="str">
        <x:v>Barracudas, sennets</x:v>
      </x:c>
      <x:c r="G65" s="24" t="str">
        <x:v>Large pelagics (&gt;=90 cm)</x:v>
      </x:c>
      <x:c r="H65" s="24" t="str">
        <x:v>Perch-likes</x:v>
      </x:c>
      <x:c r="I65" s="31" t="n">
        <x:v>0.6107738287</x:v>
      </x:c>
      <x:c r="J65" s="31" t="n">
        <x:v>0.6107738287</x:v>
      </x:c>
      <x:c r="K65" s="31" t="n">
        <x:v>0</x:v>
      </x:c>
      <x:c r="L65" s="31" t="n">
        <x:v>0.2608962083</x:v>
      </x:c>
      <x:c r="M65" s="31" t="n">
        <x:v>0.3498776204</x:v>
      </x:c>
      <x:c r="N65" s="24" t="str">
        <x:v>sphyraena</x:v>
      </x:c>
      <x:c r="O65" s="32" t="n">
        <x:v>4.4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Sphyraena</x:v>
      </x:c>
      <x:c r="T65" s="32" t="n">
        <x:f>IF(O65="","",(1/'Metadata'!$B$5)^(O65-1))</x:f>
        <x:v>2511.886431509582</x:v>
      </x:c>
      <x:c r="U65" s="31" t="n">
        <x:f>IF(T65="","",I65*T65)</x:f>
        <x:v>1534.1944930326877</x:v>
      </x:c>
    </x:row>
    <x:row r="66" ht="18" customHeight="1">
      <x:c r="A66" s="24" t="str">
        <x:v>EEZ_876</x:v>
      </x:c>
      <x:c r="B66" s="24" t="str">
        <x:v>Wallis &amp; Futuna Isl. (France)</x:v>
      </x:c>
      <x:c r="C66" s="24" t="str">
        <x:v>EEZ</x:v>
      </x:c>
      <x:c r="D66" s="30" t="n">
        <x:v>2019</x:v>
      </x:c>
      <x:c r="E66" s="24" t="str">
        <x:v>Elasmobranchii</x:v>
      </x:c>
      <x:c r="F66" s="24" t="str">
        <x:v>Sharks, rays, skates</x:v>
      </x:c>
      <x:c r="G66" s="24" t="str">
        <x:v>Large sharks (&gt;=90 cm)</x:v>
      </x:c>
      <x:c r="H66" s="24" t="str">
        <x:v>Sharks &amp; rays</x:v>
      </x:c>
      <x:c r="I66" s="31" t="n">
        <x:v>0.5457149298</x:v>
      </x:c>
      <x:c r="J66" s="31" t="n">
        <x:v>0</x:v>
      </x:c>
      <x:c r="K66" s="31" t="n">
        <x:v>0.5457149298</x:v>
      </x:c>
      <x:c r="L66" s="31" t="n">
        <x:v>0</x:v>
      </x:c>
      <x:c r="M66" s="31" t="n">
        <x:v>0.5457149298</x:v>
      </x:c>
      <x:c r="N66" s="24" t="str">
        <x:v>elasmobranchii</x:v>
      </x:c>
      <x:c r="O66" s="32" t="n">
        <x:v>4.05</x:v>
      </x:c>
      <x:c r="P66" s="24" t="str">
        <x:v>exact_sea_around_us</x:v>
      </x:c>
      <x:c r="Q66" s="32" t="str">
        <x:v>Sea Around Us exploited organisms</x:v>
      </x:c>
      <x:c r="R66" s="24" t="str">
        <x:v>high</x:v>
      </x:c>
      <x:c r="S66" s="24" t="str">
        <x:v>Elasmobranchii</x:v>
      </x:c>
      <x:c r="T66" s="32" t="n">
        <x:f>IF(O66="","",(1/'Metadata'!$B$5)^(O66-1))</x:f>
        <x:v>1122.018454301963</x:v>
      </x:c>
      <x:c r="U66" s="31" t="n">
        <x:f>IF(T66="","",I66*T66)</x:f>
        <x:v>612.3022220237002</x:v>
      </x:c>
    </x:row>
    <x:row r="67" ht="18" customHeight="1">
      <x:c r="A67" s="24" t="str">
        <x:v>EEZ_876</x:v>
      </x:c>
      <x:c r="B67" s="24" t="str">
        <x:v>Wallis &amp; Futuna Isl. (France)</x:v>
      </x:c>
      <x:c r="C67" s="24" t="str">
        <x:v>EEZ</x:v>
      </x:c>
      <x:c r="D67" s="30" t="n">
        <x:v>2019</x:v>
      </x:c>
      <x:c r="E67" s="24" t="str">
        <x:v>Plectropomus leopardus</x:v>
      </x:c>
      <x:c r="F67" s="24" t="str">
        <x:v>Leopard coralgrouper</x:v>
      </x:c>
      <x:c r="G67" s="24" t="str">
        <x:v>Large reef assoc. fish (&gt;=90 cm)</x:v>
      </x:c>
      <x:c r="H67" s="24" t="str">
        <x:v>Perch-likes</x:v>
      </x:c>
      <x:c r="I67" s="31" t="n">
        <x:v>0.4698260221</x:v>
      </x:c>
      <x:c r="J67" s="31" t="n">
        <x:v>0.4698260221</x:v>
      </x:c>
      <x:c r="K67" s="31" t="n">
        <x:v>0</x:v>
      </x:c>
      <x:c r="L67" s="31" t="n">
        <x:v>0.200689391</x:v>
      </x:c>
      <x:c r="M67" s="31" t="n">
        <x:v>0.2691366311</x:v>
      </x:c>
      <x:c r="N67" s="24" t="str">
        <x:v>plectropomus leopardus</x:v>
      </x:c>
      <x:c r="O67" s="32" t="n">
        <x:v>4.42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Plectropomus leopardus</x:v>
      </x:c>
      <x:c r="T67" s="32" t="n">
        <x:f>IF(O67="","",(1/'Metadata'!$B$5)^(O67-1))</x:f>
        <x:v>2630.2679918953813</x:v>
      </x:c>
      <x:c r="U67" s="31" t="n">
        <x:f>IF(T67="","",I67*T67)</x:f>
        <x:v>1235.768347689162</x:v>
      </x:c>
    </x:row>
    <x:row r="68" ht="18" customHeight="1">
      <x:c r="A68" s="24" t="str">
        <x:v>EEZ_876</x:v>
      </x:c>
      <x:c r="B68" s="24" t="str">
        <x:v>Wallis &amp; Futuna Isl. (France)</x:v>
      </x:c>
      <x:c r="C68" s="24" t="str">
        <x:v>EEZ</x:v>
      </x:c>
      <x:c r="D68" s="30" t="n">
        <x:v>2019</x:v>
      </x:c>
      <x:c r="E68" s="24" t="str">
        <x:v>Thunnus orientalis</x:v>
      </x:c>
      <x:c r="F68" s="24" t="str">
        <x:v>Pacific bluefin tuna</x:v>
      </x:c>
      <x:c r="G68" s="24" t="str">
        <x:v>Large pelagics (&gt;=90 cm)</x:v>
      </x:c>
      <x:c r="H68" s="24" t="str">
        <x:v>Tuna &amp; billfishes</x:v>
      </x:c>
      <x:c r="I68" s="31" t="n">
        <x:v>0.3814820689</x:v>
      </x:c>
      <x:c r="J68" s="31" t="n">
        <x:v>0.37606941260000004</x:v>
      </x:c>
      <x:c r="K68" s="31" t="n">
        <x:v>0.005412656300000001</x:v>
      </x:c>
      <x:c r="L68" s="31" t="n">
        <x:v>0.37606941260000004</x:v>
      </x:c>
      <x:c r="M68" s="31" t="n">
        <x:v>0.005412656300000001</x:v>
      </x:c>
      <x:c r="N68" s="24" t="str">
        <x:v>thunnus orientalis</x:v>
      </x:c>
      <x:c r="O68" s="32" t="n">
        <x:v>4.05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Thunnus orientalis</x:v>
      </x:c>
      <x:c r="T68" s="32" t="n">
        <x:f>IF(O68="","",(1/'Metadata'!$B$5)^(O68-1))</x:f>
        <x:v>1122.018454301963</x:v>
      </x:c>
      <x:c r="U68" s="31" t="n">
        <x:f>IF(T68="","",I68*T68)</x:f>
        <x:v>428.02992129109293</x:v>
      </x:c>
    </x:row>
    <x:row r="69" ht="18" customHeight="1">
      <x:c r="A69" s="24" t="str">
        <x:v>EEZ_876</x:v>
      </x:c>
      <x:c r="B69" s="24" t="str">
        <x:v>Wallis &amp; Futuna Isl. (France)</x:v>
      </x:c>
      <x:c r="C69" s="24" t="str">
        <x:v>EEZ</x:v>
      </x:c>
      <x:c r="D69" s="30" t="n">
        <x:v>2019</x:v>
      </x:c>
      <x:c r="E69" s="24" t="str">
        <x:v>Cheilinus undulatus</x:v>
      </x:c>
      <x:c r="F69" s="24" t="str">
        <x:v>Humphead wrasse</x:v>
      </x:c>
      <x:c r="G69" s="24" t="str">
        <x:v>Large reef assoc. fish (&gt;=90 cm)</x:v>
      </x:c>
      <x:c r="H69" s="24" t="str">
        <x:v>Perch-likes</x:v>
      </x:c>
      <x:c r="I69" s="31" t="n">
        <x:v>0.3288782155</x:v>
      </x:c>
      <x:c r="J69" s="31" t="n">
        <x:v>0.3288782155</x:v>
      </x:c>
      <x:c r="K69" s="31" t="n">
        <x:v>0</x:v>
      </x:c>
      <x:c r="L69" s="31" t="n">
        <x:v>0.1404825737</x:v>
      </x:c>
      <x:c r="M69" s="31" t="n">
        <x:v>0.1883956418</x:v>
      </x:c>
      <x:c r="N69" s="24" t="str">
        <x:v>cheilinus undulatus</x:v>
      </x:c>
      <x:c r="O69" s="32" t="n">
        <x:v>3.99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Cheilinus undulatus</x:v>
      </x:c>
      <x:c r="T69" s="32" t="n">
        <x:f>IF(O69="","",(1/'Metadata'!$B$5)^(O69-1))</x:f>
        <x:v>977.2372209558112</x:v>
      </x:c>
      <x:c r="U69" s="31" t="n">
        <x:f>IF(T69="","",I69*T69)</x:f>
        <x:v>321.3920333481264</x:v>
      </x:c>
    </x:row>
    <x:row r="70" ht="18" customHeight="1">
      <x:c r="A70" s="24" t="str">
        <x:v>EEZ_876</x:v>
      </x:c>
      <x:c r="B70" s="24" t="str">
        <x:v>Wallis &amp; Futuna Isl. (France)</x:v>
      </x:c>
      <x:c r="C70" s="24" t="str">
        <x:v>EEZ</x:v>
      </x:c>
      <x:c r="D70" s="30" t="n">
        <x:v>2019</x:v>
      </x:c>
      <x:c r="E70" s="24" t="str">
        <x:v>Chanos chanos</x:v>
      </x:c>
      <x:c r="F70" s="24" t="str">
        <x:v>Milkfish</x:v>
      </x:c>
      <x:c r="G70" s="24" t="str">
        <x:v>Large benthopelagics (&gt;=90 cm)</x:v>
      </x:c>
      <x:c r="H70" s="24" t="str">
        <x:v>Other fishes &amp; inverts</x:v>
      </x:c>
      <x:c r="I70" s="31" t="n">
        <x:v>0.3288782155</x:v>
      </x:c>
      <x:c r="J70" s="31" t="n">
        <x:v>0.3288782155</x:v>
      </x:c>
      <x:c r="K70" s="31" t="n">
        <x:v>0</x:v>
      </x:c>
      <x:c r="L70" s="31" t="n">
        <x:v>0.1404825737</x:v>
      </x:c>
      <x:c r="M70" s="31" t="n">
        <x:v>0.1883956418</x:v>
      </x:c>
      <x:c r="N70" s="24" t="str">
        <x:v>chanos chanos</x:v>
      </x:c>
      <x:c r="O70" s="32" t="n">
        <x:v>2.03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Chanos chanos</x:v>
      </x:c>
      <x:c r="T70" s="32" t="n">
        <x:f>IF(O70="","",(1/'Metadata'!$B$5)^(O70-1))</x:f>
        <x:v>10.71519305237606</x:v>
      </x:c>
      <x:c r="U70" s="31" t="n">
        <x:f>IF(T70="","",I70*T70)</x:f>
        <x:v>3.523993569803437</x:v>
      </x:c>
    </x:row>
    <x:row r="71" ht="18" customHeight="1">
      <x:c r="A71" s="24" t="str">
        <x:v>EEZ_876</x:v>
      </x:c>
      <x:c r="B71" s="24" t="str">
        <x:v>Wallis &amp; Futuna Isl. (France)</x:v>
      </x:c>
      <x:c r="C71" s="24" t="str">
        <x:v>EEZ</x:v>
      </x:c>
      <x:c r="D71" s="30" t="n">
        <x:v>2019</x:v>
      </x:c>
      <x:c r="E71" s="24" t="str">
        <x:v>Sphyrna</x:v>
      </x:c>
      <x:c r="F71" s="24" t="str">
        <x:v>Hammerhead sharks</x:v>
      </x:c>
      <x:c r="G71" s="24" t="str">
        <x:v>Large sharks (&gt;=90 cm)</x:v>
      </x:c>
      <x:c r="H71" s="24" t="str">
        <x:v>Sharks &amp; rays</x:v>
      </x:c>
      <x:c r="I71" s="31" t="n">
        <x:v>0.0238542486</x:v>
      </x:c>
      <x:c r="J71" s="31" t="n">
        <x:v>0.0238542486</x:v>
      </x:c>
      <x:c r="K71" s="31" t="n">
        <x:v>0</x:v>
      </x:c>
      <x:c r="L71" s="31" t="n">
        <x:v>0.0238542486</x:v>
      </x:c>
      <x:c r="M71" s="31" t="n">
        <x:v>0</x:v>
      </x:c>
      <x:c r="N71" s="24" t="str">
        <x:v>sphyrna</x:v>
      </x:c>
      <x:c r="O71" s="32" t="n">
        <x:v>4.2</x:v>
      </x:c>
      <x:c r="P71" s="24" t="str">
        <x:v>exact_sea_around_us</x:v>
      </x:c>
      <x:c r="Q71" s="32" t="str">
        <x:v>Sea Around Us exploited organisms</x:v>
      </x:c>
      <x:c r="R71" s="24" t="str">
        <x:v>high</x:v>
      </x:c>
      <x:c r="S71" s="24" t="str">
        <x:v>Sphyrna</x:v>
      </x:c>
      <x:c r="T71" s="32" t="n">
        <x:f>IF(O71="","",(1/'Metadata'!$B$5)^(O71-1))</x:f>
        <x:v>1584.893192461114</x:v>
      </x:c>
      <x:c r="U71" s="31" t="n">
        <x:f>IF(T71="","",I71*T71)</x:f>
        <x:v>37.80643621741506</x:v>
      </x:c>
    </x:row>
    <x:row r="72" ht="18" customHeight="1">
      <x:c r="A72" s="24" t="str">
        <x:v>EEZ_876</x:v>
      </x:c>
      <x:c r="B72" s="24" t="str">
        <x:v>Wallis &amp; Futuna Isl. (France)</x:v>
      </x:c>
      <x:c r="C72" s="24" t="str">
        <x:v>EEZ</x:v>
      </x:c>
      <x:c r="D72" s="30" t="n">
        <x:v>2019</x:v>
      </x:c>
      <x:c r="E72" s="24" t="str">
        <x:v>Thunnus maccoyii</x:v>
      </x:c>
      <x:c r="F72" s="24" t="str">
        <x:v>Southern bluefin tuna</x:v>
      </x:c>
      <x:c r="G72" s="24" t="str">
        <x:v>Large pelagics (&gt;=90 cm)</x:v>
      </x:c>
      <x:c r="H72" s="24" t="str">
        <x:v>Tuna &amp; billfishes</x:v>
      </x:c>
      <x:c r="I72" s="31" t="n">
        <x:v>0.0002394966</x:v>
      </x:c>
      <x:c r="J72" s="31" t="n">
        <x:v>0</x:v>
      </x:c>
      <x:c r="K72" s="31" t="n">
        <x:v>0.0002394966</x:v>
      </x:c>
      <x:c r="L72" s="31" t="n">
        <x:v>0</x:v>
      </x:c>
      <x:c r="M72" s="31" t="n">
        <x:v>0.0002394966</x:v>
      </x:c>
      <x:c r="N72" s="24" t="str">
        <x:v>thunnus maccoyii</x:v>
      </x:c>
      <x:c r="O72" s="32" t="n">
        <x:v>3.93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Thunnus maccoyii</x:v>
      </x:c>
      <x:c r="T72" s="32" t="n">
        <x:f>IF(O72="","",(1/'Metadata'!$B$5)^(O72-1))</x:f>
        <x:v>851.1380382023768</x:v>
      </x:c>
      <x:c r="U72" s="31" t="n">
        <x:f>IF(T72="","",I72*T72)</x:f>
        <x:v>0.20384466628013936</x:v>
      </x:c>
    </x:row>
  </x:sheetData>
  <x:conditionalFormatting sqref="R2:R72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45bf773ba142485b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Crustaceans</x:v>
      </x:c>
      <x:c r="B2" s="31" t="n">
        <x:v>1</x:v>
      </x:c>
      <x:c r="C2" s="32" t="n">
        <x:v>3.14</x:v>
      </x:c>
      <x:c r="D2" s="32" t="n">
        <x:f>IF(C2="","",(1/'Metadata'!$B$5)^(C2-1))</x:f>
        <x:v>138.03842646028852</x:v>
      </x:c>
      <x:c r="E2" s="31" t="n">
        <x:f>IF(B2=0,"",B2*D2)</x:f>
        <x:v>138.03842646028852</x:v>
      </x:c>
    </x:row>
    <x:row r="3" ht="18" customHeight="1">
      <x:c r="A3" s="24" t="str">
        <x:v>Molluscs</x:v>
      </x:c>
      <x:c r="B3" s="31" t="n">
        <x:v>12.24</x:v>
      </x:c>
      <x:c r="C3" s="32" t="n">
        <x:v>2.1</x:v>
      </x:c>
      <x:c r="D3" s="32" t="n">
        <x:f>IF(C3="","",(1/'Metadata'!$B$5)^(C3-1))</x:f>
        <x:v>12.589254117941675</x:v>
      </x:c>
      <x:c r="E3" s="31" t="n">
        <x:f>IF(B3=0,"",B3*D3)</x:f>
        <x:v>154.0924704036061</x:v>
      </x:c>
    </x:row>
    <x:row r="4" ht="18" customHeight="1">
      <x:c r="A4" s="24" t="str">
        <x:v>Other fishes &amp; inverts</x:v>
      </x:c>
      <x:c r="B4" s="31" t="n">
        <x:v>130.5431393605</x:v>
      </x:c>
      <x:c r="C4" s="32" t="n">
        <x:v>3.3376304836990953</x:v>
      </x:c>
      <x:c r="D4" s="32" t="n">
        <x:f>IF(C4="","",(1/'Metadata'!$B$5)^(C4-1))</x:f>
        <x:v>217.58576718686814</x:v>
      </x:c>
      <x:c r="E4" s="31" t="n">
        <x:f>IF(B4=0,"",B4*D4)</x:f>
        <x:v>28404.329128736634</x:v>
      </x:c>
    </x:row>
    <x:row r="5" ht="18" customHeight="1">
      <x:c r="A5" s="24" t="str">
        <x:v>Perch-likes</x:v>
      </x:c>
      <x:c r="B5" s="31" t="n">
        <x:v>535.1378877935999</x:v>
      </x:c>
      <x:c r="C5" s="32" t="n">
        <x:v>3.31735646124108</x:v>
      </x:c>
      <x:c r="D5" s="32" t="n">
        <x:f>IF(C5="","",(1/'Metadata'!$B$5)^(C5-1))</x:f>
        <x:v>207.6617268935857</x:v>
      </x:c>
      <x:c r="E5" s="31" t="n">
        <x:f>IF(B5=0,"",B5*D5)</x:f>
        <x:v>111127.65790540485</x:v>
      </x:c>
    </x:row>
    <x:row r="6" ht="18" customHeight="1">
      <x:c r="A6" s="24" t="str">
        <x:v>Sharks &amp; rays</x:v>
      </x:c>
      <x:c r="B6" s="31" t="n">
        <x:v>89.22976059610001</x:v>
      </x:c>
      <x:c r="C6" s="32" t="n">
        <x:v>4.361451814277473</x:v>
      </x:c>
      <x:c r="D6" s="32" t="n">
        <x:f>IF(C6="","",(1/'Metadata'!$B$5)^(C6-1))</x:f>
        <x:v>2298.538668282245</x:v>
      </x:c>
      <x:c r="E6" s="31" t="n">
        <x:f>IF(B6=0,"",B6*D6)</x:f>
        <x:v>205098.05509170325</x:v>
      </x:c>
    </x:row>
    <x:row r="7" ht="18" customHeight="1">
      <x:c r="A7" s="24" t="str">
        <x:v>Tuna &amp; billfishes</x:v>
      </x:c>
      <x:c r="B7" s="31" t="n">
        <x:v>202.85502048749998</x:v>
      </x:c>
      <x:c r="C7" s="32" t="n">
        <x:v>4.363687367780419</x:v>
      </x:c>
      <x:c r="D7" s="32" t="n">
        <x:f>IF(C7="","",(1/'Metadata'!$B$5)^(C7-1))</x:f>
        <x:v>2310.401020839066</x:v>
      </x:c>
      <x:c r="E7" s="31" t="n">
        <x:f>IF(B7=0,"",B7*D7)</x:f>
        <x:v>468676.4464166496</x:v>
      </x:c>
    </x:row>
  </x:sheetData>
  <x:pageMargins left="0.7" right="0.7" top="0.75" bottom="0.75" header="0.3" footer="0.3"/>
  <x:tableParts count="1">
    <x:tablePart xmlns:r="http://schemas.openxmlformats.org/officeDocument/2006/relationships" r:id="Ra145a82b9c10403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1</x:v>
      </x:c>
      <x:c r="C2" s="32" t="n">
        <x:v>3.8</x:v>
      </x:c>
      <x:c r="D2" s="32" t="n">
        <x:f>IF(C2="","",(1/'Metadata'!$B$5)^(C2-1))</x:f>
        <x:v>630.957344480193</x:v>
      </x:c>
      <x:c r="E2" s="31" t="n">
        <x:f>IF(B2=0,"",B2*D2)</x:f>
        <x:v>630.957344480193</x:v>
      </x:c>
    </x:row>
    <x:row r="3" ht="18" customHeight="1">
      <x:c r="A3" s="24" t="str">
        <x:v>Large benthopelagics (&gt;=90 cm)</x:v>
      </x:c>
      <x:c r="B3" s="31" t="n">
        <x:v>0.3288782155</x:v>
      </x:c>
      <x:c r="C3" s="32" t="n">
        <x:v>2.03</x:v>
      </x:c>
      <x:c r="D3" s="32" t="n">
        <x:f>IF(C3="","",(1/'Metadata'!$B$5)^(C3-1))</x:f>
        <x:v>10.71519305237606</x:v>
      </x:c>
      <x:c r="E3" s="31" t="n">
        <x:f>IF(B3=0,"",B3*D3)</x:f>
        <x:v>3.523993569803437</x:v>
      </x:c>
    </x:row>
    <x:row r="4" ht="18" customHeight="1">
      <x:c r="A4" s="24" t="str">
        <x:v>Large pelagics (&gt;=90 cm)</x:v>
      </x:c>
      <x:c r="B4" s="31" t="n">
        <x:v>225.7529658579</x:v>
      </x:c>
      <x:c r="C4" s="32" t="n">
        <x:v>4.373976920206466</x:v>
      </x:c>
      <x:c r="D4" s="32" t="n">
        <x:f>IF(C4="","",(1/'Metadata'!$B$5)^(C4-1))</x:f>
        <x:v>2365.7939683100544</x:v>
      </x:c>
      <x:c r="E4" s="31" t="n">
        <x:f>IF(B4=0,"",B4*D4)</x:f>
        <x:v>534085.0049547255</x:v>
      </x:c>
    </x:row>
    <x:row r="5" ht="18" customHeight="1">
      <x:c r="A5" s="24" t="str">
        <x:v>Large reef assoc. fish (&gt;=90 cm)</x:v>
      </x:c>
      <x:c r="B5" s="31" t="n">
        <x:v>52.4733023234</x:v>
      </x:c>
      <x:c r="C5" s="32" t="n">
        <x:v>4.0697731749535855</x:v>
      </x:c>
      <x:c r="D5" s="32" t="n">
        <x:f>IF(C5="","",(1/'Metadata'!$B$5)^(C5-1))</x:f>
        <x:v>1174.2840849962013</x:v>
      </x:c>
      <x:c r="E5" s="31" t="n">
        <x:f>IF(B5=0,"",B5*D5)</x:f>
        <x:v>61618.56380556281</x:v>
      </x:c>
    </x:row>
    <x:row r="6" ht="18" customHeight="1">
      <x:c r="A6" s="24" t="str">
        <x:v>Large sharks (&gt;=90 cm)</x:v>
      </x:c>
      <x:c r="B6" s="31" t="n">
        <x:v>89.22976059610001</x:v>
      </x:c>
      <x:c r="C6" s="32" t="n">
        <x:v>4.361451814277473</x:v>
      </x:c>
      <x:c r="D6" s="32" t="n">
        <x:f>IF(C6="","",(1/'Metadata'!$B$5)^(C6-1))</x:f>
        <x:v>2298.538668282245</x:v>
      </x:c>
      <x:c r="E6" s="31" t="n">
        <x:f>IF(B6=0,"",B6*D6)</x:f>
        <x:v>205098.05509170325</x:v>
      </x:c>
    </x:row>
    <x:row r="7" ht="18" customHeight="1">
      <x:c r="A7" s="24" t="str">
        <x:v>Lobsters, crabs</x:v>
      </x:c>
      <x:c r="B7" s="31" t="n">
        <x:v>1</x:v>
      </x:c>
      <x:c r="C7" s="32" t="n">
        <x:v>3.14</x:v>
      </x:c>
      <x:c r="D7" s="32" t="n">
        <x:f>IF(C7="","",(1/'Metadata'!$B$5)^(C7-1))</x:f>
        <x:v>138.03842646028852</x:v>
      </x:c>
      <x:c r="E7" s="31" t="n">
        <x:f>IF(B7=0,"",B7*D7)</x:f>
        <x:v>138.03842646028852</x:v>
      </x:c>
    </x:row>
    <x:row r="8" ht="18" customHeight="1">
      <x:c r="A8" s="24" t="str">
        <x:v>Medium demersals (30 - 89 cm)</x:v>
      </x:c>
      <x:c r="B8" s="31" t="n">
        <x:v>153.0956521818</x:v>
      </x:c>
      <x:c r="C8" s="32" t="n">
        <x:v>2.9996099328391304</x:v>
      </x:c>
      <x:c r="D8" s="32" t="n">
        <x:f>IF(C8="","",(1/'Metadata'!$B$5)^(C8-1))</x:f>
        <x:v>99.91022403976191</x:v>
      </x:c>
      <x:c r="E8" s="31" t="n">
        <x:f>IF(B8=0,"",B8*D8)</x:f>
        <x:v>15295.820908997104</x:v>
      </x:c>
    </x:row>
    <x:row r="9" ht="18" customHeight="1">
      <x:c r="A9" s="24" t="str">
        <x:v>Medium pelagics (30 - 89 cm)</x:v>
      </x:c>
      <x:c r="B9" s="31" t="n">
        <x:v>53.57528617369999</x:v>
      </x:c>
      <x:c r="C9" s="32" t="n">
        <x:v>4.052053299537054</x:v>
      </x:c>
      <x:c r="D9" s="32" t="n">
        <x:f>IF(C9="","",(1/'Metadata'!$B$5)^(C9-1))</x:f>
        <x:v>1127.3358019107022</x:v>
      </x:c>
      <x:c r="E9" s="31" t="n">
        <x:f>IF(B9=0,"",B9*D9)</x:f>
        <x:v>60397.338201223436</x:v>
      </x:c>
    </x:row>
    <x:row r="10" ht="18" customHeight="1">
      <x:c r="A10" s="24" t="str">
        <x:v>Medium reef assoc. fish (30 - 89 cm)</x:v>
      </x:c>
      <x:c r="B10" s="31" t="n">
        <x:v>327.3653756896</x:v>
      </x:c>
      <x:c r="C10" s="32" t="n">
        <x:v>3.3233758144599044</x:v>
      </x:c>
      <x:c r="D10" s="32" t="n">
        <x:f>IF(C10="","",(1/'Metadata'!$B$5)^(C10-1))</x:f>
        <x:v>210.55997213477005</x:v>
      </x:c>
      <x:c r="E10" s="31" t="n">
        <x:f>IF(B10=0,"",B10*D10)</x:f>
        <x:v>68930.0443830907</x:v>
      </x:c>
    </x:row>
    <x:row r="11" ht="18" customHeight="1">
      <x:c r="A11" s="24" t="str">
        <x:v>Other demersal invertebrates</x:v>
      </x:c>
      <x:c r="B11" s="31" t="n">
        <x:v>12.24</x:v>
      </x:c>
      <x:c r="C11" s="32" t="n">
        <x:v>2.1</x:v>
      </x:c>
      <x:c r="D11" s="32" t="n">
        <x:f>IF(C11="","",(1/'Metadata'!$B$5)^(C11-1))</x:f>
        <x:v>12.589254117941675</x:v>
      </x:c>
      <x:c r="E11" s="31" t="n">
        <x:f>IF(B11=0,"",B11*D11)</x:f>
        <x:v>154.0924704036061</x:v>
      </x:c>
    </x:row>
    <x:row r="12" ht="18" customHeight="1">
      <x:c r="A12" s="24" t="str">
        <x:v>Small reef assoc. fish (&lt;30 cm)</x:v>
      </x:c>
      <x:c r="B12" s="31" t="n">
        <x:v>54.9445871997</x:v>
      </x:c>
      <x:c r="C12" s="32" t="n">
        <x:v>2.300647588648117</x:v>
      </x:c>
      <x:c r="D12" s="32" t="n">
        <x:f>IF(C12="","",(1/'Metadata'!$B$5)^(C12-1))</x:f>
        <x:v>19.982397257078528</x:v>
      </x:c>
      <x:c r="E12" s="31" t="n">
        <x:f>IF(B12=0,"",B12*D12)</x:f>
        <x:v>1097.9245685505973</x:v>
      </x:c>
    </x:row>
  </x:sheetData>
  <x:pageMargins left="0.7" right="0.7" top="0.75" bottom="0.75" header="0.3" footer="0.3"/>
  <x:tableParts count="1">
    <x:tablePart xmlns:r="http://schemas.openxmlformats.org/officeDocument/2006/relationships" r:id="R6a8553918a29463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EEZ_876</x:v>
      </x:c>
      <x:c r="B2" s="24" t="str">
        <x:v>raw_filtered_tonnes</x:v>
      </x:c>
      <x:c r="C2" s="24" t="n">
        <x:v>971.0058082377</x:v>
      </x:c>
      <x:c r="D2" s="24" t="str">
        <x:v>tonnes</x:v>
      </x:c>
    </x:row>
    <x:row r="3" ht="18" customHeight="1">
      <x:c r="A3" s="24" t="str">
        <x:v>EEZ_876</x:v>
      </x:c>
      <x:c r="B3" s="24" t="str">
        <x:v>species_catch_tonnes</x:v>
      </x:c>
      <x:c r="C3" s="24" t="n">
        <x:v>971.0058082377002</x:v>
      </x:c>
      <x:c r="D3" s="24" t="str">
        <x:v>tonnes</x:v>
      </x:c>
    </x:row>
    <x:row r="4" ht="18" customHeight="1">
      <x:c r="A4" s="24" t="str">
        <x:v>EEZ_876</x:v>
      </x:c>
      <x:c r="B4" s="24" t="str">
        <x:v>catch_difference_tonnes</x:v>
      </x:c>
      <x:c r="C4" s="24" t="n">
        <x:v>2.2737367544323206e-13</x:v>
      </x:c>
      <x:c r="D4" s="24" t="str">
        <x:v>tonnes</x:v>
      </x:c>
    </x:row>
    <x:row r="5" ht="18" customHeight="1">
      <x:c r="A5" s="24" t="str">
        <x:v>EEZ_876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EEZ_876</x:v>
      </x:c>
      <x:c r="B6" s="24" t="str">
        <x:v>matched_catch_tonnes</x:v>
      </x:c>
      <x:c r="C6" s="24" t="n">
        <x:v>971.0058082377002</x:v>
      </x:c>
      <x:c r="D6" s="24" t="str">
        <x:v>tonnes</x:v>
      </x:c>
    </x:row>
    <x:row r="7" ht="18" customHeight="1">
      <x:c r="A7" s="24" t="str">
        <x:v>EEZ_876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EEZ_876</x:v>
      </x:c>
      <x:c r="B8" s="24" t="str">
        <x:v>taxa_count</x:v>
      </x:c>
      <x:c r="C8" s="24" t="n">
        <x:v>71</x:v>
      </x:c>
      <x:c r="D8" s="24" t="str">
        <x:v>count</x:v>
      </x:c>
    </x:row>
    <x:row r="9" ht="18" customHeight="1">
      <x:c r="A9" s="24" t="str">
        <x:v>EEZ_876</x:v>
      </x:c>
      <x:c r="B9" s="24" t="str">
        <x:v>matched_taxa_count</x:v>
      </x:c>
      <x:c r="C9" s="24" t="n">
        <x:v>71</x:v>
      </x:c>
      <x:c r="D9" s="24" t="str">
        <x:v>count</x:v>
      </x:c>
    </x:row>
    <x:row r="10" ht="18" customHeight="1">
      <x:c r="A10" s="24" t="str">
        <x:v>EEZ_876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EEZ_876</x:v>
      </x:c>
      <x:c r="B11" s="24" t="str">
        <x:v>species_ppr</x:v>
      </x:c>
      <x:c r="C11" s="24" t="n">
        <x:v>1119183.1426833072</x:v>
      </x:c>
      <x:c r="D11" s="24" t="str">
        <x:v>tonnes_primary_production_equivalent</x:v>
      </x:c>
    </x:row>
    <x:row r="12" ht="18" customHeight="1">
      <x:c r="A12" s="24" t="str">
        <x:v>EEZ_876</x:v>
      </x:c>
      <x:c r="B12" s="24" t="str">
        <x:v>commercial_ppr</x:v>
      </x:c>
      <x:c r="C12" s="24" t="n">
        <x:v>813598.6194393582</x:v>
      </x:c>
      <x:c r="D12" s="24" t="str">
        <x:v>tonnes_primary_production_equivalent</x:v>
      </x:c>
    </x:row>
    <x:row r="13" ht="18" customHeight="1">
      <x:c r="A13" s="24" t="str">
        <x:v>EEZ_876</x:v>
      </x:c>
      <x:c r="B13" s="24" t="str">
        <x:v>functional_ppr</x:v>
      </x:c>
      <x:c r="C13" s="24" t="n">
        <x:v>947449.3641487672</x:v>
      </x:c>
      <x:c r="D13" s="24" t="str">
        <x:v>tonnes_primary_production_equivalent</x:v>
      </x:c>
    </x:row>
    <x:row r="14" ht="18" customHeight="1">
      <x:c r="A14" s="24" t="str">
        <x:v>EEZ_876</x:v>
      </x:c>
      <x:c r="B14" s="24" t="str">
        <x:v>commercial_ppr_difference</x:v>
      </x:c>
      <x:c r="C14" s="24" t="n">
        <x:v>-305584.52324394893</x:v>
      </x:c>
      <x:c r="D14" s="24" t="str">
        <x:v>tonnes_primary_production_equivalent</x:v>
      </x:c>
    </x:row>
    <x:row r="15" ht="18" customHeight="1">
      <x:c r="A15" s="24" t="str">
        <x:v>EEZ_876</x:v>
      </x:c>
      <x:c r="B15" s="24" t="str">
        <x:v>functional_ppr_difference</x:v>
      </x:c>
      <x:c r="C15" s="24" t="n">
        <x:v>-171733.77853453998</x:v>
      </x:c>
      <x:c r="D15" s="24" t="str">
        <x:v>tonnes_primary_production_equivalent</x:v>
      </x:c>
    </x:row>
    <x:row r="16" ht="18" customHeight="1">
      <x:c r="A16" s="24" t="str">
        <x:v>EEZ_876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EEZ_876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f7e102f123bd40d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EEZ_876 - Wallis &amp; Futuna Isl. (France)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EEZ_876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raw_data/SAU_downloads/EEZ_876-catch.zip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