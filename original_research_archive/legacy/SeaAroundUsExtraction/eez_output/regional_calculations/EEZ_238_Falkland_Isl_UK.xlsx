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c0cf04e6f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b3315f2fb784c71"/>
    <x:sheet xmlns:r="http://schemas.openxmlformats.org/officeDocument/2006/relationships" name="Commercial" sheetId="2" r:id="R39b0d24709744a4f"/>
    <x:sheet xmlns:r="http://schemas.openxmlformats.org/officeDocument/2006/relationships" name="Functional" sheetId="3" r:id="Rf277769080714bc3"/>
    <x:sheet xmlns:r="http://schemas.openxmlformats.org/officeDocument/2006/relationships" name="Missing TL" sheetId="4" r:id="R0c7e4ede451a43c3"/>
    <x:sheet xmlns:r="http://schemas.openxmlformats.org/officeDocument/2006/relationships" name="Validation" sheetId="5" r:id="Rd0c04bda8a354b7e"/>
    <x:sheet xmlns:r="http://schemas.openxmlformats.org/officeDocument/2006/relationships" name="Metadata" sheetId="6" r:id="R604b403b0741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f43700e2c46e9" /><Relationship Type="http://schemas.openxmlformats.org/officeDocument/2006/relationships/theme" Target="/xl/theme/theme1.xml" Id="R1e97fe5104134d05" /><Relationship Type="http://schemas.microsoft.com/office/2022/11/relationships/FeaturePropertyBag" Target="/xl/featurePropertyBag/featurePropertyBag.xml" Id="Rb7ad6b8558564cd7" /><Relationship Type="http://schemas.openxmlformats.org/officeDocument/2006/relationships/sharedStrings" Target="/xl/sharedStrings.xml" Id="R7fd29f2359cd45d9" /><Relationship Type="http://schemas.openxmlformats.org/officeDocument/2006/relationships/worksheet" Target="/xl/worksheets/sheet1.xml" Id="R5b3315f2fb784c71" /><Relationship Type="http://schemas.openxmlformats.org/officeDocument/2006/relationships/worksheet" Target="/xl/worksheets/sheet2.xml" Id="R39b0d24709744a4f" /><Relationship Type="http://schemas.openxmlformats.org/officeDocument/2006/relationships/worksheet" Target="/xl/worksheets/sheet3.xml" Id="Rf277769080714bc3" /><Relationship Type="http://schemas.openxmlformats.org/officeDocument/2006/relationships/worksheet" Target="/xl/worksheets/sheet4.xml" Id="R0c7e4ede451a43c3" /><Relationship Type="http://schemas.openxmlformats.org/officeDocument/2006/relationships/worksheet" Target="/xl/worksheets/sheet5.xml" Id="Rd0c04bda8a354b7e" /><Relationship Type="http://schemas.openxmlformats.org/officeDocument/2006/relationships/worksheet" Target="/xl/worksheets/sheet6.xml" Id="R604b403b074145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8SpeciesTable" displayName="EEZ238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8CommercialTable" displayName="EEZ238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8FunctionalTable" displayName="EEZ238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8ValidationTable" displayName="EEZ23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a1559901a4b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299151858842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2f301f339c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ade2f9233940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EEZ_238</x:v>
      </x:c>
      <x:c r="B2" s="24" t="str">
        <x:v>Falkland Isl. (UK)</x:v>
      </x:c>
      <x:c r="C2" s="24" t="str">
        <x:v>EEZ</x:v>
      </x:c>
      <x:c r="D2" s="30" t="n">
        <x:v>2019</x:v>
      </x:c>
      <x:c r="E2" s="24" t="str">
        <x:v>Doryteuthis gahi</x:v>
      </x:c>
      <x:c r="F2" s="24" t="str">
        <x:v>Patagonian squid</x:v>
      </x:c>
      <x:c r="G2" s="24" t="str">
        <x:v>Cephalopods</x:v>
      </x:c>
      <x:c r="H2" s="24" t="str">
        <x:v>Other fishes &amp; inverts</x:v>
      </x:c>
      <x:c r="I2" s="31" t="n">
        <x:v>89625.06</x:v>
      </x:c>
      <x:c r="J2" s="31" t="n">
        <x:v>89625.06</x:v>
      </x:c>
      <x:c r="K2" s="31" t="n">
        <x:v>0</x:v>
      </x:c>
      <x:c r="L2" s="31" t="n">
        <x:v>89625.06</x:v>
      </x:c>
      <x:c r="M2" s="31" t="n">
        <x:v>0</x:v>
      </x:c>
      <x:c r="N2" s="24" t="str">
        <x:v>doryteuthis gahi</x:v>
      </x:c>
      <x:c r="O2" s="32" t="n">
        <x:v>3.2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Doryteuthis gahi</x:v>
      </x:c>
      <x:c r="T2" s="32" t="n">
        <x:f>IF(O2="","",(1/'Metadata'!$B$5)^(O2-1))</x:f>
        <x:v>158.48931924611142</x:v>
      </x:c>
      <x:c r="U2" s="31" t="n">
        <x:f>IF(T2="","",I2*T2)</x:f>
        <x:v>14204614.74679189</x:v>
      </x:c>
    </x:row>
    <x:row r="3" ht="18" customHeight="1">
      <x:c r="A3" s="24" t="str">
        <x:v>EEZ_238</x:v>
      </x:c>
      <x:c r="B3" s="24" t="str">
        <x:v>Falkland Isl. (UK)</x:v>
      </x:c>
      <x:c r="C3" s="24" t="str">
        <x:v>EEZ</x:v>
      </x:c>
      <x:c r="D3" s="30" t="n">
        <x:v>2019</x:v>
      </x:c>
      <x:c r="E3" s="24" t="str">
        <x:v>Merluccius hubbsi</x:v>
      </x:c>
      <x:c r="F3" s="24" t="str">
        <x:v>Argentine hake</x:v>
      </x:c>
      <x:c r="G3" s="24" t="str">
        <x:v>Medium benthopelagics (30 - 89 cm)</x:v>
      </x:c>
      <x:c r="H3" s="24" t="str">
        <x:v>Cod-likes</x:v>
      </x:c>
      <x:c r="I3" s="31" t="n">
        <x:v>78022.1986963297</x:v>
      </x:c>
      <x:c r="J3" s="31" t="n">
        <x:v>78022.1986963297</x:v>
      </x:c>
      <x:c r="K3" s="31" t="n">
        <x:v>0</x:v>
      </x:c>
      <x:c r="L3" s="31" t="n">
        <x:v>78022.1986963297</x:v>
      </x:c>
      <x:c r="M3" s="31" t="n">
        <x:v>0</x:v>
      </x:c>
      <x:c r="N3" s="24" t="str">
        <x:v>merluccius hubbsi</x:v>
      </x:c>
      <x:c r="O3" s="32" t="n">
        <x:v>4.23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hubbsi</x:v>
      </x:c>
      <x:c r="T3" s="32" t="n">
        <x:f>IF(O3="","",(1/'Metadata'!$B$5)^(O3-1))</x:f>
        <x:v>1698.243652461746</x:v>
      </x:c>
      <x:c r="U3" s="31" t="n">
        <x:f>IF(T3="","",I3*T3)</x:f>
        <x:v>132500703.68715101</x:v>
      </x:c>
    </x:row>
    <x:row r="4" ht="18" customHeight="1">
      <x:c r="A4" s="24" t="str">
        <x:v>EEZ_238</x:v>
      </x:c>
      <x:c r="B4" s="24" t="str">
        <x:v>Falkland Isl. (UK)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68347.8303666972</x:v>
      </x:c>
      <x:c r="J4" s="31" t="n">
        <x:v>68347.8303666972</x:v>
      </x:c>
      <x:c r="K4" s="31" t="n">
        <x:v>0</x:v>
      </x:c>
      <x:c r="L4" s="31" t="n">
        <x:v>68347.8303666972</x:v>
      </x:c>
      <x:c r="M4" s="31" t="n">
        <x:v>0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45156963.70881143</x:v>
      </x:c>
    </x:row>
    <x:row r="5" ht="18" customHeight="1">
      <x:c r="A5" s="24" t="str">
        <x:v>EEZ_238</x:v>
      </x:c>
      <x:c r="B5" s="24" t="str">
        <x:v>Falkland Isl. (UK)</x:v>
      </x:c>
      <x:c r="C5" s="24" t="str">
        <x:v>EEZ</x:v>
      </x:c>
      <x:c r="D5" s="30" t="n">
        <x:v>2019</x:v>
      </x:c>
      <x:c r="E5" s="24" t="str">
        <x:v>Macruronus magellanicus</x:v>
      </x:c>
      <x:c r="F5" s="24" t="str">
        <x:v>Patagonian grenadier</x:v>
      </x:c>
      <x:c r="G5" s="24" t="str">
        <x:v>Large benthopelagics (&gt;=90 cm)</x:v>
      </x:c>
      <x:c r="H5" s="24" t="str">
        <x:v>Cod-likes</x:v>
      </x:c>
      <x:c r="I5" s="31" t="n">
        <x:v>11903.0326577651</x:v>
      </x:c>
      <x:c r="J5" s="31" t="n">
        <x:v>11903.0326577651</x:v>
      </x:c>
      <x:c r="K5" s="31" t="n">
        <x:v>0</x:v>
      </x:c>
      <x:c r="L5" s="31" t="n">
        <x:v>11903.0326577651</x:v>
      </x:c>
      <x:c r="M5" s="31" t="n">
        <x:v>0</x:v>
      </x:c>
      <x:c r="N5" s="24" t="str">
        <x:v>macruronus magellanicus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Macruronus magellanicus</x:v>
      </x:c>
      <x:c r="T5" s="32" t="n">
        <x:f>IF(O5="","",(1/'Metadata'!$B$5)^(O5-1))</x:f>
        <x:v>851.1380382023768</x:v>
      </x:c>
      <x:c r="U5" s="31" t="n">
        <x:f>IF(T5="","",I5*T5)</x:f>
        <x:v>10131123.86498901</x:v>
      </x:c>
    </x:row>
    <x:row r="6" ht="18" customHeight="1">
      <x:c r="A6" s="24" t="str">
        <x:v>EEZ_238</x:v>
      </x:c>
      <x:c r="B6" s="24" t="str">
        <x:v>Falkland Isl. (UK)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11124.3666318262</x:v>
      </x:c>
      <x:c r="J6" s="31" t="n">
        <x:v>3161.1410002513003</x:v>
      </x:c>
      <x:c r="K6" s="31" t="n">
        <x:v>7963.2256315749</x:v>
      </x:c>
      <x:c r="L6" s="31" t="n">
        <x:v>3160.9267145373</x:v>
      </x:c>
      <x:c r="M6" s="31" t="n">
        <x:v>7963.4399172889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2119704.3629165934</x:v>
      </x:c>
    </x:row>
    <x:row r="7" ht="18" customHeight="1">
      <x:c r="A7" s="24" t="str">
        <x:v>EEZ_238</x:v>
      </x:c>
      <x:c r="B7" s="24" t="str">
        <x:v>Falkland Isl. (UK)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6948.3024797369</x:v>
      </x:c>
      <x:c r="J7" s="31" t="n">
        <x:v>6948.3024797369</x:v>
      </x:c>
      <x:c r="K7" s="31" t="n">
        <x:v>0</x:v>
      </x:c>
      <x:c r="L7" s="31" t="n">
        <x:v>6948.3024797369</x:v>
      </x:c>
      <x:c r="M7" s="31" t="n">
        <x:v>0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15555311.638553796</x:v>
      </x:c>
    </x:row>
    <x:row r="8" ht="18" customHeight="1">
      <x:c r="A8" s="24" t="str">
        <x:v>EEZ_238</x:v>
      </x:c>
      <x:c r="B8" s="24" t="str">
        <x:v>Falkland Isl. (UK)</x:v>
      </x:c>
      <x:c r="C8" s="24" t="str">
        <x:v>EEZ</x:v>
      </x:c>
      <x:c r="D8" s="30" t="n">
        <x:v>2019</x:v>
      </x:c>
      <x:c r="E8" s="24" t="str">
        <x:v>Salilota australis</x:v>
      </x:c>
      <x:c r="F8" s="24" t="str">
        <x:v>Tadpole codling</x:v>
      </x:c>
      <x:c r="G8" s="24" t="str">
        <x:v>Medium demersals (30 - 89 cm)</x:v>
      </x:c>
      <x:c r="H8" s="24" t="str">
        <x:v>Cod-likes</x:v>
      </x:c>
      <x:c r="I8" s="31" t="n">
        <x:v>3071.2603673686</x:v>
      </x:c>
      <x:c r="J8" s="31" t="n">
        <x:v>3071.2603673686</x:v>
      </x:c>
      <x:c r="K8" s="31" t="n">
        <x:v>0</x:v>
      </x:c>
      <x:c r="L8" s="31" t="n">
        <x:v>3071.2603673686</x:v>
      </x:c>
      <x:c r="M8" s="31" t="n">
        <x:v>0</x:v>
      </x:c>
      <x:c r="N8" s="24" t="str">
        <x:v>salilota australis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Salilota australis</x:v>
      </x:c>
      <x:c r="T8" s="32" t="n">
        <x:f>IF(O8="","",(1/'Metadata'!$B$5)^(O8-1))</x:f>
        <x:v>2570.3957827688646</x:v>
      </x:c>
      <x:c r="U8" s="31" t="n">
        <x:f>IF(T8="","",I8*T8)</x:f>
        <x:v>7894354.696069403</x:v>
      </x:c>
    </x:row>
    <x:row r="9" ht="18" customHeight="1">
      <x:c r="A9" s="24" t="str">
        <x:v>EEZ_238</x:v>
      </x:c>
      <x:c r="B9" s="24" t="str">
        <x:v>Falkland Isl. (UK)</x:v>
      </x:c>
      <x:c r="C9" s="24" t="str">
        <x:v>EEZ</x:v>
      </x:c>
      <x:c r="D9" s="30" t="n">
        <x:v>2019</x:v>
      </x:c>
      <x:c r="E9" s="24" t="str">
        <x:v>Genypterus blacodes</x:v>
      </x:c>
      <x:c r="F9" s="24" t="str">
        <x:v>Pink cusk-eel</x:v>
      </x:c>
      <x:c r="G9" s="24" t="str">
        <x:v>Large bathydemersals (&gt;=90 cm)</x:v>
      </x:c>
      <x:c r="H9" s="24" t="str">
        <x:v>Other fishes &amp; inverts</x:v>
      </x:c>
      <x:c r="I9" s="31" t="n">
        <x:v>2154.5772245243998</x:v>
      </x:c>
      <x:c r="J9" s="31" t="n">
        <x:v>2154.5772245243998</x:v>
      </x:c>
      <x:c r="K9" s="31" t="n">
        <x:v>0</x:v>
      </x:c>
      <x:c r="L9" s="31" t="n">
        <x:v>2154.5772245243998</x:v>
      </x:c>
      <x:c r="M9" s="31" t="n">
        <x:v>0</x:v>
      </x:c>
      <x:c r="N9" s="24" t="str">
        <x:v>genypterus blacodes</x:v>
      </x:c>
      <x:c r="O9" s="32" t="n">
        <x:v>4.22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Genypterus blacodes</x:v>
      </x:c>
      <x:c r="T9" s="32" t="n">
        <x:f>IF(O9="","",(1/'Metadata'!$B$5)^(O9-1))</x:f>
        <x:v>1659.5869074375596</x:v>
      </x:c>
      <x:c r="U9" s="31" t="n">
        <x:f>IF(T9="","",I9*T9)</x:f>
        <x:v>3575708.152883849</x:v>
      </x:c>
    </x:row>
    <x:row r="10" ht="18" customHeight="1">
      <x:c r="A10" s="24" t="str">
        <x:v>EEZ_238</x:v>
      </x:c>
      <x:c r="B10" s="24" t="str">
        <x:v>Falkland Isl. (UK)</x:v>
      </x:c>
      <x:c r="C10" s="24" t="str">
        <x:v>EEZ</x:v>
      </x:c>
      <x:c r="D10" s="30" t="n">
        <x:v>2019</x:v>
      </x:c>
      <x:c r="E10" s="24" t="str">
        <x:v>Dissostichus eleginoides</x:v>
      </x:c>
      <x:c r="F10" s="24" t="str">
        <x:v>Patagonian toothfish</x:v>
      </x:c>
      <x:c r="G10" s="24" t="str">
        <x:v>Large bathydemersals (&gt;=90 cm)</x:v>
      </x:c>
      <x:c r="H10" s="24" t="str">
        <x:v>Perch-likes</x:v>
      </x:c>
      <x:c r="I10" s="31" t="n">
        <x:v>1734.1914220308001</x:v>
      </x:c>
      <x:c r="J10" s="31" t="n">
        <x:v>1734.1914220308001</x:v>
      </x:c>
      <x:c r="K10" s="31" t="n">
        <x:v>0</x:v>
      </x:c>
      <x:c r="L10" s="31" t="n">
        <x:v>1734.1914220308001</x:v>
      </x:c>
      <x:c r="M10" s="31" t="n">
        <x:v>0</x:v>
      </x:c>
      <x:c r="N10" s="24" t="str">
        <x:v>dissostichus eleginoides</x:v>
      </x:c>
      <x:c r="O10" s="32" t="n">
        <x:v>3.96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Dissostichus eleginoides</x:v>
      </x:c>
      <x:c r="T10" s="32" t="n">
        <x:f>IF(O10="","",(1/'Metadata'!$B$5)^(O10-1))</x:f>
        <x:v>912.0108393559096</x:v>
      </x:c>
      <x:c r="U10" s="31" t="n">
        <x:f>IF(T10="","",I10*T10)</x:f>
        <x:v>1581601.3744101285</x:v>
      </x:c>
    </x:row>
    <x:row r="11" ht="18" customHeight="1">
      <x:c r="A11" s="24" t="str">
        <x:v>EEZ_238</x:v>
      </x:c>
      <x:c r="B11" s="24" t="str">
        <x:v>Falkland Isl. (UK)</x:v>
      </x:c>
      <x:c r="C11" s="24" t="str">
        <x:v>EEZ</x:v>
      </x:c>
      <x:c r="D11" s="30" t="n">
        <x:v>2019</x:v>
      </x:c>
      <x:c r="E11" s="24" t="str">
        <x:v>Merluccius australis</x:v>
      </x:c>
      <x:c r="F11" s="24" t="str">
        <x:v>Southern hake</x:v>
      </x:c>
      <x:c r="G11" s="24" t="str">
        <x:v>Large benthopelagics (&gt;=90 cm)</x:v>
      </x:c>
      <x:c r="H11" s="24" t="str">
        <x:v>Cod-likes</x:v>
      </x:c>
      <x:c r="I11" s="31" t="n">
        <x:v>1649.8662844597</x:v>
      </x:c>
      <x:c r="J11" s="31" t="n">
        <x:v>1649.8662844597</x:v>
      </x:c>
      <x:c r="K11" s="31" t="n">
        <x:v>0</x:v>
      </x:c>
      <x:c r="L11" s="31" t="n">
        <x:v>1649.8662844597</x:v>
      </x:c>
      <x:c r="M11" s="31" t="n">
        <x:v>0</x:v>
      </x:c>
      <x:c r="N11" s="24" t="str">
        <x:v>merluccius australis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Merluccius australis</x:v>
      </x:c>
      <x:c r="T11" s="32" t="n">
        <x:f>IF(O11="","",(1/'Metadata'!$B$5)^(O11-1))</x:f>
        <x:v>2818.382931264455</x:v>
      </x:c>
      <x:c r="U11" s="31" t="n">
        <x:f>IF(T11="","",I11*T11)</x:f>
        <x:v>4649954.974989924</x:v>
      </x:c>
    </x:row>
    <x:row r="12" ht="18" customHeight="1">
      <x:c r="A12" s="24" t="str">
        <x:v>EEZ_238</x:v>
      </x:c>
      <x:c r="B12" s="24" t="str">
        <x:v>Falkland Isl. (UK)</x:v>
      </x:c>
      <x:c r="C12" s="24" t="str">
        <x:v>EEZ</x:v>
      </x:c>
      <x:c r="D12" s="30" t="n">
        <x:v>2019</x:v>
      </x:c>
      <x:c r="E12" s="24" t="str">
        <x:v>Patagonotothen ramsayi</x:v>
      </x:c>
      <x:c r="F12" s="24" t="str">
        <x:v>Longtail southern cod</x:v>
      </x:c>
      <x:c r="G12" s="24" t="str">
        <x:v>Medium benthopelagics (30 - 89 cm)</x:v>
      </x:c>
      <x:c r="H12" s="24" t="str">
        <x:v>Perch-likes</x:v>
      </x:c>
      <x:c r="I12" s="31" t="n">
        <x:v>1068.4127968449</x:v>
      </x:c>
      <x:c r="J12" s="31" t="n">
        <x:v>1068.4127968449</x:v>
      </x:c>
      <x:c r="K12" s="31" t="n">
        <x:v>0</x:v>
      </x:c>
      <x:c r="L12" s="31" t="n">
        <x:v>1068.4127968449</x:v>
      </x:c>
      <x:c r="M12" s="31" t="n">
        <x:v>0</x:v>
      </x:c>
      <x:c r="N12" s="24" t="str">
        <x:v>patagonotothen ramsayi</x:v>
      </x:c>
      <x:c r="O12" s="32" t="n">
        <x:v>3.49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Patagonotothen ramsayi</x:v>
      </x:c>
      <x:c r="T12" s="32" t="n">
        <x:f>IF(O12="","",(1/'Metadata'!$B$5)^(O12-1))</x:f>
        <x:v>309.0295432513592</x:v>
      </x:c>
      <x:c r="U12" s="31" t="n">
        <x:f>IF(T12="","",I12*T12)</x:f>
        <x:v>330171.11861288664</x:v>
      </x:c>
    </x:row>
    <x:row r="13" ht="18" customHeight="1">
      <x:c r="A13" s="24" t="str">
        <x:v>EEZ_238</x:v>
      </x:c>
      <x:c r="B13" s="24" t="str">
        <x:v>Falkland Isl. (UK)</x:v>
      </x:c>
      <x:c r="C13" s="24" t="str">
        <x:v>EEZ</x:v>
      </x:c>
      <x:c r="D13" s="30" t="n">
        <x:v>2019</x:v>
      </x:c>
      <x:c r="E13" s="24" t="str">
        <x:v>Micromesistius australis</x:v>
      </x:c>
      <x:c r="F13" s="24" t="str">
        <x:v>Southern blue whiting</x:v>
      </x:c>
      <x:c r="G13" s="24" t="str">
        <x:v>Medium benthopelagics (30 - 89 cm)</x:v>
      </x:c>
      <x:c r="H13" s="24" t="str">
        <x:v>Cod-likes</x:v>
      </x:c>
      <x:c r="I13" s="31" t="n">
        <x:v>765.6195751271</x:v>
      </x:c>
      <x:c r="J13" s="31" t="n">
        <x:v>765.6195751271</x:v>
      </x:c>
      <x:c r="K13" s="31" t="n">
        <x:v>0</x:v>
      </x:c>
      <x:c r="L13" s="31" t="n">
        <x:v>765.6195751271</x:v>
      </x:c>
      <x:c r="M13" s="31" t="n">
        <x:v>0</x:v>
      </x:c>
      <x:c r="N13" s="24" t="str">
        <x:v>micromesistius australis</x:v>
      </x:c>
      <x:c r="O13" s="32" t="n">
        <x:v>3.76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Micromesistius australis</x:v>
      </x:c>
      <x:c r="T13" s="32" t="n">
        <x:f>IF(O13="","",(1/'Metadata'!$B$5)^(O13-1))</x:f>
        <x:v>575.4399373371566</x:v>
      </x:c>
      <x:c r="U13" s="31" t="n">
        <x:f>IF(T13="","",I13*T13)</x:f>
        <x:v>440568.0803352389</x:v>
      </x:c>
    </x:row>
    <x:row r="14" ht="18" customHeight="1">
      <x:c r="A14" s="24" t="str">
        <x:v>EEZ_238</x:v>
      </x:c>
      <x:c r="B14" s="24" t="str">
        <x:v>Falkland Isl. (UK)</x:v>
      </x:c>
      <x:c r="C14" s="24" t="str">
        <x:v>EEZ</x:v>
      </x:c>
      <x:c r="D14" s="30" t="n">
        <x:v>2019</x:v>
      </x:c>
      <x:c r="E14" s="24" t="str">
        <x:v>Rajiformes</x:v>
      </x:c>
      <x:c r="F14" s="24" t="str">
        <x:v>Skates and rays</x:v>
      </x:c>
      <x:c r="G14" s="24" t="str">
        <x:v>Large rays (&gt;=90 cm)</x:v>
      </x:c>
      <x:c r="H14" s="24" t="str">
        <x:v>Sharks &amp; rays</x:v>
      </x:c>
      <x:c r="I14" s="31" t="n">
        <x:v>603.3400283013</x:v>
      </x:c>
      <x:c r="J14" s="31" t="n">
        <x:v>603.3400283013</x:v>
      </x:c>
      <x:c r="K14" s="31" t="n">
        <x:v>0</x:v>
      </x:c>
      <x:c r="L14" s="31" t="n">
        <x:v>603.3400283013</x:v>
      </x:c>
      <x:c r="M14" s="31" t="n">
        <x:v>0</x:v>
      </x:c>
      <x:c r="N14" s="24" t="str">
        <x:v>rajiformes</x:v>
      </x:c>
      <x:c r="O14" s="32" t="n">
        <x:v>3.61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Rajiformes</x:v>
      </x:c>
      <x:c r="T14" s="32" t="n">
        <x:f>IF(O14="","",(1/'Metadata'!$B$5)^(O14-1))</x:f>
        <x:v>407.3802778041126</x:v>
      </x:c>
      <x:c r="U14" s="31" t="n">
        <x:f>IF(T14="","",I14*T14)</x:f>
        <x:v>245788.82833972474</x:v>
      </x:c>
    </x:row>
    <x:row r="15" ht="18" customHeight="1">
      <x:c r="A15" s="24" t="str">
        <x:v>EEZ_238</x:v>
      </x:c>
      <x:c r="B15" s="24" t="str">
        <x:v>Falkland Isl. (UK)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421.5692551663</x:v>
      </x:c>
      <x:c r="J15" s="31" t="n">
        <x:v>421.5692551663</x:v>
      </x:c>
      <x:c r="K15" s="31" t="n">
        <x:v>0</x:v>
      </x:c>
      <x:c r="L15" s="31" t="n">
        <x:v>421.5692551663</x:v>
      </x:c>
      <x:c r="M15" s="31" t="n">
        <x:v>0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1333119.0378262138</x:v>
      </x:c>
    </x:row>
    <x:row r="16" ht="18" customHeight="1">
      <x:c r="A16" s="24" t="str">
        <x:v>EEZ_238</x:v>
      </x:c>
      <x:c r="B16" s="24" t="str">
        <x:v>Falkland Isl. (UK)</x:v>
      </x:c>
      <x:c r="C16" s="24" t="str">
        <x:v>EEZ</x:v>
      </x:c>
      <x:c r="D16" s="30" t="n">
        <x:v>2019</x:v>
      </x:c>
      <x:c r="E16" s="24" t="str">
        <x:v>Macrourus</x:v>
      </x:c>
      <x:c r="F16" s="24" t="str">
        <x:v>Rattails</x:v>
      </x:c>
      <x:c r="G16" s="24" t="str">
        <x:v>Medium benthopelagics (30 - 89 cm)</x:v>
      </x:c>
      <x:c r="H16" s="24" t="str">
        <x:v>Cod-likes</x:v>
      </x:c>
      <x:c r="I16" s="31" t="n">
        <x:v>263.7500480812</x:v>
      </x:c>
      <x:c r="J16" s="31" t="n">
        <x:v>263.7500480812</x:v>
      </x:c>
      <x:c r="K16" s="31" t="n">
        <x:v>0</x:v>
      </x:c>
      <x:c r="L16" s="31" t="n">
        <x:v>263.7500480812</x:v>
      </x:c>
      <x:c r="M16" s="31" t="n">
        <x:v>0</x:v>
      </x:c>
      <x:c r="N16" s="24" t="str">
        <x:v>macrourus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Macrourus</x:v>
      </x:c>
      <x:c r="T16" s="32" t="n">
        <x:f>IF(O16="","",(1/'Metadata'!$B$5)^(O16-1))</x:f>
        <x:v>380.1893963205613</x:v>
      </x:c>
      <x:c r="U16" s="31" t="n">
        <x:f>IF(T16="","",I16*T16)</x:f>
        <x:v>100274.97155951045</x:v>
      </x:c>
    </x:row>
    <x:row r="17" ht="18" customHeight="1">
      <x:c r="A17" s="24" t="str">
        <x:v>EEZ_238</x:v>
      </x:c>
      <x:c r="B17" s="24" t="str">
        <x:v>Falkland Isl. (UK)</x:v>
      </x:c>
      <x:c r="C17" s="24" t="str">
        <x:v>EEZ</x:v>
      </x:c>
      <x:c r="D17" s="30" t="n">
        <x:v>2019</x:v>
      </x:c>
      <x:c r="E17" s="24" t="str">
        <x:v>Elasmobranchii</x:v>
      </x:c>
      <x:c r="F17" s="24" t="str">
        <x:v>Sharks, rays, skates</x:v>
      </x:c>
      <x:c r="G17" s="24" t="str">
        <x:v>Large sharks (&gt;=90 cm)</x:v>
      </x:c>
      <x:c r="H17" s="24" t="str">
        <x:v>Sharks &amp; rays</x:v>
      </x:c>
      <x:c r="I17" s="31" t="n">
        <x:v>170.6621916607</x:v>
      </x:c>
      <x:c r="J17" s="31" t="n">
        <x:v>170.6621916607</x:v>
      </x:c>
      <x:c r="K17" s="31" t="n">
        <x:v>0</x:v>
      </x:c>
      <x:c r="L17" s="31" t="n">
        <x:v>170.6621916607</x:v>
      </x:c>
      <x:c r="M17" s="31" t="n">
        <x:v>0</x:v>
      </x:c>
      <x:c r="N17" s="24" t="str">
        <x:v>elasmobranchii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Elasmobranchii</x:v>
      </x:c>
      <x:c r="T17" s="32" t="n">
        <x:f>IF(O17="","",(1/'Metadata'!$B$5)^(O17-1))</x:f>
        <x:v>1122.018454301963</x:v>
      </x:c>
      <x:c r="U17" s="31" t="n">
        <x:f>IF(T17="","",I17*T17)</x:f>
        <x:v>191486.12849492396</x:v>
      </x:c>
    </x:row>
    <x:row r="18" ht="18" customHeight="1">
      <x:c r="A18" s="24" t="str">
        <x:v>EEZ_238</x:v>
      </x:c>
      <x:c r="B18" s="24" t="str">
        <x:v>Falkland Isl. (UK)</x:v>
      </x:c>
      <x:c r="C18" s="24" t="str">
        <x:v>EEZ</x:v>
      </x:c>
      <x:c r="D18" s="30" t="n">
        <x:v>2019</x:v>
      </x:c>
      <x:c r="E18" s="24" t="str">
        <x:v>Merluccius</x:v>
      </x:c>
      <x:c r="F18" s="24" t="str">
        <x:v>Hakes</x:v>
      </x:c>
      <x:c r="G18" s="24" t="str">
        <x:v>Medium bathydemersals (30 - 89 cm)</x:v>
      </x:c>
      <x:c r="H18" s="24" t="str">
        <x:v>Cod-likes</x:v>
      </x:c>
      <x:c r="I18" s="31" t="n">
        <x:v>165.16273960659998</x:v>
      </x:c>
      <x:c r="J18" s="31" t="n">
        <x:v>165.16273960659998</x:v>
      </x:c>
      <x:c r="K18" s="31" t="n">
        <x:v>0</x:v>
      </x:c>
      <x:c r="L18" s="31" t="n">
        <x:v>165.16273960659998</x:v>
      </x:c>
      <x:c r="M18" s="31" t="n">
        <x:v>0</x:v>
      </x:c>
      <x:c r="N18" s="24" t="str">
        <x:v>merluccius</x:v>
      </x:c>
      <x:c r="O18" s="32" t="n">
        <x:v>4.27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Merluccius</x:v>
      </x:c>
      <x:c r="T18" s="32" t="n">
        <x:f>IF(O18="","",(1/'Metadata'!$B$5)^(O18-1))</x:f>
        <x:v>1862.0871366628655</x:v>
      </x:c>
      <x:c r="U18" s="31" t="n">
        <x:f>IF(T18="","",I18*T18)</x:f>
        <x:v>307547.4128774482</x:v>
      </x:c>
    </x:row>
    <x:row r="19" ht="18" customHeight="1">
      <x:c r="A19" s="24" t="str">
        <x:v>EEZ_238</x:v>
      </x:c>
      <x:c r="B19" s="24" t="str">
        <x:v>Falkland Isl. (UK)</x:v>
      </x:c>
      <x:c r="C19" s="24" t="str">
        <x:v>EEZ</x:v>
      </x:c>
      <x:c r="D19" s="30" t="n">
        <x:v>2019</x:v>
      </x:c>
      <x:c r="E19" s="24" t="str">
        <x:v>Loliginidae</x:v>
      </x:c>
      <x:c r="F19" s="24" t="str">
        <x:v>Common pencil squids</x:v>
      </x:c>
      <x:c r="G19" s="24" t="str">
        <x:v>Cephalopods</x:v>
      </x:c>
      <x:c r="H19" s="24" t="str">
        <x:v>Other fishes &amp; inverts</x:v>
      </x:c>
      <x:c r="I19" s="31" t="n">
        <x:v>36.7345877402</x:v>
      </x:c>
      <x:c r="J19" s="31" t="n">
        <x:v>36.7345877402</x:v>
      </x:c>
      <x:c r="K19" s="31" t="n">
        <x:v>0</x:v>
      </x:c>
      <x:c r="L19" s="31" t="n">
        <x:v>36.7345877402</x:v>
      </x:c>
      <x:c r="M19" s="31" t="n">
        <x:v>0</x:v>
      </x:c>
      <x:c r="N19" s="24" t="str">
        <x:v>loliginidae</x:v>
      </x:c>
      <x:c r="O19" s="32" t="n">
        <x:v>3.9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Loliginidae</x:v>
      </x:c>
      <x:c r="T19" s="32" t="n">
        <x:f>IF(O19="","",(1/'Metadata'!$B$5)^(O19-1))</x:f>
        <x:v>794.3282347242813</x:v>
      </x:c>
      <x:c r="U19" s="31" t="n">
        <x:f>IF(T19="","",I19*T19)</x:f>
        <x:v>29179.320232997292</x:v>
      </x:c>
    </x:row>
    <x:row r="20" ht="18" customHeight="1">
      <x:c r="A20" s="24" t="str">
        <x:v>EEZ_238</x:v>
      </x:c>
      <x:c r="B20" s="24" t="str">
        <x:v>Falkland Isl. (UK)</x:v>
      </x:c>
      <x:c r="C20" s="24" t="str">
        <x:v>EEZ</x:v>
      </x:c>
      <x:c r="D20" s="30" t="n">
        <x:v>2019</x:v>
      </x:c>
      <x:c r="E20" s="24" t="str">
        <x:v>Gadiformes</x:v>
      </x:c>
      <x:c r="F20" s="24" t="str">
        <x:v>Cods</x:v>
      </x:c>
      <x:c r="G20" s="24" t="str">
        <x:v>Medium benthopelagics (30 - 89 cm)</x:v>
      </x:c>
      <x:c r="H20" s="24" t="str">
        <x:v>Cod-likes</x:v>
      </x:c>
      <x:c r="I20" s="31" t="n">
        <x:v>35.4594855001</x:v>
      </x:c>
      <x:c r="J20" s="31" t="n">
        <x:v>35.4594855001</x:v>
      </x:c>
      <x:c r="K20" s="31" t="n">
        <x:v>0</x:v>
      </x:c>
      <x:c r="L20" s="31" t="n">
        <x:v>35.4594855001</x:v>
      </x:c>
      <x:c r="M20" s="31" t="n">
        <x:v>0</x:v>
      </x:c>
      <x:c r="N20" s="24" t="str">
        <x:v>gadiformes</x:v>
      </x:c>
      <x:c r="O20" s="32" t="n">
        <x:v>3.91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Gadiformes</x:v>
      </x:c>
      <x:c r="T20" s="32" t="n">
        <x:f>IF(O20="","",(1/'Metadata'!$B$5)^(O20-1))</x:f>
        <x:v>812.8305161640995</x:v>
      </x:c>
      <x:c r="U20" s="31" t="n">
        <x:f>IF(T20="","",I20*T20)</x:f>
        <x:v>28822.551901959687</x:v>
      </x:c>
    </x:row>
    <x:row r="21" ht="18" customHeight="1">
      <x:c r="A21" s="24" t="str">
        <x:v>EEZ_238</x:v>
      </x:c>
      <x:c r="B21" s="24" t="str">
        <x:v>Falkland Isl. (UK)</x:v>
      </x:c>
      <x:c r="C21" s="24" t="str">
        <x:v>EEZ</x:v>
      </x:c>
      <x:c r="D21" s="30" t="n">
        <x:v>2019</x:v>
      </x:c>
      <x:c r="E21" s="24" t="str">
        <x:v>Teuthida</x:v>
      </x:c>
      <x:c r="F21" s="24" t="str">
        <x:v>Squids</x:v>
      </x:c>
      <x:c r="G21" s="24" t="str">
        <x:v>Cephalopods</x:v>
      </x:c>
      <x:c r="H21" s="24" t="str">
        <x:v>Other fishes &amp; inverts</x:v>
      </x:c>
      <x:c r="I21" s="31" t="n">
        <x:v>24.1673114649</x:v>
      </x:c>
      <x:c r="J21" s="31" t="n">
        <x:v>24.1673114649</x:v>
      </x:c>
      <x:c r="K21" s="31" t="n">
        <x:v>0</x:v>
      </x:c>
      <x:c r="L21" s="31" t="n">
        <x:v>24.1673114649</x:v>
      </x:c>
      <x:c r="M21" s="31" t="n">
        <x:v>0</x:v>
      </x:c>
      <x:c r="N21" s="24" t="str">
        <x:v>teuthida</x:v>
      </x:c>
      <x:c r="O21" s="32" t="n">
        <x:v>4.13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Teuthida</x:v>
      </x:c>
      <x:c r="T21" s="32" t="n">
        <x:f>IF(O21="","",(1/'Metadata'!$B$5)^(O21-1))</x:f>
        <x:v>1348.9628825916532</x:v>
      </x:c>
      <x:c r="U21" s="31" t="n">
        <x:f>IF(T21="","",I21*T21)</x:f>
        <x:v>32600.80613818181</x:v>
      </x:c>
    </x:row>
    <x:row r="22" ht="18" customHeight="1">
      <x:c r="A22" s="24" t="str">
        <x:v>EEZ_238</x:v>
      </x:c>
      <x:c r="B22" s="24" t="str">
        <x:v>Falkland Isl. (UK)</x:v>
      </x:c>
      <x:c r="C22" s="24" t="str">
        <x:v>EEZ</x:v>
      </x:c>
      <x:c r="D22" s="30" t="n">
        <x:v>2019</x:v>
      </x:c>
      <x:c r="E22" s="24" t="str">
        <x:v>Nototheniidae</x:v>
      </x:c>
      <x:c r="F22" s="24" t="str">
        <x:v>Cod icefishes</x:v>
      </x:c>
      <x:c r="G22" s="24" t="str">
        <x:v>Large bathydemersals (&gt;=90 cm)</x:v>
      </x:c>
      <x:c r="H22" s="24" t="str">
        <x:v>Perch-likes</x:v>
      </x:c>
      <x:c r="I22" s="31" t="n">
        <x:v>19.629529736</x:v>
      </x:c>
      <x:c r="J22" s="31" t="n">
        <x:v>19.629529736</x:v>
      </x:c>
      <x:c r="K22" s="31" t="n">
        <x:v>0</x:v>
      </x:c>
      <x:c r="L22" s="31" t="n">
        <x:v>19.629529736</x:v>
      </x:c>
      <x:c r="M22" s="31" t="n">
        <x:v>0</x:v>
      </x:c>
      <x:c r="N22" s="24" t="str">
        <x:v>nototheniidae</x:v>
      </x:c>
      <x:c r="O22" s="32" t="n">
        <x:v>3.43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Nototheniidae</x:v>
      </x:c>
      <x:c r="T22" s="32" t="n">
        <x:f>IF(O22="","",(1/'Metadata'!$B$5)^(O22-1))</x:f>
        <x:v>269.1534803926917</x:v>
      </x:c>
      <x:c r="U22" s="31" t="n">
        <x:f>IF(T22="","",I22*T22)</x:f>
        <x:v>5283.356246916233</x:v>
      </x:c>
    </x:row>
    <x:row r="23" ht="18" customHeight="1">
      <x:c r="A23" s="24" t="str">
        <x:v>EEZ_238</x:v>
      </x:c>
      <x:c r="B23" s="24" t="str">
        <x:v>Falkland Isl. (UK)</x:v>
      </x:c>
      <x:c r="C23" s="24" t="str">
        <x:v>EEZ</x:v>
      </x:c>
      <x:c r="D23" s="30" t="n">
        <x:v>2019</x:v>
      </x:c>
      <x:c r="E23" s="24" t="str">
        <x:v>Stromateus brasiliensis</x:v>
      </x:c>
      <x:c r="F23" s="24" t="str">
        <x:v>Southwest Atlantic butterfish</x:v>
      </x:c>
      <x:c r="G23" s="24" t="str">
        <x:v>Medium benthopelagics (30 - 89 cm)</x:v>
      </x:c>
      <x:c r="H23" s="24" t="str">
        <x:v>Perch-likes</x:v>
      </x:c>
      <x:c r="I23" s="31" t="n">
        <x:v>15.8199209908</x:v>
      </x:c>
      <x:c r="J23" s="31" t="n">
        <x:v>15.8199209908</x:v>
      </x:c>
      <x:c r="K23" s="31" t="n">
        <x:v>0</x:v>
      </x:c>
      <x:c r="L23" s="31" t="n">
        <x:v>15.8199209908</x:v>
      </x:c>
      <x:c r="M23" s="31" t="n">
        <x:v>0</x:v>
      </x:c>
      <x:c r="N23" s="24" t="str">
        <x:v>stromateus brasiliensis</x:v>
      </x:c>
      <x:c r="O23" s="32" t="n">
        <x:v>3.4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Stromateus brasiliensis</x:v>
      </x:c>
      <x:c r="T23" s="32" t="n">
        <x:f>IF(O23="","",(1/'Metadata'!$B$5)^(O23-1))</x:f>
        <x:v>251.18864315095797</x:v>
      </x:c>
      <x:c r="U23" s="31" t="n">
        <x:f>IF(T23="","",I23*T23)</x:f>
        <x:v>3973.784488434411</x:v>
      </x:c>
    </x:row>
    <x:row r="24" ht="18" customHeight="1">
      <x:c r="A24" s="24" t="str">
        <x:v>EEZ_238</x:v>
      </x:c>
      <x:c r="B24" s="24" t="str">
        <x:v>Falkland Isl. (UK)</x:v>
      </x:c>
      <x:c r="C24" s="24" t="str">
        <x:v>EEZ</x:v>
      </x:c>
      <x:c r="D24" s="30" t="n">
        <x:v>2019</x:v>
      </x:c>
      <x:c r="E24" s="24" t="str">
        <x:v>Gadidae</x:v>
      </x:c>
      <x:c r="F24" s="24" t="str">
        <x:v>Cods, haddocks</x:v>
      </x:c>
      <x:c r="G24" s="24" t="str">
        <x:v>Medium demersals (30 - 89 cm)</x:v>
      </x:c>
      <x:c r="H24" s="24" t="str">
        <x:v>Cod-likes</x:v>
      </x:c>
      <x:c r="I24" s="31" t="n">
        <x:v>12.3049168095</x:v>
      </x:c>
      <x:c r="J24" s="31" t="n">
        <x:v>12.3049168095</x:v>
      </x:c>
      <x:c r="K24" s="31" t="n">
        <x:v>0</x:v>
      </x:c>
      <x:c r="L24" s="31" t="n">
        <x:v>12.3049168095</x:v>
      </x:c>
      <x:c r="M24" s="31" t="n">
        <x:v>0</x:v>
      </x:c>
      <x:c r="N24" s="24" t="str">
        <x:v>gadidae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Gadidae</x:v>
      </x:c>
      <x:c r="T24" s="32" t="n">
        <x:f>IF(O24="","",(1/'Metadata'!$B$5)^(O24-1))</x:f>
        <x:v>691.8309709189363</x:v>
      </x:c>
      <x:c r="U24" s="31" t="n">
        <x:f>IF(T24="","",I24*T24)</x:f>
        <x:v>8512.922543393124</x:v>
      </x:c>
    </x:row>
    <x:row r="25" ht="18" customHeight="1">
      <x:c r="A25" s="24" t="str">
        <x:v>EEZ_238</x:v>
      </x:c>
      <x:c r="B25" s="24" t="str">
        <x:v>Falkland Isl. (UK)</x:v>
      </x:c>
      <x:c r="C25" s="24" t="str">
        <x:v>EEZ</x:v>
      </x:c>
      <x:c r="D25" s="30" t="n">
        <x:v>2019</x:v>
      </x:c>
      <x:c r="E25" s="24" t="str">
        <x:v>Squalus acanthias</x:v>
      </x:c>
      <x:c r="F25" s="24" t="str">
        <x:v>Picked dogfish</x:v>
      </x:c>
      <x:c r="G25" s="24" t="str">
        <x:v>Large sharks (&gt;=90 cm)</x:v>
      </x:c>
      <x:c r="H25" s="24" t="str">
        <x:v>Sharks &amp; rays</x:v>
      </x:c>
      <x:c r="I25" s="31" t="n">
        <x:v>11.860000000000001</x:v>
      </x:c>
      <x:c r="J25" s="31" t="n">
        <x:v>11.860000000000001</x:v>
      </x:c>
      <x:c r="K25" s="31" t="n">
        <x:v>0</x:v>
      </x:c>
      <x:c r="L25" s="31" t="n">
        <x:v>11.860000000000001</x:v>
      </x:c>
      <x:c r="M25" s="31" t="n">
        <x:v>0</x:v>
      </x:c>
      <x:c r="N25" s="24" t="str">
        <x:v>squalus acanthias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Squalus acanthias</x:v>
      </x:c>
      <x:c r="T25" s="32" t="n">
        <x:f>IF(O25="","",(1/'Metadata'!$B$5)^(O25-1))</x:f>
        <x:v>2344.228815319923</x:v>
      </x:c>
      <x:c r="U25" s="31" t="n">
        <x:f>IF(T25="","",I25*T25)</x:f>
        <x:v>27802.55374969429</x:v>
      </x:c>
    </x:row>
    <x:row r="26" ht="18" customHeight="1">
      <x:c r="A26" s="24" t="str">
        <x:v>EEZ_238</x:v>
      </x:c>
      <x:c r="B26" s="24" t="str">
        <x:v>Falkland Isl. (UK)</x:v>
      </x:c>
      <x:c r="C26" s="24" t="str">
        <x:v>EEZ</x:v>
      </x:c>
      <x:c r="D26" s="30" t="n">
        <x:v>2019</x:v>
      </x:c>
      <x:c r="E26" s="24" t="str">
        <x:v>Gempylidae</x:v>
      </x:c>
      <x:c r="F26" s="24" t="str">
        <x:v>Snake mackerels</x:v>
      </x:c>
      <x:c r="G26" s="24" t="str">
        <x:v>Large benthopelagics (&gt;=90 cm)</x:v>
      </x:c>
      <x:c r="H26" s="24" t="str">
        <x:v>Perch-likes</x:v>
      </x:c>
      <x:c r="I26" s="31" t="n">
        <x:v>7.5247380111</x:v>
      </x:c>
      <x:c r="J26" s="31" t="n">
        <x:v>7.5247380111</x:v>
      </x:c>
      <x:c r="K26" s="31" t="n">
        <x:v>0</x:v>
      </x:c>
      <x:c r="L26" s="31" t="n">
        <x:v>7.5247380111</x:v>
      </x:c>
      <x:c r="M26" s="31" t="n">
        <x:v>0</x:v>
      </x:c>
      <x:c r="N26" s="24" t="str">
        <x:v>gempylidae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Gempylidae</x:v>
      </x:c>
      <x:c r="T26" s="32" t="n">
        <x:f>IF(O26="","",(1/'Metadata'!$B$5)^(O26-1))</x:f>
        <x:v>1621.8100973589299</x:v>
      </x:c>
      <x:c r="U26" s="31" t="n">
        <x:f>IF(T26="","",I26*T26)</x:f>
        <x:v>12203.696086382532</x:v>
      </x:c>
    </x:row>
    <x:row r="27" ht="18" customHeight="1">
      <x:c r="A27" s="24" t="str">
        <x:v>EEZ_238</x:v>
      </x:c>
      <x:c r="B27" s="24" t="str">
        <x:v>Falkland Isl. (UK)</x:v>
      </x:c>
      <x:c r="C27" s="24" t="str">
        <x:v>EEZ</x:v>
      </x:c>
      <x:c r="D27" s="30" t="n">
        <x:v>2019</x:v>
      </x:c>
      <x:c r="E27" s="24" t="str">
        <x:v>Scomber</x:v>
      </x:c>
      <x:c r="F27" s="24" t="str">
        <x:v>Chub mackerels</x:v>
      </x:c>
      <x:c r="G27" s="24" t="str">
        <x:v>Medium pelagics (30 - 89 cm)</x:v>
      </x:c>
      <x:c r="H27" s="24" t="str">
        <x:v>Perch-likes</x:v>
      </x:c>
      <x:c r="I27" s="31" t="n">
        <x:v>4.9126281639</x:v>
      </x:c>
      <x:c r="J27" s="31" t="n">
        <x:v>4.9126281639</x:v>
      </x:c>
      <x:c r="K27" s="31" t="n">
        <x:v>0</x:v>
      </x:c>
      <x:c r="L27" s="31" t="n">
        <x:v>4.9126281639</x:v>
      </x:c>
      <x:c r="M27" s="31" t="n">
        <x:v>0</x:v>
      </x:c>
      <x:c r="N27" s="24" t="str">
        <x:v>scomber</x:v>
      </x:c>
      <x:c r="O27" s="32" t="n">
        <x:v>3.65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Scomber</x:v>
      </x:c>
      <x:c r="T27" s="32" t="n">
        <x:f>IF(O27="","",(1/'Metadata'!$B$5)^(O27-1))</x:f>
        <x:v>446.683592150963</x:v>
      </x:c>
      <x:c r="U27" s="31" t="n">
        <x:f>IF(T27="","",I27*T27)</x:f>
        <x:v>2194.390395152842</x:v>
      </x:c>
    </x:row>
    <x:row r="28" ht="18" customHeight="1">
      <x:c r="A28" s="24" t="str">
        <x:v>EEZ_238</x:v>
      </x:c>
      <x:c r="B28" s="24" t="str">
        <x:v>Falkland Isl. (UK)</x:v>
      </x:c>
      <x:c r="C28" s="24" t="str">
        <x:v>EEZ</x:v>
      </x:c>
      <x:c r="D28" s="30" t="n">
        <x:v>2019</x:v>
      </x:c>
      <x:c r="E28" s="24" t="str">
        <x:v>Hyperoglyphe</x:v>
      </x:c>
      <x:c r="F28" s="24" t="str">
        <x:v>Warehous, barrelfishes</x:v>
      </x:c>
      <x:c r="G28" s="24" t="str">
        <x:v>Medium pelagics (30 - 89 cm)</x:v>
      </x:c>
      <x:c r="H28" s="24" t="str">
        <x:v>Perch-likes</x:v>
      </x:c>
      <x:c r="I28" s="31" t="n">
        <x:v>4.570529801399999</x:v>
      </x:c>
      <x:c r="J28" s="31" t="n">
        <x:v>4.570529801399999</x:v>
      </x:c>
      <x:c r="K28" s="31" t="n">
        <x:v>0</x:v>
      </x:c>
      <x:c r="L28" s="31" t="n">
        <x:v>4.570529801399999</x:v>
      </x:c>
      <x:c r="M28" s="31" t="n">
        <x:v>0</x:v>
      </x:c>
      <x:c r="N28" s="24" t="str">
        <x:v>hyperoglyphe</x:v>
      </x:c>
      <x:c r="O28" s="32" t="n">
        <x:v>3.71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Hyperoglyphe</x:v>
      </x:c>
      <x:c r="T28" s="32" t="n">
        <x:f>IF(O28="","",(1/'Metadata'!$B$5)^(O28-1))</x:f>
        <x:v>512.8613839913648</x:v>
      </x:c>
      <x:c r="U28" s="31" t="n">
        <x:f>IF(T28="","",I28*T28)</x:f>
        <x:v>2344.0482395197814</x:v>
      </x:c>
    </x:row>
    <x:row r="29" ht="18" customHeight="1">
      <x:c r="A29" s="24" t="str">
        <x:v>EEZ_238</x:v>
      </x:c>
      <x:c r="B29" s="24" t="str">
        <x:v>Falkland Isl. (UK)</x:v>
      </x:c>
      <x:c r="C29" s="24" t="str">
        <x:v>EEZ</x:v>
      </x:c>
      <x:c r="D29" s="30" t="n">
        <x:v>2019</x:v>
      </x:c>
      <x:c r="E29" s="24" t="str">
        <x:v>Scombridae</x:v>
      </x:c>
      <x:c r="F29" s="24" t="str">
        <x:v>Mackerels, tunas, bonitos</x:v>
      </x:c>
      <x:c r="G29" s="24" t="str">
        <x:v>Medium pelagics (30 - 89 cm)</x:v>
      </x:c>
      <x:c r="H29" s="24" t="str">
        <x:v>Perch-likes</x:v>
      </x:c>
      <x:c r="I29" s="31" t="n">
        <x:v>1.3036713973</x:v>
      </x:c>
      <x:c r="J29" s="31" t="n">
        <x:v>1.3036713973</x:v>
      </x:c>
      <x:c r="K29" s="31" t="n">
        <x:v>0</x:v>
      </x:c>
      <x:c r="L29" s="31" t="n">
        <x:v>1.3036713973</x:v>
      </x:c>
      <x:c r="M29" s="31" t="n">
        <x:v>0</x:v>
      </x:c>
      <x:c r="N29" s="24" t="str">
        <x:v>scombridae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Scombridae</x:v>
      </x:c>
      <x:c r="T29" s="32" t="n">
        <x:f>IF(O29="","",(1/'Metadata'!$B$5)^(O29-1))</x:f>
        <x:v>1819.7008586099826</x:v>
      </x:c>
      <x:c r="U29" s="31" t="n">
        <x:f>IF(T29="","",I29*T29)</x:f>
        <x:v>2372.2919610120857</x:v>
      </x:c>
    </x:row>
    <x:row r="30" ht="18" customHeight="1">
      <x:c r="A30" s="24" t="str">
        <x:v>EEZ_238</x:v>
      </x:c>
      <x:c r="B30" s="24" t="str">
        <x:v>Falkland Isl. (UK)</x:v>
      </x:c>
      <x:c r="C30" s="24" t="str">
        <x:v>EEZ</x:v>
      </x:c>
      <x:c r="D30" s="30" t="n">
        <x:v>2019</x:v>
      </x:c>
      <x:c r="E30" s="24" t="str">
        <x:v>Cottoperca gobio</x:v>
      </x:c>
      <x:c r="F30" s="24" t="str">
        <x:v>Channel bull blenny</x:v>
      </x:c>
      <x:c r="G30" s="24" t="str">
        <x:v>Medium demersals (30 - 89 cm)</x:v>
      </x:c>
      <x:c r="H30" s="24" t="str">
        <x:v>Perch-likes</x:v>
      </x:c>
      <x:c r="I30" s="31" t="n">
        <x:v>0.5775614997</x:v>
      </x:c>
      <x:c r="J30" s="31" t="n">
        <x:v>0.5775614997</x:v>
      </x:c>
      <x:c r="K30" s="31" t="n">
        <x:v>0</x:v>
      </x:c>
      <x:c r="L30" s="31" t="n">
        <x:v>0.5775614997</x:v>
      </x:c>
      <x:c r="M30" s="31" t="n">
        <x:v>0</x:v>
      </x:c>
      <x:c r="N30" s="24" t="str">
        <x:v>cottoperca gobio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Cottoperca gobio</x:v>
      </x:c>
      <x:c r="T30" s="32" t="n">
        <x:f>IF(O30="","",(1/'Metadata'!$B$5)^(O30-1))</x:f>
        <x:v>1819.7008586099826</x:v>
      </x:c>
      <x:c r="U30" s="31" t="n">
        <x:f>IF(T30="","",I30*T30)</x:f>
        <x:v>1050.9891569041592</x:v>
      </x:c>
    </x:row>
    <x:row r="31" ht="18" customHeight="1">
      <x:c r="A31" s="24" t="str">
        <x:v>EEZ_238</x:v>
      </x:c>
      <x:c r="B31" s="24" t="str">
        <x:v>Falkland Isl. (UK)</x:v>
      </x:c>
      <x:c r="C31" s="24" t="str">
        <x:v>EEZ</x:v>
      </x:c>
      <x:c r="D31" s="30" t="n">
        <x:v>2019</x:v>
      </x:c>
      <x:c r="E31" s="24" t="str">
        <x:v>Eleginops maclovinus</x:v>
      </x:c>
      <x:c r="F31" s="24" t="str">
        <x:v>Patagonian blennie</x:v>
      </x:c>
      <x:c r="G31" s="24" t="str">
        <x:v>Medium benthopelagics (30 - 89 cm)</x:v>
      </x:c>
      <x:c r="H31" s="24" t="str">
        <x:v>Perch-likes</x:v>
      </x:c>
      <x:c r="I31" s="31" t="n">
        <x:v>0.5</x:v>
      </x:c>
      <x:c r="J31" s="31" t="n">
        <x:v>0.5</x:v>
      </x:c>
      <x:c r="K31" s="31" t="n">
        <x:v>0</x:v>
      </x:c>
      <x:c r="L31" s="31" t="n">
        <x:v>0</x:v>
      </x:c>
      <x:c r="M31" s="31" t="n">
        <x:v>0.5</x:v>
      </x:c>
      <x:c r="N31" s="24" t="str">
        <x:v>eleginops maclovinus</x:v>
      </x:c>
      <x:c r="O31" s="32" t="n">
        <x:v>3.27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Eleginops maclovinus</x:v>
      </x:c>
      <x:c r="T31" s="32" t="n">
        <x:f>IF(O31="","",(1/'Metadata'!$B$5)^(O31-1))</x:f>
        <x:v>186.20871366628674</x:v>
      </x:c>
      <x:c r="U31" s="31" t="n">
        <x:f>IF(T31="","",I31*T31)</x:f>
        <x:v>93.10435683314337</x:v>
      </x:c>
    </x:row>
    <x:row r="32" ht="18" customHeight="1">
      <x:c r="A32" s="24" t="str">
        <x:v>EEZ_238</x:v>
      </x:c>
      <x:c r="B32" s="24" t="str">
        <x:v>Falkland Isl. (UK)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0.2916847349</x:v>
      </x:c>
      <x:c r="J32" s="31" t="n">
        <x:v>0.2916847349</x:v>
      </x:c>
      <x:c r="K32" s="31" t="n">
        <x:v>0</x:v>
      </x:c>
      <x:c r="L32" s="31" t="n">
        <x:v>0.2916847349</x:v>
      </x:c>
      <x:c r="M32" s="31" t="n">
        <x:v>0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291.6847349</x:v>
      </x:c>
    </x:row>
    <x:row r="33" ht="18" customHeight="1">
      <x:c r="A33" s="24" t="str">
        <x:v>EEZ_238</x:v>
      </x:c>
      <x:c r="B33" s="24" t="str">
        <x:v>Falkland Isl. (UK)</x:v>
      </x:c>
      <x:c r="C33" s="24" t="str">
        <x:v>EEZ</x:v>
      </x:c>
      <x:c r="D33" s="30" t="n">
        <x:v>2019</x:v>
      </x:c>
      <x:c r="E33" s="24" t="str">
        <x:v>Lepidocybium flavobrunneum</x:v>
      </x:c>
      <x:c r="F33" s="24" t="str">
        <x:v>Escolar</x:v>
      </x:c>
      <x:c r="G33" s="24" t="str">
        <x:v>Large bathypelagics (&gt;=90 cm)</x:v>
      </x:c>
      <x:c r="H33" s="24" t="str">
        <x:v>Perch-likes</x:v>
      </x:c>
      <x:c r="I33" s="31" t="n">
        <x:v>0.0949136263</x:v>
      </x:c>
      <x:c r="J33" s="31" t="n">
        <x:v>0.0949136263</x:v>
      </x:c>
      <x:c r="K33" s="31" t="n">
        <x:v>0</x:v>
      </x:c>
      <x:c r="L33" s="31" t="n">
        <x:v>0.0949136263</x:v>
      </x:c>
      <x:c r="M33" s="31" t="n">
        <x:v>0</x:v>
      </x:c>
      <x:c r="N33" s="24" t="str">
        <x:v>lepidocybium flavobrunneum</x:v>
      </x:c>
      <x:c r="O33" s="32" t="n">
        <x:v>4.34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Lepidocybium flavobrunneum</x:v>
      </x:c>
      <x:c r="T33" s="32" t="n">
        <x:f>IF(O33="","",(1/'Metadata'!$B$5)^(O33-1))</x:f>
        <x:v>2187.761623949552</x:v>
      </x:c>
      <x:c r="U33" s="31" t="n">
        <x:f>IF(T33="","",I33*T33)</x:f>
        <x:v>207.6483892090289</x:v>
      </x:c>
    </x:row>
    <x:row r="34" ht="18" customHeight="1">
      <x:c r="A34" s="24" t="str">
        <x:v>EEZ_238</x:v>
      </x:c>
      <x:c r="B34" s="24" t="str">
        <x:v>Falkland Isl. (UK)</x:v>
      </x:c>
      <x:c r="C34" s="24" t="str">
        <x:v>EEZ</x:v>
      </x:c>
      <x:c r="D34" s="30" t="n">
        <x:v>2019</x:v>
      </x:c>
      <x:c r="E34" s="24" t="str">
        <x:v>Stromateidae</x:v>
      </x:c>
      <x:c r="F34" s="24" t="str">
        <x:v>Butterfishes</x:v>
      </x:c>
      <x:c r="G34" s="24" t="str">
        <x:v>Small benthopelagics (&lt;30 cm)</x:v>
      </x:c>
      <x:c r="H34" s="24" t="str">
        <x:v>Perch-likes</x:v>
      </x:c>
      <x:c r="I34" s="31" t="n">
        <x:v>0.026613047400000003</x:v>
      </x:c>
      <x:c r="J34" s="31" t="n">
        <x:v>0.026613047400000003</x:v>
      </x:c>
      <x:c r="K34" s="31" t="n">
        <x:v>0</x:v>
      </x:c>
      <x:c r="L34" s="31" t="n">
        <x:v>0.026613047400000003</x:v>
      </x:c>
      <x:c r="M34" s="31" t="n">
        <x:v>0</x:v>
      </x:c>
      <x:c r="N34" s="24" t="str">
        <x:v>stromateidae</x:v>
      </x:c>
      <x:c r="O34" s="32" t="n">
        <x:v>3.62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Stromateidae</x:v>
      </x:c>
      <x:c r="T34" s="32" t="n">
        <x:f>IF(O34="","",(1/'Metadata'!$B$5)^(O34-1))</x:f>
        <x:v>416.8693834703355</x:v>
      </x:c>
      <x:c r="U34" s="31" t="n">
        <x:f>IF(T34="","",I34*T34)</x:f>
        <x:v>11.094164661904816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eca1559901a4b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95888.65477104759</x:v>
      </x:c>
      <x:c r="C2" s="32" t="n">
        <x:v>4.196670399838783</x:v>
      </x:c>
      <x:c r="D2" s="32" t="n">
        <x:f>IF(C2="","",(1/'Metadata'!$B$5)^(C2-1))</x:f>
        <x:v>1572.7887710206353</x:v>
      </x:c>
      <x:c r="E2" s="31" t="n">
        <x:f>IF(B2=0,"",B2*D2)</x:f>
        <x:v>150812599.4921779</x:v>
      </x:c>
    </x:row>
    <x:row r="3" ht="18" customHeight="1">
      <x:c r="A3" s="24" t="str">
        <x:v>Other fishes &amp; inverts</x:v>
      </x:c>
      <x:c r="B3" s="31" t="n">
        <x:v>171312.73612225294</x:v>
      </x:c>
      <x:c r="C3" s="32" t="n">
        <x:v>3.465663042737905</x:v>
      </x:c>
      <x:c r="D3" s="32" t="n">
        <x:f>IF(C3="","",(1/'Metadata'!$B$5)^(C3-1))</x:f>
        <x:v>292.1884487552835</x:v>
      </x:c>
      <x:c r="E3" s="31" t="n">
        <x:f>IF(B3=0,"",B3*D3)</x:f>
        <x:v>50055602.61958431</x:v>
      </x:c>
    </x:row>
    <x:row r="4" ht="18" customHeight="1">
      <x:c r="A4" s="24" t="str">
        <x:v>Perch-likes</x:v>
      </x:c>
      <x:c r="B4" s="31" t="n">
        <x:v>2857.5643251496003</x:v>
      </x:c>
      <x:c r="C4" s="32" t="n">
        <x:v>3.7773427661782866</x:v>
      </x:c>
      <x:c r="D4" s="32" t="n">
        <x:f>IF(C4="","",(1/'Metadata'!$B$5)^(C4-1))</x:f>
        <x:v>598.8840768181204</x:v>
      </x:c>
      <x:c r="E4" s="31" t="n">
        <x:f>IF(B4=0,"",B4*D4)</x:f>
        <x:v>1711349.7728156138</x:v>
      </x:c>
    </x:row>
    <x:row r="5" ht="18" customHeight="1">
      <x:c r="A5" s="24" t="str">
        <x:v>Sharks &amp; rays</x:v>
      </x:c>
      <x:c r="B5" s="31" t="n">
        <x:v>8156.025639600099</x:v>
      </x:c>
      <x:c r="C5" s="32" t="n">
        <x:v>4.296751052655503</x:v>
      </x:c>
      <x:c r="D5" s="32" t="n">
        <x:f>IF(C5="","",(1/'Metadata'!$B$5)^(C5-1))</x:f>
        <x:v>1980.391495526575</x:v>
      </x:c>
      <x:c r="E5" s="31" t="n">
        <x:f>IF(B5=0,"",B5*D5)</x:f>
        <x:v>16152123.81396073</x:v>
      </x:c>
    </x:row>
  </x:sheetData>
  <x:pageMargins left="0.7" right="0.7" top="0.75" bottom="0.75" header="0.3" footer="0.3"/>
  <x:tableParts count="1">
    <x:tablePart xmlns:r="http://schemas.openxmlformats.org/officeDocument/2006/relationships" r:id="Ra8299151858842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158033.79226590233</x:v>
      </x:c>
      <x:c r="C2" s="32" t="n">
        <x:v>3.4684479314845</x:v>
      </x:c>
      <x:c r="D2" s="32" t="n">
        <x:f>IF(C2="","",(1/'Metadata'!$B$5)^(C2-1))</x:f>
        <x:v>294.06811079205113</x:v>
      </x:c>
      <x:c r="E2" s="31" t="n">
        <x:f>IF(B2=0,"",B2*D2)</x:f>
        <x:v>46472698.73293736</x:v>
      </x:c>
    </x:row>
    <x:row r="3" ht="18" customHeight="1">
      <x:c r="A3" s="24" t="str">
        <x:v>Large bathydemersals (&gt;=90 cm)</x:v>
      </x:c>
      <x:c r="B3" s="31" t="n">
        <x:v>3908.3981762912</x:v>
      </x:c>
      <x:c r="C3" s="32" t="n">
        <x:v>4.100667967494032</x:v>
      </x:c>
      <x:c r="D3" s="32" t="n">
        <x:f>IF(C3="","",(1/'Metadata'!$B$5)^(C3-1))</x:f>
        <x:v>1260.8631943576972</x:v>
      </x:c>
      <x:c r="E3" s="31" t="n">
        <x:f>IF(B3=0,"",B3*D3)</x:f>
        <x:v>4927955.40938032</x:v>
      </x:c>
    </x:row>
    <x:row r="4" ht="18" customHeight="1">
      <x:c r="A4" s="24" t="str">
        <x:v>Large bathypelagics (&gt;=90 cm)</x:v>
      </x:c>
      <x:c r="B4" s="31" t="n">
        <x:v>0.0949136263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207.6483892090289</x:v>
      </x:c>
    </x:row>
    <x:row r="5" ht="18" customHeight="1">
      <x:c r="A5" s="24" t="str">
        <x:v>Large benthopelagics (&gt;=90 cm)</x:v>
      </x:c>
      <x:c r="B5" s="31" t="n">
        <x:v>13560.4236802359</x:v>
      </x:c>
      <x:c r="C5" s="32" t="n">
        <x:v>3.993422604989522</x:v>
      </x:c>
      <x:c r="D5" s="32" t="n">
        <x:f>IF(C5="","",(1/'Metadata'!$B$5)^(C5-1))</x:f>
        <x:v>984.969097201338</x:v>
      </x:c>
      <x:c r="E5" s="31" t="n">
        <x:f>IF(B5=0,"",B5*D5)</x:f>
        <x:v>13356598.269989599</x:v>
      </x:c>
    </x:row>
    <x:row r="6" ht="18" customHeight="1">
      <x:c r="A6" s="24" t="str">
        <x:v>Large rays (&gt;=90 cm)</x:v>
      </x:c>
      <x:c r="B6" s="31" t="n">
        <x:v>603.3400283013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245788.82833972474</x:v>
      </x:c>
    </x:row>
    <x:row r="7" ht="18" customHeight="1">
      <x:c r="A7" s="24" t="str">
        <x:v>Large sharks (&gt;=90 cm)</x:v>
      </x:c>
      <x:c r="B7" s="31" t="n">
        <x:v>7552.685611298799</x:v>
      </x:c>
      <x:c r="C7" s="32" t="n">
        <x:v>4.351611591127442</x:v>
      </x:c>
      <x:c r="D7" s="32" t="n">
        <x:f>IF(C7="","",(1/'Metadata'!$B$5)^(C7-1))</x:f>
        <x:v>2247.0440754513584</x:v>
      </x:c>
      <x:c r="E7" s="31" t="n">
        <x:f>IF(B7=0,"",B7*D7)</x:f>
        <x:v>16971217.456615686</x:v>
      </x:c>
    </x:row>
    <x:row r="8" ht="18" customHeight="1">
      <x:c r="A8" s="24" t="str">
        <x:v>Medium bathydemersals (30 - 89 cm)</x:v>
      </x:c>
      <x:c r="B8" s="31" t="n">
        <x:v>165.16273960659998</x:v>
      </x:c>
      <x:c r="C8" s="32" t="n">
        <x:v>4.27</x:v>
      </x:c>
      <x:c r="D8" s="32" t="n">
        <x:f>IF(C8="","",(1/'Metadata'!$B$5)^(C8-1))</x:f>
        <x:v>1862.0871366628655</x:v>
      </x:c>
      <x:c r="E8" s="31" t="n">
        <x:f>IF(B8=0,"",B8*D8)</x:f>
        <x:v>307547.4128774482</x:v>
      </x:c>
    </x:row>
    <x:row r="9" ht="18" customHeight="1">
      <x:c r="A9" s="24" t="str">
        <x:v>Medium benthopelagics (30 - 89 cm)</x:v>
      </x:c>
      <x:c r="B9" s="31" t="n">
        <x:v>80171.76052287381</x:v>
      </x:c>
      <x:c r="C9" s="32" t="n">
        <x:v>4.213200296934656</x:v>
      </x:c>
      <x:c r="D9" s="32" t="n">
        <x:f>IF(C9="","",(1/'Metadata'!$B$5)^(C9-1))</x:f>
        <x:v>1633.805286361259</x:v>
      </x:c>
      <x:c r="E9" s="31" t="n">
        <x:f>IF(B9=0,"",B9*D9)</x:f>
        <x:v>130985046.15916012</x:v>
      </x:c>
    </x:row>
    <x:row r="10" ht="18" customHeight="1">
      <x:c r="A10" s="24" t="str">
        <x:v>Medium demersals (30 - 89 cm)</x:v>
      </x:c>
      <x:c r="B10" s="31" t="n">
        <x:v>14208.509477504</x:v>
      </x:c>
      <x:c r="C10" s="32" t="n">
        <x:v>3.524781550402324</x:v>
      </x:c>
      <x:c r="D10" s="32" t="n">
        <x:f>IF(C10="","",(1/'Metadata'!$B$5)^(C10-1))</x:f>
        <x:v>334.79699431551154</x:v>
      </x:c>
      <x:c r="E10" s="31" t="n">
        <x:f>IF(B10=0,"",B10*D10)</x:f>
        <x:v>4756966.266771798</x:v>
      </x:c>
    </x:row>
    <x:row r="11" ht="18" customHeight="1">
      <x:c r="A11" s="24" t="str">
        <x:v>Medium pelagics (30 - 89 cm)</x:v>
      </x:c>
      <x:c r="B11" s="31" t="n">
        <x:v>10.786829362599999</x:v>
      </x:c>
      <x:c r="C11" s="32" t="n">
        <x:v>3.7491460330451742</x:v>
      </x:c>
      <x:c r="D11" s="32" t="n">
        <x:f>IF(C11="","",(1/'Metadata'!$B$5)^(C11-1))</x:f>
        <x:v>561.2366621067182</x:v>
      </x:c>
      <x:c r="E11" s="31" t="n">
        <x:f>IF(B11=0,"",B11*D11)</x:f>
        <x:v>6053.964106180362</x:v>
      </x:c>
    </x:row>
    <x:row r="12" ht="18" customHeight="1">
      <x:c r="A12" s="24" t="str">
        <x:v>Small benthopelagics (&lt;30 cm)</x:v>
      </x:c>
      <x:c r="B12" s="31" t="n">
        <x:v>0.026613047400000003</x:v>
      </x:c>
      <x:c r="C12" s="32" t="n">
        <x:v>3.62</x:v>
      </x:c>
      <x:c r="D12" s="32" t="n">
        <x:f>IF(C12="","",(1/'Metadata'!$B$5)^(C12-1))</x:f>
        <x:v>416.8693834703355</x:v>
      </x:c>
      <x:c r="E12" s="31" t="n">
        <x:f>IF(B12=0,"",B12*D12)</x:f>
        <x:v>11.094164661904816</x:v>
      </x:c>
    </x:row>
  </x:sheetData>
  <x:pageMargins left="0.7" right="0.7" top="0.75" bottom="0.75" header="0.3" footer="0.3"/>
  <x:tableParts count="1">
    <x:tablePart xmlns:r="http://schemas.openxmlformats.org/officeDocument/2006/relationships" r:id="R8f2f301f339c44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EEZ_238</x:v>
      </x:c>
      <x:c r="B2" s="24" t="str">
        <x:v>raw_filtered_tonnes</x:v>
      </x:c>
      <x:c r="C2" s="24" t="n">
        <x:v>278214.98085805017</x:v>
      </x:c>
      <x:c r="D2" s="24" t="str">
        <x:v>tonnes</x:v>
      </x:c>
    </x:row>
    <x:row r="3" ht="18" customHeight="1">
      <x:c r="A3" s="24" t="str">
        <x:v>EEZ_238</x:v>
      </x:c>
      <x:c r="B3" s="24" t="str">
        <x:v>species_catch_tonnes</x:v>
      </x:c>
      <x:c r="C3" s="24" t="n">
        <x:v>278214.9808580502</x:v>
      </x:c>
      <x:c r="D3" s="24" t="str">
        <x:v>tonnes</x:v>
      </x:c>
    </x:row>
    <x:row r="4" ht="18" customHeight="1">
      <x:c r="A4" s="24" t="str">
        <x:v>EEZ_238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EEZ_238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EEZ_238</x:v>
      </x:c>
      <x:c r="B6" s="24" t="str">
        <x:v>matched_catch_tonnes</x:v>
      </x:c>
      <x:c r="C6" s="24" t="n">
        <x:v>278214.9808580502</x:v>
      </x:c>
      <x:c r="D6" s="24" t="str">
        <x:v>tonnes</x:v>
      </x:c>
    </x:row>
    <x:row r="7" ht="18" customHeight="1">
      <x:c r="A7" s="24" t="str">
        <x:v>EEZ_238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EEZ_238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EEZ_238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EEZ_238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EEZ_238</x:v>
      </x:c>
      <x:c r="B11" s="24" t="str">
        <x:v>species_ppr</x:v>
      </x:c>
      <x:c r="C11" s="24" t="n">
        <x:v>240475941.02839914</x:v>
      </x:c>
      <x:c r="D11" s="24" t="str">
        <x:v>tonnes_primary_production_equivalent</x:v>
      </x:c>
    </x:row>
    <x:row r="12" ht="18" customHeight="1">
      <x:c r="A12" s="24" t="str">
        <x:v>EEZ_238</x:v>
      </x:c>
      <x:c r="B12" s="24" t="str">
        <x:v>commercial_ppr</x:v>
      </x:c>
      <x:c r="C12" s="24" t="n">
        <x:v>218731675.69853857</x:v>
      </x:c>
      <x:c r="D12" s="24" t="str">
        <x:v>tonnes_primary_production_equivalent</x:v>
      </x:c>
    </x:row>
    <x:row r="13" ht="18" customHeight="1">
      <x:c r="A13" s="24" t="str">
        <x:v>EEZ_238</x:v>
      </x:c>
      <x:c r="B13" s="24" t="str">
        <x:v>functional_ppr</x:v>
      </x:c>
      <x:c r="C13" s="24" t="n">
        <x:v>218030091.2427321</x:v>
      </x:c>
      <x:c r="D13" s="24" t="str">
        <x:v>tonnes_primary_production_equivalent</x:v>
      </x:c>
    </x:row>
    <x:row r="14" ht="18" customHeight="1">
      <x:c r="A14" s="24" t="str">
        <x:v>EEZ_238</x:v>
      </x:c>
      <x:c r="B14" s="24" t="str">
        <x:v>commercial_ppr_difference</x:v>
      </x:c>
      <x:c r="C14" s="24" t="n">
        <x:v>-21744265.329860568</x:v>
      </x:c>
      <x:c r="D14" s="24" t="str">
        <x:v>tonnes_primary_production_equivalent</x:v>
      </x:c>
    </x:row>
    <x:row r="15" ht="18" customHeight="1">
      <x:c r="A15" s="24" t="str">
        <x:v>EEZ_238</x:v>
      </x:c>
      <x:c r="B15" s="24" t="str">
        <x:v>functional_ppr_difference</x:v>
      </x:c>
      <x:c r="C15" s="24" t="n">
        <x:v>-22445849.785667032</x:v>
      </x:c>
      <x:c r="D15" s="24" t="str">
        <x:v>tonnes_primary_production_equivalent</x:v>
      </x:c>
    </x:row>
    <x:row r="16" ht="18" customHeight="1">
      <x:c r="A16" s="24" t="str">
        <x:v>EEZ_238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EEZ_238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1ade2f92339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EEZ_238 - Falkland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