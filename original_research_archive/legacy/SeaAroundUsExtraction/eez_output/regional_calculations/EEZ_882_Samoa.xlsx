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e44fea1d941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0bd116260444713"/>
    <x:sheet xmlns:r="http://schemas.openxmlformats.org/officeDocument/2006/relationships" name="Commercial" sheetId="2" r:id="R623097aab4224305"/>
    <x:sheet xmlns:r="http://schemas.openxmlformats.org/officeDocument/2006/relationships" name="Functional" sheetId="3" r:id="Rfc3bad2ed86b46e2"/>
    <x:sheet xmlns:r="http://schemas.openxmlformats.org/officeDocument/2006/relationships" name="Missing TL" sheetId="4" r:id="R69fb2052edff4a74"/>
    <x:sheet xmlns:r="http://schemas.openxmlformats.org/officeDocument/2006/relationships" name="Validation" sheetId="5" r:id="R0eb6cdb7be2a4be5"/>
    <x:sheet xmlns:r="http://schemas.openxmlformats.org/officeDocument/2006/relationships" name="Metadata" sheetId="6" r:id="R9b7fbba84646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8f8d026ec49ac" /><Relationship Type="http://schemas.openxmlformats.org/officeDocument/2006/relationships/theme" Target="/xl/theme/theme1.xml" Id="Rcfd912fdb1d64235" /><Relationship Type="http://schemas.microsoft.com/office/2022/11/relationships/FeaturePropertyBag" Target="/xl/featurePropertyBag/featurePropertyBag.xml" Id="R9233da28e9134f89" /><Relationship Type="http://schemas.openxmlformats.org/officeDocument/2006/relationships/sharedStrings" Target="/xl/sharedStrings.xml" Id="R3d57897d0e614f80" /><Relationship Type="http://schemas.openxmlformats.org/officeDocument/2006/relationships/worksheet" Target="/xl/worksheets/sheet1.xml" Id="R40bd116260444713" /><Relationship Type="http://schemas.openxmlformats.org/officeDocument/2006/relationships/worksheet" Target="/xl/worksheets/sheet2.xml" Id="R623097aab4224305" /><Relationship Type="http://schemas.openxmlformats.org/officeDocument/2006/relationships/worksheet" Target="/xl/worksheets/sheet3.xml" Id="Rfc3bad2ed86b46e2" /><Relationship Type="http://schemas.openxmlformats.org/officeDocument/2006/relationships/worksheet" Target="/xl/worksheets/sheet4.xml" Id="R69fb2052edff4a74" /><Relationship Type="http://schemas.openxmlformats.org/officeDocument/2006/relationships/worksheet" Target="/xl/worksheets/sheet5.xml" Id="R0eb6cdb7be2a4be5" /><Relationship Type="http://schemas.openxmlformats.org/officeDocument/2006/relationships/worksheet" Target="/xl/worksheets/sheet6.xml" Id="R9b7fbba8464646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82SpeciesTable" displayName="EEZ882SpeciesTable" ref="A1:U73" headerRowCount="1" totalsRowCount="0" totalsRowShown="0">
  <x:autoFilter ref="A1:U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82CommercialTable" displayName="EEZ882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82FunctionalTable" displayName="EEZ882FunctionalTable" ref="A1:E15" headerRowCount="1" totalsRowCount="0" totalsRowShown="0">
  <x:autoFilter ref="A1:E1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82ValidationTable" displayName="EEZ88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e90458f0244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ad9d897b2d44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dedc0f452847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7ca7e68dc74f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EEZ_882</x:v>
      </x:c>
      <x:c r="B2" s="24" t="str">
        <x:v>Samoa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3332.7525726972</x:v>
      </x:c>
      <x:c r="J2" s="31" t="n">
        <x:v>3281.5879367372</x:v>
      </x:c>
      <x:c r="K2" s="31" t="n">
        <x:v>51.16463596</x:v>
      </x:c>
      <x:c r="L2" s="31" t="n">
        <x:v>3281.5879367372</x:v>
      </x:c>
      <x:c r="M2" s="31" t="n">
        <x:v>51.16463596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6649715.613418302</x:v>
      </x:c>
    </x:row>
    <x:row r="3" ht="18" customHeight="1">
      <x:c r="A3" s="24" t="str">
        <x:v>EEZ_882</x:v>
      </x:c>
      <x:c r="B3" s="24" t="str">
        <x:v>Samoa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1132.2030711481</x:v>
      </x:c>
      <x:c r="J3" s="31" t="n">
        <x:v>647.8780024351</x:v>
      </x:c>
      <x:c r="K3" s="31" t="n">
        <x:v>484.325068713</x:v>
      </x:c>
      <x:c r="L3" s="31" t="n">
        <x:v>647.8780024351</x:v>
      </x:c>
      <x:c r="M3" s="31" t="n">
        <x:v>484.325068713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2534686.948531243</x:v>
      </x:c>
    </x:row>
    <x:row r="4" ht="18" customHeight="1">
      <x:c r="A4" s="24" t="str">
        <x:v>EEZ_882</x:v>
      </x:c>
      <x:c r="B4" s="24" t="str">
        <x:v>Samoa</x:v>
      </x:c>
      <x:c r="C4" s="24" t="str">
        <x:v>EEZ</x:v>
      </x:c>
      <x:c r="D4" s="30" t="n">
        <x:v>2019</x:v>
      </x:c>
      <x:c r="E4" s="24" t="str">
        <x:v>Octopus</x:v>
      </x:c>
      <x:c r="F4" s="24" t="str">
        <x:v>Octopuses, pikas</x:v>
      </x:c>
      <x:c r="G4" s="24" t="str">
        <x:v>Cephalopods</x:v>
      </x:c>
      <x:c r="H4" s="24" t="str">
        <x:v>Other fishes &amp; inverts</x:v>
      </x:c>
      <x:c r="I4" s="31" t="n">
        <x:v>978.56965741</x:v>
      </x:c>
      <x:c r="J4" s="31" t="n">
        <x:v>978.56965741</x:v>
      </x:c>
      <x:c r="K4" s="31" t="n">
        <x:v>0</x:v>
      </x:c>
      <x:c r="L4" s="31" t="n">
        <x:v>906.19531179</x:v>
      </x:c>
      <x:c r="M4" s="31" t="n">
        <x:v>72.37434562</x:v>
      </x:c>
      <x:c r="N4" s="24" t="str">
        <x:v>octopus</x:v>
      </x:c>
      <x:c r="O4" s="32" t="n">
        <x:v>3.8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Octopus</x:v>
      </x:c>
      <x:c r="T4" s="32" t="n">
        <x:f>IF(O4="","",(1/'Metadata'!$B$5)^(O4-1))</x:f>
        <x:v>630.957344480193</x:v>
      </x:c>
      <x:c r="U4" s="31" t="n">
        <x:f>IF(T4="","",I4*T4)</x:f>
        <x:v>617435.7124283058</x:v>
      </x:c>
    </x:row>
    <x:row r="5" ht="18" customHeight="1">
      <x:c r="A5" s="24" t="str">
        <x:v>EEZ_882</x:v>
      </x:c>
      <x:c r="B5" s="24" t="str">
        <x:v>Samoa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924.2824141427</x:v>
      </x:c>
      <x:c r="J5" s="31" t="n">
        <x:v>899.8890814910001</x:v>
      </x:c>
      <x:c r="K5" s="31" t="n">
        <x:v>24.3933326517</x:v>
      </x:c>
      <x:c r="L5" s="31" t="n">
        <x:v>899.8890814910001</x:v>
      </x:c>
      <x:c r="M5" s="31" t="n">
        <x:v>24.3933326517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2375771.619399821</x:v>
      </x:c>
    </x:row>
    <x:row r="6" ht="18" customHeight="1">
      <x:c r="A6" s="24" t="str">
        <x:v>EEZ_882</x:v>
      </x:c>
      <x:c r="B6" s="24" t="str">
        <x:v>Samoa</x:v>
      </x:c>
      <x:c r="C6" s="24" t="str">
        <x:v>EEZ</x:v>
      </x:c>
      <x:c r="D6" s="30" t="n">
        <x:v>2019</x:v>
      </x:c>
      <x:c r="E6" s="24" t="str">
        <x:v>Miscellaneous aquatic invertebrates</x:v>
      </x:c>
      <x:c r="F6" s="24" t="str">
        <x:v>Aquatic invertebrates</x:v>
      </x:c>
      <x:c r="G6" s="24" t="str">
        <x:v>Other demersal invertebrates</x:v>
      </x:c>
      <x:c r="H6" s="24" t="str">
        <x:v>Other fishes &amp; inverts</x:v>
      </x:c>
      <x:c r="I6" s="31" t="n">
        <x:v>526.491444255</x:v>
      </x:c>
      <x:c r="J6" s="31" t="n">
        <x:v>526.491444255</x:v>
      </x:c>
      <x:c r="K6" s="31" t="n">
        <x:v>0</x:v>
      </x:c>
      <x:c r="L6" s="31" t="n">
        <x:v>476.049940636</x:v>
      </x:c>
      <x:c r="M6" s="31" t="n">
        <x:v>50.441503618999995</x:v>
      </x:c>
      <x:c r="N6" s="24" t="str">
        <x:v>miscellaneous aquatic invertebrates</x:v>
      </x:c>
      <x:c r="O6" s="32" t="n">
        <x:v>2.43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aquatic invertebrates</x:v>
      </x:c>
      <x:c r="T6" s="32" t="n">
        <x:f>IF(O6="","",(1/'Metadata'!$B$5)^(O6-1))</x:f>
        <x:v>26.915348039269166</x:v>
      </x:c>
      <x:c r="U6" s="31" t="n">
        <x:f>IF(T6="","",I6*T6)</x:f>
        <x:v>14170.700461820807</x:v>
      </x:c>
    </x:row>
    <x:row r="7" ht="18" customHeight="1">
      <x:c r="A7" s="24" t="str">
        <x:v>EEZ_882</x:v>
      </x:c>
      <x:c r="B7" s="24" t="str">
        <x:v>Samoa</x:v>
      </x:c>
      <x:c r="C7" s="24" t="str">
        <x:v>EEZ</x:v>
      </x:c>
      <x:c r="D7" s="30" t="n">
        <x:v>2019</x:v>
      </x:c>
      <x:c r="E7" s="24" t="str">
        <x:v>Kyphosus cinerascens</x:v>
      </x:c>
      <x:c r="F7" s="24" t="str">
        <x:v>Blue sea chub</x:v>
      </x:c>
      <x:c r="G7" s="24" t="str">
        <x:v>Medium reef assoc. fish (30 - 89 cm)</x:v>
      </x:c>
      <x:c r="H7" s="24" t="str">
        <x:v>Perch-likes</x:v>
      </x:c>
      <x:c r="I7" s="31" t="n">
        <x:v>490.53382492000003</x:v>
      </x:c>
      <x:c r="J7" s="31" t="n">
        <x:v>490.53382492000003</x:v>
      </x:c>
      <x:c r="K7" s="31" t="n">
        <x:v>0</x:v>
      </x:c>
      <x:c r="L7" s="31" t="n">
        <x:v>306.18914313</x:v>
      </x:c>
      <x:c r="M7" s="31" t="n">
        <x:v>184.34468179</x:v>
      </x:c>
      <x:c r="N7" s="24" t="str">
        <x:v>kyphosus cinerascens</x:v>
      </x:c>
      <x:c r="O7" s="32" t="n">
        <x:v>2.85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Kyphosus cinerascens</x:v>
      </x:c>
      <x:c r="T7" s="32" t="n">
        <x:f>IF(O7="","",(1/'Metadata'!$B$5)^(O7-1))</x:f>
        <x:v>70.79457843841381</x:v>
      </x:c>
      <x:c r="U7" s="31" t="n">
        <x:f>IF(T7="","",I7*T7)</x:f>
        <x:v>34727.13534499409</x:v>
      </x:c>
    </x:row>
    <x:row r="8" ht="18" customHeight="1">
      <x:c r="A8" s="24" t="str">
        <x:v>EEZ_882</x:v>
      </x:c>
      <x:c r="B8" s="24" t="str">
        <x:v>Samoa</x:v>
      </x:c>
      <x:c r="C8" s="24" t="str">
        <x:v>EEZ</x:v>
      </x:c>
      <x:c r="D8" s="30" t="n">
        <x:v>2019</x:v>
      </x:c>
      <x:c r="E8" s="24" t="str">
        <x:v>Lutjanus gibbus</x:v>
      </x:c>
      <x:c r="F8" s="24" t="str">
        <x:v>Humpback red snapper</x:v>
      </x:c>
      <x:c r="G8" s="24" t="str">
        <x:v>Medium reef assoc. fish (30 - 89 cm)</x:v>
      </x:c>
      <x:c r="H8" s="24" t="str">
        <x:v>Perch-likes</x:v>
      </x:c>
      <x:c r="I8" s="31" t="n">
        <x:v>451.994940771</x:v>
      </x:c>
      <x:c r="J8" s="31" t="n">
        <x:v>451.994940771</x:v>
      </x:c>
      <x:c r="K8" s="31" t="n">
        <x:v>0</x:v>
      </x:c>
      <x:c r="L8" s="31" t="n">
        <x:v>451.994940771</x:v>
      </x:c>
      <x:c r="M8" s="31" t="n">
        <x:v>0</x:v>
      </x:c>
      <x:c r="N8" s="24" t="str">
        <x:v>lutjanus gibbus</x:v>
      </x:c>
      <x:c r="O8" s="32" t="n">
        <x:v>4.12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Lutjanus gibbus</x:v>
      </x:c>
      <x:c r="T8" s="32" t="n">
        <x:f>IF(O8="","",(1/'Metadata'!$B$5)^(O8-1))</x:f>
        <x:v>1318.2567385564075</x:v>
      </x:c>
      <x:c r="U8" s="31" t="n">
        <x:f>IF(T8="","",I8*T8)</x:f>
        <x:v>595845.3764647751</x:v>
      </x:c>
    </x:row>
    <x:row r="9" ht="18" customHeight="1">
      <x:c r="A9" s="24" t="str">
        <x:v>EEZ_882</x:v>
      </x:c>
      <x:c r="B9" s="24" t="str">
        <x:v>Samoa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450.232873965</x:v>
      </x:c>
      <x:c r="J9" s="31" t="n">
        <x:v>215.1528326512</x:v>
      </x:c>
      <x:c r="K9" s="31" t="n">
        <x:v>235.0800413138</x:v>
      </x:c>
      <x:c r="L9" s="31" t="n">
        <x:v>177.6238577472</x:v>
      </x:c>
      <x:c r="M9" s="31" t="n">
        <x:v>272.6090162178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85790.10552760048</x:v>
      </x:c>
    </x:row>
    <x:row r="10" ht="18" customHeight="1">
      <x:c r="A10" s="24" t="str">
        <x:v>EEZ_882</x:v>
      </x:c>
      <x:c r="B10" s="24" t="str">
        <x:v>Samoa</x:v>
      </x:c>
      <x:c r="C10" s="24" t="str">
        <x:v>EEZ</x:v>
      </x:c>
      <x:c r="D10" s="30" t="n">
        <x:v>2019</x:v>
      </x:c>
      <x:c r="E10" s="24" t="str">
        <x:v>Naso</x:v>
      </x:c>
      <x:c r="F10" s="24" t="str">
        <x:v>Unicornfishes</x:v>
      </x:c>
      <x:c r="G10" s="24" t="str">
        <x:v>Medium reef assoc. fish (30 - 89 cm)</x:v>
      </x:c>
      <x:c r="H10" s="24" t="str">
        <x:v>Perch-likes</x:v>
      </x:c>
      <x:c r="I10" s="31" t="n">
        <x:v>444.13080484</x:v>
      </x:c>
      <x:c r="J10" s="31" t="n">
        <x:v>444.13080484</x:v>
      </x:c>
      <x:c r="K10" s="31" t="n">
        <x:v>0</x:v>
      </x:c>
      <x:c r="L10" s="31" t="n">
        <x:v>277.22457383</x:v>
      </x:c>
      <x:c r="M10" s="31" t="n">
        <x:v>166.90623101</x:v>
      </x:c>
      <x:c r="N10" s="24" t="str">
        <x:v>naso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Naso</x:v>
      </x:c>
      <x:c r="T10" s="32" t="n">
        <x:f>IF(O10="","",(1/'Metadata'!$B$5)^(O10-1))</x:f>
        <x:v>190.54607179632464</x:v>
      </x:c>
      <x:c r="U10" s="31" t="n">
        <x:f>IF(T10="","",I10*T10)</x:f>
        <x:v>84627.38022600209</x:v>
      </x:c>
    </x:row>
    <x:row r="11" ht="18" customHeight="1">
      <x:c r="A11" s="24" t="str">
        <x:v>EEZ_882</x:v>
      </x:c>
      <x:c r="B11" s="24" t="str">
        <x:v>Samoa</x:v>
      </x:c>
      <x:c r="C11" s="24" t="str">
        <x:v>EEZ</x:v>
      </x:c>
      <x:c r="D11" s="30" t="n">
        <x:v>2019</x:v>
      </x:c>
      <x:c r="E11" s="24" t="str">
        <x:v>Scylla serrata</x:v>
      </x:c>
      <x:c r="F11" s="24" t="str">
        <x:v>Indo-Pacific swamp crab</x:v>
      </x:c>
      <x:c r="G11" s="24" t="str">
        <x:v>Lobsters, crabs</x:v>
      </x:c>
      <x:c r="H11" s="24" t="str">
        <x:v>Crustaceans</x:v>
      </x:c>
      <x:c r="I11" s="31" t="n">
        <x:v>404.27363131699997</x:v>
      </x:c>
      <x:c r="J11" s="31" t="n">
        <x:v>404.27363131699997</x:v>
      </x:c>
      <x:c r="K11" s="31" t="n">
        <x:v>0</x:v>
      </x:c>
      <x:c r="L11" s="31" t="n">
        <x:v>313.20094226699996</x:v>
      </x:c>
      <x:c r="M11" s="31" t="n">
        <x:v>91.07268905</x:v>
      </x:c>
      <x:c r="N11" s="24" t="str">
        <x:v>scylla serrata</x:v>
      </x:c>
      <x:c r="O11" s="32" t="n">
        <x:v>3.17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Scylla serrata</x:v>
      </x:c>
      <x:c r="T11" s="32" t="n">
        <x:f>IF(O11="","",(1/'Metadata'!$B$5)^(O11-1))</x:f>
        <x:v>147.91083881682073</x:v>
      </x:c>
      <x:c r="U11" s="31" t="n">
        <x:f>IF(T11="","",I11*T11)</x:f>
        <x:v>59796.45191961959</x:v>
      </x:c>
    </x:row>
    <x:row r="12" ht="18" customHeight="1">
      <x:c r="A12" s="24" t="str">
        <x:v>EEZ_882</x:v>
      </x:c>
      <x:c r="B12" s="24" t="str">
        <x:v>Samoa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351.2000124772</x:v>
      </x:c>
      <x:c r="J12" s="31" t="n">
        <x:v>351.01577515860004</x:v>
      </x:c>
      <x:c r="K12" s="31" t="n">
        <x:v>0.1842373186</x:v>
      </x:c>
      <x:c r="L12" s="31" t="n">
        <x:v>351.01577515860004</x:v>
      </x:c>
      <x:c r="M12" s="31" t="n">
        <x:v>0.1842373186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945267.0567219502</x:v>
      </x:c>
    </x:row>
    <x:row r="13" ht="18" customHeight="1">
      <x:c r="A13" s="24" t="str">
        <x:v>EEZ_882</x:v>
      </x:c>
      <x:c r="B13" s="24" t="str">
        <x:v>Samoa</x:v>
      </x:c>
      <x:c r="C13" s="24" t="str">
        <x:v>EEZ</x:v>
      </x:c>
      <x:c r="D13" s="30" t="n">
        <x:v>2019</x:v>
      </x:c>
      <x:c r="E13" s="24" t="str">
        <x:v>Lethrinus olivaceus</x:v>
      </x:c>
      <x:c r="F13" s="24" t="str">
        <x:v>Longface emperor</x:v>
      </x:c>
      <x:c r="G13" s="24" t="str">
        <x:v>Medium demersals (30 - 89 cm)</x:v>
      </x:c>
      <x:c r="H13" s="24" t="str">
        <x:v>Perch-likes</x:v>
      </x:c>
      <x:c r="I13" s="31" t="n">
        <x:v>342.484649757</x:v>
      </x:c>
      <x:c r="J13" s="31" t="n">
        <x:v>342.484649757</x:v>
      </x:c>
      <x:c r="K13" s="31" t="n">
        <x:v>0</x:v>
      </x:c>
      <x:c r="L13" s="31" t="n">
        <x:v>342.484649757</x:v>
      </x:c>
      <x:c r="M13" s="31" t="n">
        <x:v>0</x:v>
      </x:c>
      <x:c r="N13" s="24" t="str">
        <x:v>lethrinus olivaceus</x:v>
      </x:c>
      <x:c r="O13" s="32" t="n">
        <x:v>3.95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Lethrinus olivaceus</x:v>
      </x:c>
      <x:c r="T13" s="32" t="n">
        <x:f>IF(O13="","",(1/'Metadata'!$B$5)^(O13-1))</x:f>
        <x:v>891.2509381337459</x:v>
      </x:c>
      <x:c r="U13" s="31" t="n">
        <x:f>IF(T13="","",I13*T13)</x:f>
        <x:v>305239.7653923336</x:v>
      </x:c>
    </x:row>
    <x:row r="14" ht="18" customHeight="1">
      <x:c r="A14" s="24" t="str">
        <x:v>EEZ_882</x:v>
      </x:c>
      <x:c r="B14" s="24" t="str">
        <x:v>Samoa</x:v>
      </x:c>
      <x:c r="C14" s="24" t="str">
        <x:v>EEZ</x:v>
      </x:c>
      <x:c r="D14" s="30" t="n">
        <x:v>2019</x:v>
      </x:c>
      <x:c r="E14" s="24" t="str">
        <x:v>Etelis</x:v>
      </x:c>
      <x:c r="F14" s="24" t="str">
        <x:v>Snappers</x:v>
      </x:c>
      <x:c r="G14" s="24" t="str">
        <x:v>Medium bathydemersals (30 - 89 cm)</x:v>
      </x:c>
      <x:c r="H14" s="24" t="str">
        <x:v>Perch-likes</x:v>
      </x:c>
      <x:c r="I14" s="31" t="n">
        <x:v>280.673561227</x:v>
      </x:c>
      <x:c r="J14" s="31" t="n">
        <x:v>280.673561227</x:v>
      </x:c>
      <x:c r="K14" s="31" t="n">
        <x:v>0</x:v>
      </x:c>
      <x:c r="L14" s="31" t="n">
        <x:v>280.673561227</x:v>
      </x:c>
      <x:c r="M14" s="31" t="n">
        <x:v>0</x:v>
      </x:c>
      <x:c r="N14" s="24" t="str">
        <x:v>etelis</x:v>
      </x:c>
      <x:c r="O14" s="32" t="n">
        <x:v>4.36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Etelis</x:v>
      </x:c>
      <x:c r="T14" s="32" t="n">
        <x:f>IF(O14="","",(1/'Metadata'!$B$5)^(O14-1))</x:f>
        <x:v>2290.867652767775</x:v>
      </x:c>
      <x:c r="U14" s="31" t="n">
        <x:f>IF(T14="","",I14*T14)</x:f>
        <x:v>642985.9824020698</x:v>
      </x:c>
    </x:row>
    <x:row r="15" ht="18" customHeight="1">
      <x:c r="A15" s="24" t="str">
        <x:v>EEZ_882</x:v>
      </x:c>
      <x:c r="B15" s="24" t="str">
        <x:v>Samoa</x:v>
      </x:c>
      <x:c r="C15" s="24" t="str">
        <x:v>EEZ</x:v>
      </x:c>
      <x:c r="D15" s="30" t="n">
        <x:v>2019</x:v>
      </x:c>
      <x:c r="E15" s="24" t="str">
        <x:v>Pristipomoides</x:v>
      </x:c>
      <x:c r="F15" s="24" t="str">
        <x:v>Jobfishes</x:v>
      </x:c>
      <x:c r="G15" s="24" t="str">
        <x:v>Medium demersals (30 - 89 cm)</x:v>
      </x:c>
      <x:c r="H15" s="24" t="str">
        <x:v>Perch-likes</x:v>
      </x:c>
      <x:c r="I15" s="31" t="n">
        <x:v>280.673561227</x:v>
      </x:c>
      <x:c r="J15" s="31" t="n">
        <x:v>280.673561227</x:v>
      </x:c>
      <x:c r="K15" s="31" t="n">
        <x:v>0</x:v>
      </x:c>
      <x:c r="L15" s="31" t="n">
        <x:v>280.673561227</x:v>
      </x:c>
      <x:c r="M15" s="31" t="n">
        <x:v>0</x:v>
      </x:c>
      <x:c r="N15" s="24" t="str">
        <x:v>pristipomoides</x:v>
      </x:c>
      <x:c r="O15" s="32" t="n">
        <x:v>3.91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Pristipomoides</x:v>
      </x:c>
      <x:c r="T15" s="32" t="n">
        <x:f>IF(O15="","",(1/'Metadata'!$B$5)^(O15-1))</x:f>
        <x:v>812.8305161640995</x:v>
      </x:c>
      <x:c r="U15" s="31" t="n">
        <x:f>IF(T15="","",I15*T15)</x:f>
        <x:v>228140.0356457584</x:v>
      </x:c>
    </x:row>
    <x:row r="16" ht="18" customHeight="1">
      <x:c r="A16" s="24" t="str">
        <x:v>EEZ_882</x:v>
      </x:c>
      <x:c r="B16" s="24" t="str">
        <x:v>Samoa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220.189386291</x:v>
      </x:c>
      <x:c r="J16" s="31" t="n">
        <x:v>220.189386291</x:v>
      </x:c>
      <x:c r="K16" s="31" t="n">
        <x:v>0</x:v>
      </x:c>
      <x:c r="L16" s="31" t="n">
        <x:v>177.034593427</x:v>
      </x:c>
      <x:c r="M16" s="31" t="n">
        <x:v>43.154792864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247056.55485992564</x:v>
      </x:c>
    </x:row>
    <x:row r="17" ht="18" customHeight="1">
      <x:c r="A17" s="24" t="str">
        <x:v>EEZ_882</x:v>
      </x:c>
      <x:c r="B17" s="24" t="str">
        <x:v>Samoa</x:v>
      </x:c>
      <x:c r="C17" s="24" t="str">
        <x:v>EEZ</x:v>
      </x:c>
      <x:c r="D17" s="30" t="n">
        <x:v>2019</x:v>
      </x:c>
      <x:c r="E17" s="24" t="str">
        <x:v>Lethrinidae</x:v>
      </x:c>
      <x:c r="F17" s="24" t="str">
        <x:v>Emperors, scavengers</x:v>
      </x:c>
      <x:c r="G17" s="24" t="str">
        <x:v>Medium reef assoc. fish (30 - 89 cm)</x:v>
      </x:c>
      <x:c r="H17" s="24" t="str">
        <x:v>Perch-likes</x:v>
      </x:c>
      <x:c r="I17" s="31" t="n">
        <x:v>214.693001636</x:v>
      </x:c>
      <x:c r="J17" s="31" t="n">
        <x:v>214.693001636</x:v>
      </x:c>
      <x:c r="K17" s="31" t="n">
        <x:v>0</x:v>
      </x:c>
      <x:c r="L17" s="31" t="n">
        <x:v>134.010465479</x:v>
      </x:c>
      <x:c r="M17" s="31" t="n">
        <x:v>80.682536157</x:v>
      </x:c>
      <x:c r="N17" s="24" t="str">
        <x:v>lethrinidae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Lethrinidae</x:v>
      </x:c>
      <x:c r="T17" s="32" t="n">
        <x:f>IF(O17="","",(1/'Metadata'!$B$5)^(O17-1))</x:f>
        <x:v>389.04514499428046</x:v>
      </x:c>
      <x:c r="U17" s="31" t="n">
        <x:f>IF(T17="","",I17*T17)</x:f>
        <x:v>83525.2699507349</x:v>
      </x:c>
    </x:row>
    <x:row r="18" ht="18" customHeight="1">
      <x:c r="A18" s="24" t="str">
        <x:v>EEZ_882</x:v>
      </x:c>
      <x:c r="B18" s="24" t="str">
        <x:v>Samoa</x:v>
      </x:c>
      <x:c r="C18" s="24" t="str">
        <x:v>EEZ</x:v>
      </x:c>
      <x:c r="D18" s="30" t="n">
        <x:v>2019</x:v>
      </x:c>
      <x:c r="E18" s="24" t="str">
        <x:v>Mugilidae</x:v>
      </x:c>
      <x:c r="F18" s="24" t="str">
        <x:v>Mullets, grey mullets</x:v>
      </x:c>
      <x:c r="G18" s="24" t="str">
        <x:v>Medium reef assoc. fish (30 - 89 cm)</x:v>
      </x:c>
      <x:c r="H18" s="24" t="str">
        <x:v>Perch-likes</x:v>
      </x:c>
      <x:c r="I18" s="31" t="n">
        <x:v>214.383317885</x:v>
      </x:c>
      <x:c r="J18" s="31" t="n">
        <x:v>214.383317885</x:v>
      </x:c>
      <x:c r="K18" s="31" t="n">
        <x:v>0</x:v>
      </x:c>
      <x:c r="L18" s="31" t="n">
        <x:v>133.81716219400002</x:v>
      </x:c>
      <x:c r="M18" s="31" t="n">
        <x:v>80.566155691</x:v>
      </x:c>
      <x:c r="N18" s="24" t="str">
        <x:v>mugilidae</x:v>
      </x:c>
      <x:c r="O18" s="32" t="n">
        <x:v>2.53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Mugilidae</x:v>
      </x:c>
      <x:c r="T18" s="32" t="n">
        <x:f>IF(O18="","",(1/'Metadata'!$B$5)^(O18-1))</x:f>
        <x:v>33.88441561392024</x:v>
      </x:c>
      <x:c r="U18" s="31" t="n">
        <x:f>IF(T18="","",I18*T18)</x:f>
        <x:v>7264.25344390652</x:v>
      </x:c>
    </x:row>
    <x:row r="19" ht="18" customHeight="1">
      <x:c r="A19" s="24" t="str">
        <x:v>EEZ_882</x:v>
      </x:c>
      <x:c r="B19" s="24" t="str">
        <x:v>Samoa</x:v>
      </x:c>
      <x:c r="C19" s="24" t="str">
        <x:v>EEZ</x:v>
      </x:c>
      <x:c r="D19" s="30" t="n">
        <x:v>2019</x:v>
      </x:c>
      <x:c r="E19" s="24" t="str">
        <x:v>Thunnus obesus</x:v>
      </x:c>
      <x:c r="F19" s="24" t="str">
        <x:v>Bigeye tuna</x:v>
      </x:c>
      <x:c r="G19" s="24" t="str">
        <x:v>Large pelagics (&gt;=90 cm)</x:v>
      </x:c>
      <x:c r="H19" s="24" t="str">
        <x:v>Tuna &amp; billfishes</x:v>
      </x:c>
      <x:c r="I19" s="31" t="n">
        <x:v>167.1927783913</x:v>
      </x:c>
      <x:c r="J19" s="31" t="n">
        <x:v>149.6201441747</x:v>
      </x:c>
      <x:c r="K19" s="31" t="n">
        <x:v>17.5726342166</x:v>
      </x:c>
      <x:c r="L19" s="31" t="n">
        <x:v>149.6201441747</x:v>
      </x:c>
      <x:c r="M19" s="31" t="n">
        <x:v>17.5726342166</x:v>
      </x:c>
      <x:c r="N19" s="24" t="str">
        <x:v>thunnus obesus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obesus</x:v>
      </x:c>
      <x:c r="T19" s="32" t="n">
        <x:f>IF(O19="","",(1/'Metadata'!$B$5)^(O19-1))</x:f>
        <x:v>3090.295432513592</x:v>
      </x:c>
      <x:c r="U19" s="31" t="n">
        <x:f>IF(T19="","",I19*T19)</x:f>
        <x:v>516675.0794118916</x:v>
      </x:c>
    </x:row>
    <x:row r="20" ht="18" customHeight="1">
      <x:c r="A20" s="24" t="str">
        <x:v>EEZ_882</x:v>
      </x:c>
      <x:c r="B20" s="24" t="str">
        <x:v>Samoa</x:v>
      </x:c>
      <x:c r="C20" s="24" t="str">
        <x:v>EEZ</x:v>
      </x:c>
      <x:c r="D20" s="30" t="n">
        <x:v>2019</x:v>
      </x:c>
      <x:c r="E20" s="24" t="str">
        <x:v>Panulirus versicolor</x:v>
      </x:c>
      <x:c r="F20" s="24" t="str">
        <x:v>Painted spiny lobster</x:v>
      </x:c>
      <x:c r="G20" s="24" t="str">
        <x:v>Lobsters, crabs</x:v>
      </x:c>
      <x:c r="H20" s="24" t="str">
        <x:v>Crustaceans</x:v>
      </x:c>
      <x:c r="I20" s="31" t="n">
        <x:v>161.75438744000002</x:v>
      </x:c>
      <x:c r="J20" s="31" t="n">
        <x:v>161.75438744000002</x:v>
      </x:c>
      <x:c r="K20" s="31" t="n">
        <x:v>0</x:v>
      </x:c>
      <x:c r="L20" s="31" t="n">
        <x:v>125.315189112</x:v>
      </x:c>
      <x:c r="M20" s="31" t="n">
        <x:v>36.439198328</x:v>
      </x:c>
      <x:c r="N20" s="24" t="str">
        <x:v>panulirus versicolor</x:v>
      </x:c>
      <x:c r="O20" s="32" t="n">
        <x:v>3.57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Panulirus versicolor</x:v>
      </x:c>
      <x:c r="T20" s="32" t="n">
        <x:f>IF(O20="","",(1/'Metadata'!$B$5)^(O20-1))</x:f>
        <x:v>371.5352290971724</x:v>
      </x:c>
      <x:c r="U20" s="31" t="n">
        <x:f>IF(T20="","",I20*T20)</x:f>
        <x:v>60097.453394993194</x:v>
      </x:c>
    </x:row>
    <x:row r="21" ht="18" customHeight="1">
      <x:c r="A21" s="24" t="str">
        <x:v>EEZ_882</x:v>
      </x:c>
      <x:c r="B21" s="24" t="str">
        <x:v>Samoa</x:v>
      </x:c>
      <x:c r="C21" s="24" t="str">
        <x:v>EEZ</x:v>
      </x:c>
      <x:c r="D21" s="30" t="n">
        <x:v>2019</x:v>
      </x:c>
      <x:c r="E21" s="24" t="str">
        <x:v>Panulirus penicillatus</x:v>
      </x:c>
      <x:c r="F21" s="24" t="str">
        <x:v>Pronghorn spiny lobster</x:v>
      </x:c>
      <x:c r="G21" s="24" t="str">
        <x:v>Lobsters, crabs</x:v>
      </x:c>
      <x:c r="H21" s="24" t="str">
        <x:v>Crustaceans</x:v>
      </x:c>
      <x:c r="I21" s="31" t="n">
        <x:v>161.754387437</x:v>
      </x:c>
      <x:c r="J21" s="31" t="n">
        <x:v>161.754387437</x:v>
      </x:c>
      <x:c r="K21" s="31" t="n">
        <x:v>0</x:v>
      </x:c>
      <x:c r="L21" s="31" t="n">
        <x:v>125.31518910899999</x:v>
      </x:c>
      <x:c r="M21" s="31" t="n">
        <x:v>36.439198328</x:v>
      </x:c>
      <x:c r="N21" s="24" t="str">
        <x:v>panulirus penicillatus</x:v>
      </x:c>
      <x:c r="O21" s="32" t="n">
        <x:v>3.57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Panulirus penicillatus</x:v>
      </x:c>
      <x:c r="T21" s="32" t="n">
        <x:f>IF(O21="","",(1/'Metadata'!$B$5)^(O21-1))</x:f>
        <x:v>371.5352290971724</x:v>
      </x:c>
      <x:c r="U21" s="31" t="n">
        <x:f>IF(T21="","",I21*T21)</x:f>
        <x:v>60097.45339387858</x:v>
      </x:c>
    </x:row>
    <x:row r="22" ht="18" customHeight="1">
      <x:c r="A22" s="24" t="str">
        <x:v>EEZ_882</x:v>
      </x:c>
      <x:c r="B22" s="24" t="str">
        <x:v>Samoa</x:v>
      </x:c>
      <x:c r="C22" s="24" t="str">
        <x:v>EEZ</x:v>
      </x:c>
      <x:c r="D22" s="30" t="n">
        <x:v>2019</x:v>
      </x:c>
      <x:c r="E22" s="24" t="str">
        <x:v>Scarus</x:v>
      </x:c>
      <x:c r="F22" s="24" t="str">
        <x:v>Parrots</x:v>
      </x:c>
      <x:c r="G22" s="24" t="str">
        <x:v>Medium reef assoc. fish (30 - 89 cm)</x:v>
      </x:c>
      <x:c r="H22" s="24" t="str">
        <x:v>Perch-likes</x:v>
      </x:c>
      <x:c r="I22" s="31" t="n">
        <x:v>161.127463729</x:v>
      </x:c>
      <x:c r="J22" s="31" t="n">
        <x:v>161.127463729</x:v>
      </x:c>
      <x:c r="K22" s="31" t="n">
        <x:v>0</x:v>
      </x:c>
      <x:c r="L22" s="31" t="n">
        <x:v>100.575082789</x:v>
      </x:c>
      <x:c r="M22" s="31" t="n">
        <x:v>60.552380940000006</x:v>
      </x:c>
      <x:c r="N22" s="24" t="str">
        <x:v>scarus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Scarus</x:v>
      </x:c>
      <x:c r="T22" s="32" t="n">
        <x:f>IF(O22="","",(1/'Metadata'!$B$5)^(O22-1))</x:f>
        <x:v>10</x:v>
      </x:c>
      <x:c r="U22" s="31" t="n">
        <x:f>IF(T22="","",I22*T22)</x:f>
        <x:v>1611.27463729</x:v>
      </x:c>
    </x:row>
    <x:row r="23" ht="18" customHeight="1">
      <x:c r="A23" s="24" t="str">
        <x:v>EEZ_882</x:v>
      </x:c>
      <x:c r="B23" s="24" t="str">
        <x:v>Samoa</x:v>
      </x:c>
      <x:c r="C23" s="24" t="str">
        <x:v>EEZ</x:v>
      </x:c>
      <x:c r="D23" s="30" t="n">
        <x:v>2019</x:v>
      </x:c>
      <x:c r="E23" s="24" t="str">
        <x:v>Scarus ghobban</x:v>
      </x:c>
      <x:c r="F23" s="24" t="str">
        <x:v>Blue-barred parrotfish</x:v>
      </x:c>
      <x:c r="G23" s="24" t="str">
        <x:v>Medium reef assoc. fish (30 - 89 cm)</x:v>
      </x:c>
      <x:c r="H23" s="24" t="str">
        <x:v>Perch-likes</x:v>
      </x:c>
      <x:c r="I23" s="31" t="n">
        <x:v>161.127463729</x:v>
      </x:c>
      <x:c r="J23" s="31" t="n">
        <x:v>161.127463729</x:v>
      </x:c>
      <x:c r="K23" s="31" t="n">
        <x:v>0</x:v>
      </x:c>
      <x:c r="L23" s="31" t="n">
        <x:v>100.575082789</x:v>
      </x:c>
      <x:c r="M23" s="31" t="n">
        <x:v>60.552380940000006</x:v>
      </x:c>
      <x:c r="N23" s="24" t="str">
        <x:v>scarus ghobban</x:v>
      </x:c>
      <x:c r="O23" s="32" t="n">
        <x:v>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Scarus ghobban</x:v>
      </x:c>
      <x:c r="T23" s="32" t="n">
        <x:f>IF(O23="","",(1/'Metadata'!$B$5)^(O23-1))</x:f>
        <x:v>10</x:v>
      </x:c>
      <x:c r="U23" s="31" t="n">
        <x:f>IF(T23="","",I23*T23)</x:f>
        <x:v>1611.27463729</x:v>
      </x:c>
    </x:row>
    <x:row r="24" ht="18" customHeight="1">
      <x:c r="A24" s="24" t="str">
        <x:v>EEZ_882</x:v>
      </x:c>
      <x:c r="B24" s="24" t="str">
        <x:v>Samoa</x:v>
      </x:c>
      <x:c r="C24" s="24" t="str">
        <x:v>EEZ</x:v>
      </x:c>
      <x:c r="D24" s="30" t="n">
        <x:v>2019</x:v>
      </x:c>
      <x:c r="E24" s="24" t="str">
        <x:v>Naso unicornis</x:v>
      </x:c>
      <x:c r="F24" s="24" t="str">
        <x:v>Bluespine unicornfish</x:v>
      </x:c>
      <x:c r="G24" s="24" t="str">
        <x:v>Medium reef assoc. fish (30 - 89 cm)</x:v>
      </x:c>
      <x:c r="H24" s="24" t="str">
        <x:v>Perch-likes</x:v>
      </x:c>
      <x:c r="I24" s="31" t="n">
        <x:v>148.043601588</x:v>
      </x:c>
      <x:c r="J24" s="31" t="n">
        <x:v>148.043601588</x:v>
      </x:c>
      <x:c r="K24" s="31" t="n">
        <x:v>0</x:v>
      </x:c>
      <x:c r="L24" s="31" t="n">
        <x:v>92.408191265</x:v>
      </x:c>
      <x:c r="M24" s="31" t="n">
        <x:v>55.635410323</x:v>
      </x:c>
      <x:c r="N24" s="24" t="str">
        <x:v>naso unicornis</x:v>
      </x:c>
      <x:c r="O24" s="32" t="n">
        <x:v>2.17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Naso unicornis</x:v>
      </x:c>
      <x:c r="T24" s="32" t="n">
        <x:f>IF(O24="","",(1/'Metadata'!$B$5)^(O24-1))</x:f>
        <x:v>14.791083881682072</x:v>
      </x:c>
      <x:c r="U24" s="31" t="n">
        <x:f>IF(T24="","",I24*T24)</x:f>
        <x:v>2189.7253292344294</x:v>
      </x:c>
    </x:row>
    <x:row r="25" ht="18" customHeight="1">
      <x:c r="A25" s="24" t="str">
        <x:v>EEZ_882</x:v>
      </x:c>
      <x:c r="B25" s="24" t="str">
        <x:v>Samoa</x:v>
      </x:c>
      <x:c r="C25" s="24" t="str">
        <x:v>EEZ</x:v>
      </x:c>
      <x:c r="D25" s="30" t="n">
        <x:v>2019</x:v>
      </x:c>
      <x:c r="E25" s="24" t="str">
        <x:v>Elasmobranchii</x:v>
      </x:c>
      <x:c r="F25" s="24" t="str">
        <x:v>Sharks, rays, skates</x:v>
      </x:c>
      <x:c r="G25" s="24" t="str">
        <x:v>Large sharks (&gt;=90 cm)</x:v>
      </x:c>
      <x:c r="H25" s="24" t="str">
        <x:v>Sharks &amp; rays</x:v>
      </x:c>
      <x:c r="I25" s="31" t="n">
        <x:v>142.9122880269</x:v>
      </x:c>
      <x:c r="J25" s="31" t="n">
        <x:v>142.38194635899998</x:v>
      </x:c>
      <x:c r="K25" s="31" t="n">
        <x:v>0.5303416679</x:v>
      </x:c>
      <x:c r="L25" s="31" t="n">
        <x:v>142.38194635899998</x:v>
      </x:c>
      <x:c r="M25" s="31" t="n">
        <x:v>0.5303416679</x:v>
      </x:c>
      <x:c r="N25" s="24" t="str">
        <x:v>elasmobranchii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Elasmobranchii</x:v>
      </x:c>
      <x:c r="T25" s="32" t="n">
        <x:f>IF(O25="","",(1/'Metadata'!$B$5)^(O25-1))</x:f>
        <x:v>1122.018454301963</x:v>
      </x:c>
      <x:c r="U25" s="31" t="n">
        <x:f>IF(T25="","",I25*T25)</x:f>
        <x:v>160350.22451269926</x:v>
      </x:c>
    </x:row>
    <x:row r="26" ht="18" customHeight="1">
      <x:c r="A26" s="24" t="str">
        <x:v>EEZ_882</x:v>
      </x:c>
      <x:c r="B26" s="24" t="str">
        <x:v>Samoa</x:v>
      </x:c>
      <x:c r="C26" s="24" t="str">
        <x:v>EEZ</x:v>
      </x:c>
      <x:c r="D26" s="30" t="n">
        <x:v>2019</x:v>
      </x:c>
      <x:c r="E26" s="24" t="str">
        <x:v>Serranidae</x:v>
      </x:c>
      <x:c r="F26" s="24" t="str">
        <x:v>Basses, groupers, hinds</x:v>
      </x:c>
      <x:c r="G26" s="24" t="str">
        <x:v>Medium reef assoc. fish (30 - 89 cm)</x:v>
      </x:c>
      <x:c r="H26" s="24" t="str">
        <x:v>Perch-likes</x:v>
      </x:c>
      <x:c r="I26" s="31" t="n">
        <x:v>140.374952015</x:v>
      </x:c>
      <x:c r="J26" s="31" t="n">
        <x:v>140.374952015</x:v>
      </x:c>
      <x:c r="K26" s="31" t="n">
        <x:v>0</x:v>
      </x:c>
      <x:c r="L26" s="31" t="n">
        <x:v>103.59428053900001</x:v>
      </x:c>
      <x:c r="M26" s="31" t="n">
        <x:v>36.780671476</x:v>
      </x:c>
      <x:c r="N26" s="24" t="str">
        <x:v>serranidae</x:v>
      </x:c>
      <x:c r="O26" s="32" t="n">
        <x:v>3.98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Serranidae</x:v>
      </x:c>
      <x:c r="T26" s="32" t="n">
        <x:f>IF(O26="","",(1/'Metadata'!$B$5)^(O26-1))</x:f>
        <x:v>954.992586021436</x:v>
      </x:c>
      <x:c r="U26" s="31" t="n">
        <x:f>IF(T26="","",I26*T26)</x:f>
        <x:v>134057.03843743983</x:v>
      </x:c>
    </x:row>
    <x:row r="27" ht="18" customHeight="1">
      <x:c r="A27" s="24" t="str">
        <x:v>EEZ_882</x:v>
      </x:c>
      <x:c r="B27" s="24" t="str">
        <x:v>Samoa</x:v>
      </x:c>
      <x:c r="C27" s="24" t="str">
        <x:v>EEZ</x:v>
      </x:c>
      <x:c r="D27" s="30" t="n">
        <x:v>2019</x:v>
      </x:c>
      <x:c r="E27" s="24" t="str">
        <x:v>Chondrichthyes</x:v>
      </x:c>
      <x:c r="F27" s="24" t="str">
        <x:v>Sharks, rays, chimaeras</x:v>
      </x:c>
      <x:c r="G27" s="24" t="str">
        <x:v>Large sharks (&gt;=90 cm)</x:v>
      </x:c>
      <x:c r="H27" s="24" t="str">
        <x:v>Sharks &amp; rays</x:v>
      </x:c>
      <x:c r="I27" s="31" t="n">
        <x:v>112.0603635601</x:v>
      </x:c>
      <x:c r="J27" s="31" t="n">
        <x:v>112.0603635601</x:v>
      </x:c>
      <x:c r="K27" s="31" t="n">
        <x:v>0</x:v>
      </x:c>
      <x:c r="L27" s="31" t="n">
        <x:v>112.0603635601</x:v>
      </x:c>
      <x:c r="M27" s="31" t="n">
        <x:v>0</x:v>
      </x:c>
      <x:c r="N27" s="24" t="str">
        <x:v>chondrichthyes</x:v>
      </x:c>
      <x:c r="O27" s="32" t="n">
        <x:v>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Chondrichthyes</x:v>
      </x:c>
      <x:c r="T27" s="32" t="n">
        <x:f>IF(O27="","",(1/'Metadata'!$B$5)^(O27-1))</x:f>
        <x:v>1000</x:v>
      </x:c>
      <x:c r="U27" s="31" t="n">
        <x:f>IF(T27="","",I27*T27)</x:f>
        <x:v>112060.3635601</x:v>
      </x:c>
    </x:row>
    <x:row r="28" ht="18" customHeight="1">
      <x:c r="A28" s="24" t="str">
        <x:v>EEZ_882</x:v>
      </x:c>
      <x:c r="B28" s="24" t="str">
        <x:v>Samoa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99.6486379766</x:v>
      </x:c>
      <x:c r="J28" s="31" t="n">
        <x:v>32.308835189999996</x:v>
      </x:c>
      <x:c r="K28" s="31" t="n">
        <x:v>67.33980278659999</x:v>
      </x:c>
      <x:c r="L28" s="31" t="n">
        <x:v>32.308835189999996</x:v>
      </x:c>
      <x:c r="M28" s="31" t="n">
        <x:v>67.33980278659999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337653.5864560194</x:v>
      </x:c>
    </x:row>
    <x:row r="29" ht="18" customHeight="1">
      <x:c r="A29" s="24" t="str">
        <x:v>EEZ_882</x:v>
      </x:c>
      <x:c r="B29" s="24" t="str">
        <x:v>Samoa</x:v>
      </x:c>
      <x:c r="C29" s="24" t="str">
        <x:v>EEZ</x:v>
      </x:c>
      <x:c r="D29" s="30" t="n">
        <x:v>2019</x:v>
      </x:c>
      <x:c r="E29" s="24" t="str">
        <x:v>Isurus</x:v>
      </x:c>
      <x:c r="F29" s="24" t="str">
        <x:v>Mako sharks</x:v>
      </x:c>
      <x:c r="G29" s="24" t="str">
        <x:v>Large sharks (&gt;=90 cm)</x:v>
      </x:c>
      <x:c r="H29" s="24" t="str">
        <x:v>Sharks &amp; rays</x:v>
      </x:c>
      <x:c r="I29" s="31" t="n">
        <x:v>94.9754378711</x:v>
      </x:c>
      <x:c r="J29" s="31" t="n">
        <x:v>31.959825047800003</x:v>
      </x:c>
      <x:c r="K29" s="31" t="n">
        <x:v>63.0156128233</x:v>
      </x:c>
      <x:c r="L29" s="31" t="n">
        <x:v>31.959825047800003</x:v>
      </x:c>
      <x:c r="M29" s="31" t="n">
        <x:v>63.0156128233</x:v>
      </x:c>
      <x:c r="N29" s="24" t="str">
        <x:v>isurus</x:v>
      </x:c>
      <x:c r="O29" s="32" t="n">
        <x:v>4.5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Isurus</x:v>
      </x:c>
      <x:c r="T29" s="32" t="n">
        <x:f>IF(O29="","",(1/'Metadata'!$B$5)^(O29-1))</x:f>
        <x:v>3162.2776601683795</x:v>
      </x:c>
      <x:c r="U29" s="31" t="n">
        <x:f>IF(T29="","",I29*T29)</x:f>
        <x:v>300338.70544448943</x:v>
      </x:c>
    </x:row>
    <x:row r="30" ht="18" customHeight="1">
      <x:c r="A30" s="24" t="str">
        <x:v>EEZ_882</x:v>
      </x:c>
      <x:c r="B30" s="24" t="str">
        <x:v>Samoa</x:v>
      </x:c>
      <x:c r="C30" s="24" t="str">
        <x:v>EEZ</x:v>
      </x:c>
      <x:c r="D30" s="30" t="n">
        <x:v>2019</x:v>
      </x:c>
      <x:c r="E30" s="24" t="str">
        <x:v>Carcharhinus falciformis</x:v>
      </x:c>
      <x:c r="F30" s="24" t="str">
        <x:v>Silky shark</x:v>
      </x:c>
      <x:c r="G30" s="24" t="str">
        <x:v>Large sharks (&gt;=90 cm)</x:v>
      </x:c>
      <x:c r="H30" s="24" t="str">
        <x:v>Sharks &amp; rays</x:v>
      </x:c>
      <x:c r="I30" s="31" t="n">
        <x:v>87.1349606221</x:v>
      </x:c>
      <x:c r="J30" s="31" t="n">
        <x:v>3.3280299621</x:v>
      </x:c>
      <x:c r="K30" s="31" t="n">
        <x:v>83.80693066</x:v>
      </x:c>
      <x:c r="L30" s="31" t="n">
        <x:v>3.3280299621</x:v>
      </x:c>
      <x:c r="M30" s="31" t="n">
        <x:v>83.80693066</x:v>
      </x:c>
      <x:c r="N30" s="24" t="str">
        <x:v>carcharhinus falciformis</x:v>
      </x:c>
      <x:c r="O30" s="32" t="n">
        <x:v>4.51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Carcharhinus falciformis</x:v>
      </x:c>
      <x:c r="T30" s="32" t="n">
        <x:f>IF(O30="","",(1/'Metadata'!$B$5)^(O30-1))</x:f>
        <x:v>3235.936569296281</x:v>
      </x:c>
      <x:c r="U30" s="31" t="n">
        <x:f>IF(T30="","",I30*T30)</x:f>
        <x:v>281963.2055412448</x:v>
      </x:c>
    </x:row>
    <x:row r="31" ht="18" customHeight="1">
      <x:c r="A31" s="24" t="str">
        <x:v>EEZ_882</x:v>
      </x:c>
      <x:c r="B31" s="24" t="str">
        <x:v>Samoa</x:v>
      </x:c>
      <x:c r="C31" s="24" t="str">
        <x:v>EEZ</x:v>
      </x:c>
      <x:c r="D31" s="30" t="n">
        <x:v>2019</x:v>
      </x:c>
      <x:c r="E31" s="24" t="str">
        <x:v>Aphareus rutilans</x:v>
      </x:c>
      <x:c r="F31" s="24" t="str">
        <x:v>Rusty jobfish</x:v>
      </x:c>
      <x:c r="G31" s="24" t="str">
        <x:v>Medium reef assoc. fish (30 - 89 cm)</x:v>
      </x:c>
      <x:c r="H31" s="24" t="str">
        <x:v>Perch-likes</x:v>
      </x:c>
      <x:c r="I31" s="31" t="n">
        <x:v>85.920695099</x:v>
      </x:c>
      <x:c r="J31" s="31" t="n">
        <x:v>85.920695099</x:v>
      </x:c>
      <x:c r="K31" s="31" t="n">
        <x:v>0</x:v>
      </x:c>
      <x:c r="L31" s="31" t="n">
        <x:v>85.920695099</x:v>
      </x:c>
      <x:c r="M31" s="31" t="n">
        <x:v>0</x:v>
      </x:c>
      <x:c r="N31" s="24" t="str">
        <x:v>aphareus rutilans</x:v>
      </x:c>
      <x:c r="O31" s="32" t="n">
        <x:v>4.11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Aphareus rutilans</x:v>
      </x:c>
      <x:c r="T31" s="32" t="n">
        <x:f>IF(O31="","",(1/'Metadata'!$B$5)^(O31-1))</x:f>
        <x:v>1288.249551693135</x:v>
      </x:c>
      <x:c r="U31" s="31" t="n">
        <x:f>IF(T31="","",I31*T31)</x:f>
        <x:v>110687.29694244928</x:v>
      </x:c>
    </x:row>
    <x:row r="32" ht="18" customHeight="1">
      <x:c r="A32" s="24" t="str">
        <x:v>EEZ_882</x:v>
      </x:c>
      <x:c r="B32" s="24" t="str">
        <x:v>Samoa</x:v>
      </x:c>
      <x:c r="C32" s="24" t="str">
        <x:v>EEZ</x:v>
      </x:c>
      <x:c r="D32" s="30" t="n">
        <x:v>2019</x:v>
      </x:c>
      <x:c r="E32" s="24" t="str">
        <x:v>Aprion virescens</x:v>
      </x:c>
      <x:c r="F32" s="24" t="str">
        <x:v>Green jobfish</x:v>
      </x:c>
      <x:c r="G32" s="24" t="str">
        <x:v>Large reef assoc. fish (&gt;=90 cm)</x:v>
      </x:c>
      <x:c r="H32" s="24" t="str">
        <x:v>Perch-likes</x:v>
      </x:c>
      <x:c r="I32" s="31" t="n">
        <x:v>84.617517168</x:v>
      </x:c>
      <x:c r="J32" s="31" t="n">
        <x:v>84.617517168</x:v>
      </x:c>
      <x:c r="K32" s="31" t="n">
        <x:v>0</x:v>
      </x:c>
      <x:c r="L32" s="31" t="n">
        <x:v>84.617517168</x:v>
      </x:c>
      <x:c r="M32" s="31" t="n">
        <x:v>0</x:v>
      </x:c>
      <x:c r="N32" s="24" t="str">
        <x:v>aprion virescens</x:v>
      </x:c>
      <x:c r="O32" s="32" t="n">
        <x:v>4.28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Aprion virescens</x:v>
      </x:c>
      <x:c r="T32" s="32" t="n">
        <x:f>IF(O32="","",(1/'Metadata'!$B$5)^(O32-1))</x:f>
        <x:v>1905.4607179632483</x:v>
      </x:c>
      <x:c r="U32" s="31" t="n">
        <x:f>IF(T32="","",I32*T32)</x:f>
        <x:v>161235.35501520478</x:v>
      </x:c>
    </x:row>
    <x:row r="33" ht="18" customHeight="1">
      <x:c r="A33" s="24" t="str">
        <x:v>EEZ_882</x:v>
      </x:c>
      <x:c r="B33" s="24" t="str">
        <x:v>Samoa</x:v>
      </x:c>
      <x:c r="C33" s="24" t="str">
        <x:v>EEZ</x:v>
      </x:c>
      <x:c r="D33" s="30" t="n">
        <x:v>2019</x:v>
      </x:c>
      <x:c r="E33" s="24" t="str">
        <x:v>Acanthurus lineatus</x:v>
      </x:c>
      <x:c r="F33" s="24" t="str">
        <x:v>Lined surgeonfish</x:v>
      </x:c>
      <x:c r="G33" s="24" t="str">
        <x:v>Small reef assoc. fish (&lt;30 cm)</x:v>
      </x:c>
      <x:c r="H33" s="24" t="str">
        <x:v>Perch-likes</x:v>
      </x:c>
      <x:c r="I33" s="31" t="n">
        <x:v>81.70740993700001</x:v>
      </x:c>
      <x:c r="J33" s="31" t="n">
        <x:v>81.70740993700001</x:v>
      </x:c>
      <x:c r="K33" s="31" t="n">
        <x:v>0</x:v>
      </x:c>
      <x:c r="L33" s="31" t="n">
        <x:v>51.00142042</x:v>
      </x:c>
      <x:c r="M33" s="31" t="n">
        <x:v>30.705989517000003</x:v>
      </x:c>
      <x:c r="N33" s="24" t="str">
        <x:v>acanthurus lineatus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Acanthurus lineatus</x:v>
      </x:c>
      <x:c r="T33" s="32" t="n">
        <x:f>IF(O33="","",(1/'Metadata'!$B$5)^(O33-1))</x:f>
        <x:v>10</x:v>
      </x:c>
      <x:c r="U33" s="31" t="n">
        <x:f>IF(T33="","",I33*T33)</x:f>
        <x:v>817.0740993700001</x:v>
      </x:c>
    </x:row>
    <x:row r="34" ht="18" customHeight="1">
      <x:c r="A34" s="24" t="str">
        <x:v>EEZ_882</x:v>
      </x:c>
      <x:c r="B34" s="24" t="str">
        <x:v>Samoa</x:v>
      </x:c>
      <x:c r="C34" s="24" t="str">
        <x:v>EEZ</x:v>
      </x:c>
      <x:c r="D34" s="30" t="n">
        <x:v>2019</x:v>
      </x:c>
      <x:c r="E34" s="24" t="str">
        <x:v>Ctenochaetus striatus</x:v>
      </x:c>
      <x:c r="F34" s="24" t="str">
        <x:v>Striated surgeonfish</x:v>
      </x:c>
      <x:c r="G34" s="24" t="str">
        <x:v>Small reef assoc. fish (&lt;30 cm)</x:v>
      </x:c>
      <x:c r="H34" s="24" t="str">
        <x:v>Perch-likes</x:v>
      </x:c>
      <x:c r="I34" s="31" t="n">
        <x:v>81.707409936</x:v>
      </x:c>
      <x:c r="J34" s="31" t="n">
        <x:v>81.707409936</x:v>
      </x:c>
      <x:c r="K34" s="31" t="n">
        <x:v>0</x:v>
      </x:c>
      <x:c r="L34" s="31" t="n">
        <x:v>51.00142042</x:v>
      </x:c>
      <x:c r="M34" s="31" t="n">
        <x:v>30.705989516000002</x:v>
      </x:c>
      <x:c r="N34" s="24" t="str">
        <x:v>ctenochaetus striatus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Ctenochaetus striatus</x:v>
      </x:c>
      <x:c r="T34" s="32" t="n">
        <x:f>IF(O34="","",(1/'Metadata'!$B$5)^(O34-1))</x:f>
        <x:v>10</x:v>
      </x:c>
      <x:c r="U34" s="31" t="n">
        <x:f>IF(T34="","",I34*T34)</x:f>
        <x:v>817.07409936</x:v>
      </x:c>
    </x:row>
    <x:row r="35" ht="18" customHeight="1">
      <x:c r="A35" s="24" t="str">
        <x:v>EEZ_882</x:v>
      </x:c>
      <x:c r="B35" s="24" t="str">
        <x:v>Samoa</x:v>
      </x:c>
      <x:c r="C35" s="24" t="str">
        <x:v>EEZ</x:v>
      </x:c>
      <x:c r="D35" s="30" t="n">
        <x:v>2019</x:v>
      </x:c>
      <x:c r="E35" s="24" t="str">
        <x:v>Sphyraena forsteri</x:v>
      </x:c>
      <x:c r="F35" s="24" t="str">
        <x:v>Bigeye barracuda</x:v>
      </x:c>
      <x:c r="G35" s="24" t="str">
        <x:v>Medium reef assoc. fish (30 - 89 cm)</x:v>
      </x:c>
      <x:c r="H35" s="24" t="str">
        <x:v>Perch-likes</x:v>
      </x:c>
      <x:c r="I35" s="31" t="n">
        <x:v>76.219394733</x:v>
      </x:c>
      <x:c r="J35" s="31" t="n">
        <x:v>76.219394733</x:v>
      </x:c>
      <x:c r="K35" s="31" t="n">
        <x:v>0</x:v>
      </x:c>
      <x:c r="L35" s="31" t="n">
        <x:v>76.219394733</x:v>
      </x:c>
      <x:c r="M35" s="31" t="n">
        <x:v>0</x:v>
      </x:c>
      <x:c r="N35" s="24" t="str">
        <x:v>sphyraena forsteri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Sphyraena forsteri</x:v>
      </x:c>
      <x:c r="T35" s="32" t="n">
        <x:f>IF(O35="","",(1/'Metadata'!$B$5)^(O35-1))</x:f>
        <x:v>2630.2679918953813</x:v>
      </x:c>
      <x:c r="U35" s="31" t="n">
        <x:f>IF(T35="","",I35*T35)</x:f>
        <x:v>200477.43432784933</x:v>
      </x:c>
    </x:row>
    <x:row r="36" ht="18" customHeight="1">
      <x:c r="A36" s="24" t="str">
        <x:v>EEZ_882</x:v>
      </x:c>
      <x:c r="B36" s="24" t="str">
        <x:v>Samoa</x:v>
      </x:c>
      <x:c r="C36" s="24" t="str">
        <x:v>EEZ</x:v>
      </x:c>
      <x:c r="D36" s="30" t="n">
        <x:v>2019</x:v>
      </x:c>
      <x:c r="E36" s="24" t="str">
        <x:v>Acanthuridae</x:v>
      </x:c>
      <x:c r="F36" s="24" t="str">
        <x:v>Surgeons, tangs, unicornfishes</x:v>
      </x:c>
      <x:c r="G36" s="24" t="str">
        <x:v>Small reef assoc. fish (&lt;30 cm)</x:v>
      </x:c>
      <x:c r="H36" s="24" t="str">
        <x:v>Perch-likes</x:v>
      </x:c>
      <x:c r="I36" s="31" t="n">
        <x:v>70.034922794</x:v>
      </x:c>
      <x:c r="J36" s="31" t="n">
        <x:v>70.034922794</x:v>
      </x:c>
      <x:c r="K36" s="31" t="n">
        <x:v>0</x:v>
      </x:c>
      <x:c r="L36" s="31" t="n">
        <x:v>43.71550321</x:v>
      </x:c>
      <x:c r="M36" s="31" t="n">
        <x:v>26.319419584</x:v>
      </x:c>
      <x:c r="N36" s="24" t="str">
        <x:v>acanthuridae</x:v>
      </x:c>
      <x:c r="O36" s="32" t="n">
        <x:v>2.28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Acanthuridae</x:v>
      </x:c>
      <x:c r="T36" s="32" t="n">
        <x:f>IF(O36="","",(1/'Metadata'!$B$5)^(O36-1))</x:f>
        <x:v>19.054607179632463</x:v>
      </x:c>
      <x:c r="U36" s="31" t="n">
        <x:f>IF(T36="","",I36*T36)</x:f>
        <x:v>1334.4879426955574</x:v>
      </x:c>
    </x:row>
    <x:row r="37" ht="18" customHeight="1">
      <x:c r="A37" s="24" t="str">
        <x:v>EEZ_882</x:v>
      </x:c>
      <x:c r="B37" s="24" t="str">
        <x:v>Samoa</x:v>
      </x:c>
      <x:c r="C37" s="24" t="str">
        <x:v>EEZ</x:v>
      </x:c>
      <x:c r="D37" s="30" t="n">
        <x:v>2019</x:v>
      </x:c>
      <x:c r="E37" s="24" t="str">
        <x:v>Gymnothorax</x:v>
      </x:c>
      <x:c r="F37" s="24" t="str">
        <x:v>Morays</x:v>
      </x:c>
      <x:c r="G37" s="24" t="str">
        <x:v>Large reef assoc. fish (&gt;=90 cm)</x:v>
      </x:c>
      <x:c r="H37" s="24" t="str">
        <x:v>Other fishes &amp; inverts</x:v>
      </x:c>
      <x:c r="I37" s="31" t="n">
        <x:v>65.302453673</x:v>
      </x:c>
      <x:c r="J37" s="31" t="n">
        <x:v>65.302453673</x:v>
      </x:c>
      <x:c r="K37" s="31" t="n">
        <x:v>0</x:v>
      </x:c>
      <x:c r="L37" s="31" t="n">
        <x:v>40.761515961</x:v>
      </x:c>
      <x:c r="M37" s="31" t="n">
        <x:v>24.540937712</x:v>
      </x:c>
      <x:c r="N37" s="24" t="str">
        <x:v>gymnothorax</x:v>
      </x:c>
      <x:c r="O37" s="32" t="n">
        <x:v>4.22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Gymnothorax</x:v>
      </x:c>
      <x:c r="T37" s="32" t="n">
        <x:f>IF(O37="","",(1/'Metadata'!$B$5)^(O37-1))</x:f>
        <x:v>1659.5869074375596</x:v>
      </x:c>
      <x:c r="U37" s="31" t="n">
        <x:f>IF(T37="","",I37*T37)</x:f>
        <x:v>108375.09713925858</x:v>
      </x:c>
    </x:row>
    <x:row r="38" ht="18" customHeight="1">
      <x:c r="A38" s="24" t="str">
        <x:v>EEZ_882</x:v>
      </x:c>
      <x:c r="B38" s="24" t="str">
        <x:v>Samoa</x:v>
      </x:c>
      <x:c r="C38" s="24" t="str">
        <x:v>EEZ</x:v>
      </x:c>
      <x:c r="D38" s="30" t="n">
        <x:v>2019</x:v>
      </x:c>
      <x:c r="E38" s="24" t="str">
        <x:v>Muraenidae</x:v>
      </x:c>
      <x:c r="F38" s="24" t="str">
        <x:v>Moray eels</x:v>
      </x:c>
      <x:c r="G38" s="24" t="str">
        <x:v>Large reef assoc. fish (&gt;=90 cm)</x:v>
      </x:c>
      <x:c r="H38" s="24" t="str">
        <x:v>Other fishes &amp; inverts</x:v>
      </x:c>
      <x:c r="I38" s="31" t="n">
        <x:v>65.302453673</x:v>
      </x:c>
      <x:c r="J38" s="31" t="n">
        <x:v>65.302453673</x:v>
      </x:c>
      <x:c r="K38" s="31" t="n">
        <x:v>0</x:v>
      </x:c>
      <x:c r="L38" s="31" t="n">
        <x:v>40.761515961</x:v>
      </x:c>
      <x:c r="M38" s="31" t="n">
        <x:v>24.540937712</x:v>
      </x:c>
      <x:c r="N38" s="24" t="str">
        <x:v>muraenidae</x:v>
      </x:c>
      <x:c r="O38" s="32" t="n">
        <x:v>4.07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Muraenidae</x:v>
      </x:c>
      <x:c r="T38" s="32" t="n">
        <x:f>IF(O38="","",(1/'Metadata'!$B$5)^(O38-1))</x:f>
        <x:v>1174.8975549395302</x:v>
      </x:c>
      <x:c r="U38" s="31" t="n">
        <x:f>IF(T38="","",I38*T38)</x:f>
        <x:v>76723.69315195964</x:v>
      </x:c>
    </x:row>
    <x:row r="39" ht="18" customHeight="1">
      <x:c r="A39" s="24" t="str">
        <x:v>EEZ_882</x:v>
      </x:c>
      <x:c r="B39" s="24" t="str">
        <x:v>Samoa</x:v>
      </x:c>
      <x:c r="C39" s="24" t="str">
        <x:v>EEZ</x:v>
      </x:c>
      <x:c r="D39" s="30" t="n">
        <x:v>2019</x:v>
      </x:c>
      <x:c r="E39" s="24" t="str">
        <x:v>Labridae</x:v>
      </x:c>
      <x:c r="F39" s="24" t="str">
        <x:v>Wrasses, gropers, tuskfishes</x:v>
      </x:c>
      <x:c r="G39" s="24" t="str">
        <x:v>Medium reef assoc. fish (30 - 89 cm)</x:v>
      </x:c>
      <x:c r="H39" s="24" t="str">
        <x:v>Perch-likes</x:v>
      </x:c>
      <x:c r="I39" s="31" t="n">
        <x:v>63.582067335</x:v>
      </x:c>
      <x:c r="J39" s="31" t="n">
        <x:v>63.582067335</x:v>
      </x:c>
      <x:c r="K39" s="31" t="n">
        <x:v>0</x:v>
      </x:c>
      <x:c r="L39" s="31" t="n">
        <x:v>39.687658072</x:v>
      </x:c>
      <x:c r="M39" s="31" t="n">
        <x:v>23.894409263</x:v>
      </x:c>
      <x:c r="N39" s="24" t="str">
        <x:v>labridae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Labridae</x:v>
      </x:c>
      <x:c r="T39" s="32" t="n">
        <x:f>IF(O39="","",(1/'Metadata'!$B$5)^(O39-1))</x:f>
        <x:v>288.40315031266056</x:v>
      </x:c>
      <x:c r="U39" s="31" t="n">
        <x:f>IF(T39="","",I39*T39)</x:f>
        <x:v>18337.26852280571</x:v>
      </x:c>
    </x:row>
    <x:row r="40" ht="18" customHeight="1">
      <x:c r="A40" s="24" t="str">
        <x:v>EEZ_882</x:v>
      </x:c>
      <x:c r="B40" s="24" t="str">
        <x:v>Samoa</x:v>
      </x:c>
      <x:c r="C40" s="24" t="str">
        <x:v>EEZ</x:v>
      </x:c>
      <x:c r="D40" s="30" t="n">
        <x:v>2019</x:v>
      </x:c>
      <x:c r="E40" s="24" t="str">
        <x:v>Scombridae</x:v>
      </x:c>
      <x:c r="F40" s="24" t="str">
        <x:v>Mackerels, tunas, bonitos</x:v>
      </x:c>
      <x:c r="G40" s="24" t="str">
        <x:v>Medium pelagics (30 - 89 cm)</x:v>
      </x:c>
      <x:c r="H40" s="24" t="str">
        <x:v>Perch-likes</x:v>
      </x:c>
      <x:c r="I40" s="31" t="n">
        <x:v>61.5095681875</x:v>
      </x:c>
      <x:c r="J40" s="31" t="n">
        <x:v>0.023224873</x:v>
      </x:c>
      <x:c r="K40" s="31" t="n">
        <x:v>61.486343314500004</x:v>
      </x:c>
      <x:c r="L40" s="31" t="n">
        <x:v>0.023224873</x:v>
      </x:c>
      <x:c r="M40" s="31" t="n">
        <x:v>61.486343314500004</x:v>
      </x:c>
      <x:c r="N40" s="24" t="str">
        <x:v>scombridae</x:v>
      </x:c>
      <x:c r="O40" s="32" t="n">
        <x:v>4.26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Scombridae</x:v>
      </x:c>
      <x:c r="T40" s="32" t="n">
        <x:f>IF(O40="","",(1/'Metadata'!$B$5)^(O40-1))</x:f>
        <x:v>1819.7008586099826</x:v>
      </x:c>
      <x:c r="U40" s="31" t="n">
        <x:f>IF(T40="","",I40*T40)</x:f>
        <x:v>111929.01404352303</x:v>
      </x:c>
    </x:row>
    <x:row r="41" ht="18" customHeight="1">
      <x:c r="A41" s="24" t="str">
        <x:v>EEZ_882</x:v>
      </x:c>
      <x:c r="B41" s="24" t="str">
        <x:v>Samoa</x:v>
      </x:c>
      <x:c r="C41" s="24" t="str">
        <x:v>EEZ</x:v>
      </x:c>
      <x:c r="D41" s="30" t="n">
        <x:v>2019</x:v>
      </x:c>
      <x:c r="E41" s="24" t="str">
        <x:v>Tridacna maxima</x:v>
      </x:c>
      <x:c r="F41" s="24" t="str">
        <x:v>Maxima clam</x:v>
      </x:c>
      <x:c r="G41" s="24" t="str">
        <x:v>Other demersal invertebrates</x:v>
      </x:c>
      <x:c r="H41" s="24" t="str">
        <x:v>Molluscs</x:v>
      </x:c>
      <x:c r="I41" s="31" t="n">
        <x:v>59.717779562000004</x:v>
      </x:c>
      <x:c r="J41" s="31" t="n">
        <x:v>59.717779562000004</x:v>
      </x:c>
      <x:c r="K41" s="31" t="n">
        <x:v>0</x:v>
      </x:c>
      <x:c r="L41" s="31" t="n">
        <x:v>53.996405309000004</x:v>
      </x:c>
      <x:c r="M41" s="31" t="n">
        <x:v>5.721374253</x:v>
      </x:c>
      <x:c r="N41" s="24" t="str">
        <x:v>tridacna maxima</x:v>
      </x:c>
      <x:c r="O41" s="32" t="n">
        <x:v>2.15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Tridacna maxima</x:v>
      </x:c>
      <x:c r="T41" s="32" t="n">
        <x:f>IF(O41="","",(1/'Metadata'!$B$5)^(O41-1))</x:f>
        <x:v>14.12537544622754</x:v>
      </x:c>
      <x:c r="U41" s="31" t="n">
        <x:f>IF(T41="","",I41*T41)</x:f>
        <x:v>843.5360571283037</x:v>
      </x:c>
    </x:row>
    <x:row r="42" ht="18" customHeight="1">
      <x:c r="A42" s="24" t="str">
        <x:v>EEZ_882</x:v>
      </x:c>
      <x:c r="B42" s="24" t="str">
        <x:v>Samoa</x:v>
      </x:c>
      <x:c r="C42" s="24" t="str">
        <x:v>EEZ</x:v>
      </x:c>
      <x:c r="D42" s="30" t="n">
        <x:v>2019</x:v>
      </x:c>
      <x:c r="E42" s="24" t="str">
        <x:v>Siganidae</x:v>
      </x:c>
      <x:c r="F42" s="24" t="str">
        <x:v>Rabbitfishes</x:v>
      </x:c>
      <x:c r="G42" s="24" t="str">
        <x:v>Medium reef assoc. fish (30 - 89 cm)</x:v>
      </x:c>
      <x:c r="H42" s="24" t="str">
        <x:v>Perch-likes</x:v>
      </x:c>
      <x:c r="I42" s="31" t="n">
        <x:v>49.260884774</x:v>
      </x:c>
      <x:c r="J42" s="31" t="n">
        <x:v>49.260884774</x:v>
      </x:c>
      <x:c r="K42" s="31" t="n">
        <x:v>0</x:v>
      </x:c>
      <x:c r="L42" s="31" t="n">
        <x:v>30.74843636</x:v>
      </x:c>
      <x:c r="M42" s="31" t="n">
        <x:v>18.512448413999998</x:v>
      </x:c>
      <x:c r="N42" s="24" t="str">
        <x:v>siganidae</x:v>
      </x:c>
      <x:c r="O42" s="32" t="n">
        <x:v>2.11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Siganidae</x:v>
      </x:c>
      <x:c r="T42" s="32" t="n">
        <x:f>IF(O42="","",(1/'Metadata'!$B$5)^(O42-1))</x:f>
        <x:v>12.882495516931336</x:v>
      </x:c>
      <x:c r="U42" s="31" t="n">
        <x:f>IF(T42="","",I42*T42)</x:f>
        <x:v>634.603127261126</x:v>
      </x:c>
    </x:row>
    <x:row r="43" ht="18" customHeight="1">
      <x:c r="A43" s="24" t="str">
        <x:v>EEZ_882</x:v>
      </x:c>
      <x:c r="B43" s="24" t="str">
        <x:v>Samoa</x:v>
      </x:c>
      <x:c r="C43" s="24" t="str">
        <x:v>EEZ</x:v>
      </x:c>
      <x:c r="D43" s="30" t="n">
        <x:v>2019</x:v>
      </x:c>
      <x:c r="E43" s="24" t="str">
        <x:v>Lutjanidae</x:v>
      </x:c>
      <x:c r="F43" s="24" t="str">
        <x:v>Snappers</x:v>
      </x:c>
      <x:c r="G43" s="24" t="str">
        <x:v>Medium reef assoc. fish (30 - 89 cm)</x:v>
      </x:c>
      <x:c r="H43" s="24" t="str">
        <x:v>Perch-likes</x:v>
      </x:c>
      <x:c r="I43" s="31" t="n">
        <x:v>48.455988706</x:v>
      </x:c>
      <x:c r="J43" s="31" t="n">
        <x:v>48.455988706</x:v>
      </x:c>
      <x:c r="K43" s="31" t="n">
        <x:v>0</x:v>
      </x:c>
      <x:c r="L43" s="31" t="n">
        <x:v>30.246023630000003</x:v>
      </x:c>
      <x:c r="M43" s="31" t="n">
        <x:v>18.209965076</x:v>
      </x:c>
      <x:c r="N43" s="24" t="str">
        <x:v>lutjanidae</x:v>
      </x:c>
      <x:c r="O43" s="32" t="n">
        <x:v>4.02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Lutjanidae</x:v>
      </x:c>
      <x:c r="T43" s="32" t="n">
        <x:f>IF(O43="","",(1/'Metadata'!$B$5)^(O43-1))</x:f>
        <x:v>1047.1285480508984</x:v>
      </x:c>
      <x:c r="U43" s="31" t="n">
        <x:f>IF(T43="","",I43*T43)</x:f>
        <x:v>50739.64909808451</x:v>
      </x:c>
    </x:row>
    <x:row r="44" ht="18" customHeight="1">
      <x:c r="A44" s="24" t="str">
        <x:v>EEZ_882</x:v>
      </x:c>
      <x:c r="B44" s="24" t="str">
        <x:v>Samoa</x:v>
      </x:c>
      <x:c r="C44" s="24" t="str">
        <x:v>EEZ</x:v>
      </x:c>
      <x:c r="D44" s="30" t="n">
        <x:v>2019</x:v>
      </x:c>
      <x:c r="E44" s="24" t="str">
        <x:v>Coryphaena hippurus</x:v>
      </x:c>
      <x:c r="F44" s="24" t="str">
        <x:v>Common dolphinfish</x:v>
      </x:c>
      <x:c r="G44" s="24" t="str">
        <x:v>Large pelagics (&gt;=90 cm)</x:v>
      </x:c>
      <x:c r="H44" s="24" t="str">
        <x:v>Perch-likes</x:v>
      </x:c>
      <x:c r="I44" s="31" t="n">
        <x:v>44.9336622507</x:v>
      </x:c>
      <x:c r="J44" s="31" t="n">
        <x:v>29.4478334422</x:v>
      </x:c>
      <x:c r="K44" s="31" t="n">
        <x:v>15.485828808499999</x:v>
      </x:c>
      <x:c r="L44" s="31" t="n">
        <x:v>29.4478334422</x:v>
      </x:c>
      <x:c r="M44" s="31" t="n">
        <x:v>15.485828808499999</x:v>
      </x:c>
      <x:c r="N44" s="24" t="str">
        <x:v>coryphaena hippurus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Coryphaena hippurus</x:v>
      </x:c>
      <x:c r="T44" s="32" t="n">
        <x:f>IF(O44="","",(1/'Metadata'!$B$5)^(O44-1))</x:f>
        <x:v>2344.228815319923</x:v>
      </x:c>
      <x:c r="U44" s="31" t="n">
        <x:f>IF(T44="","",I44*T44)</x:f>
        <x:v>105334.78582594401</x:v>
      </x:c>
    </x:row>
    <x:row r="45" ht="18" customHeight="1">
      <x:c r="A45" s="24" t="str">
        <x:v>EEZ_882</x:v>
      </x:c>
      <x:c r="B45" s="24" t="str">
        <x:v>Samoa</x:v>
      </x:c>
      <x:c r="C45" s="24" t="str">
        <x:v>EEZ</x:v>
      </x:c>
      <x:c r="D45" s="30" t="n">
        <x:v>2019</x:v>
      </x:c>
      <x:c r="E45" s="24" t="str">
        <x:v>Marine pelagic fishes not identified</x:v>
      </x:c>
      <x:c r="F45" s="24" t="str">
        <x:v>Pelagic fishes</x:v>
      </x:c>
      <x:c r="G45" s="24" t="str">
        <x:v>Medium pelagics (30 - 89 cm)</x:v>
      </x:c>
      <x:c r="H45" s="24" t="str">
        <x:v>Other fishes &amp; inverts</x:v>
      </x:c>
      <x:c r="I45" s="31" t="n">
        <x:v>40.3939169306</x:v>
      </x:c>
      <x:c r="J45" s="31" t="n">
        <x:v>40.182168991</x:v>
      </x:c>
      <x:c r="K45" s="31" t="n">
        <x:v>0.2117479396</x:v>
      </x:c>
      <x:c r="L45" s="31" t="n">
        <x:v>40.182168991</x:v>
      </x:c>
      <x:c r="M45" s="31" t="n">
        <x:v>0.2117479396</x:v>
      </x:c>
      <x:c r="N45" s="24" t="str">
        <x:v>marine pelagic fishes not identified</x:v>
      </x:c>
      <x:c r="O45" s="32" t="n">
        <x:v>3.35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pelagic fishes not identified</x:v>
      </x:c>
      <x:c r="T45" s="32" t="n">
        <x:f>IF(O45="","",(1/'Metadata'!$B$5)^(O45-1))</x:f>
        <x:v>223.872113856834</x:v>
      </x:c>
      <x:c r="U45" s="31" t="n">
        <x:f>IF(T45="","",I45*T45)</x:f>
        <x:v>9043.071570210777</x:v>
      </x:c>
    </x:row>
    <x:row r="46" ht="18" customHeight="1">
      <x:c r="A46" s="24" t="str">
        <x:v>EEZ_882</x:v>
      </x:c>
      <x:c r="B46" s="24" t="str">
        <x:v>Samoa</x:v>
      </x:c>
      <x:c r="C46" s="24" t="str">
        <x:v>EEZ</x:v>
      </x:c>
      <x:c r="D46" s="30" t="n">
        <x:v>2019</x:v>
      </x:c>
      <x:c r="E46" s="24" t="str">
        <x:v>Mullidae</x:v>
      </x:c>
      <x:c r="F46" s="24" t="str">
        <x:v>Goatfishes</x:v>
      </x:c>
      <x:c r="G46" s="24" t="str">
        <x:v>Medium reef assoc. fish (30 - 89 cm)</x:v>
      </x:c>
      <x:c r="H46" s="24" t="str">
        <x:v>Perch-likes</x:v>
      </x:c>
      <x:c r="I46" s="31" t="n">
        <x:v>37.443427614</x:v>
      </x:c>
      <x:c r="J46" s="31" t="n">
        <x:v>37.443427614</x:v>
      </x:c>
      <x:c r="K46" s="31" t="n">
        <x:v>0</x:v>
      </x:c>
      <x:c r="L46" s="31" t="n">
        <x:v>23.372029477</x:v>
      </x:c>
      <x:c r="M46" s="31" t="n">
        <x:v>14.071398137</x:v>
      </x:c>
      <x:c r="N46" s="24" t="str">
        <x:v>mullidae</x:v>
      </x:c>
      <x:c r="O46" s="32" t="n">
        <x:v>3.46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Mullidae</x:v>
      </x:c>
      <x:c r="T46" s="32" t="n">
        <x:f>IF(O46="","",(1/'Metadata'!$B$5)^(O46-1))</x:f>
        <x:v>288.40315031266056</x:v>
      </x:c>
      <x:c r="U46" s="31" t="n">
        <x:f>IF(T46="","",I46*T46)</x:f>
        <x:v>10798.802482381667</x:v>
      </x:c>
    </x:row>
    <x:row r="47" ht="18" customHeight="1">
      <x:c r="A47" s="24" t="str">
        <x:v>EEZ_882</x:v>
      </x:c>
      <x:c r="B47" s="24" t="str">
        <x:v>Samoa</x:v>
      </x:c>
      <x:c r="C47" s="24" t="str">
        <x:v>EEZ</x:v>
      </x:c>
      <x:c r="D47" s="30" t="n">
        <x:v>2019</x:v>
      </x:c>
      <x:c r="E47" s="24" t="str">
        <x:v>Holocentridae</x:v>
      </x:c>
      <x:c r="F47" s="24" t="str">
        <x:v>Squirrel-, soldierfishes</x:v>
      </x:c>
      <x:c r="G47" s="24" t="str">
        <x:v>Small reef assoc. fish (&lt;30 cm)</x:v>
      </x:c>
      <x:c r="H47" s="24" t="str">
        <x:v>Other fishes &amp; inverts</x:v>
      </x:c>
      <x:c r="I47" s="31" t="n">
        <x:v>37.123583623</x:v>
      </x:c>
      <x:c r="J47" s="31" t="n">
        <x:v>37.123583623</x:v>
      </x:c>
      <x:c r="K47" s="31" t="n">
        <x:v>0</x:v>
      </x:c>
      <x:c r="L47" s="31" t="n">
        <x:v>23.894397447</x:v>
      </x:c>
      <x:c r="M47" s="31" t="n">
        <x:v>13.229186175999999</x:v>
      </x:c>
      <x:c r="N47" s="24" t="str">
        <x:v>holocentridae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Holocentridae</x:v>
      </x:c>
      <x:c r="T47" s="32" t="n">
        <x:f>IF(O47="","",(1/'Metadata'!$B$5)^(O47-1))</x:f>
        <x:v>309.0295432513592</x:v>
      </x:c>
      <x:c r="U47" s="31" t="n">
        <x:f>IF(T47="","",I47*T47)</x:f>
        <x:v>11472.284090869329</x:v>
      </x:c>
    </x:row>
    <x:row r="48" ht="18" customHeight="1">
      <x:c r="A48" s="24" t="str">
        <x:v>EEZ_882</x:v>
      </x:c>
      <x:c r="B48" s="24" t="str">
        <x:v>Samoa</x:v>
      </x:c>
      <x:c r="C48" s="24" t="str">
        <x:v>EEZ</x:v>
      </x:c>
      <x:c r="D48" s="30" t="n">
        <x:v>2019</x:v>
      </x:c>
      <x:c r="E48" s="24" t="str">
        <x:v>Istiophoridae</x:v>
      </x:c>
      <x:c r="F48" s="24" t="str">
        <x:v>Billfishes</x:v>
      </x:c>
      <x:c r="G48" s="24" t="str">
        <x:v>Large pelagics (&gt;=90 cm)</x:v>
      </x:c>
      <x:c r="H48" s="24" t="str">
        <x:v>Tuna &amp; billfishes</x:v>
      </x:c>
      <x:c r="I48" s="31" t="n">
        <x:v>31.2473189621</x:v>
      </x:c>
      <x:c r="J48" s="31" t="n">
        <x:v>18.339807172999997</x:v>
      </x:c>
      <x:c r="K48" s="31" t="n">
        <x:v>12.9075117891</x:v>
      </x:c>
      <x:c r="L48" s="31" t="n">
        <x:v>18.339807172999997</x:v>
      </x:c>
      <x:c r="M48" s="31" t="n">
        <x:v>12.9075117891</x:v>
      </x:c>
      <x:c r="N48" s="24" t="str">
        <x:v>istiophoridae</x:v>
      </x:c>
      <x:c r="O48" s="32" t="n">
        <x:v>4.48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Istiophoridae</x:v>
      </x:c>
      <x:c r="T48" s="32" t="n">
        <x:f>IF(O48="","",(1/'Metadata'!$B$5)^(O48-1))</x:f>
        <x:v>3019.951720402019</x:v>
      </x:c>
      <x:c r="U48" s="31" t="n">
        <x:f>IF(T48="","",I48*T48)</x:f>
        <x:v>94365.39465754453</x:v>
      </x:c>
    </x:row>
    <x:row r="49" ht="18" customHeight="1">
      <x:c r="A49" s="24" t="str">
        <x:v>EEZ_882</x:v>
      </x:c>
      <x:c r="B49" s="24" t="str">
        <x:v>Samoa</x:v>
      </x:c>
      <x:c r="C49" s="24" t="str">
        <x:v>EEZ</x:v>
      </x:c>
      <x:c r="D49" s="30" t="n">
        <x:v>2019</x:v>
      </x:c>
      <x:c r="E49" s="24" t="str">
        <x:v>Istiompax indica</x:v>
      </x:c>
      <x:c r="F49" s="24" t="str">
        <x:v>Black marlin</x:v>
      </x:c>
      <x:c r="G49" s="24" t="str">
        <x:v>Large pelagics (&gt;=90 cm)</x:v>
      </x:c>
      <x:c r="H49" s="24" t="str">
        <x:v>Tuna &amp; billfishes</x:v>
      </x:c>
      <x:c r="I49" s="31" t="n">
        <x:v>30.9747134263</x:v>
      </x:c>
      <x:c r="J49" s="31" t="n">
        <x:v>30.9747134263</x:v>
      </x:c>
      <x:c r="K49" s="31" t="n">
        <x:v>0</x:v>
      </x:c>
      <x:c r="L49" s="31" t="n">
        <x:v>30.9747134263</x:v>
      </x:c>
      <x:c r="M49" s="31" t="n">
        <x:v>0</x:v>
      </x:c>
      <x:c r="N49" s="24" t="str">
        <x:v>istiompax indica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Istiompax indica</x:v>
      </x:c>
      <x:c r="T49" s="32" t="n">
        <x:f>IF(O49="","",(1/'Metadata'!$B$5)^(O49-1))</x:f>
        <x:v>3162.2776601683795</x:v>
      </x:c>
      <x:c r="U49" s="31" t="n">
        <x:f>IF(T49="","",I49*T49)</x:f>
        <x:v>97950.64429810605</x:v>
      </x:c>
    </x:row>
    <x:row r="50" ht="18" customHeight="1">
      <x:c r="A50" s="24" t="str">
        <x:v>EEZ_882</x:v>
      </x:c>
      <x:c r="B50" s="24" t="str">
        <x:v>Samoa</x:v>
      </x:c>
      <x:c r="C50" s="24" t="str">
        <x:v>EEZ</x:v>
      </x:c>
      <x:c r="D50" s="30" t="n">
        <x:v>2019</x:v>
      </x:c>
      <x:c r="E50" s="24" t="str">
        <x:v>Carcharhinus longimanus</x:v>
      </x:c>
      <x:c r="F50" s="24" t="str">
        <x:v>Oceanic whitetip shark</x:v>
      </x:c>
      <x:c r="G50" s="24" t="str">
        <x:v>Large sharks (&gt;=90 cm)</x:v>
      </x:c>
      <x:c r="H50" s="24" t="str">
        <x:v>Sharks &amp; rays</x:v>
      </x:c>
      <x:c r="I50" s="31" t="n">
        <x:v>30.7844416482</x:v>
      </x:c>
      <x:c r="J50" s="31" t="n">
        <x:v>14.662308093300002</x:v>
      </x:c>
      <x:c r="K50" s="31" t="n">
        <x:v>16.1221335549</x:v>
      </x:c>
      <x:c r="L50" s="31" t="n">
        <x:v>14.662308093300002</x:v>
      </x:c>
      <x:c r="M50" s="31" t="n">
        <x:v>16.1221335549</x:v>
      </x:c>
      <x:c r="N50" s="24" t="str">
        <x:v>carcharhinus longimanus</x:v>
      </x:c>
      <x:c r="O50" s="32" t="n">
        <x:v>4.16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Carcharhinus longimanus</x:v>
      </x:c>
      <x:c r="T50" s="32" t="n">
        <x:f>IF(O50="","",(1/'Metadata'!$B$5)^(O50-1))</x:f>
        <x:v>1445.439770745928</x:v>
      </x:c>
      <x:c r="U50" s="31" t="n">
        <x:f>IF(T50="","",I50*T50)</x:f>
        <x:v>44497.05627851561</x:v>
      </x:c>
    </x:row>
    <x:row r="51" ht="18" customHeight="1">
      <x:c r="A51" s="24" t="str">
        <x:v>EEZ_882</x:v>
      </x:c>
      <x:c r="B51" s="24" t="str">
        <x:v>Samoa</x:v>
      </x:c>
      <x:c r="C51" s="24" t="str">
        <x:v>EEZ</x:v>
      </x:c>
      <x:c r="D51" s="30" t="n">
        <x:v>2019</x:v>
      </x:c>
      <x:c r="E51" s="24" t="str">
        <x:v>Lutjanus kasmira</x:v>
      </x:c>
      <x:c r="F51" s="24" t="str">
        <x:v>Common bluestripe snapper</x:v>
      </x:c>
      <x:c r="G51" s="24" t="str">
        <x:v>Medium reef assoc. fish (30 - 89 cm)</x:v>
      </x:c>
      <x:c r="H51" s="24" t="str">
        <x:v>Perch-likes</x:v>
      </x:c>
      <x:c r="I51" s="31" t="n">
        <x:v>25.795025686</x:v>
      </x:c>
      <x:c r="J51" s="31" t="n">
        <x:v>25.795025686</x:v>
      </x:c>
      <x:c r="K51" s="31" t="n">
        <x:v>0</x:v>
      </x:c>
      <x:c r="L51" s="31" t="n">
        <x:v>25.795025686</x:v>
      </x:c>
      <x:c r="M51" s="31" t="n">
        <x:v>0</x:v>
      </x:c>
      <x:c r="N51" s="24" t="str">
        <x:v>lutjanus kasmira</x:v>
      </x:c>
      <x:c r="O51" s="32" t="n">
        <x:v>3.87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kasmira</x:v>
      </x:c>
      <x:c r="T51" s="32" t="n">
        <x:f>IF(O51="","",(1/'Metadata'!$B$5)^(O51-1))</x:f>
        <x:v>741.3102413009177</x:v>
      </x:c>
      <x:c r="U51" s="31" t="n">
        <x:f>IF(T51="","",I51*T51)</x:f>
        <x:v>19122.116715652028</x:v>
      </x:c>
    </x:row>
    <x:row r="52" ht="18" customHeight="1">
      <x:c r="A52" s="24" t="str">
        <x:v>EEZ_882</x:v>
      </x:c>
      <x:c r="B52" s="24" t="str">
        <x:v>Samoa</x:v>
      </x:c>
      <x:c r="C52" s="24" t="str">
        <x:v>EEZ</x:v>
      </x:c>
      <x:c r="D52" s="30" t="n">
        <x:v>2019</x:v>
      </x:c>
      <x:c r="E52" s="24" t="str">
        <x:v>Makaira mazara</x:v>
      </x:c>
      <x:c r="F52" s="24" t="str">
        <x:v>Indo-Pacific blue marlin</x:v>
      </x:c>
      <x:c r="G52" s="24" t="str">
        <x:v>Large pelagics (&gt;=90 cm)</x:v>
      </x:c>
      <x:c r="H52" s="24" t="str">
        <x:v>Tuna &amp; billfishes</x:v>
      </x:c>
      <x:c r="I52" s="31" t="n">
        <x:v>18.776865746</x:v>
      </x:c>
      <x:c r="J52" s="31" t="n">
        <x:v>18.776865746</x:v>
      </x:c>
      <x:c r="K52" s="31" t="n">
        <x:v>0</x:v>
      </x:c>
      <x:c r="L52" s="31" t="n">
        <x:v>18.776865746</x:v>
      </x:c>
      <x:c r="M52" s="31" t="n">
        <x:v>0</x:v>
      </x:c>
      <x:c r="N52" s="24" t="str">
        <x:v>makaira mazara</x:v>
      </x:c>
      <x:c r="O52" s="32" t="n">
        <x:v>4.46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Makaira mazara</x:v>
      </x:c>
      <x:c r="T52" s="32" t="n">
        <x:f>IF(O52="","",(1/'Metadata'!$B$5)^(O52-1))</x:f>
        <x:v>2884.031503126606</x:v>
      </x:c>
      <x:c r="U52" s="31" t="n">
        <x:f>IF(T52="","",I52*T52)</x:f>
        <x:v>54153.07234144286</x:v>
      </x:c>
    </x:row>
    <x:row r="53" ht="18" customHeight="1">
      <x:c r="A53" s="24" t="str">
        <x:v>EEZ_882</x:v>
      </x:c>
      <x:c r="B53" s="24" t="str">
        <x:v>Samoa</x:v>
      </x:c>
      <x:c r="C53" s="24" t="str">
        <x:v>EEZ</x:v>
      </x:c>
      <x:c r="D53" s="30" t="n">
        <x:v>2019</x:v>
      </x:c>
      <x:c r="E53" s="24" t="str">
        <x:v>Selar crumenophthalmus</x:v>
      </x:c>
      <x:c r="F53" s="24" t="str">
        <x:v>Bigeye scad</x:v>
      </x:c>
      <x:c r="G53" s="24" t="str">
        <x:v>Medium pelagics (30 - 89 cm)</x:v>
      </x:c>
      <x:c r="H53" s="24" t="str">
        <x:v>Perch-likes</x:v>
      </x:c>
      <x:c r="I53" s="31" t="n">
        <x:v>17.070959632</x:v>
      </x:c>
      <x:c r="J53" s="31" t="n">
        <x:v>17.070959632</x:v>
      </x:c>
      <x:c r="K53" s="31" t="n">
        <x:v>0</x:v>
      </x:c>
      <x:c r="L53" s="31" t="n">
        <x:v>10.655620951000001</x:v>
      </x:c>
      <x:c r="M53" s="31" t="n">
        <x:v>6.415338681</x:v>
      </x:c>
      <x:c r="N53" s="24" t="str">
        <x:v>selar crumenophthalmus</x:v>
      </x:c>
      <x:c r="O53" s="32" t="n">
        <x:v>3.81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Selar crumenophthalmus</x:v>
      </x:c>
      <x:c r="T53" s="32" t="n">
        <x:f>IF(O53="","",(1/'Metadata'!$B$5)^(O53-1))</x:f>
        <x:v>645.6542290346556</x:v>
      </x:c>
      <x:c r="U53" s="31" t="n">
        <x:f>IF(T53="","",I53*T53)</x:f>
        <x:v>11021.937280080689</x:v>
      </x:c>
    </x:row>
    <x:row r="54" ht="18" customHeight="1">
      <x:c r="A54" s="24" t="str">
        <x:v>EEZ_882</x:v>
      </x:c>
      <x:c r="B54" s="24" t="str">
        <x:v>Samoa</x:v>
      </x:c>
      <x:c r="C54" s="24" t="str">
        <x:v>EEZ</x:v>
      </x:c>
      <x:c r="D54" s="30" t="n">
        <x:v>2019</x:v>
      </x:c>
      <x:c r="E54" s="24" t="str">
        <x:v>Mollusca</x:v>
      </x:c>
      <x:c r="F54" s="24" t="str">
        <x:v>Clams, seasnails, squids, octopuses</x:v>
      </x:c>
      <x:c r="G54" s="24" t="str">
        <x:v>Other demersal invertebrates</x:v>
      </x:c>
      <x:c r="H54" s="24" t="str">
        <x:v>Molluscs</x:v>
      </x:c>
      <x:c r="I54" s="31" t="n">
        <x:v>15.728813312</x:v>
      </x:c>
      <x:c r="J54" s="31" t="n">
        <x:v>15.728813312</x:v>
      </x:c>
      <x:c r="K54" s="31" t="n">
        <x:v>0</x:v>
      </x:c>
      <x:c r="L54" s="31" t="n">
        <x:v>14.325884429</x:v>
      </x:c>
      <x:c r="M54" s="31" t="n">
        <x:v>1.402928883</x:v>
      </x:c>
      <x:c r="N54" s="24" t="str">
        <x:v>mollusca</x:v>
      </x:c>
      <x:c r="O54" s="32" t="n">
        <x:v>2.1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Mollusca</x:v>
      </x:c>
      <x:c r="T54" s="32" t="n">
        <x:f>IF(O54="","",(1/'Metadata'!$B$5)^(O54-1))</x:f>
        <x:v>12.589254117941675</x:v>
      </x:c>
      <x:c r="U54" s="31" t="n">
        <x:f>IF(T54="","",I54*T54)</x:f>
        <x:v>198.01402775843184</x:v>
      </x:c>
    </x:row>
    <x:row r="55" ht="18" customHeight="1">
      <x:c r="A55" s="24" t="str">
        <x:v>EEZ_882</x:v>
      </x:c>
      <x:c r="B55" s="24" t="str">
        <x:v>Samoa</x:v>
      </x:c>
      <x:c r="C55" s="24" t="str">
        <x:v>EEZ</x:v>
      </x:c>
      <x:c r="D55" s="30" t="n">
        <x:v>2019</x:v>
      </x:c>
      <x:c r="E55" s="24" t="str">
        <x:v>Alopias</x:v>
      </x:c>
      <x:c r="F55" s="24" t="str">
        <x:v>Thresher sharks</x:v>
      </x:c>
      <x:c r="G55" s="24" t="str">
        <x:v>Large sharks (&gt;=90 cm)</x:v>
      </x:c>
      <x:c r="H55" s="24" t="str">
        <x:v>Sharks &amp; rays</x:v>
      </x:c>
      <x:c r="I55" s="31" t="n">
        <x:v>13.7236720624</x:v>
      </x:c>
      <x:c r="J55" s="31" t="n">
        <x:v>8.536740671699999</x:v>
      </x:c>
      <x:c r="K55" s="31" t="n">
        <x:v>5.1869313907</x:v>
      </x:c>
      <x:c r="L55" s="31" t="n">
        <x:v>8.536740671699999</x:v>
      </x:c>
      <x:c r="M55" s="31" t="n">
        <x:v>5.1869313907</x:v>
      </x:c>
      <x:c r="N55" s="24" t="str">
        <x:v>alopias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Alopias</x:v>
      </x:c>
      <x:c r="T55" s="32" t="n">
        <x:f>IF(O55="","",(1/'Metadata'!$B$5)^(O55-1))</x:f>
        <x:v>3162.2776601683795</x:v>
      </x:c>
      <x:c r="U55" s="31" t="n">
        <x:f>IF(T55="","",I55*T55)</x:f>
        <x:v>43398.061578404435</x:v>
      </x:c>
    </x:row>
    <x:row r="56" ht="18" customHeight="1">
      <x:c r="A56" s="24" t="str">
        <x:v>EEZ_882</x:v>
      </x:c>
      <x:c r="B56" s="24" t="str">
        <x:v>Samoa</x:v>
      </x:c>
      <x:c r="C56" s="24" t="str">
        <x:v>EEZ</x:v>
      </x:c>
      <x:c r="D56" s="30" t="n">
        <x:v>2019</x:v>
      </x:c>
      <x:c r="E56" s="24" t="str">
        <x:v>Parribacus caledonicus</x:v>
      </x:c>
      <x:c r="F56" s="24" t="str">
        <x:v>Caledonian mitten lobster</x:v>
      </x:c>
      <x:c r="G56" s="24" t="str">
        <x:v>Lobsters, crabs</x:v>
      </x:c>
      <x:c r="H56" s="24" t="str">
        <x:v>Crustaceans</x:v>
      </x:c>
      <x:c r="I56" s="31" t="n">
        <x:v>12.982986699</x:v>
      </x:c>
      <x:c r="J56" s="31" t="n">
        <x:v>12.982986699</x:v>
      </x:c>
      <x:c r="K56" s="31" t="n">
        <x:v>0</x:v>
      </x:c>
      <x:c r="L56" s="31" t="n">
        <x:v>10.05824608</x:v>
      </x:c>
      <x:c r="M56" s="31" t="n">
        <x:v>2.9247406189999996</x:v>
      </x:c>
      <x:c r="N56" s="24" t="str">
        <x:v>parribacus caledonicus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Parribacus caledonicus</x:v>
      </x:c>
      <x:c r="T56" s="32" t="n">
        <x:f>IF(O56="","",(1/'Metadata'!$B$5)^(O56-1))</x:f>
        <x:v>371.5352290971724</x:v>
      </x:c>
      <x:c r="U56" s="31" t="n">
        <x:f>IF(T56="","",I56*T56)</x:f>
        <x:v>4823.636937578507</x:v>
      </x:c>
    </x:row>
    <x:row r="57" ht="18" customHeight="1">
      <x:c r="A57" s="24" t="str">
        <x:v>EEZ_882</x:v>
      </x:c>
      <x:c r="B57" s="24" t="str">
        <x:v>Samoa</x:v>
      </x:c>
      <x:c r="C57" s="24" t="str">
        <x:v>EEZ</x:v>
      </x:c>
      <x:c r="D57" s="30" t="n">
        <x:v>2019</x:v>
      </x:c>
      <x:c r="E57" s="24" t="str">
        <x:v>Variola louti</x:v>
      </x:c>
      <x:c r="F57" s="24" t="str">
        <x:v>Yellow-edged lyretail</x:v>
      </x:c>
      <x:c r="G57" s="24" t="str">
        <x:v>Medium reef assoc. fish (30 - 89 cm)</x:v>
      </x:c>
      <x:c r="H57" s="24" t="str">
        <x:v>Perch-likes</x:v>
      </x:c>
      <x:c r="I57" s="31" t="n">
        <x:v>12.753137695</x:v>
      </x:c>
      <x:c r="J57" s="31" t="n">
        <x:v>12.753137695</x:v>
      </x:c>
      <x:c r="K57" s="31" t="n">
        <x:v>0</x:v>
      </x:c>
      <x:c r="L57" s="31" t="n">
        <x:v>12.753137695</x:v>
      </x:c>
      <x:c r="M57" s="31" t="n">
        <x:v>0</x:v>
      </x:c>
      <x:c r="N57" s="24" t="str">
        <x:v>variola louti</x:v>
      </x:c>
      <x:c r="O57" s="32" t="n">
        <x:v>4.33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Variola louti</x:v>
      </x:c>
      <x:c r="T57" s="32" t="n">
        <x:f>IF(O57="","",(1/'Metadata'!$B$5)^(O57-1))</x:f>
        <x:v>2137.9620895022326</x:v>
      </x:c>
      <x:c r="U57" s="31" t="n">
        <x:f>IF(T57="","",I57*T57)</x:f>
        <x:v>27265.724914111885</x:v>
      </x:c>
    </x:row>
    <x:row r="58" ht="18" customHeight="1">
      <x:c r="A58" s="24" t="str">
        <x:v>EEZ_882</x:v>
      </x:c>
      <x:c r="B58" s="24" t="str">
        <x:v>Samoa</x:v>
      </x:c>
      <x:c r="C58" s="24" t="str">
        <x:v>EEZ</x:v>
      </x:c>
      <x:c r="D58" s="30" t="n">
        <x:v>2019</x:v>
      </x:c>
      <x:c r="E58" s="24" t="str">
        <x:v>Kajikia audax</x:v>
      </x:c>
      <x:c r="F58" s="24" t="str">
        <x:v>Striped marlin</x:v>
      </x:c>
      <x:c r="G58" s="24" t="str">
        <x:v>Large pelagics (&gt;=90 cm)</x:v>
      </x:c>
      <x:c r="H58" s="24" t="str">
        <x:v>Tuna &amp; billfishes</x:v>
      </x:c>
      <x:c r="I58" s="31" t="n">
        <x:v>12.316065502299999</x:v>
      </x:c>
      <x:c r="J58" s="31" t="n">
        <x:v>12.316065502299999</x:v>
      </x:c>
      <x:c r="K58" s="31" t="n">
        <x:v>0</x:v>
      </x:c>
      <x:c r="L58" s="31" t="n">
        <x:v>12.316065502299999</x:v>
      </x:c>
      <x:c r="M58" s="31" t="n">
        <x:v>0</x:v>
      </x:c>
      <x:c r="N58" s="24" t="str">
        <x:v>kajikia audax</x:v>
      </x:c>
      <x:c r="O58" s="32" t="n">
        <x:v>4.58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Kajikia audax</x:v>
      </x:c>
      <x:c r="T58" s="32" t="n">
        <x:f>IF(O58="","",(1/'Metadata'!$B$5)^(O58-1))</x:f>
        <x:v>3801.8939632056126</x:v>
      </x:c>
      <x:c r="U58" s="31" t="n">
        <x:f>IF(T58="","",I58*T58)</x:f>
        <x:v>46824.375083639265</x:v>
      </x:c>
    </x:row>
    <x:row r="59" ht="18" customHeight="1">
      <x:c r="A59" s="24" t="str">
        <x:v>EEZ_882</x:v>
      </x:c>
      <x:c r="B59" s="24" t="str">
        <x:v>Samoa</x:v>
      </x:c>
      <x:c r="C59" s="24" t="str">
        <x:v>EEZ</x:v>
      </x:c>
      <x:c r="D59" s="30" t="n">
        <x:v>2019</x:v>
      </x:c>
      <x:c r="E59" s="24" t="str">
        <x:v>Echinodermata</x:v>
      </x:c>
      <x:c r="F59" s="24" t="str">
        <x:v>Sea urchins, stars, cucumbers</x:v>
      </x:c>
      <x:c r="G59" s="24" t="str">
        <x:v>Other demersal invertebrates</x:v>
      </x:c>
      <x:c r="H59" s="24" t="str">
        <x:v>Other fishes &amp; inverts</x:v>
      </x:c>
      <x:c r="I59" s="31" t="n">
        <x:v>7.142503647</x:v>
      </x:c>
      <x:c r="J59" s="31" t="n">
        <x:v>7.142503647</x:v>
      </x:c>
      <x:c r="K59" s="31" t="n">
        <x:v>0</x:v>
      </x:c>
      <x:c r="L59" s="31" t="n">
        <x:v>7.142503647</x:v>
      </x:c>
      <x:c r="M59" s="31" t="n">
        <x:v>0</x:v>
      </x:c>
      <x:c r="N59" s="24" t="str">
        <x:v>echinodermata</x:v>
      </x:c>
      <x:c r="O59" s="32" t="n">
        <x:v>2.3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Echinodermata</x:v>
      </x:c>
      <x:c r="T59" s="32" t="n">
        <x:f>IF(O59="","",(1/'Metadata'!$B$5)^(O59-1))</x:f>
        <x:v>19.952623149688787</x:v>
      </x:c>
      <x:c r="U59" s="31" t="n">
        <x:f>IF(T59="","",I59*T59)</x:f>
        <x:v>142.51168361386877</x:v>
      </x:c>
    </x:row>
    <x:row r="60" ht="18" customHeight="1">
      <x:c r="A60" s="24" t="str">
        <x:v>EEZ_882</x:v>
      </x:c>
      <x:c r="B60" s="24" t="str">
        <x:v>Samoa</x:v>
      </x:c>
      <x:c r="C60" s="24" t="str">
        <x:v>EEZ</x:v>
      </x:c>
      <x:c r="D60" s="30" t="n">
        <x:v>2019</x:v>
      </x:c>
      <x:c r="E60" s="24" t="str">
        <x:v>Acanthocybium solandri</x:v>
      </x:c>
      <x:c r="F60" s="24" t="str">
        <x:v>Wahoo</x:v>
      </x:c>
      <x:c r="G60" s="24" t="str">
        <x:v>Large pelagics (&gt;=90 cm)</x:v>
      </x:c>
      <x:c r="H60" s="24" t="str">
        <x:v>Perch-likes</x:v>
      </x:c>
      <x:c r="I60" s="31" t="n">
        <x:v>6.760355442</x:v>
      </x:c>
      <x:c r="J60" s="31" t="n">
        <x:v>0.1734695573</x:v>
      </x:c>
      <x:c r="K60" s="31" t="n">
        <x:v>6.5868858847</x:v>
      </x:c>
      <x:c r="L60" s="31" t="n">
        <x:v>0.1734695573</x:v>
      </x:c>
      <x:c r="M60" s="31" t="n">
        <x:v>6.5868858847</x:v>
      </x:c>
      <x:c r="N60" s="24" t="str">
        <x:v>acanthocybium solandri</x:v>
      </x:c>
      <x:c r="O60" s="32" t="n">
        <x:v>4.26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Acanthocybium solandri</x:v>
      </x:c>
      <x:c r="T60" s="32" t="n">
        <x:f>IF(O60="","",(1/'Metadata'!$B$5)^(O60-1))</x:f>
        <x:v>1819.7008586099826</x:v>
      </x:c>
      <x:c r="U60" s="31" t="n">
        <x:f>IF(T60="","",I60*T60)</x:f>
        <x:v>12301.824602316068</x:v>
      </x:c>
    </x:row>
    <x:row r="61" ht="18" customHeight="1">
      <x:c r="A61" s="24" t="str">
        <x:v>EEZ_882</x:v>
      </x:c>
      <x:c r="B61" s="24" t="str">
        <x:v>Samoa</x:v>
      </x:c>
      <x:c r="C61" s="24" t="str">
        <x:v>EEZ</x:v>
      </x:c>
      <x:c r="D61" s="30" t="n">
        <x:v>2019</x:v>
      </x:c>
      <x:c r="E61" s="24" t="str">
        <x:v>Sphyrna</x:v>
      </x:c>
      <x:c r="F61" s="24" t="str">
        <x:v>Hammerhead sharks</x:v>
      </x:c>
      <x:c r="G61" s="24" t="str">
        <x:v>Large sharks (&gt;=90 cm)</x:v>
      </x:c>
      <x:c r="H61" s="24" t="str">
        <x:v>Sharks &amp; rays</x:v>
      </x:c>
      <x:c r="I61" s="31" t="n">
        <x:v>4.514593887299999</x:v>
      </x:c>
      <x:c r="J61" s="31" t="n">
        <x:v>4.514593887299999</x:v>
      </x:c>
      <x:c r="K61" s="31" t="n">
        <x:v>0</x:v>
      </x:c>
      <x:c r="L61" s="31" t="n">
        <x:v>4.514593887299999</x:v>
      </x:c>
      <x:c r="M61" s="31" t="n">
        <x:v>0</x:v>
      </x:c>
      <x:c r="N61" s="24" t="str">
        <x:v>sphyrna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Sphyrna</x:v>
      </x:c>
      <x:c r="T61" s="32" t="n">
        <x:f>IF(O61="","",(1/'Metadata'!$B$5)^(O61-1))</x:f>
        <x:v>1584.893192461114</x:v>
      </x:c>
      <x:c r="U61" s="31" t="n">
        <x:f>IF(T61="","",I61*T61)</x:f>
        <x:v>7155.149118708327</x:v>
      </x:c>
    </x:row>
    <x:row r="62" ht="18" customHeight="1">
      <x:c r="A62" s="24" t="str">
        <x:v>EEZ_882</x:v>
      </x:c>
      <x:c r="B62" s="24" t="str">
        <x:v>Samoa</x:v>
      </x:c>
      <x:c r="C62" s="24" t="str">
        <x:v>EEZ</x:v>
      </x:c>
      <x:c r="D62" s="30" t="n">
        <x:v>2019</x:v>
      </x:c>
      <x:c r="E62" s="24" t="str">
        <x:v>Taractichthys steindachneri</x:v>
      </x:c>
      <x:c r="F62" s="24" t="str">
        <x:v>Sickle pomfret</x:v>
      </x:c>
      <x:c r="G62" s="24" t="str">
        <x:v>Medium benthopelagics (30 - 89 cm)</x:v>
      </x:c>
      <x:c r="H62" s="24" t="str">
        <x:v>Perch-likes</x:v>
      </x:c>
      <x:c r="I62" s="31" t="n">
        <x:v>3.380817693</x:v>
      </x:c>
      <x:c r="J62" s="31" t="n">
        <x:v>3.380817693</x:v>
      </x:c>
      <x:c r="K62" s="31" t="n">
        <x:v>0</x:v>
      </x:c>
      <x:c r="L62" s="31" t="n">
        <x:v>3.380817693</x:v>
      </x:c>
      <x:c r="M62" s="31" t="n">
        <x:v>0</x:v>
      </x:c>
      <x:c r="N62" s="24" t="str">
        <x:v>taractichthys steindachneri</x:v>
      </x:c>
      <x:c r="O62" s="32" t="n">
        <x:v>4.09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Taractichthys steindachneri</x:v>
      </x:c>
      <x:c r="T62" s="32" t="n">
        <x:f>IF(O62="","",(1/'Metadata'!$B$5)^(O62-1))</x:f>
        <x:v>1230.268770812381</x:v>
      </x:c>
      <x:c r="U62" s="31" t="n">
        <x:f>IF(T62="","",I62*T62)</x:f>
        <x:v>4159.314427507859</x:v>
      </x:c>
    </x:row>
    <x:row r="63" ht="18" customHeight="1">
      <x:c r="A63" s="24" t="str">
        <x:v>EEZ_882</x:v>
      </x:c>
      <x:c r="B63" s="24" t="str">
        <x:v>Samoa</x:v>
      </x:c>
      <x:c r="C63" s="24" t="str">
        <x:v>EEZ</x:v>
      </x:c>
      <x:c r="D63" s="30" t="n">
        <x:v>2019</x:v>
      </x:c>
      <x:c r="E63" s="24" t="str">
        <x:v>Thunnus orientalis</x:v>
      </x:c>
      <x:c r="F63" s="24" t="str">
        <x:v>Pacific bluefin tuna</x:v>
      </x:c>
      <x:c r="G63" s="24" t="str">
        <x:v>Large pelagics (&gt;=90 cm)</x:v>
      </x:c>
      <x:c r="H63" s="24" t="str">
        <x:v>Tuna &amp; billfishes</x:v>
      </x:c>
      <x:c r="I63" s="31" t="n">
        <x:v>1.6309548529</x:v>
      </x:c>
      <x:c r="J63" s="31" t="n">
        <x:v>1.6309548529</x:v>
      </x:c>
      <x:c r="K63" s="31" t="n">
        <x:v>0</x:v>
      </x:c>
      <x:c r="L63" s="31" t="n">
        <x:v>1.6309548529</x:v>
      </x:c>
      <x:c r="M63" s="31" t="n">
        <x:v>0</x:v>
      </x:c>
      <x:c r="N63" s="24" t="str">
        <x:v>thunnus orientalis</x:v>
      </x:c>
      <x:c r="O63" s="32" t="n">
        <x:v>4.05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orientalis</x:v>
      </x:c>
      <x:c r="T63" s="32" t="n">
        <x:f>IF(O63="","",(1/'Metadata'!$B$5)^(O63-1))</x:f>
        <x:v>1122.018454301963</x:v>
      </x:c>
      <x:c r="U63" s="31" t="n">
        <x:f>IF(T63="","",I63*T63)</x:f>
        <x:v>1829.9614430871434</x:v>
      </x:c>
    </x:row>
    <x:row r="64" ht="18" customHeight="1">
      <x:c r="A64" s="24" t="str">
        <x:v>EEZ_882</x:v>
      </x:c>
      <x:c r="B64" s="24" t="str">
        <x:v>Samoa</x:v>
      </x:c>
      <x:c r="C64" s="24" t="str">
        <x:v>EEZ</x:v>
      </x:c>
      <x:c r="D64" s="30" t="n">
        <x:v>2019</x:v>
      </x:c>
      <x:c r="E64" s="24" t="str">
        <x:v>Decapoda</x:v>
      </x:c>
      <x:c r="F64" s="24" t="str">
        <x:v>Crabs, lobsters, shrimps</x:v>
      </x:c>
      <x:c r="G64" s="24" t="str">
        <x:v>Lobsters, crabs</x:v>
      </x:c>
      <x:c r="H64" s="24" t="str">
        <x:v>Crustaceans</x:v>
      </x:c>
      <x:c r="I64" s="31" t="n">
        <x:v>1.087116291</x:v>
      </x:c>
      <x:c r="J64" s="31" t="n">
        <x:v>1.087116291</x:v>
      </x:c>
      <x:c r="K64" s="31" t="n">
        <x:v>0</x:v>
      </x:c>
      <x:c r="L64" s="31" t="n">
        <x:v>0.842216312</x:v>
      </x:c>
      <x:c r="M64" s="31" t="n">
        <x:v>0.244899979</x:v>
      </x:c>
      <x:c r="N64" s="24" t="str">
        <x:v>decapoda</x:v>
      </x:c>
      <x:c r="O64" s="32" t="n">
        <x:v>3.43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Decapoda</x:v>
      </x:c>
      <x:c r="T64" s="32" t="n">
        <x:f>IF(O64="","",(1/'Metadata'!$B$5)^(O64-1))</x:f>
        <x:v>269.1534803926917</x:v>
      </x:c>
      <x:c r="U64" s="31" t="n">
        <x:f>IF(T64="","",I64*T64)</x:f>
        <x:v>292.60113331424424</x:v>
      </x:c>
    </x:row>
    <x:row r="65" ht="18" customHeight="1">
      <x:c r="A65" s="24" t="str">
        <x:v>EEZ_882</x:v>
      </x:c>
      <x:c r="B65" s="24" t="str">
        <x:v>Samoa</x:v>
      </x:c>
      <x:c r="C65" s="24" t="str">
        <x:v>EEZ</x:v>
      </x:c>
      <x:c r="D65" s="30" t="n">
        <x:v>2019</x:v>
      </x:c>
      <x:c r="E65" s="24" t="str">
        <x:v>Sphyraena barracuda</x:v>
      </x:c>
      <x:c r="F65" s="24" t="str">
        <x:v>Great barracuda</x:v>
      </x:c>
      <x:c r="G65" s="24" t="str">
        <x:v>Large pelagics (&gt;=90 cm)</x:v>
      </x:c>
      <x:c r="H65" s="24" t="str">
        <x:v>Perch-likes</x:v>
      </x:c>
      <x:c r="I65" s="31" t="n">
        <x:v>0.352952644</x:v>
      </x:c>
      <x:c r="J65" s="31" t="n">
        <x:v>0.352952644</x:v>
      </x:c>
      <x:c r="K65" s="31" t="n">
        <x:v>0</x:v>
      </x:c>
      <x:c r="L65" s="31" t="n">
        <x:v>0.352952644</x:v>
      </x:c>
      <x:c r="M65" s="31" t="n">
        <x:v>0</x:v>
      </x:c>
      <x:c r="N65" s="24" t="str">
        <x:v>sphyraena barracuda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Sphyraena barracuda</x:v>
      </x:c>
      <x:c r="T65" s="32" t="n">
        <x:f>IF(O65="","",(1/'Metadata'!$B$5)^(O65-1))</x:f>
        <x:v>3090.295432513592</x:v>
      </x:c>
      <x:c r="U65" s="31" t="n">
        <x:f>IF(T65="","",I65*T65)</x:f>
        <x:v>1090.727943646796</x:v>
      </x:c>
    </x:row>
    <x:row r="66" ht="18" customHeight="1">
      <x:c r="A66" s="24" t="str">
        <x:v>EEZ_882</x:v>
      </x:c>
      <x:c r="B66" s="24" t="str">
        <x:v>Samoa</x:v>
      </x:c>
      <x:c r="C66" s="24" t="str">
        <x:v>EEZ</x:v>
      </x:c>
      <x:c r="D66" s="30" t="n">
        <x:v>2019</x:v>
      </x:c>
      <x:c r="E66" s="24" t="str">
        <x:v>Carcharhinus galapagensis</x:v>
      </x:c>
      <x:c r="F66" s="24" t="str">
        <x:v>Galapagos shark</x:v>
      </x:c>
      <x:c r="G66" s="24" t="str">
        <x:v>Large sharks (&gt;=90 cm)</x:v>
      </x:c>
      <x:c r="H66" s="24" t="str">
        <x:v>Sharks &amp; rays</x:v>
      </x:c>
      <x:c r="I66" s="31" t="n">
        <x:v>0.285679704</x:v>
      </x:c>
      <x:c r="J66" s="31" t="n">
        <x:v>0.285679704</x:v>
      </x:c>
      <x:c r="K66" s="31" t="n">
        <x:v>0</x:v>
      </x:c>
      <x:c r="L66" s="31" t="n">
        <x:v>0.285679704</x:v>
      </x:c>
      <x:c r="M66" s="31" t="n">
        <x:v>0</x:v>
      </x:c>
      <x:c r="N66" s="24" t="str">
        <x:v>carcharhinus galapagensis</x:v>
      </x:c>
      <x:c r="O66" s="32" t="n">
        <x:v>4.23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galapagensis</x:v>
      </x:c>
      <x:c r="T66" s="32" t="n">
        <x:f>IF(O66="","",(1/'Metadata'!$B$5)^(O66-1))</x:f>
        <x:v>1698.243652461746</x:v>
      </x:c>
      <x:c r="U66" s="31" t="n">
        <x:f>IF(T66="","",I66*T66)</x:f>
        <x:v>485.15374395515045</x:v>
      </x:c>
    </x:row>
    <x:row r="67" ht="18" customHeight="1">
      <x:c r="A67" s="24" t="str">
        <x:v>EEZ_882</x:v>
      </x:c>
      <x:c r="B67" s="24" t="str">
        <x:v>Samoa</x:v>
      </x:c>
      <x:c r="C67" s="24" t="str">
        <x:v>EEZ</x:v>
      </x:c>
      <x:c r="D67" s="30" t="n">
        <x:v>2019</x:v>
      </x:c>
      <x:c r="E67" s="24" t="str">
        <x:v>Tetrapturus angustirostris</x:v>
      </x:c>
      <x:c r="F67" s="24" t="str">
        <x:v>Shortbill spearfish</x:v>
      </x:c>
      <x:c r="G67" s="24" t="str">
        <x:v>Large pelagics (&gt;=90 cm)</x:v>
      </x:c>
      <x:c r="H67" s="24" t="str">
        <x:v>Tuna &amp; billfishes</x:v>
      </x:c>
      <x:c r="I67" s="31" t="n">
        <x:v>0.215238962</x:v>
      </x:c>
      <x:c r="J67" s="31" t="n">
        <x:v>0.215238962</x:v>
      </x:c>
      <x:c r="K67" s="31" t="n">
        <x:v>0</x:v>
      </x:c>
      <x:c r="L67" s="31" t="n">
        <x:v>0.215238962</x:v>
      </x:c>
      <x:c r="M67" s="31" t="n">
        <x:v>0</x:v>
      </x:c>
      <x:c r="N67" s="24" t="str">
        <x:v>tetrapturus angustirostris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angustirostris</x:v>
      </x:c>
      <x:c r="T67" s="32" t="n">
        <x:f>IF(O67="","",(1/'Metadata'!$B$5)^(O67-1))</x:f>
        <x:v>3162.2776601683795</x:v>
      </x:c>
      <x:c r="U67" s="31" t="n">
        <x:f>IF(T67="","",I67*T67)</x:f>
        <x:v>680.6453611304307</x:v>
      </x:c>
    </x:row>
    <x:row r="68" ht="18" customHeight="1">
      <x:c r="A68" s="24" t="str">
        <x:v>EEZ_882</x:v>
      </x:c>
      <x:c r="B68" s="24" t="str">
        <x:v>Samoa</x:v>
      </x:c>
      <x:c r="C68" s="24" t="str">
        <x:v>EEZ</x:v>
      </x:c>
      <x:c r="D68" s="30" t="n">
        <x:v>2019</x:v>
      </x:c>
      <x:c r="E68" s="24" t="str">
        <x:v>Lampris guttatus</x:v>
      </x:c>
      <x:c r="F68" s="24" t="str">
        <x:v>Opah</x:v>
      </x:c>
      <x:c r="G68" s="24" t="str">
        <x:v>Large bathypelagics (&gt;=90 cm)</x:v>
      </x:c>
      <x:c r="H68" s="24" t="str">
        <x:v>Other fishes &amp; inverts</x:v>
      </x:c>
      <x:c r="I68" s="31" t="n">
        <x:v>0.189929508</x:v>
      </x:c>
      <x:c r="J68" s="31" t="n">
        <x:v>0.189929508</x:v>
      </x:c>
      <x:c r="K68" s="31" t="n">
        <x:v>0</x:v>
      </x:c>
      <x:c r="L68" s="31" t="n">
        <x:v>0.189929508</x:v>
      </x:c>
      <x:c r="M68" s="31" t="n">
        <x:v>0</x:v>
      </x:c>
      <x:c r="N68" s="24" t="str">
        <x:v>lampris guttatus</x:v>
      </x:c>
      <x:c r="O68" s="32" t="n">
        <x:v>4.22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Lampris guttatus</x:v>
      </x:c>
      <x:c r="T68" s="32" t="n">
        <x:f>IF(O68="","",(1/'Metadata'!$B$5)^(O68-1))</x:f>
        <x:v>1659.5869074375596</x:v>
      </x:c>
      <x:c r="U68" s="31" t="n">
        <x:f>IF(T68="","",I68*T68)</x:f>
        <x:v>315.20452481285724</x:v>
      </x:c>
    </x:row>
    <x:row r="69" ht="18" customHeight="1">
      <x:c r="A69" s="24" t="str">
        <x:v>EEZ_882</x:v>
      </x:c>
      <x:c r="B69" s="24" t="str">
        <x:v>Samoa</x:v>
      </x:c>
      <x:c r="C69" s="24" t="str">
        <x:v>EEZ</x:v>
      </x:c>
      <x:c r="D69" s="30" t="n">
        <x:v>2019</x:v>
      </x:c>
      <x:c r="E69" s="24" t="str">
        <x:v>Alopias superciliosus</x:v>
      </x:c>
      <x:c r="F69" s="24" t="str">
        <x:v>Bigeye thresher</x:v>
      </x:c>
      <x:c r="G69" s="24" t="str">
        <x:v>Large sharks (&gt;=90 cm)</x:v>
      </x:c>
      <x:c r="H69" s="24" t="str">
        <x:v>Sharks &amp; rays</x:v>
      </x:c>
      <x:c r="I69" s="31" t="n">
        <x:v>0.129854411</x:v>
      </x:c>
      <x:c r="J69" s="31" t="n">
        <x:v>0.129854411</x:v>
      </x:c>
      <x:c r="K69" s="31" t="n">
        <x:v>0</x:v>
      </x:c>
      <x:c r="L69" s="31" t="n">
        <x:v>0.129854411</x:v>
      </x:c>
      <x:c r="M69" s="31" t="n">
        <x:v>0</x:v>
      </x:c>
      <x:c r="N69" s="24" t="str">
        <x:v>alopias superciliosus</x:v>
      </x:c>
      <x:c r="O69" s="32" t="n">
        <x:v>4.51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Alopias superciliosus</x:v>
      </x:c>
      <x:c r="T69" s="32" t="n">
        <x:f>IF(O69="","",(1/'Metadata'!$B$5)^(O69-1))</x:f>
        <x:v>3235.936569296281</x:v>
      </x:c>
      <x:c r="U69" s="31" t="n">
        <x:f>IF(T69="","",I69*T69)</x:f>
        <x:v>420.2006372393293</x:v>
      </x:c>
    </x:row>
    <x:row r="70" ht="18" customHeight="1">
      <x:c r="A70" s="24" t="str">
        <x:v>EEZ_882</x:v>
      </x:c>
      <x:c r="B70" s="24" t="str">
        <x:v>Samoa</x:v>
      </x:c>
      <x:c r="C70" s="24" t="str">
        <x:v>EEZ</x:v>
      </x:c>
      <x:c r="D70" s="30" t="n">
        <x:v>2019</x:v>
      </x:c>
      <x:c r="E70" s="24" t="str">
        <x:v>Ruvettus pretiosus</x:v>
      </x:c>
      <x:c r="F70" s="24" t="str">
        <x:v>Oilfish</x:v>
      </x:c>
      <x:c r="G70" s="24" t="str">
        <x:v>Large benthopelagics (&gt;=90 cm)</x:v>
      </x:c>
      <x:c r="H70" s="24" t="str">
        <x:v>Perch-likes</x:v>
      </x:c>
      <x:c r="I70" s="31" t="n">
        <x:v>0.063132401</x:v>
      </x:c>
      <x:c r="J70" s="31" t="n">
        <x:v>0.063132401</x:v>
      </x:c>
      <x:c r="K70" s="31" t="n">
        <x:v>0</x:v>
      </x:c>
      <x:c r="L70" s="31" t="n">
        <x:v>0.063132401</x:v>
      </x:c>
      <x:c r="M70" s="31" t="n">
        <x:v>0</x:v>
      </x:c>
      <x:c r="N70" s="24" t="str">
        <x:v>ruvettus pretiosus</x:v>
      </x:c>
      <x:c r="O70" s="32" t="n">
        <x:v>4.18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Ruvettus pretiosus</x:v>
      </x:c>
      <x:c r="T70" s="32" t="n">
        <x:f>IF(O70="","",(1/'Metadata'!$B$5)^(O70-1))</x:f>
        <x:v>1513.5612484362073</x:v>
      </x:c>
      <x:c r="U70" s="31" t="n">
        <x:f>IF(T70="","",I70*T70)</x:f>
        <x:v>95.55475567433527</x:v>
      </x:c>
    </x:row>
    <x:row r="71" ht="18" customHeight="1">
      <x:c r="A71" s="24" t="str">
        <x:v>EEZ_882</x:v>
      </x:c>
      <x:c r="B71" s="24" t="str">
        <x:v>Samoa</x:v>
      </x:c>
      <x:c r="C71" s="24" t="str">
        <x:v>EEZ</x:v>
      </x:c>
      <x:c r="D71" s="30" t="n">
        <x:v>2019</x:v>
      </x:c>
      <x:c r="E71" s="24" t="str">
        <x:v>Lepidocybium flavobrunneum</x:v>
      </x:c>
      <x:c r="F71" s="24" t="str">
        <x:v>Escolar</x:v>
      </x:c>
      <x:c r="G71" s="24" t="str">
        <x:v>Large bathypelagics (&gt;=90 cm)</x:v>
      </x:c>
      <x:c r="H71" s="24" t="str">
        <x:v>Perch-likes</x:v>
      </x:c>
      <x:c r="I71" s="31" t="n">
        <x:v>0.00752355</x:v>
      </x:c>
      <x:c r="J71" s="31" t="n">
        <x:v>0.00752355</x:v>
      </x:c>
      <x:c r="K71" s="31" t="n">
        <x:v>0</x:v>
      </x:c>
      <x:c r="L71" s="31" t="n">
        <x:v>0.00752355</x:v>
      </x:c>
      <x:c r="M71" s="31" t="n">
        <x:v>0</x:v>
      </x:c>
      <x:c r="N71" s="24" t="str">
        <x:v>lepidocybium flavobrunneum</x:v>
      </x:c>
      <x:c r="O71" s="32" t="n">
        <x:v>4.34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Lepidocybium flavobrunneum</x:v>
      </x:c>
      <x:c r="T71" s="32" t="n">
        <x:f>IF(O71="","",(1/'Metadata'!$B$5)^(O71-1))</x:f>
        <x:v>2187.761623949552</x:v>
      </x:c>
      <x:c r="U71" s="31" t="n">
        <x:f>IF(T71="","",I71*T71)</x:f>
        <x:v>16.459733965865652</x:v>
      </x:c>
    </x:row>
    <x:row r="72" ht="18" customHeight="1">
      <x:c r="A72" s="24" t="str">
        <x:v>EEZ_882</x:v>
      </x:c>
      <x:c r="B72" s="24" t="str">
        <x:v>Samoa</x:v>
      </x:c>
      <x:c r="C72" s="24" t="str">
        <x:v>EEZ</x:v>
      </x:c>
      <x:c r="D72" s="30" t="n">
        <x:v>2019</x:v>
      </x:c>
      <x:c r="E72" s="24" t="str">
        <x:v>Elagatis bipinnulata</x:v>
      </x:c>
      <x:c r="F72" s="24" t="str">
        <x:v>Rainbow runner</x:v>
      </x:c>
      <x:c r="G72" s="24" t="str">
        <x:v>Large pelagics (&gt;=90 cm)</x:v>
      </x:c>
      <x:c r="H72" s="24" t="str">
        <x:v>Perch-likes</x:v>
      </x:c>
      <x:c r="I72" s="31" t="n">
        <x:v>0.001962665</x:v>
      </x:c>
      <x:c r="J72" s="31" t="n">
        <x:v>0.001962665</x:v>
      </x:c>
      <x:c r="K72" s="31" t="n">
        <x:v>0</x:v>
      </x:c>
      <x:c r="L72" s="31" t="n">
        <x:v>0.001962665</x:v>
      </x:c>
      <x:c r="M72" s="31" t="n">
        <x:v>0</x:v>
      </x:c>
      <x:c r="N72" s="24" t="str">
        <x:v>elagatis bipinnulata</x:v>
      </x:c>
      <x:c r="O72" s="32" t="n">
        <x:v>4.27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Elagatis bipinnulata</x:v>
      </x:c>
      <x:c r="T72" s="32" t="n">
        <x:f>IF(O72="","",(1/'Metadata'!$B$5)^(O72-1))</x:f>
        <x:v>1862.0871366628655</x:v>
      </x:c>
      <x:c r="U72" s="31" t="n">
        <x:f>IF(T72="","",I72*T72)</x:f>
        <x:v>3.6546532500784235</x:v>
      </x:c>
    </x:row>
    <x:row r="73" ht="18" customHeight="1">
      <x:c r="A73" s="24" t="str">
        <x:v>EEZ_882</x:v>
      </x:c>
      <x:c r="B73" s="24" t="str">
        <x:v>Samoa</x:v>
      </x:c>
      <x:c r="C73" s="24" t="str">
        <x:v>EEZ</x:v>
      </x:c>
      <x:c r="D73" s="30" t="n">
        <x:v>2019</x:v>
      </x:c>
      <x:c r="E73" s="24" t="str">
        <x:v>Alepisaurus ferox</x:v>
      </x:c>
      <x:c r="F73" s="24" t="str">
        <x:v>Long snouted lancetfish</x:v>
      </x:c>
      <x:c r="G73" s="24" t="str">
        <x:v>Large bathypelagics (&gt;=90 cm)</x:v>
      </x:c>
      <x:c r="H73" s="24" t="str">
        <x:v>Other fishes &amp; inverts</x:v>
      </x:c>
      <x:c r="I73" s="31" t="n">
        <x:v>0.001308444</x:v>
      </x:c>
      <x:c r="J73" s="31" t="n">
        <x:v>0.001308444</x:v>
      </x:c>
      <x:c r="K73" s="31" t="n">
        <x:v>0</x:v>
      </x:c>
      <x:c r="L73" s="31" t="n">
        <x:v>0.001308444</x:v>
      </x:c>
      <x:c r="M73" s="31" t="n">
        <x:v>0</x:v>
      </x:c>
      <x:c r="N73" s="24" t="str">
        <x:v>alepisaurus ferox</x:v>
      </x:c>
      <x:c r="O73" s="32" t="n">
        <x:v>4.03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Alepisaurus ferox</x:v>
      </x:c>
      <x:c r="T73" s="32" t="n">
        <x:f>IF(O73="","",(1/'Metadata'!$B$5)^(O73-1))</x:f>
        <x:v>1071.519305237607</x:v>
      </x:c>
      <x:c r="U73" s="31" t="n">
        <x:f>IF(T73="","",I73*T73)</x:f>
        <x:v>1.4020230058223155</x:v>
      </x:c>
    </x:row>
  </x:sheetData>
  <x:conditionalFormatting sqref="R2:R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0ee90458f0244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741.8525091839999</x:v>
      </x:c>
      <x:c r="C2" s="32" t="n">
        <x:v>3.3518142463579723</x:v>
      </x:c>
      <x:c r="D2" s="32" t="n">
        <x:f>IF(C2="","",(1/'Metadata'!$B$5)^(C2-1))</x:f>
        <x:v>224.80928603581674</x:v>
      </x:c>
      <x:c r="E2" s="31" t="n">
        <x:f>IF(B2=0,"",B2*D2)</x:f>
        <x:v>166775.3329335342</x:v>
      </x:c>
    </x:row>
    <x:row r="3" ht="18" customHeight="1">
      <x:c r="A3" s="24" t="str">
        <x:v>Molluscs</x:v>
      </x:c>
      <x:c r="B3" s="31" t="n">
        <x:v>75.446592874</x:v>
      </x:c>
      <x:c r="C3" s="32" t="n">
        <x:v>2.139576193759824</x:v>
      </x:c>
      <x:c r="D3" s="32" t="n">
        <x:f>IF(C3="","",(1/'Metadata'!$B$5)^(C3-1))</x:f>
        <x:v>13.790378737581438</x:v>
      </x:c>
      <x:c r="E3" s="31" t="n">
        <x:f>IF(B3=0,"",B3*D3)</x:f>
        <x:v>1040.437090192573</x:v>
      </x:c>
    </x:row>
    <x:row r="4" ht="18" customHeight="1">
      <x:c r="A4" s="24" t="str">
        <x:v>Other fishes &amp; inverts</x:v>
      </x:c>
      <x:c r="B4" s="31" t="n">
        <x:v>2170.7501251286008</x:v>
      </x:c>
      <x:c r="C4" s="32" t="n">
        <x:v>3.3620523400051017</x:v>
      </x:c>
      <x:c r="D4" s="32" t="n">
        <x:f>IF(C4="","",(1/'Metadata'!$B$5)^(C4-1))</x:f>
        <x:v>230.1719197712384</x:v>
      </x:c>
      <x:c r="E4" s="31" t="n">
        <x:f>IF(B4=0,"",B4*D4)</x:f>
        <x:v>499645.723644506</x:v>
      </x:c>
    </x:row>
    <x:row r="5" ht="18" customHeight="1">
      <x:c r="A5" s="24" t="str">
        <x:v>Perch-likes</x:v>
      </x:c>
      <x:c r="B5" s="31" t="n">
        <x:v>4402.0093455572005</x:v>
      </x:c>
      <x:c r="C5" s="32" t="n">
        <x:v>3.4144200455090203</x:v>
      </x:c>
      <x:c r="D5" s="32" t="n">
        <x:f>IF(C5="","",(1/'Metadata'!$B$5)^(C5-1))</x:f>
        <x:v>259.66896415879336</x:v>
      </x:c>
      <x:c r="E5" s="31" t="n">
        <x:f>IF(B5=0,"",B5*D5)</x:f>
        <x:v>1143065.206978166</x:v>
      </x:c>
    </x:row>
    <x:row r="6" ht="18" customHeight="1">
      <x:c r="A6" s="24" t="str">
        <x:v>Sharks &amp; rays</x:v>
      </x:c>
      <x:c r="B6" s="31" t="n">
        <x:v>1618.7243629411998</x:v>
      </x:c>
      <x:c r="C6" s="32" t="n">
        <x:v>4.313929565368729</x:v>
      </x:c>
      <x:c r="D6" s="32" t="n">
        <x:f>IF(C6="","",(1/'Metadata'!$B$5)^(C6-1))</x:f>
        <x:v>2060.295743840484</x:v>
      </x:c>
      <x:c r="E6" s="31" t="n">
        <x:f>IF(B6=0,"",B6*D6)</x:f>
        <x:v>3335050.9154186533</x:v>
      </x:c>
    </x:row>
    <x:row r="7" ht="18" customHeight="1">
      <x:c r="A7" s="24" t="str">
        <x:v>Tuna &amp; billfishes</x:v>
      </x:c>
      <x:c r="B7" s="31" t="n">
        <x:v>4970.237573136599</x:v>
      </x:c>
      <x:c r="C7" s="32" t="n">
        <x:v>4.344247471998714</x:v>
      </x:c>
      <x:c r="D7" s="32" t="n">
        <x:f>IF(C7="","",(1/'Metadata'!$B$5)^(C7-1))</x:f>
        <x:v>2209.263268594629</x:v>
      </x:c>
      <x:c r="E7" s="31" t="n">
        <x:f>IF(B7=0,"",B7*D7)</x:f>
        <x:v>10980563.3065196</x:v>
      </x:c>
    </x:row>
  </x:sheetData>
  <x:pageMargins left="0.7" right="0.7" top="0.75" bottom="0.75" header="0.3" footer="0.3"/>
  <x:tableParts count="1">
    <x:tablePart xmlns:r="http://schemas.openxmlformats.org/officeDocument/2006/relationships" r:id="Rc5ad9d897b2d44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978.56965741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617435.7124283058</x:v>
      </x:c>
    </x:row>
    <x:row r="3" ht="18" customHeight="1">
      <x:c r="A3" s="24" t="str">
        <x:v>Large bathypelagics (&gt;=90 cm)</x:v>
      </x:c>
      <x:c r="B3" s="31" t="n">
        <x:v>0.19876150199999998</x:v>
      </x:c>
      <x:c r="C3" s="32" t="n">
        <x:v>4.22329149072339</x:v>
      </x:c>
      <x:c r="D3" s="32" t="n">
        <x:f>IF(C3="","",(1/'Metadata'!$B$5)^(C3-1))</x:f>
        <x:v>1672.212597061603</x:v>
      </x:c>
      <x:c r="E3" s="31" t="n">
        <x:f>IF(B3=0,"",B3*D3)</x:f>
        <x:v>332.371487455285</x:v>
      </x:c>
    </x:row>
    <x:row r="4" ht="18" customHeight="1">
      <x:c r="A4" s="24" t="str">
        <x:v>Large benthopelagics (&gt;=90 cm)</x:v>
      </x:c>
      <x:c r="B4" s="31" t="n">
        <x:v>0.063132401</x:v>
      </x:c>
      <x:c r="C4" s="32" t="n">
        <x:v>4.18</x:v>
      </x:c>
      <x:c r="D4" s="32" t="n">
        <x:f>IF(C4="","",(1/'Metadata'!$B$5)^(C4-1))</x:f>
        <x:v>1513.5612484362073</x:v>
      </x:c>
      <x:c r="E4" s="31" t="n">
        <x:f>IF(B4=0,"",B4*D4)</x:f>
        <x:v>95.55475567433527</x:v>
      </x:c>
    </x:row>
    <x:row r="5" ht="18" customHeight="1">
      <x:c r="A5" s="24" t="str">
        <x:v>Large pelagics (&gt;=90 cm)</x:v>
      </x:c>
      <x:c r="B5" s="31" t="n">
        <x:v>5022.2865061383</x:v>
      </x:c>
      <x:c r="C5" s="32" t="n">
        <x:v>4.344374687074145</x:v>
      </x:c>
      <x:c r="D5" s="32" t="n">
        <x:f>IF(C5="","",(1/'Metadata'!$B$5)^(C5-1))</x:f>
        <x:v>2209.910508595153</x:v>
      </x:c>
      <x:c r="E5" s="31" t="n">
        <x:f>IF(B5=0,"",B5*D5)</x:f>
        <x:v>11098803.727090664</x:v>
      </x:c>
    </x:row>
    <x:row r="6" ht="18" customHeight="1">
      <x:c r="A6" s="24" t="str">
        <x:v>Large reef assoc. fish (&gt;=90 cm)</x:v>
      </x:c>
      <x:c r="B6" s="31" t="n">
        <x:v>215.222424514</x:v>
      </x:c>
      <x:c r="C6" s="32" t="n">
        <x:v>4.198077019476364</x:v>
      </x:c>
      <x:c r="D6" s="32" t="n">
        <x:f>IF(C6="","",(1/'Metadata'!$B$5)^(C6-1))</x:f>
        <x:v>1577.8910742417575</x:v>
      </x:c>
      <x:c r="E6" s="31" t="n">
        <x:f>IF(B6=0,"",B6*D6)</x:f>
        <x:v>339597.542617311</x:v>
      </x:c>
    </x:row>
    <x:row r="7" ht="18" customHeight="1">
      <x:c r="A7" s="24" t="str">
        <x:v>Large sharks (&gt;=90 cm)</x:v>
      </x:c>
      <x:c r="B7" s="31" t="n">
        <x:v>1618.7243629411998</x:v>
      </x:c>
      <x:c r="C7" s="32" t="n">
        <x:v>4.313929565368729</x:v>
      </x:c>
      <x:c r="D7" s="32" t="n">
        <x:f>IF(C7="","",(1/'Metadata'!$B$5)^(C7-1))</x:f>
        <x:v>2060.295743840484</x:v>
      </x:c>
      <x:c r="E7" s="31" t="n">
        <x:f>IF(B7=0,"",B7*D7)</x:f>
        <x:v>3335050.9154186533</x:v>
      </x:c>
    </x:row>
    <x:row r="8" ht="18" customHeight="1">
      <x:c r="A8" s="24" t="str">
        <x:v>Lobsters, crabs</x:v>
      </x:c>
      <x:c r="B8" s="31" t="n">
        <x:v>741.8525091839999</x:v>
      </x:c>
      <x:c r="C8" s="32" t="n">
        <x:v>3.3518142463579723</x:v>
      </x:c>
      <x:c r="D8" s="32" t="n">
        <x:f>IF(C8="","",(1/'Metadata'!$B$5)^(C8-1))</x:f>
        <x:v>224.80928603581674</x:v>
      </x:c>
      <x:c r="E8" s="31" t="n">
        <x:f>IF(B8=0,"",B8*D8)</x:f>
        <x:v>166775.3329335342</x:v>
      </x:c>
    </x:row>
    <x:row r="9" ht="18" customHeight="1">
      <x:c r="A9" s="24" t="str">
        <x:v>Medium bathydemersals (30 - 89 cm)</x:v>
      </x:c>
      <x:c r="B9" s="31" t="n">
        <x:v>280.673561227</x:v>
      </x:c>
      <x:c r="C9" s="32" t="n">
        <x:v>4.36</x:v>
      </x:c>
      <x:c r="D9" s="32" t="n">
        <x:f>IF(C9="","",(1/'Metadata'!$B$5)^(C9-1))</x:f>
        <x:v>2290.867652767775</x:v>
      </x:c>
      <x:c r="E9" s="31" t="n">
        <x:f>IF(B9=0,"",B9*D9)</x:f>
        <x:v>642985.9824020698</x:v>
      </x:c>
    </x:row>
    <x:row r="10" ht="18" customHeight="1">
      <x:c r="A10" s="24" t="str">
        <x:v>Medium benthopelagics (30 - 89 cm)</x:v>
      </x:c>
      <x:c r="B10" s="31" t="n">
        <x:v>3.380817693</x:v>
      </x:c>
      <x:c r="C10" s="32" t="n">
        <x:v>4.09</x:v>
      </x:c>
      <x:c r="D10" s="32" t="n">
        <x:f>IF(C10="","",(1/'Metadata'!$B$5)^(C10-1))</x:f>
        <x:v>1230.268770812381</x:v>
      </x:c>
      <x:c r="E10" s="31" t="n">
        <x:f>IF(B10=0,"",B10*D10)</x:f>
        <x:v>4159.314427507859</x:v>
      </x:c>
    </x:row>
    <x:row r="11" ht="18" customHeight="1">
      <x:c r="A11" s="24" t="str">
        <x:v>Medium demersals (30 - 89 cm)</x:v>
      </x:c>
      <x:c r="B11" s="31" t="n">
        <x:v>1073.391084949</x:v>
      </x:c>
      <x:c r="C11" s="32" t="n">
        <x:v>3.658509813065481</x:v>
      </x:c>
      <x:c r="D11" s="32" t="n">
        <x:f>IF(C11="","",(1/'Metadata'!$B$5)^(C11-1))</x:f>
        <x:v>455.52247877040577</x:v>
      </x:c>
      <x:c r="E11" s="31" t="n">
        <x:f>IF(B11=0,"",B11*D11)</x:f>
        <x:v>488953.7677060237</x:v>
      </x:c>
    </x:row>
    <x:row r="12" ht="18" customHeight="1">
      <x:c r="A12" s="24" t="str">
        <x:v>Medium pelagics (30 - 89 cm)</x:v>
      </x:c>
      <x:c r="B12" s="31" t="n">
        <x:v>339.16383104109997</x:v>
      </x:c>
      <x:c r="C12" s="32" t="n">
        <x:v>3.9926360918733477</x:v>
      </x:c>
      <x:c r="D12" s="32" t="n">
        <x:f>IF(C12="","",(1/'Metadata'!$B$5)^(C12-1))</x:f>
        <x:v>983.1869192517715</x:v>
      </x:c>
      <x:c r="E12" s="31" t="n">
        <x:f>IF(B12=0,"",B12*D12)</x:f>
        <x:v>333461.4421629274</x:v>
      </x:c>
    </x:row>
    <x:row r="13" ht="18" customHeight="1">
      <x:c r="A13" s="24" t="str">
        <x:v>Medium reef assoc. fish (30 - 89 cm)</x:v>
      </x:c>
      <x:c r="B13" s="31" t="n">
        <x:v>2825.839992755</x:v>
      </x:c>
      <x:c r="C13" s="32" t="n">
        <x:v>3.2018576567572294</x:v>
      </x:c>
      <x:c r="D13" s="32" t="n">
        <x:f>IF(C13="","",(1/'Metadata'!$B$5)^(C13-1))</x:f>
        <x:v>159.16869543246472</x:v>
      </x:c>
      <x:c r="E13" s="31" t="n">
        <x:f>IF(B13=0,"",B13*D13)</x:f>
        <x:v>449785.26514769887</x:v>
      </x:c>
    </x:row>
    <x:row r="14" ht="18" customHeight="1">
      <x:c r="A14" s="24" t="str">
        <x:v>Other demersal invertebrates</x:v>
      </x:c>
      <x:c r="B14" s="31" t="n">
        <x:v>609.0805407760001</x:v>
      </x:c>
      <x:c r="C14" s="32" t="n">
        <x:v>2.392500834265152</x:v>
      </x:c>
      <x:c r="D14" s="32" t="n">
        <x:f>IF(C14="","",(1/'Metadata'!$B$5)^(C14-1))</x:f>
        <x:v>24.688848475467452</x:v>
      </x:c>
      <x:c r="E14" s="31" t="n">
        <x:f>IF(B14=0,"",B14*D14)</x:f>
        <x:v>15037.497180574443</x:v>
      </x:c>
    </x:row>
    <x:row r="15" ht="18" customHeight="1">
      <x:c r="A15" s="24" t="str">
        <x:v>Small reef assoc. fish (&lt;30 cm)</x:v>
      </x:c>
      <x:c r="B15" s="31" t="n">
        <x:v>270.57332629</x:v>
      </x:c>
      <x:c r="C15" s="32" t="n">
        <x:v>2.2769079975765485</x:v>
      </x:c>
      <x:c r="D15" s="32" t="n">
        <x:f>IF(C15="","",(1/'Metadata'!$B$5)^(C15-1))</x:f>
        <x:v>18.919427805812088</x:v>
      </x:c>
      <x:c r="E15" s="31" t="n">
        <x:f>IF(B15=0,"",B15*D15)</x:f>
        <x:v>5119.092512922093</x:v>
      </x:c>
    </x:row>
  </x:sheetData>
  <x:pageMargins left="0.7" right="0.7" top="0.75" bottom="0.75" header="0.3" footer="0.3"/>
  <x:tableParts count="1">
    <x:tablePart xmlns:r="http://schemas.openxmlformats.org/officeDocument/2006/relationships" r:id="R43dedc0f452847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EEZ_882</x:v>
      </x:c>
      <x:c r="B2" s="24" t="str">
        <x:v>raw_filtered_tonnes</x:v>
      </x:c>
      <x:c r="C2" s="24" t="n">
        <x:v>13979.020508821599</x:v>
      </x:c>
      <x:c r="D2" s="24" t="str">
        <x:v>tonnes</x:v>
      </x:c>
    </x:row>
    <x:row r="3" ht="18" customHeight="1">
      <x:c r="A3" s="24" t="str">
        <x:v>EEZ_882</x:v>
      </x:c>
      <x:c r="B3" s="24" t="str">
        <x:v>species_catch_tonnes</x:v>
      </x:c>
      <x:c r="C3" s="24" t="n">
        <x:v>13979.020508821603</x:v>
      </x:c>
      <x:c r="D3" s="24" t="str">
        <x:v>tonnes</x:v>
      </x:c>
    </x:row>
    <x:row r="4" ht="18" customHeight="1">
      <x:c r="A4" s="24" t="str">
        <x:v>EEZ_882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EEZ_882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EEZ_882</x:v>
      </x:c>
      <x:c r="B6" s="24" t="str">
        <x:v>matched_catch_tonnes</x:v>
      </x:c>
      <x:c r="C6" s="24" t="n">
        <x:v>13979.020508821603</x:v>
      </x:c>
      <x:c r="D6" s="24" t="str">
        <x:v>tonnes</x:v>
      </x:c>
    </x:row>
    <x:row r="7" ht="18" customHeight="1">
      <x:c r="A7" s="24" t="str">
        <x:v>EEZ_882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EEZ_882</x:v>
      </x:c>
      <x:c r="B8" s="24" t="str">
        <x:v>taxa_count</x:v>
      </x:c>
      <x:c r="C8" s="24" t="n">
        <x:v>72</x:v>
      </x:c>
      <x:c r="D8" s="24" t="str">
        <x:v>count</x:v>
      </x:c>
    </x:row>
    <x:row r="9" ht="18" customHeight="1">
      <x:c r="A9" s="24" t="str">
        <x:v>EEZ_882</x:v>
      </x:c>
      <x:c r="B9" s="24" t="str">
        <x:v>matched_taxa_count</x:v>
      </x:c>
      <x:c r="C9" s="24" t="n">
        <x:v>72</x:v>
      </x:c>
      <x:c r="D9" s="24" t="str">
        <x:v>count</x:v>
      </x:c>
    </x:row>
    <x:row r="10" ht="18" customHeight="1">
      <x:c r="A10" s="24" t="str">
        <x:v>EEZ_882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EEZ_882</x:v>
      </x:c>
      <x:c r="B11" s="24" t="str">
        <x:v>species_ppr</x:v>
      </x:c>
      <x:c r="C11" s="24" t="n">
        <x:v>18932962.27433015</x:v>
      </x:c>
      <x:c r="D11" s="24" t="str">
        <x:v>tonnes_primary_production_equivalent</x:v>
      </x:c>
    </x:row>
    <x:row r="12" ht="18" customHeight="1">
      <x:c r="A12" s="24" t="str">
        <x:v>EEZ_882</x:v>
      </x:c>
      <x:c r="B12" s="24" t="str">
        <x:v>commercial_ppr</x:v>
      </x:c>
      <x:c r="C12" s="24" t="n">
        <x:v>16126140.922584653</x:v>
      </x:c>
      <x:c r="D12" s="24" t="str">
        <x:v>tonnes_primary_production_equivalent</x:v>
      </x:c>
    </x:row>
    <x:row r="13" ht="18" customHeight="1">
      <x:c r="A13" s="24" t="str">
        <x:v>EEZ_882</x:v>
      </x:c>
      <x:c r="B13" s="24" t="str">
        <x:v>functional_ppr</x:v>
      </x:c>
      <x:c r="C13" s="24" t="n">
        <x:v>17497593.51827132</x:v>
      </x:c>
      <x:c r="D13" s="24" t="str">
        <x:v>tonnes_primary_production_equivalent</x:v>
      </x:c>
    </x:row>
    <x:row r="14" ht="18" customHeight="1">
      <x:c r="A14" s="24" t="str">
        <x:v>EEZ_882</x:v>
      </x:c>
      <x:c r="B14" s="24" t="str">
        <x:v>commercial_ppr_difference</x:v>
      </x:c>
      <x:c r="C14" s="24" t="n">
        <x:v>-2806821.3517454974</x:v>
      </x:c>
      <x:c r="D14" s="24" t="str">
        <x:v>tonnes_primary_production_equivalent</x:v>
      </x:c>
    </x:row>
    <x:row r="15" ht="18" customHeight="1">
      <x:c r="A15" s="24" t="str">
        <x:v>EEZ_882</x:v>
      </x:c>
      <x:c r="B15" s="24" t="str">
        <x:v>functional_ppr_difference</x:v>
      </x:c>
      <x:c r="C15" s="24" t="n">
        <x:v>-1435368.7560588308</x:v>
      </x:c>
      <x:c r="D15" s="24" t="str">
        <x:v>tonnes_primary_production_equivalent</x:v>
      </x:c>
    </x:row>
    <x:row r="16" ht="18" customHeight="1">
      <x:c r="A16" s="24" t="str">
        <x:v>EEZ_882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EEZ_882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37ca7e68dc74f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EEZ_882 - Samoa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EEZ_882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raw_data/SAU_downloads/EEZ_882-catch.zip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