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dc0336918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0cb845f6f134324"/>
    <x:sheet xmlns:r="http://schemas.openxmlformats.org/officeDocument/2006/relationships" name="Commercial" sheetId="2" r:id="R81418c0534614ccd"/>
    <x:sheet xmlns:r="http://schemas.openxmlformats.org/officeDocument/2006/relationships" name="Functional" sheetId="3" r:id="R9a1408dad7a8468a"/>
    <x:sheet xmlns:r="http://schemas.openxmlformats.org/officeDocument/2006/relationships" name="Missing TL" sheetId="4" r:id="Rd81439fee61c4422"/>
    <x:sheet xmlns:r="http://schemas.openxmlformats.org/officeDocument/2006/relationships" name="Validation" sheetId="5" r:id="R7d7201ce66d24f2c"/>
    <x:sheet xmlns:r="http://schemas.openxmlformats.org/officeDocument/2006/relationships" name="Metadata" sheetId="6" r:id="R943f82c89b7c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e209cac014291" /><Relationship Type="http://schemas.openxmlformats.org/officeDocument/2006/relationships/theme" Target="/xl/theme/theme1.xml" Id="R41cd057bc5d7475d" /><Relationship Type="http://schemas.microsoft.com/office/2022/11/relationships/FeaturePropertyBag" Target="/xl/featurePropertyBag/featurePropertyBag.xml" Id="Ra487640d931e4353" /><Relationship Type="http://schemas.openxmlformats.org/officeDocument/2006/relationships/sharedStrings" Target="/xl/sharedStrings.xml" Id="R931631509cd34333" /><Relationship Type="http://schemas.openxmlformats.org/officeDocument/2006/relationships/worksheet" Target="/xl/worksheets/sheet1.xml" Id="Rd0cb845f6f134324" /><Relationship Type="http://schemas.openxmlformats.org/officeDocument/2006/relationships/worksheet" Target="/xl/worksheets/sheet2.xml" Id="R81418c0534614ccd" /><Relationship Type="http://schemas.openxmlformats.org/officeDocument/2006/relationships/worksheet" Target="/xl/worksheets/sheet3.xml" Id="R9a1408dad7a8468a" /><Relationship Type="http://schemas.openxmlformats.org/officeDocument/2006/relationships/worksheet" Target="/xl/worksheets/sheet4.xml" Id="Rd81439fee61c4422" /><Relationship Type="http://schemas.openxmlformats.org/officeDocument/2006/relationships/worksheet" Target="/xl/worksheets/sheet5.xml" Id="R7d7201ce66d24f2c" /><Relationship Type="http://schemas.openxmlformats.org/officeDocument/2006/relationships/worksheet" Target="/xl/worksheets/sheet6.xml" Id="R943f82c89b7c47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49SpeciesTable" displayName="EEZ649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49CommercialTable" displayName="EEZ649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49FunctionalTable" displayName="EEZ649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49ValidationTable" displayName="EEZ64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93d4370d2442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c582474afe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d1ece0ddf64a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159b94ab894b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EEZ_649</x:v>
      </x:c>
      <x:c r="B2" s="24" t="str">
        <x:v>Russia (Far East)</x:v>
      </x:c>
      <x:c r="C2" s="24" t="str">
        <x:v>EEZ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3649596.0327009773</x:v>
      </x:c>
      <x:c r="J2" s="31" t="n">
        <x:v>2364619.3534023073</x:v>
      </x:c>
      <x:c r="K2" s="31" t="n">
        <x:v>1284976.67929867</x:v>
      </x:c>
      <x:c r="L2" s="31" t="n">
        <x:v>1753003.583402307</x:v>
      </x:c>
      <x:c r="M2" s="31" t="n">
        <x:v>1896592.4492986698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1355953498.121689</x:v>
      </x:c>
    </x:row>
    <x:row r="3" ht="18" customHeight="1">
      <x:c r="A3" s="24" t="str">
        <x:v>EEZ_649</x:v>
      </x:c>
      <x:c r="B3" s="24" t="str">
        <x:v>Russia (Far East)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716435.4360745624</x:v>
      </x:c>
      <x:c r="J3" s="31" t="n">
        <x:v>534827.5445407986</x:v>
      </x:c>
      <x:c r="K3" s="31" t="n">
        <x:v>181607.8915337638</x:v>
      </x:c>
      <x:c r="L3" s="31" t="n">
        <x:v>437032.75432150747</x:v>
      </x:c>
      <x:c r="M3" s="31" t="n">
        <x:v>279402.6817530549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136513958.03969473</x:v>
      </x:c>
    </x:row>
    <x:row r="4" ht="18" customHeight="1">
      <x:c r="A4" s="24" t="str">
        <x:v>EEZ_649</x:v>
      </x:c>
      <x:c r="B4" s="24" t="str">
        <x:v>Russia (Far East)</x:v>
      </x:c>
      <x:c r="C4" s="24" t="str">
        <x:v>EEZ</x:v>
      </x:c>
      <x:c r="D4" s="30" t="n">
        <x:v>2019</x:v>
      </x:c>
      <x:c r="E4" s="24" t="str">
        <x:v>Clupea pallasii</x:v>
      </x:c>
      <x:c r="F4" s="24" t="str">
        <x:v>Pacific herring</x:v>
      </x:c>
      <x:c r="G4" s="24" t="str">
        <x:v>Medium pelagics (30 - 89 cm)</x:v>
      </x:c>
      <x:c r="H4" s="24" t="str">
        <x:v>Herring-likes</x:v>
      </x:c>
      <x:c r="I4" s="31" t="n">
        <x:v>694114.2728893639</x:v>
      </x:c>
      <x:c r="J4" s="31" t="n">
        <x:v>454943.1644590235</x:v>
      </x:c>
      <x:c r="K4" s="31" t="n">
        <x:v>239171.10843034042</x:v>
      </x:c>
      <x:c r="L4" s="31" t="n">
        <x:v>385232.4644590235</x:v>
      </x:c>
      <x:c r="M4" s="31" t="n">
        <x:v>308881.80843034043</x:v>
      </x:c>
      <x:c r="N4" s="24" t="str">
        <x:v>clupea pallasii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Clupea pallasii</x:v>
      </x:c>
      <x:c r="T4" s="32" t="n">
        <x:f>IF(O4="","",(1/'Metadata'!$B$5)^(O4-1))</x:f>
        <x:v>144.5439770745928</x:v>
      </x:c>
      <x:c r="U4" s="31" t="n">
        <x:f>IF(T4="","",I4*T4)</x:f>
        <x:v>100330037.54766786</x:v>
      </x:c>
    </x:row>
    <x:row r="5" ht="18" customHeight="1">
      <x:c r="A5" s="24" t="str">
        <x:v>EEZ_649</x:v>
      </x:c>
      <x:c r="B5" s="24" t="str">
        <x:v>Russia (Far East)</x:v>
      </x:c>
      <x:c r="C5" s="24" t="str">
        <x:v>EEZ</x:v>
      </x:c>
      <x:c r="D5" s="30" t="n">
        <x:v>2019</x:v>
      </x:c>
      <x:c r="E5" s="24" t="str">
        <x:v>Oncorhynchus gorbuscha</x:v>
      </x:c>
      <x:c r="F5" s="24" t="str">
        <x:v>Pink salmon</x:v>
      </x:c>
      <x:c r="G5" s="24" t="str">
        <x:v>Medium demersals (30 - 89 cm)</x:v>
      </x:c>
      <x:c r="H5" s="24" t="str">
        <x:v>Salmon, smelts, etc</x:v>
      </x:c>
      <x:c r="I5" s="31" t="n">
        <x:v>533654.4386368481</x:v>
      </x:c>
      <x:c r="J5" s="31" t="n">
        <x:v>462492.4411218128</x:v>
      </x:c>
      <x:c r="K5" s="31" t="n">
        <x:v>71161.9975150353</x:v>
      </x:c>
      <x:c r="L5" s="31" t="n">
        <x:v>316744</x:v>
      </x:c>
      <x:c r="M5" s="31" t="n">
        <x:v>216910.4386368481</x:v>
      </x:c>
      <x:c r="N5" s="24" t="str">
        <x:v>oncorhynchus gorbuscha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gorbuscha</x:v>
      </x:c>
      <x:c r="T5" s="32" t="n">
        <x:f>IF(O5="","",(1/'Metadata'!$B$5)^(O5-1))</x:f>
        <x:v>3090.295432513592</x:v>
      </x:c>
      <x:c r="U5" s="31" t="n">
        <x:f>IF(T5="","",I5*T5)</x:f>
        <x:v>1649149874.2600567</x:v>
      </x:c>
    </x:row>
    <x:row r="6" ht="18" customHeight="1">
      <x:c r="A6" s="24" t="str">
        <x:v>EEZ_649</x:v>
      </x:c>
      <x:c r="B6" s="24" t="str">
        <x:v>Russia (Far East)</x:v>
      </x:c>
      <x:c r="C6" s="24" t="str">
        <x:v>EEZ</x:v>
      </x:c>
      <x:c r="D6" s="30" t="n">
        <x:v>2019</x:v>
      </x:c>
      <x:c r="E6" s="24" t="str">
        <x:v>Oncorhynchus keta</x:v>
      </x:c>
      <x:c r="F6" s="24" t="str">
        <x:v>Chum salmon</x:v>
      </x:c>
      <x:c r="G6" s="24" t="str">
        <x:v>Large benthopelagics (&gt;=90 cm)</x:v>
      </x:c>
      <x:c r="H6" s="24" t="str">
        <x:v>Salmon, smelts, etc</x:v>
      </x:c>
      <x:c r="I6" s="31" t="n">
        <x:v>241149.9840574014</x:v>
      </x:c>
      <x:c r="J6" s="31" t="n">
        <x:v>241149.9840574014</x:v>
      </x:c>
      <x:c r="K6" s="31" t="n">
        <x:v>0</x:v>
      </x:c>
      <x:c r="L6" s="31" t="n">
        <x:v>81657</x:v>
      </x:c>
      <x:c r="M6" s="31" t="n">
        <x:v>159492.9840574014</x:v>
      </x:c>
      <x:c r="N6" s="24" t="str">
        <x:v>oncorhynchus keta</x:v>
      </x:c>
      <x:c r="O6" s="32" t="n">
        <x:v>3.74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keta</x:v>
      </x:c>
      <x:c r="T6" s="32" t="n">
        <x:f>IF(O6="","",(1/'Metadata'!$B$5)^(O6-1))</x:f>
        <x:v>549.5408738576248</x:v>
      </x:c>
      <x:c r="U6" s="31" t="n">
        <x:f>IF(T6="","",I6*T6)</x:f>
        <x:v>132521772.96965665</x:v>
      </x:c>
    </x:row>
    <x:row r="7" ht="18" customHeight="1">
      <x:c r="A7" s="24" t="str">
        <x:v>EEZ_649</x:v>
      </x:c>
      <x:c r="B7" s="24" t="str">
        <x:v>Russia (Far East)</x:v>
      </x:c>
      <x:c r="C7" s="24" t="str">
        <x:v>EEZ</x:v>
      </x:c>
      <x:c r="D7" s="30" t="n">
        <x:v>2019</x:v>
      </x:c>
      <x:c r="E7" s="24" t="str">
        <x:v>Gadus macrocephalus</x:v>
      </x:c>
      <x:c r="F7" s="24" t="str">
        <x:v>Pacific cod</x:v>
      </x:c>
      <x:c r="G7" s="24" t="str">
        <x:v>Large demersals (&gt;=90 cm)</x:v>
      </x:c>
      <x:c r="H7" s="24" t="str">
        <x:v>Cod-likes</x:v>
      </x:c>
      <x:c r="I7" s="31" t="n">
        <x:v>220730.52634719058</x:v>
      </x:c>
      <x:c r="J7" s="31" t="n">
        <x:v>179084.9950973141</x:v>
      </x:c>
      <x:c r="K7" s="31" t="n">
        <x:v>41645.5312498765</x:v>
      </x:c>
      <x:c r="L7" s="31" t="n">
        <x:v>154374.5950973142</x:v>
      </x:c>
      <x:c r="M7" s="31" t="n">
        <x:v>66355.9312498764</x:v>
      </x:c>
      <x:c r="N7" s="24" t="str">
        <x:v>gadus macrocephalus</x:v>
      </x:c>
      <x:c r="O7" s="32" t="n">
        <x:v>4.16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macrocephalus</x:v>
      </x:c>
      <x:c r="T7" s="32" t="n">
        <x:f>IF(O7="","",(1/'Metadata'!$B$5)^(O7-1))</x:f>
        <x:v>1445.439770745928</x:v>
      </x:c>
      <x:c r="U7" s="31" t="n">
        <x:f>IF(T7="","",I7*T7)</x:f>
        <x:v>319052681.39991117</x:v>
      </x:c>
    </x:row>
    <x:row r="8" ht="18" customHeight="1">
      <x:c r="A8" s="24" t="str">
        <x:v>EEZ_649</x:v>
      </x:c>
      <x:c r="B8" s="24" t="str">
        <x:v>Russia (Far East)</x:v>
      </x:c>
      <x:c r="C8" s="24" t="str">
        <x:v>EEZ</x:v>
      </x:c>
      <x:c r="D8" s="30" t="n">
        <x:v>2019</x:v>
      </x:c>
      <x:c r="E8" s="24" t="str">
        <x:v>Teuthida</x:v>
      </x:c>
      <x:c r="F8" s="24" t="str">
        <x:v>Squids</x:v>
      </x:c>
      <x:c r="G8" s="24" t="str">
        <x:v>Cephalopods</x:v>
      </x:c>
      <x:c r="H8" s="24" t="str">
        <x:v>Other fishes &amp; inverts</x:v>
      </x:c>
      <x:c r="I8" s="31" t="n">
        <x:v>146132.0887923693</x:v>
      </x:c>
      <x:c r="J8" s="31" t="n">
        <x:v>146132.0887923693</x:v>
      </x:c>
      <x:c r="K8" s="31" t="n">
        <x:v>0</x:v>
      </x:c>
      <x:c r="L8" s="31" t="n">
        <x:v>121618.4887923693</x:v>
      </x:c>
      <x:c r="M8" s="31" t="n">
        <x:v>24513.6</x:v>
      </x:c>
      <x:c r="N8" s="24" t="str">
        <x:v>teuthida</x:v>
      </x:c>
      <x:c r="O8" s="32" t="n">
        <x:v>4.13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Teuthida</x:v>
      </x:c>
      <x:c r="T8" s="32" t="n">
        <x:f>IF(O8="","",(1/'Metadata'!$B$5)^(O8-1))</x:f>
        <x:v>1348.9628825916532</x:v>
      </x:c>
      <x:c r="U8" s="31" t="n">
        <x:f>IF(T8="","",I8*T8)</x:f>
        <x:v>197126763.7364939</x:v>
      </x:c>
    </x:row>
    <x:row r="9" ht="18" customHeight="1">
      <x:c r="A9" s="24" t="str">
        <x:v>EEZ_649</x:v>
      </x:c>
      <x:c r="B9" s="24" t="str">
        <x:v>Russia (Far East)</x:v>
      </x:c>
      <x:c r="C9" s="24" t="str">
        <x:v>EEZ</x:v>
      </x:c>
      <x:c r="D9" s="30" t="n">
        <x:v>2019</x:v>
      </x:c>
      <x:c r="E9" s="24" t="str">
        <x:v>Sardinops sagax</x:v>
      </x:c>
      <x:c r="F9" s="24" t="str">
        <x:v>South American pilchard</x:v>
      </x:c>
      <x:c r="G9" s="24" t="str">
        <x:v>Medium pelagics (30 - 89 cm)</x:v>
      </x:c>
      <x:c r="H9" s="24" t="str">
        <x:v>Herring-likes</x:v>
      </x:c>
      <x:c r="I9" s="31" t="n">
        <x:v>136293.6798618786</x:v>
      </x:c>
      <x:c r="J9" s="31" t="n">
        <x:v>136293.6798618786</x:v>
      </x:c>
      <x:c r="K9" s="31" t="n">
        <x:v>0</x:v>
      </x:c>
      <x:c r="L9" s="31" t="n">
        <x:v>134287.8798618786</x:v>
      </x:c>
      <x:c r="M9" s="31" t="n">
        <x:v>2005.8</x:v>
      </x:c>
      <x:c r="N9" s="24" t="str">
        <x:v>sardinops sagax</x:v>
      </x:c>
      <x:c r="O9" s="32" t="n">
        <x:v>2.84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Sardinops sagax</x:v>
      </x:c>
      <x:c r="T9" s="32" t="n">
        <x:f>IF(O9="","",(1/'Metadata'!$B$5)^(O9-1))</x:f>
        <x:v>69.18309709189363</x:v>
      </x:c>
      <x:c r="U9" s="31" t="n">
        <x:f>IF(T9="","",I9*T9)</x:f>
        <x:v>9429218.886895815</x:v>
      </x:c>
    </x:row>
    <x:row r="10" ht="18" customHeight="1">
      <x:c r="A10" s="24" t="str">
        <x:v>EEZ_649</x:v>
      </x:c>
      <x:c r="B10" s="24" t="str">
        <x:v>Russia (Far East)</x:v>
      </x:c>
      <x:c r="C10" s="24" t="str">
        <x:v>EEZ</x:v>
      </x:c>
      <x:c r="D10" s="30" t="n">
        <x:v>2019</x:v>
      </x:c>
      <x:c r="E10" s="24" t="str">
        <x:v>Pleuronectiformes</x:v>
      </x:c>
      <x:c r="F10" s="24" t="str">
        <x:v>Flatfishes</x:v>
      </x:c>
      <x:c r="G10" s="24" t="str">
        <x:v>Small to medium flatfishes (&lt;90 cm)</x:v>
      </x:c>
      <x:c r="H10" s="24" t="str">
        <x:v>Flatfishes</x:v>
      </x:c>
      <x:c r="I10" s="31" t="n">
        <x:v>120230.17456429741</x:v>
      </x:c>
      <x:c r="J10" s="31" t="n">
        <x:v>110481.10000000011</x:v>
      </x:c>
      <x:c r="K10" s="31" t="n">
        <x:v>9749.0745642973</x:v>
      </x:c>
      <x:c r="L10" s="31" t="n">
        <x:v>86155.0000000001</x:v>
      </x:c>
      <x:c r="M10" s="31" t="n">
        <x:v>34075.1745642973</x:v>
      </x:c>
      <x:c r="N10" s="24" t="str">
        <x:v>pleuronectiformes</x:v>
      </x:c>
      <x:c r="O10" s="32" t="n">
        <x:v>3.57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Pleuronectiformes</x:v>
      </x:c>
      <x:c r="T10" s="32" t="n">
        <x:f>IF(O10="","",(1/'Metadata'!$B$5)^(O10-1))</x:f>
        <x:v>371.5352290971724</x:v>
      </x:c>
      <x:c r="U10" s="31" t="n">
        <x:f>IF(T10="","",I10*T10)</x:f>
        <x:v>44669745.45113927</x:v>
      </x:c>
    </x:row>
    <x:row r="11" ht="18" customHeight="1">
      <x:c r="A11" s="24" t="str">
        <x:v>EEZ_649</x:v>
      </x:c>
      <x:c r="B11" s="24" t="str">
        <x:v>Russia (Far East)</x:v>
      </x:c>
      <x:c r="C11" s="24" t="str">
        <x:v>EEZ</x:v>
      </x:c>
      <x:c r="D11" s="30" t="n">
        <x:v>2019</x:v>
      </x:c>
      <x:c r="E11" s="24" t="str">
        <x:v>Scomber japonicus</x:v>
      </x:c>
      <x:c r="F11" s="24" t="str">
        <x:v>Pacific chub mackerel</x:v>
      </x:c>
      <x:c r="G11" s="24" t="str">
        <x:v>Medium pelagics (30 - 89 cm)</x:v>
      </x:c>
      <x:c r="H11" s="24" t="str">
        <x:v>Perch-likes</x:v>
      </x:c>
      <x:c r="I11" s="31" t="n">
        <x:v>92572.75927838699</x:v>
      </x:c>
      <x:c r="J11" s="31" t="n">
        <x:v>92572.75927838699</x:v>
      </x:c>
      <x:c r="K11" s="31" t="n">
        <x:v>0</x:v>
      </x:c>
      <x:c r="L11" s="31" t="n">
        <x:v>89799.559278387</x:v>
      </x:c>
      <x:c r="M11" s="31" t="n">
        <x:v>2773.2000000000003</x:v>
      </x:c>
      <x:c r="N11" s="24" t="str">
        <x:v>scomber japonicus</x:v>
      </x:c>
      <x:c r="O11" s="32" t="n">
        <x:v>3.38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japonicus</x:v>
      </x:c>
      <x:c r="T11" s="32" t="n">
        <x:f>IF(O11="","",(1/'Metadata'!$B$5)^(O11-1))</x:f>
        <x:v>239.88329190194898</x:v>
      </x:c>
      <x:c r="U11" s="31" t="n">
        <x:f>IF(T11="","",I11*T11)</x:f>
        <x:v>22206658.236146163</x:v>
      </x:c>
    </x:row>
    <x:row r="12" ht="18" customHeight="1">
      <x:c r="A12" s="24" t="str">
        <x:v>EEZ_649</x:v>
      </x:c>
      <x:c r="B12" s="24" t="str">
        <x:v>Russia (Far East)</x:v>
      </x:c>
      <x:c r="C12" s="24" t="str">
        <x:v>EEZ</x:v>
      </x:c>
      <x:c r="D12" s="30" t="n">
        <x:v>2019</x:v>
      </x:c>
      <x:c r="E12" s="24" t="str">
        <x:v>Oncorhynchus nerka</x:v>
      </x:c>
      <x:c r="F12" s="24" t="str">
        <x:v>Sockeye salmon</x:v>
      </x:c>
      <x:c r="G12" s="24" t="str">
        <x:v>Medium pelagics (30 - 89 cm)</x:v>
      </x:c>
      <x:c r="H12" s="24" t="str">
        <x:v>Salmon, smelts, etc</x:v>
      </x:c>
      <x:c r="I12" s="31" t="n">
        <x:v>84191.7395534739</x:v>
      </x:c>
      <x:c r="J12" s="31" t="n">
        <x:v>77075.5398019703</x:v>
      </x:c>
      <x:c r="K12" s="31" t="n">
        <x:v>7116.1997515036</x:v>
      </x:c>
      <x:c r="L12" s="31" t="n">
        <x:v>49986</x:v>
      </x:c>
      <x:c r="M12" s="31" t="n">
        <x:v>34205.7395534739</x:v>
      </x:c>
      <x:c r="N12" s="24" t="str">
        <x:v>oncorhynchus nerka</x:v>
      </x:c>
      <x:c r="O12" s="32" t="n">
        <x:v>3.54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Oncorhynchus nerka</x:v>
      </x:c>
      <x:c r="T12" s="32" t="n">
        <x:f>IF(O12="","",(1/'Metadata'!$B$5)^(O12-1))</x:f>
        <x:v>346.73685045253166</x:v>
      </x:c>
      <x:c r="U12" s="31" t="n">
        <x:f>IF(T12="","",I12*T12)</x:f>
        <x:v>29192378.606891375</x:v>
      </x:c>
    </x:row>
    <x:row r="13" ht="18" customHeight="1">
      <x:c r="A13" s="24" t="str">
        <x:v>EEZ_649</x:v>
      </x:c>
      <x:c r="B13" s="24" t="str">
        <x:v>Russia (Far East)</x:v>
      </x:c>
      <x:c r="C13" s="24" t="str">
        <x:v>EEZ</x:v>
      </x:c>
      <x:c r="D13" s="30" t="n">
        <x:v>2019</x:v>
      </x:c>
      <x:c r="E13" s="24" t="str">
        <x:v>Eleginus gracilis</x:v>
      </x:c>
      <x:c r="F13" s="24" t="str">
        <x:v>Saffron cod</x:v>
      </x:c>
      <x:c r="G13" s="24" t="str">
        <x:v>Medium demersals (30 - 89 cm)</x:v>
      </x:c>
      <x:c r="H13" s="24" t="str">
        <x:v>Cod-likes</x:v>
      </x:c>
      <x:c r="I13" s="31" t="n">
        <x:v>72909.0974374168</x:v>
      </x:c>
      <x:c r="J13" s="31" t="n">
        <x:v>66214.8854500149</x:v>
      </x:c>
      <x:c r="K13" s="31" t="n">
        <x:v>6694.2119874019</x:v>
      </x:c>
      <x:c r="L13" s="31" t="n">
        <x:v>50718</x:v>
      </x:c>
      <x:c r="M13" s="31" t="n">
        <x:v>22191.0974374168</x:v>
      </x:c>
      <x:c r="N13" s="24" t="str">
        <x:v>eleginus gracilis</x:v>
      </x:c>
      <x:c r="O13" s="32" t="n">
        <x:v>4.1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Eleginus gracilis</x:v>
      </x:c>
      <x:c r="T13" s="32" t="n">
        <x:f>IF(O13="","",(1/'Metadata'!$B$5)^(O13-1))</x:f>
        <x:v>1258.9254117941662</x:v>
      </x:c>
      <x:c r="U13" s="31" t="n">
        <x:f>IF(T13="","",I13*T13)</x:f>
        <x:v>91787115.51494093</x:v>
      </x:c>
    </x:row>
    <x:row r="14" ht="18" customHeight="1">
      <x:c r="A14" s="24" t="str">
        <x:v>EEZ_649</x:v>
      </x:c>
      <x:c r="B14" s="24" t="str">
        <x:v>Russia (Far East)</x:v>
      </x:c>
      <x:c r="C14" s="24" t="str">
        <x:v>EEZ</x:v>
      </x:c>
      <x:c r="D14" s="30" t="n">
        <x:v>2019</x:v>
      </x:c>
      <x:c r="E14" s="24" t="str">
        <x:v>Chionoecetes</x:v>
      </x:c>
      <x:c r="F14" s="24" t="str">
        <x:v>Tanner, snow crabs</x:v>
      </x:c>
      <x:c r="G14" s="24" t="str">
        <x:v>Lobsters, crabs</x:v>
      </x:c>
      <x:c r="H14" s="24" t="str">
        <x:v>Crustaceans</x:v>
      </x:c>
      <x:c r="I14" s="31" t="n">
        <x:v>60197.999999999796</x:v>
      </x:c>
      <x:c r="J14" s="31" t="n">
        <x:v>60197.999999999796</x:v>
      </x:c>
      <x:c r="K14" s="31" t="n">
        <x:v>0</x:v>
      </x:c>
      <x:c r="L14" s="31" t="n">
        <x:v>42678.999999999796</x:v>
      </x:c>
      <x:c r="M14" s="31" t="n">
        <x:v>17519</x:v>
      </x:c>
      <x:c r="N14" s="24" t="str">
        <x:v>chionoecetes</x:v>
      </x:c>
      <x:c r="O14" s="32" t="n">
        <x:v>2.3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Chionoecetes</x:v>
      </x:c>
      <x:c r="T14" s="32" t="n">
        <x:f>IF(O14="","",(1/'Metadata'!$B$5)^(O14-1))</x:f>
        <x:v>19.952623149688787</x:v>
      </x:c>
      <x:c r="U14" s="31" t="n">
        <x:f>IF(T14="","",I14*T14)</x:f>
        <x:v>1201108.0083649615</x:v>
      </x:c>
    </x:row>
    <x:row r="15" ht="18" customHeight="1">
      <x:c r="A15" s="24" t="str">
        <x:v>EEZ_649</x:v>
      </x:c>
      <x:c r="B15" s="24" t="str">
        <x:v>Russia (Far East)</x:v>
      </x:c>
      <x:c r="C15" s="24" t="str">
        <x:v>EEZ</x:v>
      </x:c>
      <x:c r="D15" s="30" t="n">
        <x:v>2019</x:v>
      </x:c>
      <x:c r="E15" s="24" t="str">
        <x:v>Oncorhynchus kisutch</x:v>
      </x:c>
      <x:c r="F15" s="24" t="str">
        <x:v>Coho salmon</x:v>
      </x:c>
      <x:c r="G15" s="24" t="str">
        <x:v>Large demersals (&gt;=90 cm)</x:v>
      </x:c>
      <x:c r="H15" s="24" t="str">
        <x:v>Salmon, smelts, etc</x:v>
      </x:c>
      <x:c r="I15" s="31" t="n">
        <x:v>48603.0115897429</x:v>
      </x:c>
      <x:c r="J15" s="31" t="n">
        <x:v>48603.0115897429</x:v>
      </x:c>
      <x:c r="K15" s="31" t="n">
        <x:v>0</x:v>
      </x:c>
      <x:c r="L15" s="31" t="n">
        <x:v>8572</x:v>
      </x:c>
      <x:c r="M15" s="31" t="n">
        <x:v>40031.0115897429</x:v>
      </x:c>
      <x:c r="N15" s="24" t="str">
        <x:v>oncorhynchus kisutch</x:v>
      </x:c>
      <x:c r="O15" s="32" t="n">
        <x:v>4.22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Oncorhynchus kisutch</x:v>
      </x:c>
      <x:c r="T15" s="32" t="n">
        <x:f>IF(O15="","",(1/'Metadata'!$B$5)^(O15-1))</x:f>
        <x:v>1659.5869074375596</x:v>
      </x:c>
      <x:c r="U15" s="31" t="n">
        <x:f>IF(T15="","",I15*T15)</x:f>
        <x:v>80660921.69637328</x:v>
      </x:c>
    </x:row>
    <x:row r="16" ht="18" customHeight="1">
      <x:c r="A16" s="24" t="str">
        <x:v>EEZ_649</x:v>
      </x:c>
      <x:c r="B16" s="24" t="str">
        <x:v>Russia (Far East)</x:v>
      </x:c>
      <x:c r="C16" s="24" t="str">
        <x:v>EEZ</x:v>
      </x:c>
      <x:c r="D16" s="30" t="n">
        <x:v>2019</x:v>
      </x:c>
      <x:c r="E16" s="24" t="str">
        <x:v>Miscellaneous marine crustaceans</x:v>
      </x:c>
      <x:c r="F16" s="24" t="str">
        <x:v>Marine crabs, shrimps, lobsters nei</x:v>
      </x:c>
      <x:c r="G16" s="24" t="str">
        <x:v>Shrimps</x:v>
      </x:c>
      <x:c r="H16" s="24" t="str">
        <x:v>Crustaceans</x:v>
      </x:c>
      <x:c r="I16" s="31" t="n">
        <x:v>43711.8003651813</x:v>
      </x:c>
      <x:c r="J16" s="31" t="n">
        <x:v>43711.8003651813</x:v>
      </x:c>
      <x:c r="K16" s="31" t="n">
        <x:v>0</x:v>
      </x:c>
      <x:c r="L16" s="31" t="n">
        <x:v>43711.8003651813</x:v>
      </x:c>
      <x:c r="M16" s="31" t="n">
        <x:v>0</x:v>
      </x:c>
      <x:c r="N16" s="24" t="str">
        <x:v>miscellaneous marine crustaceans</x:v>
      </x:c>
      <x:c r="O16" s="32" t="n">
        <x:v>2.7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Miscellaneous marine crustaceans</x:v>
      </x:c>
      <x:c r="T16" s="32" t="n">
        <x:f>IF(O16="","",(1/'Metadata'!$B$5)^(O16-1))</x:f>
        <x:v>50.11872336272725</x:v>
      </x:c>
      <x:c r="U16" s="31" t="n">
        <x:f>IF(T16="","",I16*T16)</x:f>
        <x:v>2190779.6301892814</x:v>
      </x:c>
    </x:row>
    <x:row r="17" ht="18" customHeight="1">
      <x:c r="A17" s="24" t="str">
        <x:v>EEZ_649</x:v>
      </x:c>
      <x:c r="B17" s="24" t="str">
        <x:v>Russia (Far East)</x:v>
      </x:c>
      <x:c r="C17" s="24" t="str">
        <x:v>EEZ</x:v>
      </x:c>
      <x:c r="D17" s="30" t="n">
        <x:v>2019</x:v>
      </x:c>
      <x:c r="E17" s="24" t="str">
        <x:v>Ammodytes personatus</x:v>
      </x:c>
      <x:c r="F17" s="24" t="str">
        <x:v>Pacific sandlance</x:v>
      </x:c>
      <x:c r="G17" s="24" t="str">
        <x:v>Small demersals (&lt;30 cm)</x:v>
      </x:c>
      <x:c r="H17" s="24" t="str">
        <x:v>Perch-likes</x:v>
      </x:c>
      <x:c r="I17" s="31" t="n">
        <x:v>41805.7616890079</x:v>
      </x:c>
      <x:c r="J17" s="31" t="n">
        <x:v>41805.7616890079</x:v>
      </x:c>
      <x:c r="K17" s="31" t="n">
        <x:v>0</x:v>
      </x:c>
      <x:c r="L17" s="31" t="n">
        <x:v>41805.7616890079</x:v>
      </x:c>
      <x:c r="M17" s="31" t="n">
        <x:v>0</x:v>
      </x:c>
      <x:c r="N17" s="24" t="str">
        <x:v>ammodytes personatus</x:v>
      </x:c>
      <x:c r="O17" s="32" t="n">
        <x:v>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Ammodytes personatus</x:v>
      </x:c>
      <x:c r="T17" s="32" t="n">
        <x:f>IF(O17="","",(1/'Metadata'!$B$5)^(O17-1))</x:f>
        <x:v>100</x:v>
      </x:c>
      <x:c r="U17" s="31" t="n">
        <x:f>IF(T17="","",I17*T17)</x:f>
        <x:v>4180576.16890079</x:v>
      </x:c>
    </x:row>
    <x:row r="18" ht="18" customHeight="1">
      <x:c r="A18" s="24" t="str">
        <x:v>EEZ_649</x:v>
      </x:c>
      <x:c r="B18" s="24" t="str">
        <x:v>Russia (Far East)</x:v>
      </x:c>
      <x:c r="C18" s="24" t="str">
        <x:v>EEZ</x:v>
      </x:c>
      <x:c r="D18" s="30" t="n">
        <x:v>2019</x:v>
      </x:c>
      <x:c r="E18" s="24" t="str">
        <x:v>Oncorhynchus</x:v>
      </x:c>
      <x:c r="F18" s="24" t="str">
        <x:v>Salmons, trouts</x:v>
      </x:c>
      <x:c r="G18" s="24" t="str">
        <x:v>Large benthopelagics (&gt;=90 cm)</x:v>
      </x:c>
      <x:c r="H18" s="24" t="str">
        <x:v>Salmon, smelts, etc</x:v>
      </x:c>
      <x:c r="I18" s="31" t="n">
        <x:v>37189.2809607462</x:v>
      </x:c>
      <x:c r="J18" s="31" t="n">
        <x:v>27701.0146254081</x:v>
      </x:c>
      <x:c r="K18" s="31" t="n">
        <x:v>9488.2663353381</x:v>
      </x:c>
      <x:c r="L18" s="31" t="n">
        <x:v>0</x:v>
      </x:c>
      <x:c r="M18" s="31" t="n">
        <x:v>37189.2809607462</x:v>
      </x:c>
      <x:c r="N18" s="24" t="str">
        <x:v>oncorhynchus</x:v>
      </x:c>
      <x:c r="O18" s="32" t="n">
        <x:v>3.95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Oncorhynchus</x:v>
      </x:c>
      <x:c r="T18" s="32" t="n">
        <x:f>IF(O18="","",(1/'Metadata'!$B$5)^(O18-1))</x:f>
        <x:v>891.2509381337459</x:v>
      </x:c>
      <x:c r="U18" s="31" t="n">
        <x:f>IF(T18="","",I18*T18)</x:f>
        <x:v>33144981.5447845</x:v>
      </x:c>
    </x:row>
    <x:row r="19" ht="18" customHeight="1">
      <x:c r="A19" s="24" t="str">
        <x:v>EEZ_649</x:v>
      </x:c>
      <x:c r="B19" s="24" t="str">
        <x:v>Russia (Far East)</x:v>
      </x:c>
      <x:c r="C19" s="24" t="str">
        <x:v>EEZ</x:v>
      </x:c>
      <x:c r="D19" s="30" t="n">
        <x:v>2019</x:v>
      </x:c>
      <x:c r="E19" s="24" t="str">
        <x:v>Pleurogrammus monopterygius</x:v>
      </x:c>
      <x:c r="F19" s="24" t="str">
        <x:v>Atka mackerel</x:v>
      </x:c>
      <x:c r="G19" s="24" t="str">
        <x:v>Medium demersals (30 - 89 cm)</x:v>
      </x:c>
      <x:c r="H19" s="24" t="str">
        <x:v>Scorpionfishes</x:v>
      </x:c>
      <x:c r="I19" s="31" t="n">
        <x:v>35311.9298959444</x:v>
      </x:c>
      <x:c r="J19" s="31" t="n">
        <x:v>28118.9</x:v>
      </x:c>
      <x:c r="K19" s="31" t="n">
        <x:v>7193.0298959444</x:v>
      </x:c>
      <x:c r="L19" s="31" t="n">
        <x:v>21101</x:v>
      </x:c>
      <x:c r="M19" s="31" t="n">
        <x:v>14210.9298959444</x:v>
      </x:c>
      <x:c r="N19" s="24" t="str">
        <x:v>pleurogrammus monopterygius</x:v>
      </x:c>
      <x:c r="O19" s="32" t="n">
        <x:v>3.38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Pleurogrammus monopterygius</x:v>
      </x:c>
      <x:c r="T19" s="32" t="n">
        <x:f>IF(O19="","",(1/'Metadata'!$B$5)^(O19-1))</x:f>
        <x:v>239.88329190194898</x:v>
      </x:c>
      <x:c r="U19" s="31" t="n">
        <x:f>IF(T19="","",I19*T19)</x:f>
        <x:v>8470741.98684999</x:v>
      </x:c>
    </x:row>
    <x:row r="20" ht="18" customHeight="1">
      <x:c r="A20" s="24" t="str">
        <x:v>EEZ_649</x:v>
      </x:c>
      <x:c r="B20" s="24" t="str">
        <x:v>Russia (Far East)</x:v>
      </x:c>
      <x:c r="C20" s="24" t="str">
        <x:v>EEZ</x:v>
      </x:c>
      <x:c r="D20" s="30" t="n">
        <x:v>2019</x:v>
      </x:c>
      <x:c r="E20" s="24" t="str">
        <x:v>Mallotus villosus</x:v>
      </x:c>
      <x:c r="F20" s="24" t="str">
        <x:v>Capelin</x:v>
      </x:c>
      <x:c r="G20" s="24" t="str">
        <x:v>Small pelagics (&lt;30 cm)</x:v>
      </x:c>
      <x:c r="H20" s="24" t="str">
        <x:v>Salmon, smelts, etc</x:v>
      </x:c>
      <x:c r="I20" s="31" t="n">
        <x:v>30608.3059438862</x:v>
      </x:c>
      <x:c r="J20" s="31" t="n">
        <x:v>13841.9175</x:v>
      </x:c>
      <x:c r="K20" s="31" t="n">
        <x:v>16766.3884438862</x:v>
      </x:c>
      <x:c r="L20" s="31" t="n">
        <x:v>10990.4925</x:v>
      </x:c>
      <x:c r="M20" s="31" t="n">
        <x:v>19617.8134438862</x:v>
      </x:c>
      <x:c r="N20" s="24" t="str">
        <x:v>mallotus villosus</x:v>
      </x:c>
      <x:c r="O20" s="32" t="n">
        <x:v>3.15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Mallotus villosus</x:v>
      </x:c>
      <x:c r="T20" s="32" t="n">
        <x:f>IF(O20="","",(1/'Metadata'!$B$5)^(O20-1))</x:f>
        <x:v>141.2537544622754</x:v>
      </x:c>
      <x:c r="U20" s="31" t="n">
        <x:f>IF(T20="","",I20*T20)</x:f>
        <x:v>4323538.132303906</x:v>
      </x:c>
    </x:row>
    <x:row r="21" ht="18" customHeight="1">
      <x:c r="A21" s="24" t="str">
        <x:v>EEZ_649</x:v>
      </x:c>
      <x:c r="B21" s="24" t="str">
        <x:v>Russia (Far East)</x:v>
      </x:c>
      <x:c r="C21" s="24" t="str">
        <x:v>EEZ</x:v>
      </x:c>
      <x:c r="D21" s="30" t="n">
        <x:v>2019</x:v>
      </x:c>
      <x:c r="E21" s="24" t="str">
        <x:v>Paralithodes camtschaticus</x:v>
      </x:c>
      <x:c r="F21" s="24" t="str">
        <x:v>Red king crab</x:v>
      </x:c>
      <x:c r="G21" s="24" t="str">
        <x:v>Lobsters, crabs</x:v>
      </x:c>
      <x:c r="H21" s="24" t="str">
        <x:v>Crustaceans</x:v>
      </x:c>
      <x:c r="I21" s="31" t="n">
        <x:v>28380.25</x:v>
      </x:c>
      <x:c r="J21" s="31" t="n">
        <x:v>28380.25</x:v>
      </x:c>
      <x:c r="K21" s="31" t="n">
        <x:v>0</x:v>
      </x:c>
      <x:c r="L21" s="31" t="n">
        <x:v>16264</x:v>
      </x:c>
      <x:c r="M21" s="31" t="n">
        <x:v>12116.25</x:v>
      </x:c>
      <x:c r="N21" s="24" t="str">
        <x:v>paralithodes camtschaticus</x:v>
      </x:c>
      <x:c r="O21" s="32" t="n">
        <x:v>3.7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Paralithodes camtschaticus</x:v>
      </x:c>
      <x:c r="T21" s="32" t="n">
        <x:f>IF(O21="","",(1/'Metadata'!$B$5)^(O21-1))</x:f>
        <x:v>501.18723362727246</x:v>
      </x:c>
      <x:c r="U21" s="31" t="n">
        <x:f>IF(T21="","",I21*T21)</x:f>
        <x:v>14223818.987150399</x:v>
      </x:c>
    </x:row>
    <x:row r="22" ht="18" customHeight="1">
      <x:c r="A22" s="24" t="str">
        <x:v>EEZ_649</x:v>
      </x:c>
      <x:c r="B22" s="24" t="str">
        <x:v>Russia (Far East)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23054.8844590029</x:v>
      </x:c>
      <x:c r="J22" s="31" t="n">
        <x:v>23054.8844590029</x:v>
      </x:c>
      <x:c r="K22" s="31" t="n">
        <x:v>0</x:v>
      </x:c>
      <x:c r="L22" s="31" t="n">
        <x:v>21979.9549395026</x:v>
      </x:c>
      <x:c r="M22" s="31" t="n">
        <x:v>1074.9295195003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6205302.392192009</x:v>
      </x:c>
    </x:row>
    <x:row r="23" ht="18" customHeight="1">
      <x:c r="A23" s="24" t="str">
        <x:v>EEZ_649</x:v>
      </x:c>
      <x:c r="B23" s="24" t="str">
        <x:v>Russia (Far East)</x:v>
      </x:c>
      <x:c r="C23" s="24" t="str">
        <x:v>EEZ</x:v>
      </x:c>
      <x:c r="D23" s="30" t="n">
        <x:v>2019</x:v>
      </x:c>
      <x:c r="E23" s="24" t="str">
        <x:v>Batoidea</x:v>
      </x:c>
      <x:c r="F23" s="24" t="str">
        <x:v>Batoids, skates, rays, sawfishes</x:v>
      </x:c>
      <x:c r="G23" s="24" t="str">
        <x:v>Large rays (&gt;=90 cm)</x:v>
      </x:c>
      <x:c r="H23" s="24" t="str">
        <x:v>Sharks &amp; rays</x:v>
      </x:c>
      <x:c r="I23" s="31" t="n">
        <x:v>17728.9661997478</x:v>
      </x:c>
      <x:c r="J23" s="31" t="n">
        <x:v>0</x:v>
      </x:c>
      <x:c r="K23" s="31" t="n">
        <x:v>17728.9661997478</x:v>
      </x:c>
      <x:c r="L23" s="31" t="n">
        <x:v>0</x:v>
      </x:c>
      <x:c r="M23" s="31" t="n">
        <x:v>17728.9661997478</x:v>
      </x:c>
      <x:c r="N23" s="24" t="str">
        <x:v>batoidea</x:v>
      </x:c>
      <x:c r="O23" s="32" t="n">
        <x:v>3.72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Batoidea</x:v>
      </x:c>
      <x:c r="T23" s="32" t="n">
        <x:f>IF(O23="","",(1/'Metadata'!$B$5)^(O23-1))</x:f>
        <x:v>524.8074602497728</x:v>
      </x:c>
      <x:c r="U23" s="31" t="n">
        <x:f>IF(T23="","",I23*T23)</x:f>
        <x:v>9304293.72414371</x:v>
      </x:c>
    </x:row>
    <x:row r="24" ht="18" customHeight="1">
      <x:c r="A24" s="24" t="str">
        <x:v>EEZ_649</x:v>
      </x:c>
      <x:c r="B24" s="24" t="str">
        <x:v>Russia (Far East)</x:v>
      </x:c>
      <x:c r="C24" s="24" t="str">
        <x:v>EEZ</x:v>
      </x:c>
      <x:c r="D24" s="30" t="n">
        <x:v>2019</x:v>
      </x:c>
      <x:c r="E24" s="24" t="str">
        <x:v>Paralithodes platypus</x:v>
      </x:c>
      <x:c r="F24" s="24" t="str">
        <x:v>Blue king crab</x:v>
      </x:c>
      <x:c r="G24" s="24" t="str">
        <x:v>Lobsters, crabs</x:v>
      </x:c>
      <x:c r="H24" s="24" t="str">
        <x:v>Crustaceans</x:v>
      </x:c>
      <x:c r="I24" s="31" t="n">
        <x:v>17245.75</x:v>
      </x:c>
      <x:c r="J24" s="31" t="n">
        <x:v>17245.75</x:v>
      </x:c>
      <x:c r="K24" s="31" t="n">
        <x:v>0</x:v>
      </x:c>
      <x:c r="L24" s="31" t="n">
        <x:v>8562</x:v>
      </x:c>
      <x:c r="M24" s="31" t="n">
        <x:v>8683.75</x:v>
      </x:c>
      <x:c r="N24" s="24" t="str">
        <x:v>paralithodes platypus</x:v>
      </x:c>
      <x:c r="O24" s="32" t="n">
        <x:v>3.79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Paralithodes platypus</x:v>
      </x:c>
      <x:c r="T24" s="32" t="n">
        <x:f>IF(O24="","",(1/'Metadata'!$B$5)^(O24-1))</x:f>
        <x:v>616.5950018614822</x:v>
      </x:c>
      <x:c r="U24" s="31" t="n">
        <x:f>IF(T24="","",I24*T24)</x:f>
        <x:v>10633643.253352655</x:v>
      </x:c>
    </x:row>
    <x:row r="25" ht="18" customHeight="1">
      <x:c r="A25" s="24" t="str">
        <x:v>EEZ_649</x:v>
      </x:c>
      <x:c r="B25" s="24" t="str">
        <x:v>Russia (Far East)</x:v>
      </x:c>
      <x:c r="C25" s="24" t="str">
        <x:v>EEZ</x:v>
      </x:c>
      <x:c r="D25" s="30" t="n">
        <x:v>2019</x:v>
      </x:c>
      <x:c r="E25" s="24" t="str">
        <x:v>Engraulis japonicus</x:v>
      </x:c>
      <x:c r="F25" s="24" t="str">
        <x:v>Japanese anchovy</x:v>
      </x:c>
      <x:c r="G25" s="24" t="str">
        <x:v>Small pelagics (&lt;30 cm)</x:v>
      </x:c>
      <x:c r="H25" s="24" t="str">
        <x:v>Anchovies</x:v>
      </x:c>
      <x:c r="I25" s="31" t="n">
        <x:v>16247.4851034891</x:v>
      </x:c>
      <x:c r="J25" s="31" t="n">
        <x:v>16247.4851034891</x:v>
      </x:c>
      <x:c r="K25" s="31" t="n">
        <x:v>0</x:v>
      </x:c>
      <x:c r="L25" s="31" t="n">
        <x:v>16247.4851034891</x:v>
      </x:c>
      <x:c r="M25" s="31" t="n">
        <x:v>0</x:v>
      </x:c>
      <x:c r="N25" s="24" t="str">
        <x:v>engraulis japonicus</x:v>
      </x:c>
      <x:c r="O25" s="32" t="n">
        <x:v>3.14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Engraulis japonicus</x:v>
      </x:c>
      <x:c r="T25" s="32" t="n">
        <x:f>IF(O25="","",(1/'Metadata'!$B$5)^(O25-1))</x:f>
        <x:v>138.03842646028852</x:v>
      </x:c>
      <x:c r="U25" s="31" t="n">
        <x:f>IF(T25="","",I25*T25)</x:f>
        <x:v>2242777.277622613</x:v>
      </x:c>
    </x:row>
    <x:row r="26" ht="18" customHeight="1">
      <x:c r="A26" s="24" t="str">
        <x:v>EEZ_649</x:v>
      </x:c>
      <x:c r="B26" s="24" t="str">
        <x:v>Russia (Far East)</x:v>
      </x:c>
      <x:c r="C26" s="24" t="str">
        <x:v>EEZ</x:v>
      </x:c>
      <x:c r="D26" s="30" t="n">
        <x:v>2019</x:v>
      </x:c>
      <x:c r="E26" s="24" t="str">
        <x:v>Mizuhopecten yessoensis</x:v>
      </x:c>
      <x:c r="F26" s="24" t="str">
        <x:v>Yesso scallop</x:v>
      </x:c>
      <x:c r="G26" s="24" t="str">
        <x:v>Other demersal invertebrates</x:v>
      </x:c>
      <x:c r="H26" s="24" t="str">
        <x:v>Molluscs</x:v>
      </x:c>
      <x:c r="I26" s="31" t="n">
        <x:v>14483.699999999999</x:v>
      </x:c>
      <x:c r="J26" s="31" t="n">
        <x:v>14483.699999999999</x:v>
      </x:c>
      <x:c r="K26" s="31" t="n">
        <x:v>0</x:v>
      </x:c>
      <x:c r="L26" s="31" t="n">
        <x:v>11271</x:v>
      </x:c>
      <x:c r="M26" s="31" t="n">
        <x:v>3212.7</x:v>
      </x:c>
      <x:c r="N26" s="24" t="str">
        <x:v>mizuhopecten yessoensis</x:v>
      </x:c>
      <x:c r="O26" s="32" t="n">
        <x:v>2.1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Mizuhopecten yessoensis</x:v>
      </x:c>
      <x:c r="T26" s="32" t="n">
        <x:f>IF(O26="","",(1/'Metadata'!$B$5)^(O26-1))</x:f>
        <x:v>12.589254117941675</x:v>
      </x:c>
      <x:c r="U26" s="31" t="n">
        <x:f>IF(T26="","",I26*T26)</x:f>
        <x:v>182338.9798680318</x:v>
      </x:c>
    </x:row>
    <x:row r="27" ht="18" customHeight="1">
      <x:c r="A27" s="24" t="str">
        <x:v>EEZ_649</x:v>
      </x:c>
      <x:c r="B27" s="24" t="str">
        <x:v>Russia (Far East)</x:v>
      </x:c>
      <x:c r="C27" s="24" t="str">
        <x:v>EEZ</x:v>
      </x:c>
      <x:c r="D27" s="30" t="n">
        <x:v>2019</x:v>
      </x:c>
      <x:c r="E27" s="24" t="str">
        <x:v>Pandalus borealis</x:v>
      </x:c>
      <x:c r="F27" s="24" t="str">
        <x:v>Northern prawn</x:v>
      </x:c>
      <x:c r="G27" s="24" t="str">
        <x:v>Shrimps</x:v>
      </x:c>
      <x:c r="H27" s="24" t="str">
        <x:v>Crustaceans</x:v>
      </x:c>
      <x:c r="I27" s="31" t="n">
        <x:v>14401.7</x:v>
      </x:c>
      <x:c r="J27" s="31" t="n">
        <x:v>14401.7</x:v>
      </x:c>
      <x:c r="K27" s="31" t="n">
        <x:v>0</x:v>
      </x:c>
      <x:c r="L27" s="31" t="n">
        <x:v>11291</x:v>
      </x:c>
      <x:c r="M27" s="31" t="n">
        <x:v>3110.7000000000003</x:v>
      </x:c>
      <x:c r="N27" s="24" t="str">
        <x:v>pandalus borealis</x:v>
      </x:c>
      <x:c r="O27" s="32" t="n">
        <x:v>3.07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Pandalus borealis</x:v>
      </x:c>
      <x:c r="T27" s="32" t="n">
        <x:f>IF(O27="","",(1/'Metadata'!$B$5)^(O27-1))</x:f>
        <x:v>117.48975549395291</x:v>
      </x:c>
      <x:c r="U27" s="31" t="n">
        <x:f>IF(T27="","",I27*T27)</x:f>
        <x:v>1692052.2116972618</x:v>
      </x:c>
    </x:row>
    <x:row r="28" ht="18" customHeight="1">
      <x:c r="A28" s="24" t="str">
        <x:v>EEZ_649</x:v>
      </x:c>
      <x:c r="B28" s="24" t="str">
        <x:v>Russia (Far East)</x:v>
      </x:c>
      <x:c r="C28" s="24" t="str">
        <x:v>EEZ</x:v>
      </x:c>
      <x:c r="D28" s="30" t="n">
        <x:v>2019</x:v>
      </x:c>
      <x:c r="E28" s="24" t="str">
        <x:v>Cololabis saira</x:v>
      </x:c>
      <x:c r="F28" s="24" t="str">
        <x:v>Pacific saury</x:v>
      </x:c>
      <x:c r="G28" s="24" t="str">
        <x:v>Medium pelagics (30 - 89 cm)</x:v>
      </x:c>
      <x:c r="H28" s="24" t="str">
        <x:v>Other fishes &amp; inverts</x:v>
      </x:c>
      <x:c r="I28" s="31" t="n">
        <x:v>14398.3588251579</x:v>
      </x:c>
      <x:c r="J28" s="31" t="n">
        <x:v>14398.3588251579</x:v>
      </x:c>
      <x:c r="K28" s="31" t="n">
        <x:v>0</x:v>
      </x:c>
      <x:c r="L28" s="31" t="n">
        <x:v>10000.0588251579</x:v>
      </x:c>
      <x:c r="M28" s="31" t="n">
        <x:v>4398.3</x:v>
      </x:c>
      <x:c r="N28" s="24" t="str">
        <x:v>cololabis saira</x:v>
      </x:c>
      <x:c r="O28" s="32" t="n">
        <x:v>3.71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Cololabis saira</x:v>
      </x:c>
      <x:c r="T28" s="32" t="n">
        <x:f>IF(O28="","",(1/'Metadata'!$B$5)^(O28-1))</x:f>
        <x:v>512.8613839913648</x:v>
      </x:c>
      <x:c r="U28" s="31" t="n">
        <x:f>IF(T28="","",I28*T28)</x:f>
        <x:v>7384362.234274763</x:v>
      </x:c>
    </x:row>
    <x:row r="29" ht="18" customHeight="1">
      <x:c r="A29" s="24" t="str">
        <x:v>EEZ_649</x:v>
      </x:c>
      <x:c r="B29" s="24" t="str">
        <x:v>Russia (Far East)</x:v>
      </x:c>
      <x:c r="C29" s="24" t="str">
        <x:v>EEZ</x:v>
      </x:c>
      <x:c r="D29" s="30" t="n">
        <x:v>2019</x:v>
      </x:c>
      <x:c r="E29" s="24" t="str">
        <x:v>Reinhardtius hippoglossoides</x:v>
      </x:c>
      <x:c r="F29" s="24" t="str">
        <x:v>Greenland halibut</x:v>
      </x:c>
      <x:c r="G29" s="24" t="str">
        <x:v>Small to medium flatfishes (&lt;90 cm)</x:v>
      </x:c>
      <x:c r="H29" s="24" t="str">
        <x:v>Flatfishes</x:v>
      </x:c>
      <x:c r="I29" s="31" t="n">
        <x:v>13469.2482577419</x:v>
      </x:c>
      <x:c r="J29" s="31" t="n">
        <x:v>11729.2</x:v>
      </x:c>
      <x:c r="K29" s="31" t="n">
        <x:v>1740.0482577419</x:v>
      </x:c>
      <x:c r="L29" s="31" t="n">
        <x:v>8161</x:v>
      </x:c>
      <x:c r="M29" s="31" t="n">
        <x:v>5308.2482577419</x:v>
      </x:c>
      <x:c r="N29" s="24" t="str">
        <x:v>reinhardtius hippoglossoides</x:v>
      </x:c>
      <x:c r="O29" s="32" t="n">
        <x:v>4.38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Reinhardtius hippoglossoides</x:v>
      </x:c>
      <x:c r="T29" s="32" t="n">
        <x:f>IF(O29="","",(1/'Metadata'!$B$5)^(O29-1))</x:f>
        <x:v>2398.83291901949</x:v>
      </x:c>
      <x:c r="U29" s="31" t="n">
        <x:f>IF(T29="","",I29*T29)</x:f>
        <x:v>32310476.11511718</x:v>
      </x:c>
    </x:row>
    <x:row r="30" ht="18" customHeight="1">
      <x:c r="A30" s="24" t="str">
        <x:v>EEZ_649</x:v>
      </x:c>
      <x:c r="B30" s="24" t="str">
        <x:v>Russia (Far East)</x:v>
      </x:c>
      <x:c r="C30" s="24" t="str">
        <x:v>EEZ</x:v>
      </x:c>
      <x:c r="D30" s="30" t="n">
        <x:v>2019</x:v>
      </x:c>
      <x:c r="E30" s="24" t="str">
        <x:v>Brachyura</x:v>
      </x:c>
      <x:c r="F30" s="24" t="str">
        <x:v>Marine crabs</x:v>
      </x:c>
      <x:c r="G30" s="24" t="str">
        <x:v>Lobsters, crabs</x:v>
      </x:c>
      <x:c r="H30" s="24" t="str">
        <x:v>Crustaceans</x:v>
      </x:c>
      <x:c r="I30" s="31" t="n">
        <x:v>13078.884275141301</x:v>
      </x:c>
      <x:c r="J30" s="31" t="n">
        <x:v>13078.884275141301</x:v>
      </x:c>
      <x:c r="K30" s="31" t="n">
        <x:v>0</x:v>
      </x:c>
      <x:c r="L30" s="31" t="n">
        <x:v>13078.884275141301</x:v>
      </x:c>
      <x:c r="M30" s="31" t="n">
        <x:v>0</x:v>
      </x:c>
      <x:c r="N30" s="24" t="str">
        <x:v>brachyura</x:v>
      </x:c>
      <x:c r="O30" s="32" t="n">
        <x:v>2.6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Brachyura</x:v>
      </x:c>
      <x:c r="T30" s="32" t="n">
        <x:f>IF(O30="","",(1/'Metadata'!$B$5)^(O30-1))</x:f>
        <x:v>39.810717055349734</x:v>
      </x:c>
      <x:c r="U30" s="31" t="n">
        <x:f>IF(T30="","",I30*T30)</x:f>
        <x:v>520679.7612773132</x:v>
      </x:c>
    </x:row>
    <x:row r="31" ht="18" customHeight="1">
      <x:c r="A31" s="24" t="str">
        <x:v>EEZ_649</x:v>
      </x:c>
      <x:c r="B31" s="24" t="str">
        <x:v>Russia (Far East)</x:v>
      </x:c>
      <x:c r="C31" s="24" t="str">
        <x:v>EEZ</x:v>
      </x:c>
      <x:c r="D31" s="30" t="n">
        <x:v>2019</x:v>
      </x:c>
      <x:c r="E31" s="24" t="str">
        <x:v>Todarodes pacificus</x:v>
      </x:c>
      <x:c r="F31" s="24" t="str">
        <x:v>Japanese flying squid</x:v>
      </x:c>
      <x:c r="G31" s="24" t="str">
        <x:v>Cephalopods</x:v>
      </x:c>
      <x:c r="H31" s="24" t="str">
        <x:v>Other fishes &amp; inverts</x:v>
      </x:c>
      <x:c r="I31" s="31" t="n">
        <x:v>11484.2</x:v>
      </x:c>
      <x:c r="J31" s="31" t="n">
        <x:v>11484.2</x:v>
      </x:c>
      <x:c r="K31" s="31" t="n">
        <x:v>0</x:v>
      </x:c>
      <x:c r="L31" s="31" t="n">
        <x:v>9875</x:v>
      </x:c>
      <x:c r="M31" s="31" t="n">
        <x:v>1609.2</x:v>
      </x:c>
      <x:c r="N31" s="24" t="str">
        <x:v>todarodes pacificus</x:v>
      </x:c>
      <x:c r="O31" s="32" t="n">
        <x:v>4.28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Todarodes pacificus</x:v>
      </x:c>
      <x:c r="T31" s="32" t="n">
        <x:f>IF(O31="","",(1/'Metadata'!$B$5)^(O31-1))</x:f>
        <x:v>1905.4607179632483</x:v>
      </x:c>
      <x:c r="U31" s="31" t="n">
        <x:f>IF(T31="","",I31*T31)</x:f>
        <x:v>21882691.977233537</x:v>
      </x:c>
    </x:row>
    <x:row r="32" ht="18" customHeight="1">
      <x:c r="A32" s="24" t="str">
        <x:v>EEZ_649</x:v>
      </x:c>
      <x:c r="B32" s="24" t="str">
        <x:v>Russia (Far East)</x:v>
      </x:c>
      <x:c r="C32" s="24" t="str">
        <x:v>EEZ</x:v>
      </x:c>
      <x:c r="D32" s="30" t="n">
        <x:v>2019</x:v>
      </x:c>
      <x:c r="E32" s="24" t="str">
        <x:v>Cephalopoda</x:v>
      </x:c>
      <x:c r="F32" s="24" t="str">
        <x:v>Squids, cuttlefishes, octopuses</x:v>
      </x:c>
      <x:c r="G32" s="24" t="str">
        <x:v>Cephalopods</x:v>
      </x:c>
      <x:c r="H32" s="24" t="str">
        <x:v>Other fishes &amp; inverts</x:v>
      </x:c>
      <x:c r="I32" s="31" t="n">
        <x:v>11273.408246548901</x:v>
      </x:c>
      <x:c r="J32" s="31" t="n">
        <x:v>11273.408246548901</x:v>
      </x:c>
      <x:c r="K32" s="31" t="n">
        <x:v>0</x:v>
      </x:c>
      <x:c r="L32" s="31" t="n">
        <x:v>4273.4082465489</x:v>
      </x:c>
      <x:c r="M32" s="31" t="n">
        <x:v>7000</x:v>
      </x:c>
      <x:c r="N32" s="24" t="str">
        <x:v>cephalopoda</x:v>
      </x:c>
      <x:c r="O32" s="32" t="n">
        <x:v>3.81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Cephalopoda</x:v>
      </x:c>
      <x:c r="T32" s="32" t="n">
        <x:f>IF(O32="","",(1/'Metadata'!$B$5)^(O32-1))</x:f>
        <x:v>645.6542290346556</x:v>
      </x:c>
      <x:c r="U32" s="31" t="n">
        <x:f>IF(T32="","",I32*T32)</x:f>
        <x:v>7278723.71001846</x:v>
      </x:c>
    </x:row>
    <x:row r="33" ht="18" customHeight="1">
      <x:c r="A33" s="24" t="str">
        <x:v>EEZ_649</x:v>
      </x:c>
      <x:c r="B33" s="24" t="str">
        <x:v>Russia (Far East)</x:v>
      </x:c>
      <x:c r="C33" s="24" t="str">
        <x:v>EEZ</x:v>
      </x:c>
      <x:c r="D33" s="30" t="n">
        <x:v>2019</x:v>
      </x:c>
      <x:c r="E33" s="24" t="str">
        <x:v>Echinoidea</x:v>
      </x:c>
      <x:c r="F33" s="24" t="str">
        <x:v>Sea urchins, sea hedgehogs</x:v>
      </x:c>
      <x:c r="G33" s="24" t="str">
        <x:v>Other demersal invertebrates</x:v>
      </x:c>
      <x:c r="H33" s="24" t="str">
        <x:v>Other fishes &amp; inverts</x:v>
      </x:c>
      <x:c r="I33" s="31" t="n">
        <x:v>10913.6468001627</x:v>
      </x:c>
      <x:c r="J33" s="31" t="n">
        <x:v>10913.6468001627</x:v>
      </x:c>
      <x:c r="K33" s="31" t="n">
        <x:v>0</x:v>
      </x:c>
      <x:c r="L33" s="31" t="n">
        <x:v>8514.2468001627</x:v>
      </x:c>
      <x:c r="M33" s="31" t="n">
        <x:v>2399.3999999999996</x:v>
      </x:c>
      <x:c r="N33" s="24" t="str">
        <x:v>echinoidea</x:v>
      </x:c>
      <x:c r="O33" s="32" t="n">
        <x:v>2.51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Echinoidea</x:v>
      </x:c>
      <x:c r="T33" s="32" t="n">
        <x:f>IF(O33="","",(1/'Metadata'!$B$5)^(O33-1))</x:f>
        <x:v>32.35936569296281</x:v>
      </x:c>
      <x:c r="U33" s="31" t="n">
        <x:f>IF(T33="","",I33*T33)</x:f>
        <x:v>353158.68785029824</x:v>
      </x:c>
    </x:row>
    <x:row r="34" ht="18" customHeight="1">
      <x:c r="A34" s="24" t="str">
        <x:v>EEZ_649</x:v>
      </x:c>
      <x:c r="B34" s="24" t="str">
        <x:v>Russia (Far East)</x:v>
      </x:c>
      <x:c r="C34" s="24" t="str">
        <x:v>EEZ</x:v>
      </x:c>
      <x:c r="D34" s="30" t="n">
        <x:v>2019</x:v>
      </x:c>
      <x:c r="E34" s="24" t="str">
        <x:v>Holothuroidea</x:v>
      </x:c>
      <x:c r="F34" s="24" t="str">
        <x:v>Sea cucumbers</x:v>
      </x:c>
      <x:c r="G34" s="24" t="str">
        <x:v>Other demersal invertebrates</x:v>
      </x:c>
      <x:c r="H34" s="24" t="str">
        <x:v>Other fishes &amp; inverts</x:v>
      </x:c>
      <x:c r="I34" s="31" t="n">
        <x:v>10622.5</x:v>
      </x:c>
      <x:c r="J34" s="31" t="n">
        <x:v>10622.5</x:v>
      </x:c>
      <x:c r="K34" s="31" t="n">
        <x:v>0</x:v>
      </x:c>
      <x:c r="L34" s="31" t="n">
        <x:v>8872</x:v>
      </x:c>
      <x:c r="M34" s="31" t="n">
        <x:v>1750.5</x:v>
      </x:c>
      <x:c r="N34" s="24" t="str">
        <x:v>holothuroidea</x:v>
      </x:c>
      <x:c r="O34" s="32" t="n">
        <x:v>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Holothuroidea</x:v>
      </x:c>
      <x:c r="T34" s="32" t="n">
        <x:f>IF(O34="","",(1/'Metadata'!$B$5)^(O34-1))</x:f>
        <x:v>10</x:v>
      </x:c>
      <x:c r="U34" s="31" t="n">
        <x:f>IF(T34="","",I34*T34)</x:f>
        <x:v>106225</x:v>
      </x:c>
    </x:row>
    <x:row r="35" ht="18" customHeight="1">
      <x:c r="A35" s="24" t="str">
        <x:v>EEZ_649</x:v>
      </x:c>
      <x:c r="B35" s="24" t="str">
        <x:v>Russia (Far East)</x:v>
      </x:c>
      <x:c r="C35" s="24" t="str">
        <x:v>EEZ</x:v>
      </x:c>
      <x:c r="D35" s="30" t="n">
        <x:v>2019</x:v>
      </x:c>
      <x:c r="E35" s="24" t="str">
        <x:v>Gastropoda</x:v>
      </x:c>
      <x:c r="F35" s="24" t="str">
        <x:v>Sea snails</x:v>
      </x:c>
      <x:c r="G35" s="24" t="str">
        <x:v>Other demersal invertebrates</x:v>
      </x:c>
      <x:c r="H35" s="24" t="str">
        <x:v>Molluscs</x:v>
      </x:c>
      <x:c r="I35" s="31" t="n">
        <x:v>10207.1271622189</x:v>
      </x:c>
      <x:c r="J35" s="31" t="n">
        <x:v>10207.1271622189</x:v>
      </x:c>
      <x:c r="K35" s="31" t="n">
        <x:v>0</x:v>
      </x:c>
      <x:c r="L35" s="31" t="n">
        <x:v>8557.1271622189</x:v>
      </x:c>
      <x:c r="M35" s="31" t="n">
        <x:v>1650</x:v>
      </x:c>
      <x:c r="N35" s="24" t="str">
        <x:v>gastropoda</x:v>
      </x:c>
      <x:c r="O35" s="32" t="n">
        <x:v>3.06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Gastropoda</x:v>
      </x:c>
      <x:c r="T35" s="32" t="n">
        <x:f>IF(O35="","",(1/'Metadata'!$B$5)^(O35-1))</x:f>
        <x:v>114.81536214968828</x:v>
      </x:c>
      <x:c r="U35" s="31" t="n">
        <x:f>IF(T35="","",I35*T35)</x:f>
        <x:v>1171935.001638083</x:v>
      </x:c>
    </x:row>
    <x:row r="36" ht="18" customHeight="1">
      <x:c r="A36" s="24" t="str">
        <x:v>EEZ_649</x:v>
      </x:c>
      <x:c r="B36" s="24" t="str">
        <x:v>Russia (Far East)</x:v>
      </x:c>
      <x:c r="C36" s="24" t="str">
        <x:v>EEZ</x:v>
      </x:c>
      <x:c r="D36" s="30" t="n">
        <x:v>2019</x:v>
      </x:c>
      <x:c r="E36" s="24" t="str">
        <x:v>Lithodes aequispinus</x:v>
      </x:c>
      <x:c r="F36" s="24" t="str">
        <x:v>Same-spine stone crab</x:v>
      </x:c>
      <x:c r="G36" s="24" t="str">
        <x:v>Lobsters, crabs</x:v>
      </x:c>
      <x:c r="H36" s="24" t="str">
        <x:v>Crustaceans</x:v>
      </x:c>
      <x:c r="I36" s="31" t="n">
        <x:v>8707.75</x:v>
      </x:c>
      <x:c r="J36" s="31" t="n">
        <x:v>8707.75</x:v>
      </x:c>
      <x:c r="K36" s="31" t="n">
        <x:v>0</x:v>
      </x:c>
      <x:c r="L36" s="31" t="n">
        <x:v>3439</x:v>
      </x:c>
      <x:c r="M36" s="31" t="n">
        <x:v>5268.75</x:v>
      </x:c>
      <x:c r="N36" s="24" t="str">
        <x:v>lithodes aequispinus</x:v>
      </x:c>
      <x:c r="O36" s="32" t="n">
        <x:v>3.54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Lithodes aequispinus</x:v>
      </x:c>
      <x:c r="T36" s="32" t="n">
        <x:f>IF(O36="","",(1/'Metadata'!$B$5)^(O36-1))</x:f>
        <x:v>346.73685045253166</x:v>
      </x:c>
      <x:c r="U36" s="31" t="n">
        <x:f>IF(T36="","",I36*T36)</x:f>
        <x:v>3019297.8095280323</x:v>
      </x:c>
    </x:row>
    <x:row r="37" ht="18" customHeight="1">
      <x:c r="A37" s="24" t="str">
        <x:v>EEZ_649</x:v>
      </x:c>
      <x:c r="B37" s="24" t="str">
        <x:v>Russia (Far East)</x:v>
      </x:c>
      <x:c r="C37" s="24" t="str">
        <x:v>EEZ</x:v>
      </x:c>
      <x:c r="D37" s="30" t="n">
        <x:v>2019</x:v>
      </x:c>
      <x:c r="E37" s="24" t="str">
        <x:v>Marine pelagic fishes not identified</x:v>
      </x:c>
      <x:c r="F37" s="24" t="str">
        <x:v>Pelagic fishes</x:v>
      </x:c>
      <x:c r="G37" s="24" t="str">
        <x:v>Medium pelagics (30 - 89 cm)</x:v>
      </x:c>
      <x:c r="H37" s="24" t="str">
        <x:v>Other fishes &amp; inverts</x:v>
      </x:c>
      <x:c r="I37" s="31" t="n">
        <x:v>8068.4117188246</x:v>
      </x:c>
      <x:c r="J37" s="31" t="n">
        <x:v>7929.6926885552</x:v>
      </x:c>
      <x:c r="K37" s="31" t="n">
        <x:v>138.71903026939998</x:v>
      </x:c>
      <x:c r="L37" s="31" t="n">
        <x:v>7929.6926885552</x:v>
      </x:c>
      <x:c r="M37" s="31" t="n">
        <x:v>138.71903026939998</x:v>
      </x:c>
      <x:c r="N37" s="24" t="str">
        <x:v>marine pelagic fishes not identified</x:v>
      </x:c>
      <x:c r="O37" s="32" t="n">
        <x:v>3.35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Marine pelagic fishes not identified</x:v>
      </x:c>
      <x:c r="T37" s="32" t="n">
        <x:f>IF(O37="","",(1/'Metadata'!$B$5)^(O37-1))</x:f>
        <x:v>223.872113856834</x:v>
      </x:c>
      <x:c r="U37" s="31" t="n">
        <x:f>IF(T37="","",I37*T37)</x:f>
        <x:v>1806292.3869605146</x:v>
      </x:c>
    </x:row>
    <x:row r="38" ht="18" customHeight="1">
      <x:c r="A38" s="24" t="str">
        <x:v>EEZ_649</x:v>
      </x:c>
      <x:c r="B38" s="24" t="str">
        <x:v>Russia (Far East)</x:v>
      </x:c>
      <x:c r="C38" s="24" t="str">
        <x:v>EEZ</x:v>
      </x:c>
      <x:c r="D38" s="30" t="n">
        <x:v>2019</x:v>
      </x:c>
      <x:c r="E38" s="24" t="str">
        <x:v>Moridae</x:v>
      </x:c>
      <x:c r="F38" s="24" t="str">
        <x:v>Codlings, moras</x:v>
      </x:c>
      <x:c r="G38" s="24" t="str">
        <x:v>Medium benthopelagics (30 - 89 cm)</x:v>
      </x:c>
      <x:c r="H38" s="24" t="str">
        <x:v>Cod-likes</x:v>
      </x:c>
      <x:c r="I38" s="31" t="n">
        <x:v>7800.3</x:v>
      </x:c>
      <x:c r="J38" s="31" t="n">
        <x:v>7800.3</x:v>
      </x:c>
      <x:c r="K38" s="31" t="n">
        <x:v>0</x:v>
      </x:c>
      <x:c r="L38" s="31" t="n">
        <x:v>3615</x:v>
      </x:c>
      <x:c r="M38" s="31" t="n">
        <x:v>4185.3</x:v>
      </x:c>
      <x:c r="N38" s="24" t="str">
        <x:v>moridae</x:v>
      </x:c>
      <x:c r="O38" s="32" t="n">
        <x:v>3.87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Moridae</x:v>
      </x:c>
      <x:c r="T38" s="32" t="n">
        <x:f>IF(O38="","",(1/'Metadata'!$B$5)^(O38-1))</x:f>
        <x:v>741.3102413009177</x:v>
      </x:c>
      <x:c r="U38" s="31" t="n">
        <x:f>IF(T38="","",I38*T38)</x:f>
        <x:v>5782442.2752195485</x:v>
      </x:c>
    </x:row>
    <x:row r="39" ht="18" customHeight="1">
      <x:c r="A39" s="24" t="str">
        <x:v>EEZ_649</x:v>
      </x:c>
      <x:c r="B39" s="24" t="str">
        <x:v>Russia (Far East)</x:v>
      </x:c>
      <x:c r="C39" s="24" t="str">
        <x:v>EEZ</x:v>
      </x:c>
      <x:c r="D39" s="30" t="n">
        <x:v>2019</x:v>
      </x:c>
      <x:c r="E39" s="24" t="str">
        <x:v>Lutjanidae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7776.2485361559</x:v>
      </x:c>
      <x:c r="J39" s="31" t="n">
        <x:v>0</x:v>
      </x:c>
      <x:c r="K39" s="31" t="n">
        <x:v>7776.2485361559</x:v>
      </x:c>
      <x:c r="L39" s="31" t="n">
        <x:v>0</x:v>
      </x:c>
      <x:c r="M39" s="31" t="n">
        <x:v>7776.2485361559</x:v>
      </x:c>
      <x:c r="N39" s="24" t="str">
        <x:v>lutjanidae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Lutjanidae</x:v>
      </x:c>
      <x:c r="T39" s="32" t="n">
        <x:f>IF(O39="","",(1/'Metadata'!$B$5)^(O39-1))</x:f>
        <x:v>1047.1285480508984</x:v>
      </x:c>
      <x:c r="U39" s="31" t="n">
        <x:f>IF(T39="","",I39*T39)</x:f>
        <x:v>8142731.838947852</x:v>
      </x:c>
    </x:row>
    <x:row r="40" ht="18" customHeight="1">
      <x:c r="A40" s="24" t="str">
        <x:v>EEZ_649</x:v>
      </x:c>
      <x:c r="B40" s="24" t="str">
        <x:v>Russia (Far East)</x:v>
      </x:c>
      <x:c r="C40" s="24" t="str">
        <x:v>EEZ</x:v>
      </x:c>
      <x:c r="D40" s="30" t="n">
        <x:v>2019</x:v>
      </x:c>
      <x:c r="E40" s="24" t="str">
        <x:v>Miscellaneous aquatic invertebrates</x:v>
      </x:c>
      <x:c r="F40" s="24" t="str">
        <x:v>Aquatic invertebrates</x:v>
      </x:c>
      <x:c r="G40" s="24" t="str">
        <x:v>Other demersal invertebrates</x:v>
      </x:c>
      <x:c r="H40" s="24" t="str">
        <x:v>Other fishes &amp; inverts</x:v>
      </x:c>
      <x:c r="I40" s="31" t="n">
        <x:v>6505.249217766301</x:v>
      </x:c>
      <x:c r="J40" s="31" t="n">
        <x:v>6505.249217766301</x:v>
      </x:c>
      <x:c r="K40" s="31" t="n">
        <x:v>0</x:v>
      </x:c>
      <x:c r="L40" s="31" t="n">
        <x:v>6505.249217766301</x:v>
      </x:c>
      <x:c r="M40" s="31" t="n">
        <x:v>0</x:v>
      </x:c>
      <x:c r="N40" s="24" t="str">
        <x:v>miscellaneous aquatic invertebrates</x:v>
      </x:c>
      <x:c r="O40" s="32" t="n">
        <x:v>2.43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Miscellaneous aquatic invertebrates</x:v>
      </x:c>
      <x:c r="T40" s="32" t="n">
        <x:f>IF(O40="","",(1/'Metadata'!$B$5)^(O40-1))</x:f>
        <x:v>26.915348039269166</x:v>
      </x:c>
      <x:c r="U40" s="31" t="n">
        <x:f>IF(T40="","",I40*T40)</x:f>
        <x:v>175091.04677836347</x:v>
      </x:c>
    </x:row>
    <x:row r="41" ht="18" customHeight="1">
      <x:c r="A41" s="24" t="str">
        <x:v>EEZ_649</x:v>
      </x:c>
      <x:c r="B41" s="24" t="str">
        <x:v>Russia (Far East)</x:v>
      </x:c>
      <x:c r="C41" s="24" t="str">
        <x:v>EEZ</x:v>
      </x:c>
      <x:c r="D41" s="30" t="n">
        <x:v>2019</x:v>
      </x:c>
      <x:c r="E41" s="24" t="str">
        <x:v>Hippoglossus stenolepis</x:v>
      </x:c>
      <x:c r="F41" s="24" t="str">
        <x:v>Pacific halibut</x:v>
      </x:c>
      <x:c r="G41" s="24" t="str">
        <x:v>Large flatfishes (&gt;=90 cm)</x:v>
      </x:c>
      <x:c r="H41" s="24" t="str">
        <x:v>Flatfishes</x:v>
      </x:c>
      <x:c r="I41" s="31" t="n">
        <x:v>6263.9185898305</x:v>
      </x:c>
      <x:c r="J41" s="31" t="n">
        <x:v>5475.8</x:v>
      </x:c>
      <x:c r="K41" s="31" t="n">
        <x:v>788.1185898305</x:v>
      </x:c>
      <x:c r="L41" s="31" t="n">
        <x:v>4172</x:v>
      </x:c>
      <x:c r="M41" s="31" t="n">
        <x:v>2091.9185898305</x:v>
      </x:c>
      <x:c r="N41" s="24" t="str">
        <x:v>hippoglossus stenolepis</x:v>
      </x:c>
      <x:c r="O41" s="32" t="n">
        <x:v>4.14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Hippoglossus stenolepis</x:v>
      </x:c>
      <x:c r="T41" s="32" t="n">
        <x:f>IF(O41="","",(1/'Metadata'!$B$5)^(O41-1))</x:f>
        <x:v>1380.3842646028838</x:v>
      </x:c>
      <x:c r="U41" s="31" t="n">
        <x:f>IF(T41="","",I41*T41)</x:f>
        <x:v>8646614.656155508</x:v>
      </x:c>
    </x:row>
    <x:row r="42" ht="18" customHeight="1">
      <x:c r="A42" s="24" t="str">
        <x:v>EEZ_649</x:v>
      </x:c>
      <x:c r="B42" s="24" t="str">
        <x:v>Russia (Far East)</x:v>
      </x:c>
      <x:c r="C42" s="24" t="str">
        <x:v>EEZ</x:v>
      </x:c>
      <x:c r="D42" s="30" t="n">
        <x:v>2019</x:v>
      </x:c>
      <x:c r="E42" s="24" t="str">
        <x:v>Osmeridae</x:v>
      </x:c>
      <x:c r="F42" s="24" t="str">
        <x:v>Smelts</x:v>
      </x:c>
      <x:c r="G42" s="24" t="str">
        <x:v>Small pelagics (&lt;30 cm)</x:v>
      </x:c>
      <x:c r="H42" s="24" t="str">
        <x:v>Salmon, smelts, etc</x:v>
      </x:c>
      <x:c r="I42" s="31" t="n">
        <x:v>5591.8531684208</x:v>
      </x:c>
      <x:c r="J42" s="31" t="n">
        <x:v>5591.8531684208</x:v>
      </x:c>
      <x:c r="K42" s="31" t="n">
        <x:v>0</x:v>
      </x:c>
      <x:c r="L42" s="31" t="n">
        <x:v>0</x:v>
      </x:c>
      <x:c r="M42" s="31" t="n">
        <x:v>5591.8531684208</x:v>
      </x:c>
      <x:c r="N42" s="24" t="str">
        <x:v>osmeridae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Osmeridae</x:v>
      </x:c>
      <x:c r="T42" s="32" t="n">
        <x:f>IF(O42="","",(1/'Metadata'!$B$5)^(O42-1))</x:f>
        <x:v>288.40315031266056</x:v>
      </x:c>
      <x:c r="U42" s="31" t="n">
        <x:f>IF(T42="","",I42*T42)</x:f>
        <x:v>1612708.0698583913</x:v>
      </x:c>
    </x:row>
    <x:row r="43" ht="18" customHeight="1">
      <x:c r="A43" s="24" t="str">
        <x:v>EEZ_649</x:v>
      </x:c>
      <x:c r="B43" s="24" t="str">
        <x:v>Russia (Far East)</x:v>
      </x:c>
      <x:c r="C43" s="24" t="str">
        <x:v>EEZ</x:v>
      </x:c>
      <x:c r="D43" s="30" t="n">
        <x:v>2019</x:v>
      </x:c>
      <x:c r="E43" s="24" t="str">
        <x:v>Octopoda</x:v>
      </x:c>
      <x:c r="F43" s="24" t="str">
        <x:v>Octopuses, argonauts</x:v>
      </x:c>
      <x:c r="G43" s="24" t="str">
        <x:v>Cephalopods</x:v>
      </x:c>
      <x:c r="H43" s="24" t="str">
        <x:v>Other fishes &amp; inverts</x:v>
      </x:c>
      <x:c r="I43" s="31" t="n">
        <x:v>5347.083447403499</x:v>
      </x:c>
      <x:c r="J43" s="31" t="n">
        <x:v>5347.083447403499</x:v>
      </x:c>
      <x:c r="K43" s="31" t="n">
        <x:v>0</x:v>
      </x:c>
      <x:c r="L43" s="31" t="n">
        <x:v>5251.6834474034995</x:v>
      </x:c>
      <x:c r="M43" s="31" t="n">
        <x:v>95.39999999999999</x:v>
      </x:c>
      <x:c r="N43" s="24" t="str">
        <x:v>octopoda</x:v>
      </x:c>
      <x:c r="O43" s="32" t="n">
        <x:v>3.58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Octopoda</x:v>
      </x:c>
      <x:c r="T43" s="32" t="n">
        <x:f>IF(O43="","",(1/'Metadata'!$B$5)^(O43-1))</x:f>
        <x:v>380.1893963205613</x:v>
      </x:c>
      <x:c r="U43" s="31" t="n">
        <x:f>IF(T43="","",I43*T43)</x:f>
        <x:v>2032904.427944002</x:v>
      </x:c>
    </x:row>
    <x:row r="44" ht="18" customHeight="1">
      <x:c r="A44" s="24" t="str">
        <x:v>EEZ_649</x:v>
      </x:c>
      <x:c r="B44" s="24" t="str">
        <x:v>Russia (Far East)</x:v>
      </x:c>
      <x:c r="C44" s="24" t="str">
        <x:v>EEZ</x:v>
      </x:c>
      <x:c r="D44" s="30" t="n">
        <x:v>2019</x:v>
      </x:c>
      <x:c r="E44" s="24" t="str">
        <x:v>Trichiurus lepturus</x:v>
      </x:c>
      <x:c r="F44" s="24" t="str">
        <x:v>Largehead hairtail</x:v>
      </x:c>
      <x:c r="G44" s="24" t="str">
        <x:v>Large benthopelagics (&gt;=90 cm)</x:v>
      </x:c>
      <x:c r="H44" s="24" t="str">
        <x:v>Perch-likes</x:v>
      </x:c>
      <x:c r="I44" s="31" t="n">
        <x:v>5225.3044859572</x:v>
      </x:c>
      <x:c r="J44" s="31" t="n">
        <x:v>5225.3044859572</x:v>
      </x:c>
      <x:c r="K44" s="31" t="n">
        <x:v>0</x:v>
      </x:c>
      <x:c r="L44" s="31" t="n">
        <x:v>5225.3044859572</x:v>
      </x:c>
      <x:c r="M44" s="31" t="n">
        <x:v>0</x:v>
      </x:c>
      <x:c r="N44" s="24" t="str">
        <x:v>trichiurus lepturus</x:v>
      </x:c>
      <x:c r="O44" s="32" t="n">
        <x:v>4.42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Trichiurus lepturus</x:v>
      </x:c>
      <x:c r="T44" s="32" t="n">
        <x:f>IF(O44="","",(1/'Metadata'!$B$5)^(O44-1))</x:f>
        <x:v>2630.2679918953813</x:v>
      </x:c>
      <x:c r="U44" s="31" t="n">
        <x:f>IF(T44="","",I44*T44)</x:f>
        <x:v>13743951.137320573</x:v>
      </x:c>
    </x:row>
    <x:row r="45" ht="18" customHeight="1">
      <x:c r="A45" s="24" t="str">
        <x:v>EEZ_649</x:v>
      </x:c>
      <x:c r="B45" s="24" t="str">
        <x:v>Russia (Far East)</x:v>
      </x:c>
      <x:c r="C45" s="24" t="str">
        <x:v>EEZ</x:v>
      </x:c>
      <x:c r="D45" s="30" t="n">
        <x:v>2019</x:v>
      </x:c>
      <x:c r="E45" s="24" t="str">
        <x:v>Salmonidae</x:v>
      </x:c>
      <x:c r="F45" s="24" t="str">
        <x:v>Salmonids</x:v>
      </x:c>
      <x:c r="G45" s="24" t="str">
        <x:v>Large benthopelagics (&gt;=90 cm)</x:v>
      </x:c>
      <x:c r="H45" s="24" t="str">
        <x:v>Salmon, smelts, etc</x:v>
      </x:c>
      <x:c r="I45" s="31" t="n">
        <x:v>4855</x:v>
      </x:c>
      <x:c r="J45" s="31" t="n">
        <x:v>4855</x:v>
      </x:c>
      <x:c r="K45" s="31" t="n">
        <x:v>0</x:v>
      </x:c>
      <x:c r="L45" s="31" t="n">
        <x:v>4855</x:v>
      </x:c>
      <x:c r="M45" s="31" t="n">
        <x:v>0</x:v>
      </x:c>
      <x:c r="N45" s="24" t="str">
        <x:v>salmonidae</x:v>
      </x:c>
      <x:c r="O45" s="32" t="n">
        <x:v>3.3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Salmonidae</x:v>
      </x:c>
      <x:c r="T45" s="32" t="n">
        <x:f>IF(O45="","",(1/'Metadata'!$B$5)^(O45-1))</x:f>
        <x:v>199.52623149688787</x:v>
      </x:c>
      <x:c r="U45" s="31" t="n">
        <x:f>IF(T45="","",I45*T45)</x:f>
        <x:v>968699.8539173906</x:v>
      </x:c>
    </x:row>
    <x:row r="46" ht="18" customHeight="1">
      <x:c r="A46" s="24" t="str">
        <x:v>EEZ_649</x:v>
      </x:c>
      <x:c r="B46" s="24" t="str">
        <x:v>Russia (Far East)</x:v>
      </x:c>
      <x:c r="C46" s="24" t="str">
        <x:v>EEZ</x:v>
      </x:c>
      <x:c r="D46" s="30" t="n">
        <x:v>2019</x:v>
      </x:c>
      <x:c r="E46" s="24" t="str">
        <x:v>Trachurus japonicus</x:v>
      </x:c>
      <x:c r="F46" s="24" t="str">
        <x:v>Japanese jack mackerel</x:v>
      </x:c>
      <x:c r="G46" s="24" t="str">
        <x:v>Medium demersals (30 - 89 cm)</x:v>
      </x:c>
      <x:c r="H46" s="24" t="str">
        <x:v>Perch-likes</x:v>
      </x:c>
      <x:c r="I46" s="31" t="n">
        <x:v>4823.7438242936</x:v>
      </x:c>
      <x:c r="J46" s="31" t="n">
        <x:v>4823.7438242936</x:v>
      </x:c>
      <x:c r="K46" s="31" t="n">
        <x:v>0</x:v>
      </x:c>
      <x:c r="L46" s="31" t="n">
        <x:v>4823.7438242936</x:v>
      </x:c>
      <x:c r="M46" s="31" t="n">
        <x:v>0</x:v>
      </x:c>
      <x:c r="N46" s="24" t="str">
        <x:v>trachurus japonicus</x:v>
      </x:c>
      <x:c r="O46" s="32" t="n">
        <x:v>3.4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Trachurus japonicus</x:v>
      </x:c>
      <x:c r="T46" s="32" t="n">
        <x:f>IF(O46="","",(1/'Metadata'!$B$5)^(O46-1))</x:f>
        <x:v>251.18864315095797</x:v>
      </x:c>
      <x:c r="U46" s="31" t="n">
        <x:f>IF(T46="","",I46*T46)</x:f>
        <x:v>1211669.6661321223</x:v>
      </x:c>
    </x:row>
    <x:row r="47" ht="18" customHeight="1">
      <x:c r="A47" s="24" t="str">
        <x:v>EEZ_649</x:v>
      </x:c>
      <x:c r="B47" s="24" t="str">
        <x:v>Russia (Far East)</x:v>
      </x:c>
      <x:c r="C47" s="24" t="str">
        <x:v>EEZ</x:v>
      </x:c>
      <x:c r="D47" s="30" t="n">
        <x:v>2019</x:v>
      </x:c>
      <x:c r="E47" s="24" t="str">
        <x:v>Mugil cephalus</x:v>
      </x:c>
      <x:c r="F47" s="24" t="str">
        <x:v>Flathead grey mullet</x:v>
      </x:c>
      <x:c r="G47" s="24" t="str">
        <x:v>Large benthopelagics (&gt;=90 cm)</x:v>
      </x:c>
      <x:c r="H47" s="24" t="str">
        <x:v>Perch-likes</x:v>
      </x:c>
      <x:c r="I47" s="31" t="n">
        <x:v>4478.6376568836</x:v>
      </x:c>
      <x:c r="J47" s="31" t="n">
        <x:v>4478.6376568836</x:v>
      </x:c>
      <x:c r="K47" s="31" t="n">
        <x:v>0</x:v>
      </x:c>
      <x:c r="L47" s="31" t="n">
        <x:v>4478.6376568836</x:v>
      </x:c>
      <x:c r="M47" s="31" t="n">
        <x:v>0</x:v>
      </x:c>
      <x:c r="N47" s="24" t="str">
        <x:v>mugil cephalus</x:v>
      </x:c>
      <x:c r="O47" s="32" t="n">
        <x:v>2.14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Mugil cephalus</x:v>
      </x:c>
      <x:c r="T47" s="32" t="n">
        <x:f>IF(O47="","",(1/'Metadata'!$B$5)^(O47-1))</x:f>
        <x:v>13.803842646028853</x:v>
      </x:c>
      <x:c r="U47" s="31" t="n">
        <x:f>IF(T47="","",I47*T47)</x:f>
        <x:v>61822.40948420058</x:v>
      </x:c>
    </x:row>
    <x:row r="48" ht="18" customHeight="1">
      <x:c r="A48" s="24" t="str">
        <x:v>EEZ_649</x:v>
      </x:c>
      <x:c r="B48" s="24" t="str">
        <x:v>Russia (Far East)</x:v>
      </x:c>
      <x:c r="C48" s="24" t="str">
        <x:v>EEZ</x:v>
      </x:c>
      <x:c r="D48" s="30" t="n">
        <x:v>2019</x:v>
      </x:c>
      <x:c r="E48" s="24" t="str">
        <x:v>Pleuronectidae</x:v>
      </x:c>
      <x:c r="F48" s="24" t="str">
        <x:v>Righteye flounders</x:v>
      </x:c>
      <x:c r="G48" s="24" t="str">
        <x:v>Small to medium flatfishes (&lt;90 cm)</x:v>
      </x:c>
      <x:c r="H48" s="24" t="str">
        <x:v>Flatfishes</x:v>
      </x:c>
      <x:c r="I48" s="31" t="n">
        <x:v>4381.4143659044</x:v>
      </x:c>
      <x:c r="J48" s="31" t="n">
        <x:v>1589.3255626898</x:v>
      </x:c>
      <x:c r="K48" s="31" t="n">
        <x:v>2792.0888032146004</x:v>
      </x:c>
      <x:c r="L48" s="31" t="n">
        <x:v>0</x:v>
      </x:c>
      <x:c r="M48" s="31" t="n">
        <x:v>4381.4143659044</x:v>
      </x:c>
      <x:c r="N48" s="24" t="str">
        <x:v>pleuronectidae</x:v>
      </x:c>
      <x:c r="O48" s="32" t="n">
        <x:v>3.49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Pleuronectidae</x:v>
      </x:c>
      <x:c r="T48" s="32" t="n">
        <x:f>IF(O48="","",(1/'Metadata'!$B$5)^(O48-1))</x:f>
        <x:v>309.0295432513592</x:v>
      </x:c>
      <x:c r="U48" s="31" t="n">
        <x:f>IF(T48="","",I48*T48)</x:f>
        <x:v>1353986.4802903803</x:v>
      </x:c>
    </x:row>
    <x:row r="49" ht="18" customHeight="1">
      <x:c r="A49" s="24" t="str">
        <x:v>EEZ_649</x:v>
      </x:c>
      <x:c r="B49" s="24" t="str">
        <x:v>Russia (Far East)</x:v>
      </x:c>
      <x:c r="C49" s="24" t="str">
        <x:v>EEZ</x:v>
      </x:c>
      <x:c r="D49" s="30" t="n">
        <x:v>2019</x:v>
      </x:c>
      <x:c r="E49" s="24" t="str">
        <x:v>Sebastes alutus</x:v>
      </x:c>
      <x:c r="F49" s="24" t="str">
        <x:v>Pacific ocean perch</x:v>
      </x:c>
      <x:c r="G49" s="24" t="str">
        <x:v>Medium demersals (30 - 89 cm)</x:v>
      </x:c>
      <x:c r="H49" s="24" t="str">
        <x:v>Scorpionfishes</x:v>
      </x:c>
      <x:c r="I49" s="31" t="n">
        <x:v>3797.2773246352</x:v>
      </x:c>
      <x:c r="J49" s="31" t="n">
        <x:v>3797.2773246352</x:v>
      </x:c>
      <x:c r="K49" s="31" t="n">
        <x:v>0</x:v>
      </x:c>
      <x:c r="L49" s="31" t="n">
        <x:v>3178.3773246352002</x:v>
      </x:c>
      <x:c r="M49" s="31" t="n">
        <x:v>618.9000000000001</x:v>
      </x:c>
      <x:c r="N49" s="24" t="str">
        <x:v>sebastes alutus</x:v>
      </x:c>
      <x:c r="O49" s="32" t="n">
        <x:v>3.48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Sebastes alutus</x:v>
      </x:c>
      <x:c r="T49" s="32" t="n">
        <x:f>IF(O49="","",(1/'Metadata'!$B$5)^(O49-1))</x:f>
        <x:v>301.9951720402016</x:v>
      </x:c>
      <x:c r="U49" s="31" t="n">
        <x:f>IF(T49="","",I49*T49)</x:f>
        <x:v>1146759.4189375637</x:v>
      </x:c>
    </x:row>
    <x:row r="50" ht="18" customHeight="1">
      <x:c r="A50" s="24" t="str">
        <x:v>EEZ_649</x:v>
      </x:c>
      <x:c r="B50" s="24" t="str">
        <x:v>Russia (Far East)</x:v>
      </x:c>
      <x:c r="C50" s="24" t="str">
        <x:v>EEZ</x:v>
      </x:c>
      <x:c r="D50" s="30" t="n">
        <x:v>2019</x:v>
      </x:c>
      <x:c r="E50" s="24" t="str">
        <x:v>Salvelinus</x:v>
      </x:c>
      <x:c r="F50" s="24" t="str">
        <x:v>Chars</x:v>
      </x:c>
      <x:c r="G50" s="24" t="str">
        <x:v>Large benthopelagics (&gt;=90 cm)</x:v>
      </x:c>
      <x:c r="H50" s="24" t="str">
        <x:v>Salmon, smelts, etc</x:v>
      </x:c>
      <x:c r="I50" s="31" t="n">
        <x:v>2683.0669217997</x:v>
      </x:c>
      <x:c r="J50" s="31" t="n">
        <x:v>2683.0669217997</x:v>
      </x:c>
      <x:c r="K50" s="31" t="n">
        <x:v>0</x:v>
      </x:c>
      <x:c r="L50" s="31" t="n">
        <x:v>0</x:v>
      </x:c>
      <x:c r="M50" s="31" t="n">
        <x:v>2683.0669217997</x:v>
      </x:c>
      <x:c r="N50" s="24" t="str">
        <x:v>salvelinus</x:v>
      </x:c>
      <x:c r="O50" s="32" t="n">
        <x:v>4.1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Salvelinus</x:v>
      </x:c>
      <x:c r="T50" s="32" t="n">
        <x:f>IF(O50="","",(1/'Metadata'!$B$5)^(O50-1))</x:f>
        <x:v>1258.9254117941662</x:v>
      </x:c>
      <x:c r="U50" s="31" t="n">
        <x:f>IF(T50="","",I50*T50)</x:f>
        <x:v>3377781.1293979934</x:v>
      </x:c>
    </x:row>
    <x:row r="51" ht="18" customHeight="1">
      <x:c r="A51" s="24" t="str">
        <x:v>EEZ_649</x:v>
      </x:c>
      <x:c r="B51" s="24" t="str">
        <x:v>Russia (Far East)</x:v>
      </x:c>
      <x:c r="C51" s="24" t="str">
        <x:v>EEZ</x:v>
      </x:c>
      <x:c r="D51" s="30" t="n">
        <x:v>2019</x:v>
      </x:c>
      <x:c r="E51" s="24" t="str">
        <x:v>Pandalus hypsinotus</x:v>
      </x:c>
      <x:c r="F51" s="24" t="str">
        <x:v>Coonstriped shrimp</x:v>
      </x:c>
      <x:c r="G51" s="24" t="str">
        <x:v>Shrimps</x:v>
      </x:c>
      <x:c r="H51" s="24" t="str">
        <x:v>Crustaceans</x:v>
      </x:c>
      <x:c r="I51" s="31" t="n">
        <x:v>2654.7000000000003</x:v>
      </x:c>
      <x:c r="J51" s="31" t="n">
        <x:v>2654.7000000000003</x:v>
      </x:c>
      <x:c r="K51" s="31" t="n">
        <x:v>0</x:v>
      </x:c>
      <x:c r="L51" s="31" t="n">
        <x:v>2238</x:v>
      </x:c>
      <x:c r="M51" s="31" t="n">
        <x:v>416.7</x:v>
      </x:c>
      <x:c r="N51" s="24" t="str">
        <x:v>pandalus hypsinotus</x:v>
      </x:c>
      <x:c r="O51" s="32" t="n">
        <x:v>2.6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Pandalus hypsinotus</x:v>
      </x:c>
      <x:c r="T51" s="32" t="n">
        <x:f>IF(O51="","",(1/'Metadata'!$B$5)^(O51-1))</x:f>
        <x:v>39.810717055349734</x:v>
      </x:c>
      <x:c r="U51" s="31" t="n">
        <x:f>IF(T51="","",I51*T51)</x:f>
        <x:v>105685.51056683695</x:v>
      </x:c>
    </x:row>
    <x:row r="52" ht="18" customHeight="1">
      <x:c r="A52" s="24" t="str">
        <x:v>EEZ_649</x:v>
      </x:c>
      <x:c r="B52" s="24" t="str">
        <x:v>Russia (Far East)</x:v>
      </x:c>
      <x:c r="C52" s="24" t="str">
        <x:v>EEZ</x:v>
      </x:c>
      <x:c r="D52" s="30" t="n">
        <x:v>2019</x:v>
      </x:c>
      <x:c r="E52" s="24" t="str">
        <x:v>Oncorhynchus tshawytscha</x:v>
      </x:c>
      <x:c r="F52" s="24" t="str">
        <x:v>Chinook salmon</x:v>
      </x:c>
      <x:c r="G52" s="24" t="str">
        <x:v>Large benthopelagics (&gt;=90 cm)</x:v>
      </x:c>
      <x:c r="H52" s="24" t="str">
        <x:v>Salmon, smelts, etc</x:v>
      </x:c>
      <x:c r="I52" s="31" t="n">
        <x:v>2613.9891016005</x:v>
      </x:c>
      <x:c r="J52" s="31" t="n">
        <x:v>2613.9891016005</x:v>
      </x:c>
      <x:c r="K52" s="31" t="n">
        <x:v>0</x:v>
      </x:c>
      <x:c r="L52" s="31" t="n">
        <x:v>395</x:v>
      </x:c>
      <x:c r="M52" s="31" t="n">
        <x:v>2218.9891016005</x:v>
      </x:c>
      <x:c r="N52" s="24" t="str">
        <x:v>oncorhynchus tshawytscha</x:v>
      </x:c>
      <x:c r="O52" s="32" t="n">
        <x:v>4.4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Oncorhynchus tshawytscha</x:v>
      </x:c>
      <x:c r="T52" s="32" t="n">
        <x:f>IF(O52="","",(1/'Metadata'!$B$5)^(O52-1))</x:f>
        <x:v>2511.886431509582</x:v>
      </x:c>
      <x:c r="U52" s="31" t="n">
        <x:f>IF(T52="","",I52*T52)</x:f>
        <x:v>6566043.756424218</x:v>
      </x:c>
    </x:row>
    <x:row r="53" ht="18" customHeight="1">
      <x:c r="A53" s="24" t="str">
        <x:v>EEZ_649</x:v>
      </x:c>
      <x:c r="B53" s="24" t="str">
        <x:v>Russia (Far East)</x:v>
      </x:c>
      <x:c r="C53" s="24" t="str">
        <x:v>EEZ</x:v>
      </x:c>
      <x:c r="D53" s="30" t="n">
        <x:v>2019</x:v>
      </x:c>
      <x:c r="E53" s="24" t="str">
        <x:v>Paralithodes brevipes</x:v>
      </x:c>
      <x:c r="F53" s="24" t="str">
        <x:v>Spiny king crab</x:v>
      </x:c>
      <x:c r="G53" s="24" t="str">
        <x:v>Lobsters, crabs</x:v>
      </x:c>
      <x:c r="H53" s="24" t="str">
        <x:v>Crustaceans</x:v>
      </x:c>
      <x:c r="I53" s="31" t="n">
        <x:v>2334</x:v>
      </x:c>
      <x:c r="J53" s="31" t="n">
        <x:v>2334</x:v>
      </x:c>
      <x:c r="K53" s="31" t="n">
        <x:v>0</x:v>
      </x:c>
      <x:c r="L53" s="31" t="n">
        <x:v>799</x:v>
      </x:c>
      <x:c r="M53" s="31" t="n">
        <x:v>1535</x:v>
      </x:c>
      <x:c r="N53" s="24" t="str">
        <x:v>paralithodes brevipes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Paralithodes brevipes</x:v>
      </x:c>
      <x:c r="T53" s="32" t="n">
        <x:f>IF(O53="","",(1/'Metadata'!$B$5)^(O53-1))</x:f>
        <x:v>10</x:v>
      </x:c>
      <x:c r="U53" s="31" t="n">
        <x:f>IF(T53="","",I53*T53)</x:f>
        <x:v>23340</x:v>
      </x:c>
    </x:row>
    <x:row r="54" ht="18" customHeight="1">
      <x:c r="A54" s="24" t="str">
        <x:v>EEZ_649</x:v>
      </x:c>
      <x:c r="B54" s="24" t="str">
        <x:v>Russia (Far East)</x:v>
      </x:c>
      <x:c r="C54" s="24" t="str">
        <x:v>EEZ</x:v>
      </x:c>
      <x:c r="D54" s="30" t="n">
        <x:v>2019</x:v>
      </x:c>
      <x:c r="E54" s="24" t="str">
        <x:v>Sciaenidae</x:v>
      </x:c>
      <x:c r="F54" s="24" t="str">
        <x:v>Drums, croakers</x:v>
      </x:c>
      <x:c r="G54" s="24" t="str">
        <x:v>Medium demersals (30 - 89 cm)</x:v>
      </x:c>
      <x:c r="H54" s="24" t="str">
        <x:v>Perch-likes</x:v>
      </x:c>
      <x:c r="I54" s="31" t="n">
        <x:v>2132.8373923724</x:v>
      </x:c>
      <x:c r="J54" s="31" t="n">
        <x:v>2132.8373923724</x:v>
      </x:c>
      <x:c r="K54" s="31" t="n">
        <x:v>0</x:v>
      </x:c>
      <x:c r="L54" s="31" t="n">
        <x:v>2132.8373923724</x:v>
      </x:c>
      <x:c r="M54" s="31" t="n">
        <x:v>0</x:v>
      </x:c>
      <x:c r="N54" s="24" t="str">
        <x:v>sciaenidae</x:v>
      </x:c>
      <x:c r="O54" s="32" t="n">
        <x:v>3.76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Sciaenidae</x:v>
      </x:c>
      <x:c r="T54" s="32" t="n">
        <x:f>IF(O54="","",(1/'Metadata'!$B$5)^(O54-1))</x:f>
        <x:v>575.4399373371566</x:v>
      </x:c>
      <x:c r="U54" s="31" t="n">
        <x:f>IF(T54="","",I54*T54)</x:f>
        <x:v>1227319.8154171181</x:v>
      </x:c>
    </x:row>
    <x:row r="55" ht="18" customHeight="1">
      <x:c r="A55" s="24" t="str">
        <x:v>EEZ_649</x:v>
      </x:c>
      <x:c r="B55" s="24" t="str">
        <x:v>Russia (Far East)</x:v>
      </x:c>
      <x:c r="C55" s="24" t="str">
        <x:v>EEZ</x:v>
      </x:c>
      <x:c r="D55" s="30" t="n">
        <x:v>2019</x:v>
      </x:c>
      <x:c r="E55" s="24" t="str">
        <x:v>Pandalus goniurus</x:v>
      </x:c>
      <x:c r="F55" s="24" t="str">
        <x:v>Humpy shrimp</x:v>
      </x:c>
      <x:c r="G55" s="24" t="str">
        <x:v>Shrimps</x:v>
      </x:c>
      <x:c r="H55" s="24" t="str">
        <x:v>Crustaceans</x:v>
      </x:c>
      <x:c r="I55" s="31" t="n">
        <x:v>1891.3999999999999</x:v>
      </x:c>
      <x:c r="J55" s="31" t="n">
        <x:v>1891.3999999999999</x:v>
      </x:c>
      <x:c r="K55" s="31" t="n">
        <x:v>0</x:v>
      </x:c>
      <x:c r="L55" s="31" t="n">
        <x:v>1151</x:v>
      </x:c>
      <x:c r="M55" s="31" t="n">
        <x:v>740.4</x:v>
      </x:c>
      <x:c r="N55" s="24" t="str">
        <x:v>pandalus goniurus</x:v>
      </x:c>
      <x:c r="O55" s="32" t="n">
        <x:v>2.6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Pandalus goniurus</x:v>
      </x:c>
      <x:c r="T55" s="32" t="n">
        <x:f>IF(O55="","",(1/'Metadata'!$B$5)^(O55-1))</x:f>
        <x:v>39.810717055349734</x:v>
      </x:c>
      <x:c r="U55" s="31" t="n">
        <x:f>IF(T55="","",I55*T55)</x:f>
        <x:v>75297.99023848848</x:v>
      </x:c>
    </x:row>
    <x:row r="56" ht="18" customHeight="1">
      <x:c r="A56" s="24" t="str">
        <x:v>EEZ_649</x:v>
      </x:c>
      <x:c r="B56" s="24" t="str">
        <x:v>Russia (Far East)</x:v>
      </x:c>
      <x:c r="C56" s="24" t="str">
        <x:v>EEZ</x:v>
      </x:c>
      <x:c r="D56" s="30" t="n">
        <x:v>2019</x:v>
      </x:c>
      <x:c r="E56" s="24" t="str">
        <x:v>Atheresthes evermanni</x:v>
      </x:c>
      <x:c r="F56" s="24" t="str">
        <x:v>Kamchatka flounder</x:v>
      </x:c>
      <x:c r="G56" s="24" t="str">
        <x:v>Large flatfishes (&gt;=90 cm)</x:v>
      </x:c>
      <x:c r="H56" s="24" t="str">
        <x:v>Flatfishes</x:v>
      </x:c>
      <x:c r="I56" s="31" t="n">
        <x:v>1543.0685539404</x:v>
      </x:c>
      <x:c r="J56" s="31" t="n">
        <x:v>1448.2</x:v>
      </x:c>
      <x:c r="K56" s="31" t="n">
        <x:v>94.8685539404</x:v>
      </x:c>
      <x:c r="L56" s="31" t="n">
        <x:v>1267</x:v>
      </x:c>
      <x:c r="M56" s="31" t="n">
        <x:v>276.0685539404</x:v>
      </x:c>
      <x:c r="N56" s="24" t="str">
        <x:v>atheresthes evermanni</x:v>
      </x:c>
      <x:c r="O56" s="32" t="n">
        <x:v>4.3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Atheresthes evermanni</x:v>
      </x:c>
      <x:c r="T56" s="32" t="n">
        <x:f>IF(O56="","",(1/'Metadata'!$B$5)^(O56-1))</x:f>
        <x:v>1995.2623149688789</x:v>
      </x:c>
      <x:c r="U56" s="31" t="n">
        <x:f>IF(T56="","",I56*T56)</x:f>
        <x:v>3078826.535090803</x:v>
      </x:c>
    </x:row>
    <x:row r="57" ht="18" customHeight="1">
      <x:c r="A57" s="24" t="str">
        <x:v>EEZ_649</x:v>
      </x:c>
      <x:c r="B57" s="24" t="str">
        <x:v>Russia (Far East)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1448.4267453277</x:v>
      </x:c>
      <x:c r="J57" s="31" t="n">
        <x:v>1448.4267453277</x:v>
      </x:c>
      <x:c r="K57" s="31" t="n">
        <x:v>0</x:v>
      </x:c>
      <x:c r="L57" s="31" t="n">
        <x:v>1448.4267453277</x:v>
      </x:c>
      <x:c r="M57" s="31" t="n">
        <x:v>0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2635703.392106478</x:v>
      </x:c>
    </x:row>
    <x:row r="58" ht="18" customHeight="1">
      <x:c r="A58" s="24" t="str">
        <x:v>EEZ_649</x:v>
      </x:c>
      <x:c r="B58" s="24" t="str">
        <x:v>Russia (Far East)</x:v>
      </x:c>
      <x:c r="C58" s="24" t="str">
        <x:v>EEZ</x:v>
      </x:c>
      <x:c r="D58" s="30" t="n">
        <x:v>2019</x:v>
      </x:c>
      <x:c r="E58" s="24" t="str">
        <x:v>Actinopterygii</x:v>
      </x:c>
      <x:c r="F58" s="24" t="str">
        <x:v>Ray-finned fishes</x:v>
      </x:c>
      <x:c r="G58" s="24" t="str">
        <x:v>Medium demersals (30 - 89 cm)</x:v>
      </x:c>
      <x:c r="H58" s="24" t="str">
        <x:v>Other fishes &amp; inverts</x:v>
      </x:c>
      <x:c r="I58" s="31" t="n">
        <x:v>1392.8199368748</x:v>
      </x:c>
      <x:c r="J58" s="31" t="n">
        <x:v>1392.8199368748</x:v>
      </x:c>
      <x:c r="K58" s="31" t="n">
        <x:v>0</x:v>
      </x:c>
      <x:c r="L58" s="31" t="n">
        <x:v>0</x:v>
      </x:c>
      <x:c r="M58" s="31" t="n">
        <x:v>1392.8199368748</x:v>
      </x:c>
      <x:c r="N58" s="24" t="str">
        <x:v>actinopterygii</x:v>
      </x:c>
      <x:c r="O58" s="32" t="n">
        <x:v>3.79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Actinopterygii</x:v>
      </x:c>
      <x:c r="T58" s="32" t="n">
        <x:f>IF(O58="","",(1/'Metadata'!$B$5)^(O58-1))</x:f>
        <x:v>616.5950018614822</x:v>
      </x:c>
      <x:c r="U58" s="31" t="n">
        <x:f>IF(T58="","",I58*T58)</x:f>
        <x:v>858805.8115700268</x:v>
      </x:c>
    </x:row>
    <x:row r="59" ht="18" customHeight="1">
      <x:c r="A59" s="24" t="str">
        <x:v>EEZ_649</x:v>
      </x:c>
      <x:c r="B59" s="24" t="str">
        <x:v>Russia (Far East)</x:v>
      </x:c>
      <x:c r="C59" s="24" t="str">
        <x:v>EEZ</x:v>
      </x:c>
      <x:c r="D59" s="30" t="n">
        <x:v>2019</x:v>
      </x:c>
      <x:c r="E59" s="24" t="str">
        <x:v>Squillidae</x:v>
      </x:c>
      <x:c r="F59" s="24" t="str">
        <x:v>Squilla mantis shrimps</x:v>
      </x:c>
      <x:c r="G59" s="24" t="str">
        <x:v>Shrimps</x:v>
      </x:c>
      <x:c r="H59" s="24" t="str">
        <x:v>Crustaceans</x:v>
      </x:c>
      <x:c r="I59" s="31" t="n">
        <x:v>992.6446890667</x:v>
      </x:c>
      <x:c r="J59" s="31" t="n">
        <x:v>992.6446890667</x:v>
      </x:c>
      <x:c r="K59" s="31" t="n">
        <x:v>0</x:v>
      </x:c>
      <x:c r="L59" s="31" t="n">
        <x:v>992.6446890667</x:v>
      </x:c>
      <x:c r="M59" s="31" t="n">
        <x:v>0</x:v>
      </x:c>
      <x:c r="N59" s="24" t="str">
        <x:v>squillidae</x:v>
      </x:c>
      <x:c r="O59" s="32" t="n">
        <x:v>3.5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Squillidae</x:v>
      </x:c>
      <x:c r="T59" s="32" t="n">
        <x:f>IF(O59="","",(1/'Metadata'!$B$5)^(O59-1))</x:f>
        <x:v>316.22776601683796</x:v>
      </x:c>
      <x:c r="U59" s="31" t="n">
        <x:f>IF(T59="","",I59*T59)</x:f>
        <x:v>313901.8124720413</x:v>
      </x:c>
    </x:row>
    <x:row r="60" ht="18" customHeight="1">
      <x:c r="A60" s="24" t="str">
        <x:v>EEZ_649</x:v>
      </x:c>
      <x:c r="B60" s="24" t="str">
        <x:v>Russia (Far East)</x:v>
      </x:c>
      <x:c r="C60" s="24" t="str">
        <x:v>EEZ</x:v>
      </x:c>
      <x:c r="D60" s="30" t="n">
        <x:v>2019</x:v>
      </x:c>
      <x:c r="E60" s="24" t="str">
        <x:v>Sebastolobus alascanus</x:v>
      </x:c>
      <x:c r="F60" s="24" t="str">
        <x:v>Shortspine thornyhead</x:v>
      </x:c>
      <x:c r="G60" s="24" t="str">
        <x:v>Medium bathydemersals (30 - 89 cm)</x:v>
      </x:c>
      <x:c r="H60" s="24" t="str">
        <x:v>Scorpionfishes</x:v>
      </x:c>
      <x:c r="I60" s="31" t="n">
        <x:v>862.5226753648</x:v>
      </x:c>
      <x:c r="J60" s="31" t="n">
        <x:v>862.5226753648</x:v>
      </x:c>
      <x:c r="K60" s="31" t="n">
        <x:v>0</x:v>
      </x:c>
      <x:c r="L60" s="31" t="n">
        <x:v>756.6226753648</x:v>
      </x:c>
      <x:c r="M60" s="31" t="n">
        <x:v>105.9</x:v>
      </x:c>
      <x:c r="N60" s="24" t="str">
        <x:v>sebastolobus alascanus</x:v>
      </x:c>
      <x:c r="O60" s="32" t="n">
        <x:v>3.62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Sebastolobus alascanus</x:v>
      </x:c>
      <x:c r="T60" s="32" t="n">
        <x:f>IF(O60="","",(1/'Metadata'!$B$5)^(O60-1))</x:f>
        <x:v>416.8693834703355</x:v>
      </x:c>
      <x:c r="U60" s="31" t="n">
        <x:f>IF(T60="","",I60*T60)</x:f>
        <x:v>359559.2959085085</x:v>
      </x:c>
    </x:row>
    <x:row r="61" ht="18" customHeight="1">
      <x:c r="A61" s="24" t="str">
        <x:v>EEZ_649</x:v>
      </x:c>
      <x:c r="B61" s="24" t="str">
        <x:v>Russia (Far East)</x:v>
      </x:c>
      <x:c r="C61" s="24" t="str">
        <x:v>EEZ</x:v>
      </x:c>
      <x:c r="D61" s="30" t="n">
        <x:v>2019</x:v>
      </x:c>
      <x:c r="E61" s="24" t="str">
        <x:v>Salvelinus malma</x:v>
      </x:c>
      <x:c r="F61" s="24" t="str">
        <x:v>Dolly varden</x:v>
      </x:c>
      <x:c r="G61" s="24" t="str">
        <x:v>Large benthopelagics (&gt;=90 cm)</x:v>
      </x:c>
      <x:c r="H61" s="24" t="str">
        <x:v>Salmon, smelts, etc</x:v>
      </x:c>
      <x:c r="I61" s="31" t="n">
        <x:v>794.6627813448999</x:v>
      </x:c>
      <x:c r="J61" s="31" t="n">
        <x:v>794.6627813448999</x:v>
      </x:c>
      <x:c r="K61" s="31" t="n">
        <x:v>0</x:v>
      </x:c>
      <x:c r="L61" s="31" t="n">
        <x:v>0</x:v>
      </x:c>
      <x:c r="M61" s="31" t="n">
        <x:v>794.6627813448999</x:v>
      </x:c>
      <x:c r="N61" s="24" t="str">
        <x:v>salvelinus malma</x:v>
      </x:c>
      <x:c r="O61" s="32" t="n">
        <x:v>4.4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Salvelinus malma</x:v>
      </x:c>
      <x:c r="T61" s="32" t="n">
        <x:f>IF(O61="","",(1/'Metadata'!$B$5)^(O61-1))</x:f>
        <x:v>2511.886431509582</x:v>
      </x:c>
      <x:c r="U61" s="31" t="n">
        <x:f>IF(T61="","",I61*T61)</x:f>
        <x:v>1996102.65808592</x:v>
      </x:c>
    </x:row>
    <x:row r="62" ht="18" customHeight="1">
      <x:c r="A62" s="24" t="str">
        <x:v>EEZ_649</x:v>
      </x:c>
      <x:c r="B62" s="24" t="str">
        <x:v>Russia (Far East)</x:v>
      </x:c>
      <x:c r="C62" s="24" t="str">
        <x:v>EEZ</x:v>
      </x:c>
      <x:c r="D62" s="30" t="n">
        <x:v>2019</x:v>
      </x:c>
      <x:c r="E62" s="24" t="str">
        <x:v>Muraenesox cinereus</x:v>
      </x:c>
      <x:c r="F62" s="24" t="str">
        <x:v>Daggertooth pike conger</x:v>
      </x:c>
      <x:c r="G62" s="24" t="str">
        <x:v>Large demersals (&gt;=90 cm)</x:v>
      </x:c>
      <x:c r="H62" s="24" t="str">
        <x:v>Other fishes &amp; inverts</x:v>
      </x:c>
      <x:c r="I62" s="31" t="n">
        <x:v>724.5415547761</x:v>
      </x:c>
      <x:c r="J62" s="31" t="n">
        <x:v>724.5415547761</x:v>
      </x:c>
      <x:c r="K62" s="31" t="n">
        <x:v>0</x:v>
      </x:c>
      <x:c r="L62" s="31" t="n">
        <x:v>724.5415547761</x:v>
      </x:c>
      <x:c r="M62" s="31" t="n">
        <x:v>0</x:v>
      </x:c>
      <x:c r="N62" s="24" t="str">
        <x:v>muraenesox cinereus</x:v>
      </x:c>
      <x:c r="O62" s="32" t="n">
        <x:v>4.38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Muraenesox cinereus</x:v>
      </x:c>
      <x:c r="T62" s="32" t="n">
        <x:f>IF(O62="","",(1/'Metadata'!$B$5)^(O62-1))</x:f>
        <x:v>2398.83291901949</x:v>
      </x:c>
      <x:c r="U62" s="31" t="n">
        <x:f>IF(T62="","",I62*T62)</x:f>
        <x:v>1738054.1327944717</x:v>
      </x:c>
    </x:row>
    <x:row r="63" ht="18" customHeight="1">
      <x:c r="A63" s="24" t="str">
        <x:v>EEZ_649</x:v>
      </x:c>
      <x:c r="B63" s="24" t="str">
        <x:v>Russia (Far East)</x:v>
      </x:c>
      <x:c r="C63" s="24" t="str">
        <x:v>EEZ</x:v>
      </x:c>
      <x:c r="D63" s="30" t="n">
        <x:v>2019</x:v>
      </x:c>
      <x:c r="E63" s="24" t="str">
        <x:v>Erimacrus isenbeckii</x:v>
      </x:c>
      <x:c r="F63" s="24" t="str">
        <x:v>Hair Crab</x:v>
      </x:c>
      <x:c r="G63" s="24" t="str">
        <x:v>Lobsters, crabs</x:v>
      </x:c>
      <x:c r="H63" s="24" t="str">
        <x:v>Crustaceans</x:v>
      </x:c>
      <x:c r="I63" s="31" t="n">
        <x:v>542.8</x:v>
      </x:c>
      <x:c r="J63" s="31" t="n">
        <x:v>542.8</x:v>
      </x:c>
      <x:c r="K63" s="31" t="n">
        <x:v>0</x:v>
      </x:c>
      <x:c r="L63" s="31" t="n">
        <x:v>529</x:v>
      </x:c>
      <x:c r="M63" s="31" t="n">
        <x:v>13.799999999999999</x:v>
      </x:c>
      <x:c r="N63" s="24" t="str">
        <x:v>erimacrus isenbeckii</x:v>
      </x:c>
      <x:c r="O63" s="32" t="n">
        <x:v>2.6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Erimacrus isenbeckii</x:v>
      </x:c>
      <x:c r="T63" s="32" t="n">
        <x:f>IF(O63="","",(1/'Metadata'!$B$5)^(O63-1))</x:f>
        <x:v>39.810717055349734</x:v>
      </x:c>
      <x:c r="U63" s="31" t="n">
        <x:f>IF(T63="","",I63*T63)</x:f>
        <x:v>21609.257217643833</x:v>
      </x:c>
    </x:row>
    <x:row r="64" ht="18" customHeight="1">
      <x:c r="A64" s="24" t="str">
        <x:v>EEZ_649</x:v>
      </x:c>
      <x:c r="B64" s="24" t="str">
        <x:v>Russia (Far East)</x:v>
      </x:c>
      <x:c r="C64" s="24" t="str">
        <x:v>EEZ</x:v>
      </x:c>
      <x:c r="D64" s="30" t="n">
        <x:v>2019</x:v>
      </x:c>
      <x:c r="E64" s="24" t="str">
        <x:v>Scyphozoa</x:v>
      </x:c>
      <x:c r="F64" s="24" t="str">
        <x:v>True jellyfishes</x:v>
      </x:c>
      <x:c r="G64" s="24" t="str">
        <x:v>Jellyfish</x:v>
      </x:c>
      <x:c r="H64" s="24" t="str">
        <x:v>Other fishes &amp; inverts</x:v>
      </x:c>
      <x:c r="I64" s="31" t="n">
        <x:v>447.8</x:v>
      </x:c>
      <x:c r="J64" s="31" t="n">
        <x:v>447.8</x:v>
      </x:c>
      <x:c r="K64" s="31" t="n">
        <x:v>0</x:v>
      </x:c>
      <x:c r="L64" s="31" t="n">
        <x:v>419</x:v>
      </x:c>
      <x:c r="M64" s="31" t="n">
        <x:v>28.8</x:v>
      </x:c>
      <x:c r="N64" s="24" t="str">
        <x:v>scyphozoa</x:v>
      </x:c>
      <x:c r="O64" s="32" t="n">
        <x:v>3.46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Scyphozoa</x:v>
      </x:c>
      <x:c r="T64" s="32" t="n">
        <x:f>IF(O64="","",(1/'Metadata'!$B$5)^(O64-1))</x:f>
        <x:v>288.40315031266056</x:v>
      </x:c>
      <x:c r="U64" s="31" t="n">
        <x:f>IF(T64="","",I64*T64)</x:f>
        <x:v>129146.9307100094</x:v>
      </x:c>
    </x:row>
    <x:row r="65" ht="18" customHeight="1">
      <x:c r="A65" s="24" t="str">
        <x:v>EEZ_649</x:v>
      </x:c>
      <x:c r="B65" s="24" t="str">
        <x:v>Russia (Far East)</x:v>
      </x:c>
      <x:c r="C65" s="24" t="str">
        <x:v>EEZ</x:v>
      </x:c>
      <x:c r="D65" s="30" t="n">
        <x:v>2019</x:v>
      </x:c>
      <x:c r="E65" s="24" t="str">
        <x:v>Anoplopoma fimbria</x:v>
      </x:c>
      <x:c r="F65" s="24" t="str">
        <x:v>Sablefish</x:v>
      </x:c>
      <x:c r="G65" s="24" t="str">
        <x:v>Large bathydemersals (&gt;=90 cm)</x:v>
      </x:c>
      <x:c r="H65" s="24" t="str">
        <x:v>Scorpionfishes</x:v>
      </x:c>
      <x:c r="I65" s="31" t="n">
        <x:v>432.8</x:v>
      </x:c>
      <x:c r="J65" s="31" t="n">
        <x:v>432.8</x:v>
      </x:c>
      <x:c r="K65" s="31" t="n">
        <x:v>0</x:v>
      </x:c>
      <x:c r="L65" s="31" t="n">
        <x:v>431</x:v>
      </x:c>
      <x:c r="M65" s="31" t="n">
        <x:v>1.8</x:v>
      </x:c>
      <x:c r="N65" s="24" t="str">
        <x:v>anoplopoma fimbria</x:v>
      </x:c>
      <x:c r="O65" s="32" t="n">
        <x:v>3.84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Anoplopoma fimbria</x:v>
      </x:c>
      <x:c r="T65" s="32" t="n">
        <x:f>IF(O65="","",(1/'Metadata'!$B$5)^(O65-1))</x:f>
        <x:v>691.8309709189363</x:v>
      </x:c>
      <x:c r="U65" s="31" t="n">
        <x:f>IF(T65="","",I65*T65)</x:f>
        <x:v>299424.4442137156</x:v>
      </x:c>
    </x:row>
    <x:row r="66" ht="18" customHeight="1">
      <x:c r="A66" s="24" t="str">
        <x:v>EEZ_649</x:v>
      </x:c>
      <x:c r="B66" s="24" t="str">
        <x:v>Russia (Far East)</x:v>
      </x:c>
      <x:c r="C66" s="24" t="str">
        <x:v>EEZ</x:v>
      </x:c>
      <x:c r="D66" s="30" t="n">
        <x:v>2019</x:v>
      </x:c>
      <x:c r="E66" s="24" t="str">
        <x:v>Sclerocrangon</x:v>
      </x:c>
      <x:c r="F66" s="24" t="str">
        <x:v>Sculptured shrimps</x:v>
      </x:c>
      <x:c r="G66" s="24" t="str">
        <x:v>Shrimps</x:v>
      </x:c>
      <x:c r="H66" s="24" t="str">
        <x:v>Crustaceans</x:v>
      </x:c>
      <x:c r="I66" s="31" t="n">
        <x:v>409</x:v>
      </x:c>
      <x:c r="J66" s="31" t="n">
        <x:v>409</x:v>
      </x:c>
      <x:c r="K66" s="31" t="n">
        <x:v>0</x:v>
      </x:c>
      <x:c r="L66" s="31" t="n">
        <x:v>376</x:v>
      </x:c>
      <x:c r="M66" s="31" t="n">
        <x:v>33</x:v>
      </x:c>
      <x:c r="N66" s="24" t="str">
        <x:v>sclerocrangon</x:v>
      </x:c>
      <x:c r="O66" s="32" t="n">
        <x:v>2.2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Sclerocrangon</x:v>
      </x:c>
      <x:c r="T66" s="32" t="n">
        <x:f>IF(O66="","",(1/'Metadata'!$B$5)^(O66-1))</x:f>
        <x:v>15.848931924611142</x:v>
      </x:c>
      <x:c r="U66" s="31" t="n">
        <x:f>IF(T66="","",I66*T66)</x:f>
        <x:v>6482.2131571659565</x:v>
      </x:c>
    </x:row>
    <x:row r="67" ht="18" customHeight="1">
      <x:c r="A67" s="24" t="str">
        <x:v>EEZ_649</x:v>
      </x:c>
      <x:c r="B67" s="24" t="str">
        <x:v>Russia (Far East)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400.1752568637</x:v>
      </x:c>
      <x:c r="J67" s="31" t="n">
        <x:v>395.2982642377</x:v>
      </x:c>
      <x:c r="K67" s="31" t="n">
        <x:v>4.876992626</x:v>
      </x:c>
      <x:c r="L67" s="31" t="n">
        <x:v>395.2982642377</x:v>
      </x:c>
      <x:c r="M67" s="31" t="n">
        <x:v>4.876992626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798454.6094031318</x:v>
      </x:c>
    </x:row>
    <x:row r="68" ht="18" customHeight="1">
      <x:c r="A68" s="24" t="str">
        <x:v>EEZ_649</x:v>
      </x:c>
      <x:c r="B68" s="24" t="str">
        <x:v>Russia (Far East)</x:v>
      </x:c>
      <x:c r="C68" s="24" t="str">
        <x:v>EEZ</x:v>
      </x:c>
      <x:c r="D68" s="30" t="n">
        <x:v>2019</x:v>
      </x:c>
      <x:c r="E68" s="24" t="str">
        <x:v>Corbicula japonica</x:v>
      </x:c>
      <x:c r="F68" s="24" t="str">
        <x:v>Japanese corbicula</x:v>
      </x:c>
      <x:c r="G68" s="24" t="str">
        <x:v>Other demersal invertebrates</x:v>
      </x:c>
      <x:c r="H68" s="24" t="str">
        <x:v>Molluscs</x:v>
      </x:c>
      <x:c r="I68" s="31" t="n">
        <x:v>301.7</x:v>
      </x:c>
      <x:c r="J68" s="31" t="n">
        <x:v>301.7</x:v>
      </x:c>
      <x:c r="K68" s="31" t="n">
        <x:v>0</x:v>
      </x:c>
      <x:c r="L68" s="31" t="n">
        <x:v>2</x:v>
      </x:c>
      <x:c r="M68" s="31" t="n">
        <x:v>299.7</x:v>
      </x:c>
      <x:c r="N68" s="24" t="str">
        <x:v>corbicula japonica</x:v>
      </x:c>
      <x:c r="O68" s="32" t="n">
        <x:v>2.05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Corbicula japonica</x:v>
      </x:c>
      <x:c r="T68" s="32" t="n">
        <x:f>IF(O68="","",(1/'Metadata'!$B$5)^(O68-1))</x:f>
        <x:v>11.220184543019629</x:v>
      </x:c>
      <x:c r="U68" s="31" t="n">
        <x:f>IF(T68="","",I68*T68)</x:f>
        <x:v>3385.129676629022</x:v>
      </x:c>
    </x:row>
    <x:row r="69" ht="18" customHeight="1">
      <x:c r="A69" s="24" t="str">
        <x:v>EEZ_649</x:v>
      </x:c>
      <x:c r="B69" s="24" t="str">
        <x:v>Russia (Far East)</x:v>
      </x:c>
      <x:c r="C69" s="24" t="str">
        <x:v>EEZ</x:v>
      </x:c>
      <x:c r="D69" s="30" t="n">
        <x:v>2019</x:v>
      </x:c>
      <x:c r="E69" s="24" t="str">
        <x:v>Crassostrea</x:v>
      </x:c>
      <x:c r="F69" s="24" t="str">
        <x:v>Cupped oysters</x:v>
      </x:c>
      <x:c r="G69" s="24" t="str">
        <x:v>Other demersal invertebrates</x:v>
      </x:c>
      <x:c r="H69" s="24" t="str">
        <x:v>Molluscs</x:v>
      </x:c>
      <x:c r="I69" s="31" t="n">
        <x:v>281.5</x:v>
      </x:c>
      <x:c r="J69" s="31" t="n">
        <x:v>281.5</x:v>
      </x:c>
      <x:c r="K69" s="31" t="n">
        <x:v>0</x:v>
      </x:c>
      <x:c r="L69" s="31" t="n">
        <x:v>268</x:v>
      </x:c>
      <x:c r="M69" s="31" t="n">
        <x:v>13.5</x:v>
      </x:c>
      <x:c r="N69" s="24" t="str">
        <x:v>crassostrea</x:v>
      </x:c>
      <x:c r="O69" s="32" t="n">
        <x:v>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Crassostrea</x:v>
      </x:c>
      <x:c r="T69" s="32" t="n">
        <x:f>IF(O69="","",(1/'Metadata'!$B$5)^(O69-1))</x:f>
        <x:v>10</x:v>
      </x:c>
      <x:c r="U69" s="31" t="n">
        <x:f>IF(T69="","",I69*T69)</x:f>
        <x:v>2815</x:v>
      </x:c>
    </x:row>
    <x:row r="70" ht="18" customHeight="1">
      <x:c r="A70" s="24" t="str">
        <x:v>EEZ_649</x:v>
      </x:c>
      <x:c r="B70" s="24" t="str">
        <x:v>Russia (Far East)</x:v>
      </x:c>
      <x:c r="C70" s="24" t="str">
        <x:v>EEZ</x:v>
      </x:c>
      <x:c r="D70" s="30" t="n">
        <x:v>2019</x:v>
      </x:c>
      <x:c r="E70" s="24" t="str">
        <x:v>Cyprinidae</x:v>
      </x:c>
      <x:c r="F70" s="24" t="str">
        <x:v>Carps, barbels, other cyprinids</x:v>
      </x:c>
      <x:c r="G70" s="24" t="str">
        <x:v>Medium demersals (30 - 89 cm)</x:v>
      </x:c>
      <x:c r="H70" s="24" t="str">
        <x:v>Other fishes &amp; inverts</x:v>
      </x:c>
      <x:c r="I70" s="31" t="n">
        <x:v>242.3</x:v>
      </x:c>
      <x:c r="J70" s="31" t="n">
        <x:v>242.3</x:v>
      </x:c>
      <x:c r="K70" s="31" t="n">
        <x:v>0</x:v>
      </x:c>
      <x:c r="L70" s="31" t="n">
        <x:v>176</x:v>
      </x:c>
      <x:c r="M70" s="31" t="n">
        <x:v>66.3</x:v>
      </x:c>
      <x:c r="N70" s="24" t="str">
        <x:v>cyprinidae</x:v>
      </x:c>
      <x:c r="O70" s="32" t="n">
        <x:v>2.8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Cyprinidae</x:v>
      </x:c>
      <x:c r="T70" s="32" t="n">
        <x:f>IF(O70="","",(1/'Metadata'!$B$5)^(O70-1))</x:f>
        <x:v>63.0957344480193</x:v>
      </x:c>
      <x:c r="U70" s="31" t="n">
        <x:f>IF(T70="","",I70*T70)</x:f>
        <x:v>15288.096456755076</x:v>
      </x:c>
    </x:row>
    <x:row r="71" ht="18" customHeight="1">
      <x:c r="A71" s="24" t="str">
        <x:v>EEZ_649</x:v>
      </x:c>
      <x:c r="B71" s="24" t="str">
        <x:v>Russia (Far East)</x:v>
      </x:c>
      <x:c r="C71" s="24" t="str">
        <x:v>EEZ</x:v>
      </x:c>
      <x:c r="D71" s="30" t="n">
        <x:v>2019</x:v>
      </x:c>
      <x:c r="E71" s="24" t="str">
        <x:v>Penaeus chinensis</x:v>
      </x:c>
      <x:c r="F71" s="24" t="str">
        <x:v>Fleshy prawn</x:v>
      </x:c>
      <x:c r="G71" s="24" t="str">
        <x:v>Shrimps</x:v>
      </x:c>
      <x:c r="H71" s="24" t="str">
        <x:v>Crustaceans</x:v>
      </x:c>
      <x:c r="I71" s="31" t="n">
        <x:v>180.0368353921</x:v>
      </x:c>
      <x:c r="J71" s="31" t="n">
        <x:v>180.0368353921</x:v>
      </x:c>
      <x:c r="K71" s="31" t="n">
        <x:v>0</x:v>
      </x:c>
      <x:c r="L71" s="31" t="n">
        <x:v>180.0368353921</x:v>
      </x:c>
      <x:c r="M71" s="31" t="n">
        <x:v>0</x:v>
      </x:c>
      <x:c r="N71" s="24" t="str">
        <x:v>penaeus chinensis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chinensis</x:v>
      </x:c>
      <x:c r="T71" s="32" t="n">
        <x:f>IF(O71="","",(1/'Metadata'!$B$5)^(O71-1))</x:f>
        <x:v>10</x:v>
      </x:c>
      <x:c r="U71" s="31" t="n">
        <x:f>IF(T71="","",I71*T71)</x:f>
        <x:v>1800.3683539209999</x:v>
      </x:c>
    </x:row>
    <x:row r="72" ht="18" customHeight="1">
      <x:c r="A72" s="24" t="str">
        <x:v>EEZ_649</x:v>
      </x:c>
      <x:c r="B72" s="24" t="str">
        <x:v>Russia (Far East)</x:v>
      </x:c>
      <x:c r="C72" s="24" t="str">
        <x:v>EEZ</x:v>
      </x:c>
      <x:c r="D72" s="30" t="n">
        <x:v>2019</x:v>
      </x:c>
      <x:c r="E72" s="24" t="str">
        <x:v>Lycodes</x:v>
      </x:c>
      <x:c r="F72" s="24" t="str">
        <x:v>Eelpouts</x:v>
      </x:c>
      <x:c r="G72" s="24" t="str">
        <x:v>Medium bathydemersals (30 - 89 cm)</x:v>
      </x:c>
      <x:c r="H72" s="24" t="str">
        <x:v>Perch-likes</x:v>
      </x:c>
      <x:c r="I72" s="31" t="n">
        <x:v>115.39999999999999</x:v>
      </x:c>
      <x:c r="J72" s="31" t="n">
        <x:v>115.39999999999999</x:v>
      </x:c>
      <x:c r="K72" s="31" t="n">
        <x:v>0</x:v>
      </x:c>
      <x:c r="L72" s="31" t="n">
        <x:v>38</x:v>
      </x:c>
      <x:c r="M72" s="31" t="n">
        <x:v>77.39999999999999</x:v>
      </x:c>
      <x:c r="N72" s="24" t="str">
        <x:v>lycodes</x:v>
      </x:c>
      <x:c r="O72" s="32" t="n">
        <x:v>3.3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Lycodes</x:v>
      </x:c>
      <x:c r="T72" s="32" t="n">
        <x:f>IF(O72="","",(1/'Metadata'!$B$5)^(O72-1))</x:f>
        <x:v>199.52623149688787</x:v>
      </x:c>
      <x:c r="U72" s="31" t="n">
        <x:f>IF(T72="","",I72*T72)</x:f>
        <x:v>23025.32711474086</x:v>
      </x:c>
    </x:row>
    <x:row r="73" ht="18" customHeight="1">
      <x:c r="A73" s="24" t="str">
        <x:v>EEZ_649</x:v>
      </x:c>
      <x:c r="B73" s="24" t="str">
        <x:v>Russia (Far East)</x:v>
      </x:c>
      <x:c r="C73" s="24" t="str">
        <x:v>EEZ</x:v>
      </x:c>
      <x:c r="D73" s="30" t="n">
        <x:v>2019</x:v>
      </x:c>
      <x:c r="E73" s="24" t="str">
        <x:v>Mytilidae</x:v>
      </x:c>
      <x:c r="F73" s="24" t="str">
        <x:v>Sea mussels</x:v>
      </x:c>
      <x:c r="G73" s="24" t="str">
        <x:v>Other demersal invertebrates</x:v>
      </x:c>
      <x:c r="H73" s="24" t="str">
        <x:v>Molluscs</x:v>
      </x:c>
      <x:c r="I73" s="31" t="n">
        <x:v>114.5</x:v>
      </x:c>
      <x:c r="J73" s="31" t="n">
        <x:v>114.5</x:v>
      </x:c>
      <x:c r="K73" s="31" t="n">
        <x:v>0</x:v>
      </x:c>
      <x:c r="L73" s="31" t="n">
        <x:v>107</x:v>
      </x:c>
      <x:c r="M73" s="31" t="n">
        <x:v>7.5</x:v>
      </x:c>
      <x:c r="N73" s="24" t="str">
        <x:v>mytilidae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Mytilidae</x:v>
      </x:c>
      <x:c r="T73" s="32" t="n">
        <x:f>IF(O73="","",(1/'Metadata'!$B$5)^(O73-1))</x:f>
        <x:v>10</x:v>
      </x:c>
      <x:c r="U73" s="31" t="n">
        <x:f>IF(T73="","",I73*T73)</x:f>
        <x:v>1145</x:v>
      </x:c>
    </x:row>
    <x:row r="74" ht="18" customHeight="1">
      <x:c r="A74" s="24" t="str">
        <x:v>EEZ_649</x:v>
      </x:c>
      <x:c r="B74" s="24" t="str">
        <x:v>Russia (Far East)</x:v>
      </x:c>
      <x:c r="C74" s="24" t="str">
        <x:v>EEZ</x:v>
      </x:c>
      <x:c r="D74" s="30" t="n">
        <x:v>2019</x:v>
      </x:c>
      <x:c r="E74" s="24" t="str">
        <x:v>Apostichopus japonicus</x:v>
      </x:c>
      <x:c r="F74" s="24" t="str">
        <x:v>Japanese sea cucumber</x:v>
      </x:c>
      <x:c r="G74" s="24" t="str">
        <x:v>Other demersal invertebrates</x:v>
      </x:c>
      <x:c r="H74" s="24" t="str">
        <x:v>Other fishes &amp; inverts</x:v>
      </x:c>
      <x:c r="I74" s="31" t="n">
        <x:v>100.4</x:v>
      </x:c>
      <x:c r="J74" s="31" t="n">
        <x:v>100.4</x:v>
      </x:c>
      <x:c r="K74" s="31" t="n">
        <x:v>0</x:v>
      </x:c>
      <x:c r="L74" s="31" t="n">
        <x:v>77</x:v>
      </x:c>
      <x:c r="M74" s="31" t="n">
        <x:v>23.4</x:v>
      </x:c>
      <x:c r="N74" s="24" t="str">
        <x:v>apostichopus japonicus</x:v>
      </x:c>
      <x:c r="O74" s="32" t="n">
        <x:v>2.3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Apostichopus japonicus</x:v>
      </x:c>
      <x:c r="T74" s="32" t="n">
        <x:f>IF(O74="","",(1/'Metadata'!$B$5)^(O74-1))</x:f>
        <x:v>19.952623149688787</x:v>
      </x:c>
      <x:c r="U74" s="31" t="n">
        <x:f>IF(T74="","",I74*T74)</x:f>
        <x:v>2003.2433642287542</x:v>
      </x:c>
    </x:row>
    <x:row r="75" ht="18" customHeight="1">
      <x:c r="A75" s="24" t="str">
        <x:v>EEZ_649</x:v>
      </x:c>
      <x:c r="B75" s="24" t="str">
        <x:v>Russia (Far East)</x:v>
      </x:c>
      <x:c r="C75" s="24" t="str">
        <x:v>EEZ</x:v>
      </x:c>
      <x:c r="D75" s="30" t="n">
        <x:v>2019</x:v>
      </x:c>
      <x:c r="E75" s="24" t="str">
        <x:v>Katsuwonus pelamis</x:v>
      </x:c>
      <x:c r="F75" s="24" t="str">
        <x:v>Skipjack tuna</x:v>
      </x:c>
      <x:c r="G75" s="24" t="str">
        <x:v>Large pelagics (&gt;=90 cm)</x:v>
      </x:c>
      <x:c r="H75" s="24" t="str">
        <x:v>Tuna &amp; billfishes</x:v>
      </x:c>
      <x:c r="I75" s="31" t="n">
        <x:v>80.7021343789</x:v>
      </x:c>
      <x:c r="J75" s="31" t="n">
        <x:v>79.9991527031</x:v>
      </x:c>
      <x:c r="K75" s="31" t="n">
        <x:v>0.7029816758</x:v>
      </x:c>
      <x:c r="L75" s="31" t="n">
        <x:v>79.9991527031</x:v>
      </x:c>
      <x:c r="M75" s="31" t="n">
        <x:v>0.7029816758</x:v>
      </x:c>
      <x:c r="N75" s="24" t="str">
        <x:v>katsuwonus pelamis</x:v>
      </x:c>
      <x:c r="O75" s="32" t="n">
        <x:v>4.43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Katsuwonus pelamis</x:v>
      </x:c>
      <x:c r="T75" s="32" t="n">
        <x:f>IF(O75="","",(1/'Metadata'!$B$5)^(O75-1))</x:f>
        <x:v>2691.534803926914</x:v>
      </x:c>
      <x:c r="U75" s="31" t="n">
        <x:f>IF(T75="","",I75*T75)</x:f>
        <x:v>217212.60343199605</x:v>
      </x:c>
    </x:row>
    <x:row r="76" ht="18" customHeight="1">
      <x:c r="A76" s="24" t="str">
        <x:v>EEZ_649</x:v>
      </x:c>
      <x:c r="B76" s="24" t="str">
        <x:v>Russia (Far East)</x:v>
      </x:c>
      <x:c r="C76" s="24" t="str">
        <x:v>EEZ</x:v>
      </x:c>
      <x:c r="D76" s="30" t="n">
        <x:v>2019</x:v>
      </x:c>
      <x:c r="E76" s="24" t="str">
        <x:v>Pandalus kessleri</x:v>
      </x:c>
      <x:c r="F76" s="24" t="str">
        <x:v>Grass shrimp</x:v>
      </x:c>
      <x:c r="G76" s="24" t="str">
        <x:v>Shrimps</x:v>
      </x:c>
      <x:c r="H76" s="24" t="str">
        <x:v>Crustaceans</x:v>
      </x:c>
      <x:c r="I76" s="31" t="n">
        <x:v>75.8</x:v>
      </x:c>
      <x:c r="J76" s="31" t="n">
        <x:v>75.8</x:v>
      </x:c>
      <x:c r="K76" s="31" t="n">
        <x:v>0</x:v>
      </x:c>
      <x:c r="L76" s="31" t="n">
        <x:v>56</x:v>
      </x:c>
      <x:c r="M76" s="31" t="n">
        <x:v>19.8</x:v>
      </x:c>
      <x:c r="N76" s="24" t="str">
        <x:v>pandalus kessleri</x:v>
      </x:c>
      <x:c r="O76" s="32" t="n">
        <x:v>2.6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Pandalus kessleri</x:v>
      </x:c>
      <x:c r="T76" s="32" t="n">
        <x:f>IF(O76="","",(1/'Metadata'!$B$5)^(O76-1))</x:f>
        <x:v>39.810717055349734</x:v>
      </x:c>
      <x:c r="U76" s="31" t="n">
        <x:f>IF(T76="","",I76*T76)</x:f>
        <x:v>3017.6523527955096</x:v>
      </x:c>
    </x:row>
    <x:row r="77" ht="18" customHeight="1">
      <x:c r="A77" s="24" t="str">
        <x:v>EEZ_649</x:v>
      </x:c>
      <x:c r="B77" s="24" t="str">
        <x:v>Russia (Far East)</x:v>
      </x:c>
      <x:c r="C77" s="24" t="str">
        <x:v>EEZ</x:v>
      </x:c>
      <x:c r="D77" s="30" t="n">
        <x:v>2019</x:v>
      </x:c>
      <x:c r="E77" s="24" t="str">
        <x:v>Bivalvia</x:v>
      </x:c>
      <x:c r="F77" s="24" t="str">
        <x:v>Clams</x:v>
      </x:c>
      <x:c r="G77" s="24" t="str">
        <x:v>Other demersal invertebrates</x:v>
      </x:c>
      <x:c r="H77" s="24" t="str">
        <x:v>Molluscs</x:v>
      </x:c>
      <x:c r="I77" s="31" t="n">
        <x:v>53</x:v>
      </x:c>
      <x:c r="J77" s="31" t="n">
        <x:v>53</x:v>
      </x:c>
      <x:c r="K77" s="31" t="n">
        <x:v>0</x:v>
      </x:c>
      <x:c r="L77" s="31" t="n">
        <x:v>53</x:v>
      </x:c>
      <x:c r="M77" s="31" t="n">
        <x:v>0</x:v>
      </x:c>
      <x:c r="N77" s="24" t="str">
        <x:v>bivalvia</x:v>
      </x:c>
      <x:c r="O77" s="32" t="n">
        <x:v>2.23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Bivalvia</x:v>
      </x:c>
      <x:c r="T77" s="32" t="n">
        <x:f>IF(O77="","",(1/'Metadata'!$B$5)^(O77-1))</x:f>
        <x:v>16.982436524617444</x:v>
      </x:c>
      <x:c r="U77" s="31" t="n">
        <x:f>IF(T77="","",I77*T77)</x:f>
        <x:v>900.0691358047245</x:v>
      </x:c>
    </x:row>
    <x:row r="78" ht="18" customHeight="1">
      <x:c r="A78" s="24" t="str">
        <x:v>EEZ_649</x:v>
      </x:c>
      <x:c r="B78" s="24" t="str">
        <x:v>Russia (Far East)</x:v>
      </x:c>
      <x:c r="C78" s="24" t="str">
        <x:v>EEZ</x:v>
      </x:c>
      <x:c r="D78" s="30" t="n">
        <x:v>2019</x:v>
      </x:c>
      <x:c r="E78" s="24" t="str">
        <x:v>Mugilidae</x:v>
      </x:c>
      <x:c r="F78" s="24" t="str">
        <x:v>Mullets, grey mullets</x:v>
      </x:c>
      <x:c r="G78" s="24" t="str">
        <x:v>Medium reef assoc. fish (30 - 89 cm)</x:v>
      </x:c>
      <x:c r="H78" s="24" t="str">
        <x:v>Perch-likes</x:v>
      </x:c>
      <x:c r="I78" s="31" t="n">
        <x:v>52</x:v>
      </x:c>
      <x:c r="J78" s="31" t="n">
        <x:v>52</x:v>
      </x:c>
      <x:c r="K78" s="31" t="n">
        <x:v>0</x:v>
      </x:c>
      <x:c r="L78" s="31" t="n">
        <x:v>13</x:v>
      </x:c>
      <x:c r="M78" s="31" t="n">
        <x:v>39</x:v>
      </x:c>
      <x:c r="N78" s="24" t="str">
        <x:v>mugilidae</x:v>
      </x:c>
      <x:c r="O78" s="32" t="n">
        <x:v>2.53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Mugilidae</x:v>
      </x:c>
      <x:c r="T78" s="32" t="n">
        <x:f>IF(O78="","",(1/'Metadata'!$B$5)^(O78-1))</x:f>
        <x:v>33.88441561392024</x:v>
      </x:c>
      <x:c r="U78" s="31" t="n">
        <x:f>IF(T78="","",I78*T78)</x:f>
        <x:v>1761.9896119238524</x:v>
      </x:c>
    </x:row>
    <x:row r="79" ht="18" customHeight="1">
      <x:c r="A79" s="24" t="str">
        <x:v>EEZ_649</x:v>
      </x:c>
      <x:c r="B79" s="24" t="str">
        <x:v>Russia (Far East)</x:v>
      </x:c>
      <x:c r="C79" s="24" t="str">
        <x:v>EEZ</x:v>
      </x:c>
      <x:c r="D79" s="30" t="n">
        <x:v>2019</x:v>
      </x:c>
      <x:c r="E79" s="24" t="str">
        <x:v>Sparidae</x:v>
      </x:c>
      <x:c r="F79" s="24" t="str">
        <x:v>Porgies, seabreams</x:v>
      </x:c>
      <x:c r="G79" s="24" t="str">
        <x:v>Medium benthopelagics (30 - 89 cm)</x:v>
      </x:c>
      <x:c r="H79" s="24" t="str">
        <x:v>Perch-likes</x:v>
      </x:c>
      <x:c r="I79" s="31" t="n">
        <x:v>14.8266673307</x:v>
      </x:c>
      <x:c r="J79" s="31" t="n">
        <x:v>14.8266673307</x:v>
      </x:c>
      <x:c r="K79" s="31" t="n">
        <x:v>0</x:v>
      </x:c>
      <x:c r="L79" s="31" t="n">
        <x:v>14.8266673307</x:v>
      </x:c>
      <x:c r="M79" s="31" t="n">
        <x:v>0</x:v>
      </x:c>
      <x:c r="N79" s="24" t="str">
        <x:v>sparidae</x:v>
      </x:c>
      <x:c r="O79" s="32" t="n">
        <x:v>3.31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Sparidae</x:v>
      </x:c>
      <x:c r="T79" s="32" t="n">
        <x:f>IF(O79="","",(1/'Metadata'!$B$5)^(O79-1))</x:f>
        <x:v>204.17379446695296</x:v>
      </x:c>
      <x:c r="U79" s="31" t="n">
        <x:f>IF(T79="","",I79*T79)</x:f>
        <x:v>3027.2169282082277</x:v>
      </x:c>
    </x:row>
    <x:row r="80" ht="18" customHeight="1">
      <x:c r="A80" s="24" t="str">
        <x:v>EEZ_649</x:v>
      </x:c>
      <x:c r="B80" s="24" t="str">
        <x:v>Russia (Far East)</x:v>
      </x:c>
      <x:c r="C80" s="24" t="str">
        <x:v>EEZ</x:v>
      </x:c>
      <x:c r="D80" s="30" t="n">
        <x:v>2019</x:v>
      </x:c>
      <x:c r="E80" s="24" t="str">
        <x:v>Oncorhynchus masou</x:v>
      </x:c>
      <x:c r="F80" s="24" t="str">
        <x:v>Masu salmon</x:v>
      </x:c>
      <x:c r="G80" s="24" t="str">
        <x:v>Medium benthopelagics (30 - 89 cm)</x:v>
      </x:c>
      <x:c r="H80" s="24" t="str">
        <x:v>Salmon, smelts, etc</x:v>
      </x:c>
      <x:c r="I80" s="31" t="n">
        <x:v>9.7734041184</x:v>
      </x:c>
      <x:c r="J80" s="31" t="n">
        <x:v>9.7734041184</x:v>
      </x:c>
      <x:c r="K80" s="31" t="n">
        <x:v>0</x:v>
      </x:c>
      <x:c r="L80" s="31" t="n">
        <x:v>7</x:v>
      </x:c>
      <x:c r="M80" s="31" t="n">
        <x:v>2.7734041184000002</x:v>
      </x:c>
      <x:c r="N80" s="24" t="str">
        <x:v>oncorhynchus masou</x:v>
      </x:c>
      <x:c r="O80" s="32" t="n">
        <x:v>3.6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Oncorhynchus masou</x:v>
      </x:c>
      <x:c r="T80" s="32" t="n">
        <x:f>IF(O80="","",(1/'Metadata'!$B$5)^(O80-1))</x:f>
        <x:v>398.1071705534973</x:v>
      </x:c>
      <x:c r="U80" s="31" t="n">
        <x:f>IF(T80="","",I80*T80)</x:f>
        <x:v>3890.8622602521223</x:v>
      </x:c>
    </x:row>
    <x:row r="81" ht="18" customHeight="1">
      <x:c r="A81" s="24" t="str">
        <x:v>EEZ_649</x:v>
      </x:c>
      <x:c r="B81" s="24" t="str">
        <x:v>Russia (Far East)</x:v>
      </x:c>
      <x:c r="C81" s="24" t="str">
        <x:v>EEZ</x:v>
      </x:c>
      <x:c r="D81" s="30" t="n">
        <x:v>2019</x:v>
      </x:c>
      <x:c r="E81" s="24" t="str">
        <x:v>Engraulidae</x:v>
      </x:c>
      <x:c r="F81" s="24" t="str">
        <x:v>Anchovies, round herrings</x:v>
      </x:c>
      <x:c r="G81" s="24" t="str">
        <x:v>Small pelagics (&lt;30 cm)</x:v>
      </x:c>
      <x:c r="H81" s="24" t="str">
        <x:v>Anchovies</x:v>
      </x:c>
      <x:c r="I81" s="31" t="n">
        <x:v>1.5</x:v>
      </x:c>
      <x:c r="J81" s="31" t="n">
        <x:v>1.5</x:v>
      </x:c>
      <x:c r="K81" s="31" t="n">
        <x:v>0</x:v>
      </x:c>
      <x:c r="L81" s="31" t="n">
        <x:v>0</x:v>
      </x:c>
      <x:c r="M81" s="31" t="n">
        <x:v>1.5</x:v>
      </x:c>
      <x:c r="N81" s="24" t="str">
        <x:v>engraulidae</x:v>
      </x:c>
      <x:c r="O81" s="32" t="n">
        <x:v>3.2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Engraulidae</x:v>
      </x:c>
      <x:c r="T81" s="32" t="n">
        <x:f>IF(O81="","",(1/'Metadata'!$B$5)^(O81-1))</x:f>
        <x:v>158.48931924611142</x:v>
      </x:c>
      <x:c r="U81" s="31" t="n">
        <x:f>IF(T81="","",I81*T81)</x:f>
        <x:v>237.73397886916712</x:v>
      </x:c>
    </x:row>
    <x:row r="82" ht="18" customHeight="1">
      <x:c r="A82" s="24" t="str">
        <x:v>EEZ_649</x:v>
      </x:c>
      <x:c r="B82" s="24" t="str">
        <x:v>Russia (Far East)</x:v>
      </x:c>
      <x:c r="C82" s="24" t="str">
        <x:v>EEZ</x:v>
      </x:c>
      <x:c r="D82" s="30" t="n">
        <x:v>2019</x:v>
      </x:c>
      <x:c r="E82" s="24" t="str">
        <x:v>Ommastrephes bartramii</x:v>
      </x:c>
      <x:c r="F82" s="24" t="str">
        <x:v>Neon flying squid</x:v>
      </x:c>
      <x:c r="G82" s="24" t="str">
        <x:v>Cephalopods</x:v>
      </x:c>
      <x:c r="H82" s="24" t="str">
        <x:v>Other fishes &amp; inverts</x:v>
      </x:c>
      <x:c r="I82" s="31" t="n">
        <x:v>1</x:v>
      </x:c>
      <x:c r="J82" s="31" t="n">
        <x:v>1</x:v>
      </x:c>
      <x:c r="K82" s="31" t="n">
        <x:v>0</x:v>
      </x:c>
      <x:c r="L82" s="31" t="n">
        <x:v>1</x:v>
      </x:c>
      <x:c r="M82" s="31" t="n">
        <x:v>0</x:v>
      </x:c>
      <x:c r="N82" s="24" t="str">
        <x:v>ommastrephes bartramii</x:v>
      </x:c>
      <x:c r="O82" s="32" t="n">
        <x:v>4.37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Ommastrephes bartramii</x:v>
      </x:c>
      <x:c r="T82" s="32" t="n">
        <x:f>IF(O82="","",(1/'Metadata'!$B$5)^(O82-1))</x:f>
        <x:v>2344.228815319923</x:v>
      </x:c>
      <x:c r="U82" s="31" t="n">
        <x:f>IF(T82="","",I82*T82)</x:f>
        <x:v>2344.228815319923</x:v>
      </x:c>
    </x:row>
    <x:row r="83" ht="18" customHeight="1">
      <x:c r="A83" s="24" t="str">
        <x:v>EEZ_649</x:v>
      </x:c>
      <x:c r="B83" s="24" t="str">
        <x:v>Russia (Far East)</x:v>
      </x:c>
      <x:c r="C83" s="24" t="str">
        <x:v>EEZ</x:v>
      </x:c>
      <x:c r="D83" s="30" t="n">
        <x:v>2019</x:v>
      </x:c>
      <x:c r="E83" s="24" t="str">
        <x:v>Elasmobranchii</x:v>
      </x:c>
      <x:c r="F83" s="24" t="str">
        <x:v>Sharks, rays, skates</x:v>
      </x:c>
      <x:c r="G83" s="24" t="str">
        <x:v>Large sharks (&gt;=90 cm)</x:v>
      </x:c>
      <x:c r="H83" s="24" t="str">
        <x:v>Sharks &amp; rays</x:v>
      </x:c>
      <x:c r="I83" s="31" t="n">
        <x:v>0.4802851397</x:v>
      </x:c>
      <x:c r="J83" s="31" t="n">
        <x:v>0</x:v>
      </x:c>
      <x:c r="K83" s="31" t="n">
        <x:v>0.4802851397</x:v>
      </x:c>
      <x:c r="L83" s="31" t="n">
        <x:v>0</x:v>
      </x:c>
      <x:c r="M83" s="31" t="n">
        <x:v>0.4802851397</x:v>
      </x:c>
      <x:c r="N83" s="24" t="str">
        <x:v>elasmobranchii</x:v>
      </x:c>
      <x:c r="O83" s="32" t="n">
        <x:v>4.05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Elasmobranchii</x:v>
      </x:c>
      <x:c r="T83" s="32" t="n">
        <x:f>IF(O83="","",(1/'Metadata'!$B$5)^(O83-1))</x:f>
        <x:v>1122.018454301963</x:v>
      </x:c>
      <x:c r="U83" s="31" t="n">
        <x:f>IF(T83="","",I83*T83)</x:f>
        <x:v>538.8887900703963</x:v>
      </x:c>
    </x:row>
    <x:row r="84" ht="18" customHeight="1">
      <x:c r="A84" s="24" t="str">
        <x:v>EEZ_649</x:v>
      </x:c>
      <x:c r="B84" s="24" t="str">
        <x:v>Russia (Far East)</x:v>
      </x:c>
      <x:c r="C84" s="24" t="str">
        <x:v>EEZ</x:v>
      </x:c>
      <x:c r="D84" s="30" t="n">
        <x:v>2019</x:v>
      </x:c>
      <x:c r="E84" s="24" t="str">
        <x:v>Thunnus albacares</x:v>
      </x:c>
      <x:c r="F84" s="24" t="str">
        <x:v>Yellowfin tuna</x:v>
      </x:c>
      <x:c r="G84" s="24" t="str">
        <x:v>Large pelagics (&gt;=90 cm)</x:v>
      </x:c>
      <x:c r="H84" s="24" t="str">
        <x:v>Tuna &amp; billfishes</x:v>
      </x:c>
      <x:c r="I84" s="31" t="n">
        <x:v>0.0491170729</x:v>
      </x:c>
      <x:c r="J84" s="31" t="n">
        <x:v>0</x:v>
      </x:c>
      <x:c r="K84" s="31" t="n">
        <x:v>0.0491170729</x:v>
      </x:c>
      <x:c r="L84" s="31" t="n">
        <x:v>0</x:v>
      </x:c>
      <x:c r="M84" s="31" t="n">
        <x:v>0.0491170729</x:v>
      </x:c>
      <x:c r="N84" s="24" t="str">
        <x:v>thunnus albacares</x:v>
      </x:c>
      <x:c r="O84" s="32" t="n">
        <x:v>4.41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Thunnus albacares</x:v>
      </x:c>
      <x:c r="T84" s="32" t="n">
        <x:f>IF(O84="","",(1/'Metadata'!$B$5)^(O84-1))</x:f>
        <x:v>2570.3957827688646</x:v>
      </x:c>
      <x:c r="U84" s="31" t="n">
        <x:f>IF(T84="","",I84*T84)</x:f>
        <x:v>126.25031704411089</x:v>
      </x:c>
    </x:row>
    <x:row r="85" ht="18" customHeight="1">
      <x:c r="A85" s="24" t="str">
        <x:v>EEZ_649</x:v>
      </x:c>
      <x:c r="B85" s="24" t="str">
        <x:v>Russia (Far East)</x:v>
      </x:c>
      <x:c r="C85" s="24" t="str">
        <x:v>EEZ</x:v>
      </x:c>
      <x:c r="D85" s="30" t="n">
        <x:v>2019</x:v>
      </x:c>
      <x:c r="E85" s="24" t="str">
        <x:v>Prionace glauca</x:v>
      </x:c>
      <x:c r="F85" s="24" t="str">
        <x:v>Blue shark</x:v>
      </x:c>
      <x:c r="G85" s="24" t="str">
        <x:v>Large sharks (&gt;=90 cm)</x:v>
      </x:c>
      <x:c r="H85" s="24" t="str">
        <x:v>Sharks &amp; rays</x:v>
      </x:c>
      <x:c r="I85" s="31" t="n">
        <x:v>0.0143517402</x:v>
      </x:c>
      <x:c r="J85" s="31" t="n">
        <x:v>0.0143517402</x:v>
      </x:c>
      <x:c r="K85" s="31" t="n">
        <x:v>0</x:v>
      </x:c>
      <x:c r="L85" s="31" t="n">
        <x:v>0.0143517402</x:v>
      </x:c>
      <x:c r="M85" s="31" t="n">
        <x:v>0</x:v>
      </x:c>
      <x:c r="N85" s="24" t="str">
        <x:v>prionace glauca</x:v>
      </x:c>
      <x:c r="O85" s="32" t="n">
        <x:v>4.35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Prionace glauca</x:v>
      </x:c>
      <x:c r="T85" s="32" t="n">
        <x:f>IF(O85="","",(1/'Metadata'!$B$5)^(O85-1))</x:f>
        <x:v>2238.7211385683377</x:v>
      </x:c>
      <x:c r="U85" s="31" t="n">
        <x:f>IF(T85="","",I85*T85)</x:f>
        <x:v>32.12954416098098</x:v>
      </x:c>
    </x:row>
    <x:row r="86" ht="18" customHeight="1">
      <x:c r="A86" s="24" t="str">
        <x:v>EEZ_649</x:v>
      </x:c>
      <x:c r="B86" s="24" t="str">
        <x:v>Russia (Far East)</x:v>
      </x:c>
      <x:c r="C86" s="24" t="str">
        <x:v>EEZ</x:v>
      </x:c>
      <x:c r="D86" s="30" t="n">
        <x:v>2019</x:v>
      </x:c>
      <x:c r="E86" s="24" t="str">
        <x:v>Thunnus orientalis</x:v>
      </x:c>
      <x:c r="F86" s="24" t="str">
        <x:v>Pacific bluefin tuna</x:v>
      </x:c>
      <x:c r="G86" s="24" t="str">
        <x:v>Large pelagics (&gt;=90 cm)</x:v>
      </x:c>
      <x:c r="H86" s="24" t="str">
        <x:v>Tuna &amp; billfishes</x:v>
      </x:c>
      <x:c r="I86" s="31" t="n">
        <x:v>0.0017742339</x:v>
      </x:c>
      <x:c r="J86" s="31" t="n">
        <x:v>0</x:v>
      </x:c>
      <x:c r="K86" s="31" t="n">
        <x:v>0.0017742339</x:v>
      </x:c>
      <x:c r="L86" s="31" t="n">
        <x:v>0</x:v>
      </x:c>
      <x:c r="M86" s="31" t="n">
        <x:v>0.0017742339</x:v>
      </x:c>
      <x:c r="N86" s="24" t="str">
        <x:v>thunnus orientalis</x:v>
      </x:c>
      <x:c r="O86" s="32" t="n">
        <x:v>4.05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Thunnus orientalis</x:v>
      </x:c>
      <x:c r="T86" s="32" t="n">
        <x:f>IF(O86="","",(1/'Metadata'!$B$5)^(O86-1))</x:f>
        <x:v>1122.018454301963</x:v>
      </x:c>
      <x:c r="U86" s="31" t="n">
        <x:f>IF(T86="","",I86*T86)</x:f>
        <x:v>1.9907231780481434</x:v>
      </x:c>
    </x:row>
    <x:row r="87" ht="18" customHeight="1">
      <x:c r="A87" s="24" t="str">
        <x:v>EEZ_649</x:v>
      </x:c>
      <x:c r="B87" s="24" t="str">
        <x:v>Russia (Far East)</x:v>
      </x:c>
      <x:c r="C87" s="24" t="str">
        <x:v>EEZ</x:v>
      </x:c>
      <x:c r="D87" s="30" t="n">
        <x:v>2019</x:v>
      </x:c>
      <x:c r="E87" s="24" t="str">
        <x:v>Xiphias gladius</x:v>
      </x:c>
      <x:c r="F87" s="24" t="str">
        <x:v>Swordfish</x:v>
      </x:c>
      <x:c r="G87" s="24" t="str">
        <x:v>Large pelagics (&gt;=90 cm)</x:v>
      </x:c>
      <x:c r="H87" s="24" t="str">
        <x:v>Tuna &amp; billfishes</x:v>
      </x:c>
      <x:c r="I87" s="31" t="n">
        <x:v>0.0000251134</x:v>
      </x:c>
      <x:c r="J87" s="31" t="n">
        <x:v>0</x:v>
      </x:c>
      <x:c r="K87" s="31" t="n">
        <x:v>0.0000251134</x:v>
      </x:c>
      <x:c r="L87" s="31" t="n">
        <x:v>0</x:v>
      </x:c>
      <x:c r="M87" s="31" t="n">
        <x:v>0.0000251134</x:v>
      </x:c>
      <x:c r="N87" s="24" t="str">
        <x:v>xiphias gladius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Xiphias gladius</x:v>
      </x:c>
      <x:c r="T87" s="32" t="n">
        <x:f>IF(O87="","",(1/'Metadata'!$B$5)^(O87-1))</x:f>
        <x:v>3388.4415613920273</x:v>
      </x:c>
      <x:c r="U87" s="31" t="n">
        <x:f>IF(T87="","",I87*T87)</x:f>
        <x:v>0.08509528830786253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293d4370d2442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16248.9851034891</x:v>
      </x:c>
      <x:c r="C2" s="32" t="n">
        <x:v>3.140005538807466</x:v>
      </x:c>
      <x:c r="D2" s="32" t="n">
        <x:f>IF(C2="","",(1/'Metadata'!$B$5)^(C2-1))</x:f>
        <x:v>138.04018695500915</x:v>
      </x:c>
      <x:c r="E2" s="31" t="n">
        <x:f>IF(B2=0,"",B2*D2)</x:f>
        <x:v>2243012.941514794</x:v>
      </x:c>
    </x:row>
    <x:row r="3" ht="18" customHeight="1">
      <x:c r="A3" s="24" t="str">
        <x:v>Cod-likes</x:v>
      </x:c>
      <x:c r="B3" s="31" t="n">
        <x:v>3951035.9564855844</x:v>
      </x:c>
      <x:c r="C3" s="32" t="n">
        <x:v>3.6133336785775465</x:v>
      </x:c>
      <x:c r="D3" s="32" t="n">
        <x:f>IF(C3="","",(1/'Metadata'!$B$5)^(C3-1))</x:f>
        <x:v>410.51939347128547</x:v>
      </x:c>
      <x:c r="E3" s="31" t="n">
        <x:f>IF(B3=0,"",B3*D3)</x:f>
        <x:v>1621976884.4397023</x:v>
      </x:c>
    </x:row>
    <x:row r="4" ht="18" customHeight="1">
      <x:c r="A4" s="24" t="str">
        <x:v>Crustaceans</x:v>
      </x:c>
      <x:c r="B4" s="31" t="n">
        <x:v>217859.4006237841</x:v>
      </x:c>
      <x:c r="C4" s="32" t="n">
        <x:v>2.927566740531207</x:v>
      </x:c>
      <x:c r="D4" s="32" t="n">
        <x:f>IF(C4="","",(1/'Metadata'!$B$5)^(C4-1))</x:f>
        <x:v>84.63826273005418</x:v>
      </x:c>
      <x:c r="E4" s="31" t="n">
        <x:f>IF(B4=0,"",B4*D4)</x:f>
        <x:v>18439241.18820797</x:v>
      </x:c>
    </x:row>
    <x:row r="5" ht="18" customHeight="1">
      <x:c r="A5" s="24" t="str">
        <x:v>Flatfishes</x:v>
      </x:c>
      <x:c r="B5" s="31" t="n">
        <x:v>145887.8243317146</x:v>
      </x:c>
      <x:c r="C5" s="32" t="n">
        <x:v>3.6745765926660807</x:v>
      </x:c>
      <x:c r="D5" s="32" t="n">
        <x:f>IF(C5="","",(1/'Metadata'!$B$5)^(C5-1))</x:f>
        <x:v>472.6901937249197</x:v>
      </x:c>
      <x:c r="E5" s="31" t="n">
        <x:f>IF(B5=0,"",B5*D5)</x:f>
        <x:v>68959743.94546522</x:v>
      </x:c>
    </x:row>
    <x:row r="6" ht="18" customHeight="1">
      <x:c r="A6" s="24" t="str">
        <x:v>Herring-likes</x:v>
      </x:c>
      <x:c r="B6" s="31" t="n">
        <x:v>830407.9527512426</x:v>
      </x:c>
      <x:c r="C6" s="32" t="n">
        <x:v>3.1074788537232783</x:v>
      </x:c>
      <x:c r="D6" s="32" t="n">
        <x:f>IF(C6="","",(1/'Metadata'!$B$5)^(C6-1))</x:f>
        <x:v>128.07927298091133</x:v>
      </x:c>
      <x:c r="E6" s="31" t="n">
        <x:f>IF(B6=0,"",B6*D6)</x:f>
        <x:v>106358046.86594611</x:v>
      </x:c>
    </x:row>
    <x:row r="7" ht="18" customHeight="1">
      <x:c r="A7" s="24" t="str">
        <x:v>Molluscs</x:v>
      </x:c>
      <x:c r="B7" s="31" t="n">
        <x:v>25441.5271622189</x:v>
      </x:c>
      <x:c r="C7" s="32" t="n">
        <x:v>2.483272867762853</x:v>
      </x:c>
      <x:c r="D7" s="32" t="n">
        <x:f>IF(C7="","",(1/'Metadata'!$B$5)^(C7-1))</x:f>
        <x:v>30.427962178573875</x:v>
      </x:c>
      <x:c r="E7" s="31" t="n">
        <x:f>IF(B7=0,"",B7*D7)</x:f>
        <x:v>774133.8262571566</x:v>
      </x:c>
    </x:row>
    <x:row r="8" ht="18" customHeight="1">
      <x:c r="A8" s="24" t="str">
        <x:v>Other fishes &amp; inverts</x:v>
      </x:c>
      <x:c r="B8" s="31" t="n">
        <x:v>944089.2446144465</x:v>
      </x:c>
      <x:c r="C8" s="32" t="n">
        <x:v>3.411212332633833</x:v>
      </x:c>
      <x:c r="D8" s="32" t="n">
        <x:f>IF(C8="","",(1/'Metadata'!$B$5)^(C8-1))</x:f>
        <x:v>257.7581064343074</x:v>
      </x:c>
      <x:c r="E8" s="31" t="n">
        <x:f>IF(B8=0,"",B8*D8)</x:f>
        <x:v>243346655.9968154</x:v>
      </x:c>
    </x:row>
    <x:row r="9" ht="18" customHeight="1">
      <x:c r="A9" s="24" t="str">
        <x:v>Perch-likes</x:v>
      </x:c>
      <x:c r="B9" s="31" t="n">
        <x:v>160445.94627571598</x:v>
      </x:c>
      <x:c r="C9" s="32" t="n">
        <x:v>3.324520345576297</x:v>
      </x:c>
      <x:c r="D9" s="32" t="n">
        <x:f>IF(C9="","",(1/'Metadata'!$B$5)^(C9-1))</x:f>
        <x:v>211.1156095709681</x:v>
      </x:c>
      <x:c r="E9" s="31" t="n">
        <x:f>IF(B9=0,"",B9*D9)</x:f>
        <x:v>33872643.751188576</x:v>
      </x:c>
    </x:row>
    <x:row r="10" ht="18" customHeight="1">
      <x:c r="A10" s="24" t="str">
        <x:v>Salmon, smelts, etc</x:v>
      </x:c>
      <x:c r="B10" s="31" t="n">
        <x:v>991945.106119383</x:v>
      </x:c>
      <x:c r="C10" s="32" t="n">
        <x:v>4.139210702137463</x:v>
      </x:c>
      <x:c r="D10" s="32" t="n">
        <x:f>IF(C10="","",(1/'Metadata'!$B$5)^(C10-1))</x:f>
        <x:v>1377.8777973999581</x:v>
      </x:c>
      <x:c r="E10" s="31" t="n">
        <x:f>IF(B10=0,"",B10*D10)</x:f>
        <x:v>1366779137.9614432</x:v>
      </x:c>
    </x:row>
    <x:row r="11" ht="18" customHeight="1">
      <x:c r="A11" s="24" t="str">
        <x:v>Scorpionfishes</x:v>
      </x:c>
      <x:c r="B11" s="31" t="n">
        <x:v>40404.529895944404</x:v>
      </x:c>
      <x:c r="C11" s="32" t="n">
        <x:v>3.3994488384489263</x:v>
      </x:c>
      <x:c r="D11" s="32" t="n">
        <x:f>IF(C11="","",(1/'Metadata'!$B$5)^(C11-1))</x:f>
        <x:v>250.87006275278748</x:v>
      </x:c>
      <x:c r="E11" s="31" t="n">
        <x:f>IF(B11=0,"",B11*D11)</x:f>
        <x:v>10136286.950492451</x:v>
      </x:c>
    </x:row>
    <x:row r="12" ht="18" customHeight="1">
      <x:c r="A12" s="24" t="str">
        <x:v>Sharks &amp; rays</x:v>
      </x:c>
      <x:c r="B12" s="31" t="n">
        <x:v>17729.4608366277</x:v>
      </x:c>
      <x:c r="C12" s="32" t="n">
        <x:v>3.7200094495649907</x:v>
      </x:c>
      <x:c r="D12" s="32" t="n">
        <x:f>IF(C12="","",(1/'Metadata'!$B$5)^(C12-1))</x:f>
        <x:v>524.8188793590693</x:v>
      </x:c>
      <x:c r="E12" s="31" t="n">
        <x:f>IF(B12=0,"",B12*D12)</x:f>
        <x:v>9304755.767919457</x:v>
      </x:c>
    </x:row>
    <x:row r="13" ht="18" customHeight="1">
      <x:c r="A13" s="24" t="str">
        <x:v>Tuna &amp; billfishes</x:v>
      </x:c>
      <x:c r="B13" s="31" t="n">
        <x:v>480.92830766279997</x:v>
      </x:c>
      <x:c r="C13" s="32" t="n">
        <x:v>4.321824963092508</x:v>
      </x:c>
      <x:c r="D13" s="32" t="n">
        <x:f>IF(C13="","",(1/'Metadata'!$B$5)^(C13-1))</x:f>
        <x:v>2098.094102856903</x:v>
      </x:c>
      <x:c r="E13" s="31" t="n">
        <x:f>IF(B13=0,"",B13*D13)</x:f>
        <x:v>1009032.846204271</x:v>
      </x:c>
    </x:row>
  </x:sheetData>
  <x:pageMargins left="0.7" right="0.7" top="0.75" bottom="0.75" header="0.3" footer="0.3"/>
  <x:tableParts count="1">
    <x:tablePart xmlns:r="http://schemas.openxmlformats.org/officeDocument/2006/relationships" r:id="Rf4c582474afe4d6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174237.78048632172</x:v>
      </x:c>
      <x:c r="C2" s="32" t="n">
        <x:v>4.102304993087613</x:v>
      </x:c>
      <x:c r="D2" s="32" t="n">
        <x:f>IF(C2="","",(1/'Metadata'!$B$5)^(C2-1))</x:f>
        <x:v>1265.6248490231346</x:v>
      </x:c>
      <x:c r="E2" s="31" t="n">
        <x:f>IF(B2=0,"",B2*D2)</x:f>
        <x:v>220519664.622127</x:v>
      </x:c>
    </x:row>
    <x:row r="3" ht="18" customHeight="1">
      <x:c r="A3" s="24" t="str">
        <x:v>Jellyfish</x:v>
      </x:c>
      <x:c r="B3" s="31" t="n">
        <x:v>447.8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129146.93071000927</x:v>
      </x:c>
    </x:row>
    <x:row r="4" ht="18" customHeight="1">
      <x:c r="A4" s="24" t="str">
        <x:v>Large bathydemersals (&gt;=90 cm)</x:v>
      </x:c>
      <x:c r="B4" s="31" t="n">
        <x:v>432.8</x:v>
      </x:c>
      <x:c r="C4" s="32" t="n">
        <x:v>3.84</x:v>
      </x:c>
      <x:c r="D4" s="32" t="n">
        <x:f>IF(C4="","",(1/'Metadata'!$B$5)^(C4-1))</x:f>
        <x:v>691.8309709189363</x:v>
      </x:c>
      <x:c r="E4" s="31" t="n">
        <x:f>IF(B4=0,"",B4*D4)</x:f>
        <x:v>299424.4442137156</x:v>
      </x:c>
    </x:row>
    <x:row r="5" ht="18" customHeight="1">
      <x:c r="A5" s="24" t="str">
        <x:v>Large benthopelagics (&gt;=90 cm)</x:v>
      </x:c>
      <x:c r="B5" s="31" t="n">
        <x:v>298989.9259657335</x:v>
      </x:c>
      <x:c r="C5" s="32" t="n">
        <x:v>3.7576479194700045</x:v>
      </x:c>
      <x:c r="D5" s="32" t="n">
        <x:f>IF(C5="","",(1/'Metadata'!$B$5)^(C5-1))</x:f>
        <x:v>572.3318560675366</x:v>
      </x:c>
      <x:c r="E5" s="31" t="n">
        <x:f>IF(B5=0,"",B5*D5)</x:f>
        <x:v>171121459.2734636</x:v>
      </x:c>
    </x:row>
    <x:row r="6" ht="18" customHeight="1">
      <x:c r="A6" s="24" t="str">
        <x:v>Large demersals (&gt;=90 cm)</x:v>
      </x:c>
      <x:c r="B6" s="31" t="n">
        <x:v>270058.07949170953</x:v>
      </x:c>
      <x:c r="C6" s="32" t="n">
        <x:v>4.171388586644858</x:v>
      </x:c>
      <x:c r="D6" s="32" t="n">
        <x:f>IF(C6="","",(1/'Metadata'!$B$5)^(C6-1))</x:f>
        <x:v>1483.8451674770647</x:v>
      </x:c>
      <x:c r="E6" s="31" t="n">
        <x:f>IF(B6=0,"",B6*D6)</x:f>
        <x:v>400724376.1919102</x:v>
      </x:c>
    </x:row>
    <x:row r="7" ht="18" customHeight="1">
      <x:c r="A7" s="24" t="str">
        <x:v>Large flatfishes (&gt;=90 cm)</x:v>
      </x:c>
      <x:c r="B7" s="31" t="n">
        <x:v>7806.987143770901</x:v>
      </x:c>
      <x:c r="C7" s="32" t="n">
        <x:v>4.171624359574801</x:v>
      </x:c>
      <x:c r="D7" s="32" t="n">
        <x:f>IF(C7="","",(1/'Metadata'!$B$5)^(C7-1))</x:f>
        <x:v>1484.6509467793064</x:v>
      </x:c>
      <x:c r="E7" s="31" t="n">
        <x:f>IF(B7=0,"",B7*D7)</x:f>
        <x:v>11590650.85449334</x:v>
      </x:c>
    </x:row>
    <x:row r="8" ht="18" customHeight="1">
      <x:c r="A8" s="24" t="str">
        <x:v>Large pelagics (&gt;=90 cm)</x:v>
      </x:c>
      <x:c r="B8" s="31" t="n">
        <x:v>480.92830766279997</x:v>
      </x:c>
      <x:c r="C8" s="32" t="n">
        <x:v>4.321824963092508</x:v>
      </x:c>
      <x:c r="D8" s="32" t="n">
        <x:f>IF(C8="","",(1/'Metadata'!$B$5)^(C8-1))</x:f>
        <x:v>2098.094102856903</x:v>
      </x:c>
      <x:c r="E8" s="31" t="n">
        <x:f>IF(B8=0,"",B8*D8)</x:f>
        <x:v>1009032.846204271</x:v>
      </x:c>
    </x:row>
    <x:row r="9" ht="18" customHeight="1">
      <x:c r="A9" s="24" t="str">
        <x:v>Large rays (&gt;=90 cm)</x:v>
      </x:c>
      <x:c r="B9" s="31" t="n">
        <x:v>17728.9661997478</x:v>
      </x:c>
      <x:c r="C9" s="32" t="n">
        <x:v>3.7199999999999998</x:v>
      </x:c>
      <x:c r="D9" s="32" t="n">
        <x:f>IF(C9="","",(1/'Metadata'!$B$5)^(C9-1))</x:f>
        <x:v>524.8074602497722</x:v>
      </x:c>
      <x:c r="E9" s="31" t="n">
        <x:f>IF(B9=0,"",B9*D9)</x:f>
        <x:v>9304293.724143699</x:v>
      </x:c>
    </x:row>
    <x:row r="10" ht="18" customHeight="1">
      <x:c r="A10" s="24" t="str">
        <x:v>Large sharks (&gt;=90 cm)</x:v>
      </x:c>
      <x:c r="B10" s="31" t="n">
        <x:v>0.4946368799</x:v>
      </x:c>
      <x:c r="C10" s="32" t="n">
        <x:v>4.058704409709341</x:v>
      </x:c>
      <x:c r="D10" s="32" t="n">
        <x:f>IF(C10="","",(1/'Metadata'!$B$5)^(C10-1))</x:f>
        <x:v>1144.733545635926</x:v>
      </x:c>
      <x:c r="E10" s="31" t="n">
        <x:f>IF(B10=0,"",B10*D10)</x:f>
        <x:v>566.2274293302187</x:v>
      </x:c>
    </x:row>
    <x:row r="11" ht="18" customHeight="1">
      <x:c r="A11" s="24" t="str">
        <x:v>Lobsters, crabs</x:v>
      </x:c>
      <x:c r="B11" s="31" t="n">
        <x:v>153542.318734144</x:v>
      </x:c>
      <x:c r="C11" s="32" t="n">
        <x:v>2.988178041678346</x:v>
      </x:c>
      <x:c r="D11" s="32" t="n">
        <x:f>IF(C11="","",(1/'Metadata'!$B$5)^(C11-1))</x:f>
        <x:v>97.31460892022807</x:v>
      </x:c>
      <x:c r="E11" s="31" t="n">
        <x:f>IF(B11=0,"",B11*D11)</x:f>
        <x:v>14941910.700318232</x:v>
      </x:c>
    </x:row>
    <x:row r="12" ht="18" customHeight="1">
      <x:c r="A12" s="24" t="str">
        <x:v>Medium bathydemersals (30 - 89 cm)</x:v>
      </x:c>
      <x:c r="B12" s="31" t="n">
        <x:v>977.9226753647999</x:v>
      </x:c>
      <x:c r="C12" s="32" t="n">
        <x:v>3.5822383232025734</x:v>
      </x:c>
      <x:c r="D12" s="32" t="n">
        <x:f>IF(C12="","",(1/'Metadata'!$B$5)^(C12-1))</x:f>
        <x:v>382.15392388868815</x:v>
      </x:c>
      <x:c r="E12" s="31" t="n">
        <x:f>IF(B12=0,"",B12*D12)</x:f>
        <x:v>373716.98765038204</x:v>
      </x:c>
    </x:row>
    <x:row r="13" ht="18" customHeight="1">
      <x:c r="A13" s="24" t="str">
        <x:v>Medium benthopelagics (30 - 89 cm)</x:v>
      </x:c>
      <x:c r="B13" s="31" t="n">
        <x:v>3657420.9327724264</x:v>
      </x:c>
      <x:c r="C13" s="32" t="n">
        <x:v>3.5706388458729705</x:v>
      </x:c>
      <x:c r="D13" s="32" t="n">
        <x:f>IF(C13="","",(1/'Metadata'!$B$5)^(C13-1))</x:f>
        <x:v>372.08215846566213</x:v>
      </x:c>
      <x:c r="E13" s="31" t="n">
        <x:f>IF(B13=0,"",B13*D13)</x:f>
        <x:v>1360861075.0834599</x:v>
      </x:c>
    </x:row>
    <x:row r="14" ht="18" customHeight="1">
      <x:c r="A14" s="24" t="str">
        <x:v>Medium demersals (30 - 89 cm)</x:v>
      </x:c>
      <x:c r="B14" s="31" t="n">
        <x:v>1370699.8805229478</x:v>
      </x:c>
      <x:c r="C14" s="32" t="n">
        <x:v>3.7994387441014514</x:v>
      </x:c>
      <x:c r="D14" s="32" t="n">
        <x:f>IF(C14="","",(1/'Metadata'!$B$5)^(C14-1))</x:f>
        <x:v>630.142460070023</x:v>
      </x:c>
      <x:c r="E14" s="31" t="n">
        <x:f>IF(B14=0,"",B14*D14)</x:f>
        <x:v>863736194.730417</x:v>
      </x:c>
    </x:row>
    <x:row r="15" ht="18" customHeight="1">
      <x:c r="A15" s="24" t="str">
        <x:v>Medium pelagics (30 - 89 cm)</x:v>
      </x:c>
      <x:c r="B15" s="31" t="n">
        <x:v>1031087.6488724136</x:v>
      </x:c>
      <x:c r="C15" s="32" t="n">
        <x:v>3.1791935724743485</x:v>
      </x:c>
      <x:c r="D15" s="32" t="n">
        <x:f>IF(C15="","",(1/'Metadata'!$B$5)^(C15-1))</x:f>
        <x:v>151.0753372723306</x:v>
      </x:c>
      <x:c r="E15" s="31" t="n">
        <x:f>IF(B15=0,"",B15*D15)</x:f>
        <x:v>155771914.31073424</x:v>
      </x:c>
    </x:row>
    <x:row r="16" ht="18" customHeight="1">
      <x:c r="A16" s="24" t="str">
        <x:v>Medium reef assoc. fish (30 - 89 cm)</x:v>
      </x:c>
      <x:c r="B16" s="31" t="n">
        <x:v>7828.2485361559</x:v>
      </x:c>
      <x:c r="C16" s="32" t="n">
        <x:v>4.010102511482339</x:v>
      </x:c>
      <x:c r="D16" s="32" t="n">
        <x:f>IF(C16="","",(1/'Metadata'!$B$5)^(C16-1))</x:f>
        <x:v>1023.534560311523</x:v>
      </x:c>
      <x:c r="E16" s="31" t="n">
        <x:f>IF(B16=0,"",B16*D16)</x:f>
        <x:v>8012482.923463653</x:v>
      </x:c>
    </x:row>
    <x:row r="17" ht="18" customHeight="1">
      <x:c r="A17" s="24" t="str">
        <x:v>Other demersal invertebrates</x:v>
      </x:c>
      <x:c r="B17" s="31" t="n">
        <x:v>53583.3231801479</x:v>
      </x:c>
      <x:c r="C17" s="32" t="n">
        <x:v>2.386100293819392</x:v>
      </x:c>
      <x:c r="D17" s="32" t="n">
        <x:f>IF(C17="","",(1/'Metadata'!$B$5)^(C17-1))</x:f>
        <x:v>24.327657550975818</x:v>
      </x:c>
      <x:c r="E17" s="31" t="n">
        <x:f>IF(B17=0,"",B17*D17)</x:f>
        <x:v>1303556.7367699025</x:v>
      </x:c>
    </x:row>
    <x:row r="18" ht="18" customHeight="1">
      <x:c r="A18" s="24" t="str">
        <x:v>Shrimps</x:v>
      </x:c>
      <x:c r="B18" s="31" t="n">
        <x:v>64317.0818896401</x:v>
      </x:c>
      <x:c r="C18" s="32" t="n">
        <x:v>2.7828711255219023</x:v>
      </x:c>
      <x:c r="D18" s="32" t="n">
        <x:f>IF(C18="","",(1/'Metadata'!$B$5)^(C18-1))</x:f>
        <x:v>60.65563106599213</x:v>
      </x:c>
      <x:c r="E18" s="31" t="n">
        <x:f>IF(B18=0,"",B18*D18)</x:f>
        <x:v>3901193.190339214</x:v>
      </x:c>
    </x:row>
    <x:row r="19" ht="18" customHeight="1">
      <x:c r="A19" s="24" t="str">
        <x:v>Small demersals (&lt;30 cm)</x:v>
      </x:c>
      <x:c r="B19" s="31" t="n">
        <x:v>41805.7616890079</x:v>
      </x:c>
      <x:c r="C19" s="32" t="n">
        <x:v>3</x:v>
      </x:c>
      <x:c r="D19" s="32" t="n">
        <x:f>IF(C19="","",(1/'Metadata'!$B$5)^(C19-1))</x:f>
        <x:v>100</x:v>
      </x:c>
      <x:c r="E19" s="31" t="n">
        <x:f>IF(B19=0,"",B19*D19)</x:f>
        <x:v>4180576.16890079</x:v>
      </x:c>
    </x:row>
    <x:row r="20" ht="18" customHeight="1">
      <x:c r="A20" s="24" t="str">
        <x:v>Small pelagics (&lt;30 cm)</x:v>
      </x:c>
      <x:c r="B20" s="31" t="n">
        <x:v>52449.1442157961</x:v>
      </x:c>
      <x:c r="C20" s="32" t="n">
        <x:v>3.1799542471982294</x:v>
      </x:c>
      <x:c r="D20" s="32" t="n">
        <x:f>IF(C20="","",(1/'Metadata'!$B$5)^(C20-1))</x:f>
        <x:v>151.3401803582395</x:v>
      </x:c>
      <x:c r="E20" s="31" t="n">
        <x:f>IF(B20=0,"",B20*D20)</x:f>
        <x:v>7937662.9452538965</x:v>
      </x:c>
    </x:row>
    <x:row r="21" ht="18" customHeight="1">
      <x:c r="A21" s="24" t="str">
        <x:v>Small to medium flatfishes (&lt;90 cm)</x:v>
      </x:c>
      <x:c r="B21" s="31" t="n">
        <x:v>138080.83718794372</x:v>
      </x:c>
      <x:c r="C21" s="32" t="n">
        <x:v>3.646473884099687</x:v>
      </x:c>
      <x:c r="D21" s="32" t="n">
        <x:f>IF(C21="","",(1/'Metadata'!$B$5)^(C21-1))</x:f>
        <x:v>443.0715699857315</x:v>
      </x:c>
      <x:c r="E21" s="31" t="n">
        <x:f>IF(B21=0,"",B21*D21)</x:f>
        <x:v>61179693.3178064</x:v>
      </x:c>
    </x:row>
  </x:sheetData>
  <x:pageMargins left="0.7" right="0.7" top="0.75" bottom="0.75" header="0.3" footer="0.3"/>
  <x:tableParts count="1">
    <x:tablePart xmlns:r="http://schemas.openxmlformats.org/officeDocument/2006/relationships" r:id="Rc4d1ece0ddf64a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EEZ_649</x:v>
      </x:c>
      <x:c r="B2" s="24" t="str">
        <x:v>raw_filtered_tonnes</x:v>
      </x:c>
      <x:c r="C2" s="24" t="n">
        <x:v>7341976.862507814</x:v>
      </x:c>
      <x:c r="D2" s="24" t="str">
        <x:v>tonnes</x:v>
      </x:c>
    </x:row>
    <x:row r="3" ht="18" customHeight="1">
      <x:c r="A3" s="24" t="str">
        <x:v>EEZ_649</x:v>
      </x:c>
      <x:c r="B3" s="24" t="str">
        <x:v>species_catch_tonnes</x:v>
      </x:c>
      <x:c r="C3" s="24" t="n">
        <x:v>7341976.862507814</x:v>
      </x:c>
      <x:c r="D3" s="24" t="str">
        <x:v>tonnes</x:v>
      </x:c>
    </x:row>
    <x:row r="4" ht="18" customHeight="1">
      <x:c r="A4" s="24" t="str">
        <x:v>EEZ_649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EEZ_649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EEZ_649</x:v>
      </x:c>
      <x:c r="B6" s="24" t="str">
        <x:v>matched_catch_tonnes</x:v>
      </x:c>
      <x:c r="C6" s="24" t="n">
        <x:v>7341976.862507814</x:v>
      </x:c>
      <x:c r="D6" s="24" t="str">
        <x:v>tonnes</x:v>
      </x:c>
    </x:row>
    <x:row r="7" ht="18" customHeight="1">
      <x:c r="A7" s="24" t="str">
        <x:v>EEZ_649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EEZ_649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EEZ_649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EEZ_649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EEZ_649</x:v>
      </x:c>
      <x:c r="B11" s="24" t="str">
        <x:v>species_ppr</x:v>
      </x:c>
      <x:c r="C11" s="24" t="n">
        <x:v>4411197893.890587</x:v>
      </x:c>
      <x:c r="D11" s="24" t="str">
        <x:v>tonnes_primary_production_equivalent</x:v>
      </x:c>
    </x:row>
    <x:row r="12" ht="18" customHeight="1">
      <x:c r="A12" s="24" t="str">
        <x:v>EEZ_649</x:v>
      </x:c>
      <x:c r="B12" s="24" t="str">
        <x:v>commercial_ppr</x:v>
      </x:c>
      <x:c r="C12" s="24" t="n">
        <x:v>3483199576.481157</x:v>
      </x:c>
      <x:c r="D12" s="24" t="str">
        <x:v>tonnes_primary_production_equivalent</x:v>
      </x:c>
    </x:row>
    <x:row r="13" ht="18" customHeight="1">
      <x:c r="A13" s="24" t="str">
        <x:v>EEZ_649</x:v>
      </x:c>
      <x:c r="B13" s="24" t="str">
        <x:v>functional_ppr</x:v>
      </x:c>
      <x:c r="C13" s="24" t="n">
        <x:v>3296898592.209809</x:v>
      </x:c>
      <x:c r="D13" s="24" t="str">
        <x:v>tonnes_primary_production_equivalent</x:v>
      </x:c>
    </x:row>
    <x:row r="14" ht="18" customHeight="1">
      <x:c r="A14" s="24" t="str">
        <x:v>EEZ_649</x:v>
      </x:c>
      <x:c r="B14" s="24" t="str">
        <x:v>commercial_ppr_difference</x:v>
      </x:c>
      <x:c r="C14" s="24" t="n">
        <x:v>-927998317.40943</x:v>
      </x:c>
      <x:c r="D14" s="24" t="str">
        <x:v>tonnes_primary_production_equivalent</x:v>
      </x:c>
    </x:row>
    <x:row r="15" ht="18" customHeight="1">
      <x:c r="A15" s="24" t="str">
        <x:v>EEZ_649</x:v>
      </x:c>
      <x:c r="B15" s="24" t="str">
        <x:v>functional_ppr_difference</x:v>
      </x:c>
      <x:c r="C15" s="24" t="n">
        <x:v>-1114299301.680778</x:v>
      </x:c>
      <x:c r="D15" s="24" t="str">
        <x:v>tonnes_primary_production_equivalent</x:v>
      </x:c>
    </x:row>
    <x:row r="16" ht="18" customHeight="1">
      <x:c r="A16" s="24" t="str">
        <x:v>EEZ_649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EEZ_649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e159b94ab894b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EEZ_649 - Russia (Far East)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EEZ_649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raw_data/SAU_downloads/EEZ_649-catch.zip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