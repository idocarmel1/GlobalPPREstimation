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48d7911d5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63cf540bf204e6c"/>
    <x:sheet xmlns:r="http://schemas.openxmlformats.org/officeDocument/2006/relationships" name="Commercial" sheetId="2" r:id="Rbf1f3abd400a4e37"/>
    <x:sheet xmlns:r="http://schemas.openxmlformats.org/officeDocument/2006/relationships" name="Functional" sheetId="3" r:id="Rfbb2a95c0ab94496"/>
    <x:sheet xmlns:r="http://schemas.openxmlformats.org/officeDocument/2006/relationships" name="Missing TL" sheetId="4" r:id="Re0178112337f4ae7"/>
    <x:sheet xmlns:r="http://schemas.openxmlformats.org/officeDocument/2006/relationships" name="Validation" sheetId="5" r:id="Rf70792d0b1cd4524"/>
    <x:sheet xmlns:r="http://schemas.openxmlformats.org/officeDocument/2006/relationships" name="Metadata" sheetId="6" r:id="R8f873a93f078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80ac2ef364bd2" /><Relationship Type="http://schemas.openxmlformats.org/officeDocument/2006/relationships/theme" Target="/xl/theme/theme1.xml" Id="R1622d5214ff640a4" /><Relationship Type="http://schemas.microsoft.com/office/2022/11/relationships/FeaturePropertyBag" Target="/xl/featurePropertyBag/featurePropertyBag.xml" Id="R6d9474fd515b4816" /><Relationship Type="http://schemas.openxmlformats.org/officeDocument/2006/relationships/sharedStrings" Target="/xl/sharedStrings.xml" Id="Rf566029b65444426" /><Relationship Type="http://schemas.openxmlformats.org/officeDocument/2006/relationships/worksheet" Target="/xl/worksheets/sheet1.xml" Id="R163cf540bf204e6c" /><Relationship Type="http://schemas.openxmlformats.org/officeDocument/2006/relationships/worksheet" Target="/xl/worksheets/sheet2.xml" Id="Rbf1f3abd400a4e37" /><Relationship Type="http://schemas.openxmlformats.org/officeDocument/2006/relationships/worksheet" Target="/xl/worksheets/sheet3.xml" Id="Rfbb2a95c0ab94496" /><Relationship Type="http://schemas.openxmlformats.org/officeDocument/2006/relationships/worksheet" Target="/xl/worksheets/sheet4.xml" Id="Re0178112337f4ae7" /><Relationship Type="http://schemas.openxmlformats.org/officeDocument/2006/relationships/worksheet" Target="/xl/worksheets/sheet5.xml" Id="Rf70792d0b1cd4524" /><Relationship Type="http://schemas.openxmlformats.org/officeDocument/2006/relationships/worksheet" Target="/xl/worksheets/sheet6.xml" Id="R8f873a93f07849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4SpeciesTable" displayName="EEZ074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4CommercialTable" displayName="EEZ074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4FunctionalTable" displayName="EEZ074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4ValidationTable" displayName="EEZ07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b5f70596648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e1c5f05dd2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202957ede1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aa99e5efb644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EEZ_074</x:v>
      </x:c>
      <x:c r="B2" s="24" t="str">
        <x:v>Bouvet Isl. (Norway)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130.732864934</x:v>
      </x:c>
      <x:c r="J2" s="31" t="n">
        <x:v>130.7328587027</x:v>
      </x:c>
      <x:c r="K2" s="31" t="n">
        <x:v>0.0000062313</x:v>
      </x:c>
      <x:c r="L2" s="31" t="n">
        <x:v>118.2830758675</x:v>
      </x:c>
      <x:c r="M2" s="31" t="n">
        <x:v>12.449789066500001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24910.633867853176</x:v>
      </x:c>
    </x:row>
    <x:row r="3" ht="18" customHeight="1">
      <x:c r="A3" s="24" t="str">
        <x:v>EEZ_074</x:v>
      </x:c>
      <x:c r="B3" s="24" t="str">
        <x:v>Bouvet Isl. (Norway)</x:v>
      </x:c>
      <x:c r="C3" s="24" t="str">
        <x:v>EEZ</x:v>
      </x:c>
      <x:c r="D3" s="30" t="n">
        <x:v>2019</x:v>
      </x:c>
      <x:c r="E3" s="24" t="str">
        <x:v>Macrourus</x:v>
      </x:c>
      <x:c r="F3" s="24" t="str">
        <x:v>Rattails</x:v>
      </x:c>
      <x:c r="G3" s="24" t="str">
        <x:v>Medium benthopelagics (30 - 89 cm)</x:v>
      </x:c>
      <x:c r="H3" s="24" t="str">
        <x:v>Cod-likes</x:v>
      </x:c>
      <x:c r="I3" s="31" t="n">
        <x:v>2.5000602841</x:v>
      </x:c>
      <x:c r="J3" s="31" t="n">
        <x:v>0.4725564333</x:v>
      </x:c>
      <x:c r="K3" s="31" t="n">
        <x:v>2.0275038508</x:v>
      </x:c>
      <x:c r="L3" s="31" t="n">
        <x:v>2.139433</x:v>
      </x:c>
      <x:c r="M3" s="31" t="n">
        <x:v>0.3606272841</x:v>
      </x:c>
      <x:c r="N3" s="24" t="str">
        <x:v>macrourus</x:v>
      </x:c>
      <x:c r="O3" s="32" t="n">
        <x:v>3.58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Macrourus</x:v>
      </x:c>
      <x:c r="T3" s="32" t="n">
        <x:f>IF(O3="","",(1/'Metadata'!$B$5)^(O3-1))</x:f>
        <x:v>380.1893963205613</x:v>
      </x:c>
      <x:c r="U3" s="31" t="n">
        <x:f>IF(T3="","",I3*T3)</x:f>
        <x:v>950.4964101769899</x:v>
      </x:c>
    </x:row>
    <x:row r="4" ht="18" customHeight="1">
      <x:c r="A4" s="24" t="str">
        <x:v>EEZ_074</x:v>
      </x:c>
      <x:c r="B4" s="24" t="str">
        <x:v>Bouvet Isl. (Norway)</x:v>
      </x:c>
      <x:c r="C4" s="24" t="str">
        <x:v>EEZ</x:v>
      </x:c>
      <x:c r="D4" s="30" t="n">
        <x:v>2019</x:v>
      </x:c>
      <x:c r="E4" s="24" t="str">
        <x:v>Antimora rostrata</x:v>
      </x:c>
      <x:c r="F4" s="24" t="str">
        <x:v>Blue antimora</x:v>
      </x:c>
      <x:c r="G4" s="24" t="str">
        <x:v>Medium bathypelagics (30 - 89 cm)</x:v>
      </x:c>
      <x:c r="H4" s="24" t="str">
        <x:v>Cod-likes</x:v>
      </x:c>
      <x:c r="I4" s="31" t="n">
        <x:v>0.3147167595</x:v>
      </x:c>
      <x:c r="J4" s="31" t="n">
        <x:v>0.0029739801</x:v>
      </x:c>
      <x:c r="K4" s="31" t="n">
        <x:v>0.3117427794</x:v>
      </x:c>
      <x:c r="L4" s="31" t="n">
        <x:v>0.29522106</x:v>
      </x:c>
      <x:c r="M4" s="31" t="n">
        <x:v>0.0194956995</x:v>
      </x:c>
      <x:c r="N4" s="24" t="str">
        <x:v>antimora rostrata</x:v>
      </x:c>
      <x:c r="O4" s="32" t="n">
        <x:v>3.58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Antimora rostrata</x:v>
      </x:c>
      <x:c r="T4" s="32" t="n">
        <x:f>IF(O4="","",(1/'Metadata'!$B$5)^(O4-1))</x:f>
        <x:v>380.1893963205613</x:v>
      </x:c>
      <x:c r="U4" s="31" t="n">
        <x:f>IF(T4="","",I4*T4)</x:f>
        <x:v>119.65197480626827</x:v>
      </x:c>
    </x:row>
    <x:row r="5" ht="18" customHeight="1">
      <x:c r="A5" s="24" t="str">
        <x:v>EEZ_074</x:v>
      </x:c>
      <x:c r="B5" s="24" t="str">
        <x:v>Bouvet Isl. (Norway)</x:v>
      </x:c>
      <x:c r="C5" s="24" t="str">
        <x:v>EEZ</x:v>
      </x:c>
      <x:c r="D5" s="30" t="n">
        <x:v>2019</x:v>
      </x:c>
      <x:c r="E5" s="24" t="str">
        <x:v>Channichthyidae</x:v>
      </x:c>
      <x:c r="F5" s="24" t="str">
        <x:v>Crocodile icefishes</x:v>
      </x:c>
      <x:c r="G5" s="24" t="str">
        <x:v>Medium demersals (30 - 89 cm)</x:v>
      </x:c>
      <x:c r="H5" s="24" t="str">
        <x:v>Perch-likes</x:v>
      </x:c>
      <x:c r="I5" s="31" t="n">
        <x:v>0.0081495278</x:v>
      </x:c>
      <x:c r="J5" s="31" t="n">
        <x:v>0.0002625452</x:v>
      </x:c>
      <x:c r="K5" s="31" t="n">
        <x:v>0.0078869826</x:v>
      </x:c>
      <x:c r="L5" s="31" t="n">
        <x:v>0.00548322</x:v>
      </x:c>
      <x:c r="M5" s="31" t="n">
        <x:v>0.0026663078</x:v>
      </x:c>
      <x:c r="N5" s="24" t="str">
        <x:v>channichthyidae</x:v>
      </x:c>
      <x:c r="O5" s="32" t="n">
        <x:v>3.34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Channichthyidae</x:v>
      </x:c>
      <x:c r="T5" s="32" t="n">
        <x:f>IF(O5="","",(1/'Metadata'!$B$5)^(O5-1))</x:f>
        <x:v>218.77616239495518</x:v>
      </x:c>
      <x:c r="U5" s="31" t="n">
        <x:f>IF(T5="","",I5*T5)</x:f>
        <x:v>1.782922417415002</x:v>
      </x:c>
    </x:row>
    <x:row r="6" ht="18" customHeight="1">
      <x:c r="A6" s="24" t="str">
        <x:v>EEZ_074</x:v>
      </x:c>
      <x:c r="B6" s="24" t="str">
        <x:v>Bouvet Isl. (Norway)</x:v>
      </x:c>
      <x:c r="C6" s="24" t="str">
        <x:v>EEZ</x:v>
      </x:c>
      <x:c r="D6" s="30" t="n">
        <x:v>2019</x:v>
      </x:c>
      <x:c r="E6" s="24" t="str">
        <x:v>Lithodidae</x:v>
      </x:c>
      <x:c r="F6" s="24" t="str">
        <x:v>Stone/king crabs</x:v>
      </x:c>
      <x:c r="G6" s="24" t="str">
        <x:v>Lobsters, crabs</x:v>
      </x:c>
      <x:c r="H6" s="24" t="str">
        <x:v>Crustaceans</x:v>
      </x:c>
      <x:c r="I6" s="31" t="n">
        <x:v>0.001864322</x:v>
      </x:c>
      <x:c r="J6" s="31" t="n">
        <x:v>0.0001500352</x:v>
      </x:c>
      <x:c r="K6" s="31" t="n">
        <x:v>0.0017142868</x:v>
      </x:c>
      <x:c r="L6" s="31" t="n">
        <x:v>0</x:v>
      </x:c>
      <x:c r="M6" s="31" t="n">
        <x:v>0.001864322</x:v>
      </x:c>
      <x:c r="N6" s="24" t="str">
        <x:v>lithodidae</x:v>
      </x:c>
      <x:c r="O6" s="32" t="n">
        <x:v>2.82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Lithodidae</x:v>
      </x:c>
      <x:c r="T6" s="32" t="n">
        <x:f>IF(O6="","",(1/'Metadata'!$B$5)^(O6-1))</x:f>
        <x:v>66.06934480075958</x:v>
      </x:c>
      <x:c r="U6" s="31" t="n">
        <x:f>IF(T6="","",I6*T6)</x:f>
        <x:v>0.12317453303764171</x:v>
      </x:c>
    </x:row>
    <x:row r="7" ht="18" customHeight="1">
      <x:c r="A7" s="24" t="str">
        <x:v>EEZ_074</x:v>
      </x:c>
      <x:c r="B7" s="24" t="str">
        <x:v>Bouvet Isl. (Norway)</x:v>
      </x:c>
      <x:c r="C7" s="24" t="str">
        <x:v>EEZ</x:v>
      </x:c>
      <x:c r="D7" s="30" t="n">
        <x:v>2019</x:v>
      </x:c>
      <x:c r="E7" s="24" t="str">
        <x:v>Muraenolepis</x:v>
      </x:c>
      <x:c r="F7" s="24" t="str">
        <x:v>Moray cods</x:v>
      </x:c>
      <x:c r="G7" s="24" t="str">
        <x:v>Medium benthopelagics (30 - 89 cm)</x:v>
      </x:c>
      <x:c r="H7" s="24" t="str">
        <x:v>Cod-likes</x:v>
      </x:c>
      <x:c r="I7" s="31" t="n">
        <x:v>0.0018400976</x:v>
      </x:c>
      <x:c r="J7" s="31" t="n">
        <x:v>0.0001971109</x:v>
      </x:c>
      <x:c r="K7" s="31" t="n">
        <x:v>0.0016429867</x:v>
      </x:c>
      <x:c r="L7" s="31" t="n">
        <x:v>0.00176564</x:v>
      </x:c>
      <x:c r="M7" s="31" t="n">
        <x:v>0.0000744576</x:v>
      </x:c>
      <x:c r="N7" s="24" t="str">
        <x:v>muraenolepis</x:v>
      </x:c>
      <x:c r="O7" s="32" t="n">
        <x:v>3.4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Muraenolepis</x:v>
      </x:c>
      <x:c r="T7" s="32" t="n">
        <x:f>IF(O7="","",(1/'Metadata'!$B$5)^(O7-1))</x:f>
        <x:v>251.18864315095797</x:v>
      </x:c>
      <x:c r="U7" s="31" t="n">
        <x:f>IF(T7="","",I7*T7)</x:f>
        <x:v>0.4622116194093342</x:v>
      </x:c>
    </x:row>
    <x:row r="8" ht="18" customHeight="1">
      <x:c r="A8" s="24" t="str">
        <x:v>EEZ_074</x:v>
      </x:c>
      <x:c r="B8" s="24" t="str">
        <x:v>Bouvet Isl. (Norway)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0.0011025999</x:v>
      </x:c>
      <x:c r="J8" s="31" t="n">
        <x:v>0.0001212859</x:v>
      </x:c>
      <x:c r="K8" s="31" t="n">
        <x:v>0.000981314</x:v>
      </x:c>
      <x:c r="L8" s="31" t="n">
        <x:v>0.0011025999</x:v>
      </x:c>
      <x:c r="M8" s="31" t="n">
        <x:v>0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0.4491774535687868</x:v>
      </x:c>
    </x:row>
    <x:row r="9" ht="18" customHeight="1">
      <x:c r="A9" s="24" t="str">
        <x:v>EEZ_074</x:v>
      </x:c>
      <x:c r="B9" s="24" t="str">
        <x:v>Bouvet Isl. (Norway)</x:v>
      </x:c>
      <x:c r="C9" s="24" t="str">
        <x:v>EEZ</x:v>
      </x:c>
      <x:c r="D9" s="30" t="n">
        <x:v>2019</x:v>
      </x:c>
      <x:c r="E9" s="24" t="str">
        <x:v>Lepidonotothen squamifrons</x:v>
      </x:c>
      <x:c r="F9" s="24" t="str">
        <x:v>Grey rockcod</x:v>
      </x:c>
      <x:c r="G9" s="24" t="str">
        <x:v>Medium benthopelagics (30 - 89 cm)</x:v>
      </x:c>
      <x:c r="H9" s="24" t="str">
        <x:v>Perch-likes</x:v>
      </x:c>
      <x:c r="I9" s="31" t="n">
        <x:v>0.0004870126</x:v>
      </x:c>
      <x:c r="J9" s="31" t="n">
        <x:v>0</x:v>
      </x:c>
      <x:c r="K9" s="31" t="n">
        <x:v>0.0004870126</x:v>
      </x:c>
      <x:c r="L9" s="31" t="n">
        <x:v>0</x:v>
      </x:c>
      <x:c r="M9" s="31" t="n">
        <x:v>0.0004870126</x:v>
      </x:c>
      <x:c r="N9" s="24" t="str">
        <x:v>lepidonotothen squamifrons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Lepidonotothen squamifrons</x:v>
      </x:c>
      <x:c r="T9" s="32" t="n">
        <x:f>IF(O9="","",(1/'Metadata'!$B$5)^(O9-1))</x:f>
        <x:v>123.02687708123811</x:v>
      </x:c>
      <x:c r="U9" s="31" t="n">
        <x:f>IF(T9="","",I9*T9)</x:f>
        <x:v>0.05991563927721418</x:v>
      </x:c>
    </x:row>
    <x:row r="10" ht="18" customHeight="1">
      <x:c r="A10" s="24" t="str">
        <x:v>EEZ_074</x:v>
      </x:c>
      <x:c r="B10" s="24" t="str">
        <x:v>Bouvet Isl. (Norway)</x:v>
      </x:c>
      <x:c r="C10" s="24" t="str">
        <x:v>EEZ</x:v>
      </x:c>
      <x:c r="D10" s="30" t="n">
        <x:v>2019</x:v>
      </x:c>
      <x:c r="E10" s="24" t="str">
        <x:v>Nototheniidae</x:v>
      </x:c>
      <x:c r="F10" s="24" t="str">
        <x:v>Cod icefishes</x:v>
      </x:c>
      <x:c r="G10" s="24" t="str">
        <x:v>Large bathydemersals (&gt;=90 cm)</x:v>
      </x:c>
      <x:c r="H10" s="24" t="str">
        <x:v>Perch-likes</x:v>
      </x:c>
      <x:c r="I10" s="31" t="n">
        <x:v>0.0000150302</x:v>
      </x:c>
      <x:c r="J10" s="31" t="n">
        <x:v>0.0000068857</x:v>
      </x:c>
      <x:c r="K10" s="31" t="n">
        <x:v>0.0000081445</x:v>
      </x:c>
      <x:c r="L10" s="31" t="n">
        <x:v>0</x:v>
      </x:c>
      <x:c r="M10" s="31" t="n">
        <x:v>0.0000150302</x:v>
      </x:c>
      <x:c r="N10" s="24" t="str">
        <x:v>nototheniidae</x:v>
      </x:c>
      <x:c r="O10" s="32" t="n">
        <x:v>3.43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Nototheniidae</x:v>
      </x:c>
      <x:c r="T10" s="32" t="n">
        <x:f>IF(O10="","",(1/'Metadata'!$B$5)^(O10-1))</x:f>
        <x:v>269.1534803926917</x:v>
      </x:c>
      <x:c r="U10" s="31" t="n">
        <x:f>IF(T10="","",I10*T10)</x:f>
        <x:v>0.0040454306409982346</x:v>
      </x:c>
    </x:row>
    <x:row r="11" ht="18" customHeight="1">
      <x:c r="A11" s="24" t="str">
        <x:v>EEZ_074</x:v>
      </x:c>
      <x:c r="B11" s="24" t="str">
        <x:v>Bouvet Isl. (Norway)</x:v>
      </x:c>
      <x:c r="C11" s="24" t="str">
        <x:v>EEZ</x:v>
      </x:c>
      <x:c r="D11" s="30" t="n">
        <x:v>2019</x:v>
      </x:c>
      <x:c r="E11" s="24" t="str">
        <x:v>Cnidaria</x:v>
      </x:c>
      <x:c r="F11" s="24" t="str">
        <x:v>Cnidarians, coelenterates</x:v>
      </x:c>
      <x:c r="G11" s="24" t="str">
        <x:v>Jellyfish</x:v>
      </x:c>
      <x:c r="H11" s="24" t="str">
        <x:v>Other fishes &amp; inverts</x:v>
      </x:c>
      <x:c r="I11" s="31" t="n">
        <x:v>8.78e-8</x:v>
      </x:c>
      <x:c r="J11" s="31" t="n">
        <x:v>0</x:v>
      </x:c>
      <x:c r="K11" s="31" t="n">
        <x:v>8.78e-8</x:v>
      </x:c>
      <x:c r="L11" s="31" t="n">
        <x:v>0</x:v>
      </x:c>
      <x:c r="M11" s="31" t="n">
        <x:v>8.78e-8</x:v>
      </x:c>
      <x:c r="N11" s="24" t="str">
        <x:v>cnidaria</x:v>
      </x:c>
      <x:c r="O11" s="32" t="n">
        <x:v>2.5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Cnidaria</x:v>
      </x:c>
      <x:c r="T11" s="32" t="n">
        <x:f>IF(O11="","",(1/'Metadata'!$B$5)^(O11-1))</x:f>
        <x:v>31.622776601683793</x:v>
      </x:c>
      <x:c r="U11" s="31" t="n">
        <x:f>IF(T11="","",I11*T11)</x:f>
        <x:v>0.000002776479785627837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41b5f70596648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2.8166171412</x:v>
      </x:c>
      <x:c r="C2" s="32" t="n">
        <x:v>3.579882405896366</x:v>
      </x:c>
      <x:c r="D2" s="32" t="n">
        <x:f>IF(C2="","",(1/'Metadata'!$B$5)^(C2-1))</x:f>
        <x:v>380.08646621006227</x:v>
      </x:c>
      <x:c r="E2" s="31" t="n">
        <x:f>IF(B2=0,"",B2*D2)</x:f>
        <x:v>1070.558055865396</x:v>
      </x:c>
    </x:row>
    <x:row r="3" ht="18" customHeight="1">
      <x:c r="A3" s="24" t="str">
        <x:v>Crustaceans</x:v>
      </x:c>
      <x:c r="B3" s="31" t="n">
        <x:v>0.001864322</x:v>
      </x:c>
      <x:c r="C3" s="32" t="n">
        <x:v>2.82</x:v>
      </x:c>
      <x:c r="D3" s="32" t="n">
        <x:f>IF(C3="","",(1/'Metadata'!$B$5)^(C3-1))</x:f>
        <x:v>66.06934480075958</x:v>
      </x:c>
      <x:c r="E3" s="31" t="n">
        <x:f>IF(B3=0,"",B3*D3)</x:f>
        <x:v>0.12317453303764171</x:v>
      </x:c>
    </x:row>
    <x:row r="4" ht="18" customHeight="1">
      <x:c r="A4" s="24" t="str">
        <x:v>Other fishes &amp; inverts</x:v>
      </x:c>
      <x:c r="B4" s="31" t="n">
        <x:v>130.7328650218</x:v>
      </x:c>
      <x:c r="C4" s="32" t="n">
        <x:v>3.2799999994761526</x:v>
      </x:c>
      <x:c r="D4" s="32" t="n">
        <x:f>IF(C4="","",(1/'Metadata'!$B$5)^(C4-1))</x:f>
        <x:v>190.54607156648746</x:v>
      </x:c>
      <x:c r="E4" s="31" t="n">
        <x:f>IF(B4=0,"",B4*D4)</x:f>
        <x:v>24910.633854535845</x:v>
      </x:c>
    </x:row>
    <x:row r="5" ht="18" customHeight="1">
      <x:c r="A5" s="24" t="str">
        <x:v>Perch-likes</x:v>
      </x:c>
      <x:c r="B5" s="31" t="n">
        <x:v>0.0086515706</x:v>
      </x:c>
      <x:c r="C5" s="32" t="n">
        <x:v>3.326083401781406</x:v>
      </x:c>
      <x:c r="D5" s="32" t="n">
        <x:f>IF(C5="","",(1/'Metadata'!$B$5)^(C5-1))</x:f>
        <x:v>211.8767983746711</x:v>
      </x:c>
      <x:c r="E5" s="31" t="n">
        <x:f>IF(B5=0,"",B5*D5)</x:f>
        <x:v>1.8330670796404323</x:v>
      </x:c>
    </x:row>
    <x:row r="6" ht="18" customHeight="1">
      <x:c r="A6" s="24" t="str">
        <x:v>Sharks &amp; rays</x:v>
      </x:c>
      <x:c r="B6" s="31" t="n">
        <x:v>0.0011025999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0.4491774535687868</x:v>
      </x:c>
    </x:row>
  </x:sheetData>
  <x:pageMargins left="0.7" right="0.7" top="0.75" bottom="0.75" header="0.3" footer="0.3"/>
  <x:tableParts count="1">
    <x:tablePart xmlns:r="http://schemas.openxmlformats.org/officeDocument/2006/relationships" r:id="R6ee1c5f05dd24e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Jellyfish</x:v>
      </x:c>
      <x:c r="B2" s="31" t="n">
        <x:v>8.78e-8</x:v>
      </x:c>
      <x:c r="C2" s="32" t="n">
        <x:v>2.5</x:v>
      </x:c>
      <x:c r="D2" s="32" t="n">
        <x:f>IF(C2="","",(1/'Metadata'!$B$5)^(C2-1))</x:f>
        <x:v>31.622776601683793</x:v>
      </x:c>
      <x:c r="E2" s="31" t="n">
        <x:f>IF(B2=0,"",B2*D2)</x:f>
        <x:v>0.000002776479785627837</x:v>
      </x:c>
    </x:row>
    <x:row r="3" ht="18" customHeight="1">
      <x:c r="A3" s="24" t="str">
        <x:v>Large bathydemersals (&gt;=90 cm)</x:v>
      </x:c>
      <x:c r="B3" s="31" t="n">
        <x:v>0.0000150302</x:v>
      </x:c>
      <x:c r="C3" s="32" t="n">
        <x:v>3.43</x:v>
      </x:c>
      <x:c r="D3" s="32" t="n">
        <x:f>IF(C3="","",(1/'Metadata'!$B$5)^(C3-1))</x:f>
        <x:v>269.1534803926917</x:v>
      </x:c>
      <x:c r="E3" s="31" t="n">
        <x:f>IF(B3=0,"",B3*D3)</x:f>
        <x:v>0.0040454306409982346</x:v>
      </x:c>
    </x:row>
    <x:row r="4" ht="18" customHeight="1">
      <x:c r="A4" s="24" t="str">
        <x:v>Large rays (&gt;=90 cm)</x:v>
      </x:c>
      <x:c r="B4" s="31" t="n">
        <x:v>0.0011025999</x:v>
      </x:c>
      <x:c r="C4" s="32" t="n">
        <x:v>3.61</x:v>
      </x:c>
      <x:c r="D4" s="32" t="n">
        <x:f>IF(C4="","",(1/'Metadata'!$B$5)^(C4-1))</x:f>
        <x:v>407.3802778041126</x:v>
      </x:c>
      <x:c r="E4" s="31" t="n">
        <x:f>IF(B4=0,"",B4*D4)</x:f>
        <x:v>0.4491774535687868</x:v>
      </x:c>
    </x:row>
    <x:row r="5" ht="18" customHeight="1">
      <x:c r="A5" s="24" t="str">
        <x:v>Lobsters, crabs</x:v>
      </x:c>
      <x:c r="B5" s="31" t="n">
        <x:v>0.001864322</x:v>
      </x:c>
      <x:c r="C5" s="32" t="n">
        <x:v>2.82</x:v>
      </x:c>
      <x:c r="D5" s="32" t="n">
        <x:f>IF(C5="","",(1/'Metadata'!$B$5)^(C5-1))</x:f>
        <x:v>66.06934480075958</x:v>
      </x:c>
      <x:c r="E5" s="31" t="n">
        <x:f>IF(B5=0,"",B5*D5)</x:f>
        <x:v>0.12317453303764171</x:v>
      </x:c>
    </x:row>
    <x:row r="6" ht="18" customHeight="1">
      <x:c r="A6" s="24" t="str">
        <x:v>Medium bathypelagics (30 - 89 cm)</x:v>
      </x:c>
      <x:c r="B6" s="31" t="n">
        <x:v>0.3147167595</x:v>
      </x:c>
      <x:c r="C6" s="32" t="n">
        <x:v>3.58</x:v>
      </x:c>
      <x:c r="D6" s="32" t="n">
        <x:f>IF(C6="","",(1/'Metadata'!$B$5)^(C6-1))</x:f>
        <x:v>380.1893963205613</x:v>
      </x:c>
      <x:c r="E6" s="31" t="n">
        <x:f>IF(B6=0,"",B6*D6)</x:f>
        <x:v>119.65197480626827</x:v>
      </x:c>
    </x:row>
    <x:row r="7" ht="18" customHeight="1">
      <x:c r="A7" s="24" t="str">
        <x:v>Medium benthopelagics (30 - 89 cm)</x:v>
      </x:c>
      <x:c r="B7" s="31" t="n">
        <x:v>2.5023873943</x:v>
      </x:c>
      <x:c r="C7" s="32" t="n">
        <x:v>3.57977227597002</x:v>
      </x:c>
      <x:c r="D7" s="32" t="n">
        <x:f>IF(C7="","",(1/'Metadata'!$B$5)^(C7-1))</x:f>
        <x:v>379.9900947631332</x:v>
      </x:c>
      <x:c r="E7" s="31" t="n">
        <x:f>IF(B7=0,"",B7*D7)</x:f>
        <x:v>950.8824230941269</x:v>
      </x:c>
    </x:row>
    <x:row r="8" ht="18" customHeight="1">
      <x:c r="A8" s="24" t="str">
        <x:v>Medium demersals (30 - 89 cm)</x:v>
      </x:c>
      <x:c r="B8" s="31" t="n">
        <x:v>130.74101446179998</x:v>
      </x:c>
      <x:c r="C8" s="32" t="n">
        <x:v>3.280003740002095</x:v>
      </x:c>
      <x:c r="D8" s="32" t="n">
        <x:f>IF(C8="","",(1/'Metadata'!$B$5)^(C8-1))</x:f>
        <x:v>190.54771272386566</x:v>
      </x:c>
      <x:c r="E8" s="31" t="n">
        <x:f>IF(B8=0,"",B8*D8)</x:f>
        <x:v>24912.401264893826</x:v>
      </x:c>
    </x:row>
  </x:sheetData>
  <x:pageMargins left="0.7" right="0.7" top="0.75" bottom="0.75" header="0.3" footer="0.3"/>
  <x:tableParts count="1">
    <x:tablePart xmlns:r="http://schemas.openxmlformats.org/officeDocument/2006/relationships" r:id="Ra0202957ede143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EEZ_074</x:v>
      </x:c>
      <x:c r="B2" s="24" t="str">
        <x:v>raw_filtered_tonnes</x:v>
      </x:c>
      <x:c r="C2" s="24" t="n">
        <x:v>133.56110065550004</x:v>
      </x:c>
      <x:c r="D2" s="24" t="str">
        <x:v>tonnes</x:v>
      </x:c>
    </x:row>
    <x:row r="3" ht="18" customHeight="1">
      <x:c r="A3" s="24" t="str">
        <x:v>EEZ_074</x:v>
      </x:c>
      <x:c r="B3" s="24" t="str">
        <x:v>species_catch_tonnes</x:v>
      </x:c>
      <x:c r="C3" s="24" t="n">
        <x:v>133.56110065549998</x:v>
      </x:c>
      <x:c r="D3" s="24" t="str">
        <x:v>tonnes</x:v>
      </x:c>
    </x:row>
    <x:row r="4" ht="18" customHeight="1">
      <x:c r="A4" s="24" t="str">
        <x:v>EEZ_074</x:v>
      </x:c>
      <x:c r="B4" s="24" t="str">
        <x:v>catch_difference_tonnes</x:v>
      </x:c>
      <x:c r="C4" s="24" t="n">
        <x:v>-5.684341886080802e-14</x:v>
      </x:c>
      <x:c r="D4" s="24" t="str">
        <x:v>tonnes</x:v>
      </x:c>
    </x:row>
    <x:row r="5" ht="18" customHeight="1">
      <x:c r="A5" s="24" t="str">
        <x:v>EEZ_074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EEZ_074</x:v>
      </x:c>
      <x:c r="B6" s="24" t="str">
        <x:v>matched_catch_tonnes</x:v>
      </x:c>
      <x:c r="C6" s="24" t="n">
        <x:v>133.56110065549998</x:v>
      </x:c>
      <x:c r="D6" s="24" t="str">
        <x:v>tonnes</x:v>
      </x:c>
    </x:row>
    <x:row r="7" ht="18" customHeight="1">
      <x:c r="A7" s="24" t="str">
        <x:v>EEZ_074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EEZ_074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EEZ_074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EEZ_074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EEZ_074</x:v>
      </x:c>
      <x:c r="B11" s="24" t="str">
        <x:v>species_ppr</x:v>
      </x:c>
      <x:c r="C11" s="24" t="n">
        <x:v>25983.663702706264</x:v>
      </x:c>
      <x:c r="D11" s="24" t="str">
        <x:v>tonnes_primary_production_equivalent</x:v>
      </x:c>
    </x:row>
    <x:row r="12" ht="18" customHeight="1">
      <x:c r="A12" s="24" t="str">
        <x:v>EEZ_074</x:v>
      </x:c>
      <x:c r="B12" s="24" t="str">
        <x:v>commercial_ppr</x:v>
      </x:c>
      <x:c r="C12" s="24" t="n">
        <x:v>25983.597329467488</x:v>
      </x:c>
      <x:c r="D12" s="24" t="str">
        <x:v>tonnes_primary_production_equivalent</x:v>
      </x:c>
    </x:row>
    <x:row r="13" ht="18" customHeight="1">
      <x:c r="A13" s="24" t="str">
        <x:v>EEZ_074</x:v>
      </x:c>
      <x:c r="B13" s="24" t="str">
        <x:v>functional_ppr</x:v>
      </x:c>
      <x:c r="C13" s="24" t="n">
        <x:v>25983.51206298795</x:v>
      </x:c>
      <x:c r="D13" s="24" t="str">
        <x:v>tonnes_primary_production_equivalent</x:v>
      </x:c>
    </x:row>
    <x:row r="14" ht="18" customHeight="1">
      <x:c r="A14" s="24" t="str">
        <x:v>EEZ_074</x:v>
      </x:c>
      <x:c r="B14" s="24" t="str">
        <x:v>commercial_ppr_difference</x:v>
      </x:c>
      <x:c r="C14" s="24" t="n">
        <x:v>-0.06637323877657764</x:v>
      </x:c>
      <x:c r="D14" s="24" t="str">
        <x:v>tonnes_primary_production_equivalent</x:v>
      </x:c>
    </x:row>
    <x:row r="15" ht="18" customHeight="1">
      <x:c r="A15" s="24" t="str">
        <x:v>EEZ_074</x:v>
      </x:c>
      <x:c r="B15" s="24" t="str">
        <x:v>functional_ppr_difference</x:v>
      </x:c>
      <x:c r="C15" s="24" t="n">
        <x:v>-0.15163971831498202</x:v>
      </x:c>
      <x:c r="D15" s="24" t="str">
        <x:v>tonnes_primary_production_equivalent</x:v>
      </x:c>
    </x:row>
    <x:row r="16" ht="18" customHeight="1">
      <x:c r="A16" s="24" t="str">
        <x:v>EEZ_074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EEZ_074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7aa99e5efb644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EEZ_074 - Bouvet Isl. (Norway)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