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764cbc3d8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3565560d45e49d7"/>
    <x:sheet xmlns:r="http://schemas.openxmlformats.org/officeDocument/2006/relationships" name="Commercial" sheetId="2" r:id="R1db0aac8e36c460c"/>
    <x:sheet xmlns:r="http://schemas.openxmlformats.org/officeDocument/2006/relationships" name="Functional" sheetId="3" r:id="R71cffadd45c04d14"/>
    <x:sheet xmlns:r="http://schemas.openxmlformats.org/officeDocument/2006/relationships" name="Missing TL" sheetId="4" r:id="R2054bf05a3a84aac"/>
    <x:sheet xmlns:r="http://schemas.openxmlformats.org/officeDocument/2006/relationships" name="Validation" sheetId="5" r:id="Rfc540d4d44e14742"/>
    <x:sheet xmlns:r="http://schemas.openxmlformats.org/officeDocument/2006/relationships" name="Metadata" sheetId="6" r:id="Rc129afe1be63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c401722464203" /><Relationship Type="http://schemas.openxmlformats.org/officeDocument/2006/relationships/theme" Target="/xl/theme/theme1.xml" Id="Rf84ee6f8398f42b0" /><Relationship Type="http://schemas.microsoft.com/office/2022/11/relationships/FeaturePropertyBag" Target="/xl/featurePropertyBag/featurePropertyBag.xml" Id="Rde9a9888df1f4319" /><Relationship Type="http://schemas.openxmlformats.org/officeDocument/2006/relationships/sharedStrings" Target="/xl/sharedStrings.xml" Id="R1b39e75b561e4b34" /><Relationship Type="http://schemas.openxmlformats.org/officeDocument/2006/relationships/worksheet" Target="/xl/worksheets/sheet1.xml" Id="R23565560d45e49d7" /><Relationship Type="http://schemas.openxmlformats.org/officeDocument/2006/relationships/worksheet" Target="/xl/worksheets/sheet2.xml" Id="R1db0aac8e36c460c" /><Relationship Type="http://schemas.openxmlformats.org/officeDocument/2006/relationships/worksheet" Target="/xl/worksheets/sheet3.xml" Id="R71cffadd45c04d14" /><Relationship Type="http://schemas.openxmlformats.org/officeDocument/2006/relationships/worksheet" Target="/xl/worksheets/sheet4.xml" Id="R2054bf05a3a84aac" /><Relationship Type="http://schemas.openxmlformats.org/officeDocument/2006/relationships/worksheet" Target="/xl/worksheets/sheet5.xml" Id="Rfc540d4d44e14742" /><Relationship Type="http://schemas.openxmlformats.org/officeDocument/2006/relationships/worksheet" Target="/xl/worksheets/sheet6.xml" Id="Rc129afe1be6343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3SpeciesTable" displayName="EEZ913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3CommercialTable" displayName="EEZ913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3FunctionalTable" displayName="EEZ913FunctionalTable" ref="A1:E4" headerRowCount="1" totalsRowCount="0" totalsRowShown="0">
  <x:autoFilter ref="A1:E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3ValidationTable" displayName="EEZ91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d9c2b660ae40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4e6eece57c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c3becb07e94d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885d841ac74b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EEZ_913</x:v>
      </x:c>
      <x:c r="B2" s="24" t="str">
        <x:v>Russia (Laptev to Chukchi Sea)</x:v>
      </x:c>
      <x:c r="C2" s="24" t="str">
        <x:v>EEZ</x:v>
      </x:c>
      <x:c r="D2" s="30" t="n">
        <x:v>2019</x:v>
      </x:c>
      <x:c r="E2" s="24" t="str">
        <x:v>Coregonus sardinella</x:v>
      </x:c>
      <x:c r="F2" s="24" t="str">
        <x:v>Sardine cisco</x:v>
      </x:c>
      <x:c r="G2" s="24" t="str">
        <x:v>Medium pelagics (30 - 89 cm)</x:v>
      </x:c>
      <x:c r="H2" s="24" t="str">
        <x:v>Salmon, smelts, etc</x:v>
      </x:c>
      <x:c r="I2" s="31" t="n">
        <x:v>2510.862371</x:v>
      </x:c>
      <x:c r="J2" s="31" t="n">
        <x:v>2510.862371</x:v>
      </x:c>
      <x:c r="K2" s="31" t="n">
        <x:v>0</x:v>
      </x:c>
      <x:c r="L2" s="31" t="n">
        <x:v>0</x:v>
      </x:c>
      <x:c r="M2" s="31" t="n">
        <x:v>2510.862371</x:v>
      </x:c>
      <x:c r="N2" s="24" t="str">
        <x:v>coregonus sardinella</x:v>
      </x:c>
      <x:c r="O2" s="32" t="n">
        <x:v>3.21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Coregonus sardinella</x:v>
      </x:c>
      <x:c r="T2" s="32" t="n">
        <x:f>IF(O2="","",(1/'Metadata'!$B$5)^(O2-1))</x:f>
        <x:v>162.18100973589299</x:v>
      </x:c>
      <x:c r="U2" s="31" t="n">
        <x:f>IF(T2="","",I2*T2)</x:f>
        <x:v>407214.1946366384</x:v>
      </x:c>
    </x:row>
    <x:row r="3" ht="18" customHeight="1">
      <x:c r="A3" s="24" t="str">
        <x:v>EEZ_913</x:v>
      </x:c>
      <x:c r="B3" s="24" t="str">
        <x:v>Russia (Laptev to Chukchi Sea)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2273.5993257</x:v>
      </x:c>
      <x:c r="J3" s="31" t="n">
        <x:v>2273.5993257</x:v>
      </x:c>
      <x:c r="K3" s="31" t="n">
        <x:v>0</x:v>
      </x:c>
      <x:c r="L3" s="31" t="n">
        <x:v>0</x:v>
      </x:c>
      <x:c r="M3" s="31" t="n">
        <x:v>2273.5993257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433225.4203509075</x:v>
      </x:c>
    </x:row>
    <x:row r="4" ht="18" customHeight="1">
      <x:c r="A4" s="24" t="str">
        <x:v>EEZ_913</x:v>
      </x:c>
      <x:c r="B4" s="24" t="str">
        <x:v>Russia (Laptev to Chukchi Sea)</x:v>
      </x:c>
      <x:c r="C4" s="24" t="str">
        <x:v>EEZ</x:v>
      </x:c>
      <x:c r="D4" s="30" t="n">
        <x:v>2019</x:v>
      </x:c>
      <x:c r="E4" s="24" t="str">
        <x:v>Coregonus autumnalis</x:v>
      </x:c>
      <x:c r="F4" s="24" t="str">
        <x:v>Arctic cisco</x:v>
      </x:c>
      <x:c r="G4" s="24" t="str">
        <x:v>Medium pelagics (30 - 89 cm)</x:v>
      </x:c>
      <x:c r="H4" s="24" t="str">
        <x:v>Salmon, smelts, etc</x:v>
      </x:c>
      <x:c r="I4" s="31" t="n">
        <x:v>871.8128692</x:v>
      </x:c>
      <x:c r="J4" s="31" t="n">
        <x:v>871.8128692</x:v>
      </x:c>
      <x:c r="K4" s="31" t="n">
        <x:v>0</x:v>
      </x:c>
      <x:c r="L4" s="31" t="n">
        <x:v>0</x:v>
      </x:c>
      <x:c r="M4" s="31" t="n">
        <x:v>871.8128692</x:v>
      </x:c>
      <x:c r="N4" s="24" t="str">
        <x:v>coregonus autumnalis</x:v>
      </x:c>
      <x:c r="O4" s="32" t="n">
        <x:v>3.67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autumnalis</x:v>
      </x:c>
      <x:c r="T4" s="32" t="n">
        <x:f>IF(O4="","",(1/'Metadata'!$B$5)^(O4-1))</x:f>
        <x:v>467.73514128719813</x:v>
      </x:c>
      <x:c r="U4" s="31" t="n">
        <x:f>IF(T4="","",I4*T4)</x:f>
        <x:v>407777.5155512596</x:v>
      </x:c>
    </x:row>
    <x:row r="5" ht="18" customHeight="1">
      <x:c r="A5" s="24" t="str">
        <x:v>EEZ_913</x:v>
      </x:c>
      <x:c r="B5" s="24" t="str">
        <x:v>Russia (Laptev to Chukchi Sea)</x:v>
      </x:c>
      <x:c r="C5" s="24" t="str">
        <x:v>EEZ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552.6672026</x:v>
      </x:c>
      <x:c r="J5" s="31" t="n">
        <x:v>552.6672026</x:v>
      </x:c>
      <x:c r="K5" s="31" t="n">
        <x:v>0</x:v>
      </x:c>
      <x:c r="L5" s="31" t="n">
        <x:v>0</x:v>
      </x:c>
      <x:c r="M5" s="31" t="n">
        <x:v>552.6672026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110271.60420670503</x:v>
      </x:c>
    </x:row>
    <x:row r="6" ht="18" customHeight="1">
      <x:c r="A6" s="24" t="str">
        <x:v>EEZ_913</x:v>
      </x:c>
      <x:c r="B6" s="24" t="str">
        <x:v>Russia (Laptev to Chukchi Sea)</x:v>
      </x:c>
      <x:c r="C6" s="24" t="str">
        <x:v>EEZ</x:v>
      </x:c>
      <x:c r="D6" s="30" t="n">
        <x:v>2019</x:v>
      </x:c>
      <x:c r="E6" s="24" t="str">
        <x:v>Coregonus muksun</x:v>
      </x:c>
      <x:c r="F6" s="24" t="str">
        <x:v>Muksun</x:v>
      </x:c>
      <x:c r="G6" s="24" t="str">
        <x:v>Large benthopelagics (&gt;=90 cm)</x:v>
      </x:c>
      <x:c r="H6" s="24" t="str">
        <x:v>Salmon, smelts, etc</x:v>
      </x:c>
      <x:c r="I6" s="31" t="n">
        <x:v>518.8670777</x:v>
      </x:c>
      <x:c r="J6" s="31" t="n">
        <x:v>518.8670777</x:v>
      </x:c>
      <x:c r="K6" s="31" t="n">
        <x:v>0</x:v>
      </x:c>
      <x:c r="L6" s="31" t="n">
        <x:v>0</x:v>
      </x:c>
      <x:c r="M6" s="31" t="n">
        <x:v>518.8670777</x:v>
      </x:c>
      <x:c r="N6" s="24" t="str">
        <x:v>coregonus muksun</x:v>
      </x:c>
      <x:c r="O6" s="32" t="n">
        <x:v>3.27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Coregonus muksun</x:v>
      </x:c>
      <x:c r="T6" s="32" t="n">
        <x:f>IF(O6="","",(1/'Metadata'!$B$5)^(O6-1))</x:f>
        <x:v>186.20871366628674</x:v>
      </x:c>
      <x:c r="U6" s="31" t="n">
        <x:f>IF(T6="","",I6*T6)</x:f>
        <x:v>96617.57110230224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6d9c2b660ae40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2273.5993257</x:v>
      </x:c>
      <x:c r="C2" s="32" t="n">
        <x:v>3.28</x:v>
      </x:c>
      <x:c r="D2" s="32" t="n">
        <x:f>IF(C2="","",(1/'Metadata'!$B$5)^(C2-1))</x:f>
        <x:v>190.54607179632464</x:v>
      </x:c>
      <x:c r="E2" s="31" t="n">
        <x:f>IF(B2=0,"",B2*D2)</x:f>
        <x:v>433225.4203509075</x:v>
      </x:c>
    </x:row>
    <x:row r="3" ht="18" customHeight="1">
      <x:c r="A3" s="24" t="str">
        <x:v>Salmon, smelts, etc</x:v>
      </x:c>
      <x:c r="B3" s="31" t="n">
        <x:v>4454.2095205000005</x:v>
      </x:c>
      <x:c r="C3" s="32" t="n">
        <x:v>3.3181911370603654</x:v>
      </x:c>
      <x:c r="D3" s="32" t="n">
        <x:f>IF(C3="","",(1/'Metadata'!$B$5)^(C3-1))</x:f>
        <x:v>208.06121824966226</x:v>
      </x:c>
      <x:c r="E3" s="31" t="n">
        <x:f>IF(B3=0,"",B3*D3)</x:f>
        <x:v>926748.259174474</x:v>
      </x:c>
    </x:row>
  </x:sheetData>
  <x:pageMargins left="0.7" right="0.7" top="0.75" bottom="0.75" header="0.3" footer="0.3"/>
  <x:tableParts count="1">
    <x:tablePart xmlns:r="http://schemas.openxmlformats.org/officeDocument/2006/relationships" r:id="R124e6eece57c4d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518.8670777</x:v>
      </x:c>
      <x:c r="C2" s="32" t="n">
        <x:v>3.27</x:v>
      </x:c>
      <x:c r="D2" s="32" t="n">
        <x:f>IF(C2="","",(1/'Metadata'!$B$5)^(C2-1))</x:f>
        <x:v>186.20871366628674</x:v>
      </x:c>
      <x:c r="E2" s="31" t="n">
        <x:f>IF(B2=0,"",B2*D2)</x:f>
        <x:v>96617.57110230224</x:v>
      </x:c>
    </x:row>
    <x:row r="3" ht="18" customHeight="1">
      <x:c r="A3" s="24" t="str">
        <x:v>Medium demersals (30 - 89 cm)</x:v>
      </x:c>
      <x:c r="B3" s="31" t="n">
        <x:v>2273.5993257</x:v>
      </x:c>
      <x:c r="C3" s="32" t="n">
        <x:v>3.28</x:v>
      </x:c>
      <x:c r="D3" s="32" t="n">
        <x:f>IF(C3="","",(1/'Metadata'!$B$5)^(C3-1))</x:f>
        <x:v>190.54607179632464</x:v>
      </x:c>
      <x:c r="E3" s="31" t="n">
        <x:f>IF(B3=0,"",B3*D3)</x:f>
        <x:v>433225.4203509075</x:v>
      </x:c>
    </x:row>
    <x:row r="4" ht="18" customHeight="1">
      <x:c r="A4" s="24" t="str">
        <x:v>Medium pelagics (30 - 89 cm)</x:v>
      </x:c>
      <x:c r="B4" s="31" t="n">
        <x:v>3935.3424428000003</x:v>
      </x:c>
      <x:c r="C4" s="32" t="n">
        <x:v>3.3245450426787446</x:v>
      </x:c>
      <x:c r="D4" s="32" t="n">
        <x:f>IF(C4="","",(1/'Metadata'!$B$5)^(C4-1))</x:f>
        <x:v>211.1276154616922</x:v>
      </x:c>
      <x:c r="E4" s="31" t="n">
        <x:f>IF(B4=0,"",B4*D4)</x:f>
        <x:v>830859.4659735549</x:v>
      </x:c>
    </x:row>
  </x:sheetData>
  <x:pageMargins left="0.7" right="0.7" top="0.75" bottom="0.75" header="0.3" footer="0.3"/>
  <x:tableParts count="1">
    <x:tablePart xmlns:r="http://schemas.openxmlformats.org/officeDocument/2006/relationships" r:id="R16c3becb07e94d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EEZ_913</x:v>
      </x:c>
      <x:c r="B2" s="24" t="str">
        <x:v>raw_filtered_tonnes</x:v>
      </x:c>
      <x:c r="C2" s="24" t="n">
        <x:v>6727.8088462000005</x:v>
      </x:c>
      <x:c r="D2" s="24" t="str">
        <x:v>tonnes</x:v>
      </x:c>
    </x:row>
    <x:row r="3" ht="18" customHeight="1">
      <x:c r="A3" s="24" t="str">
        <x:v>EEZ_913</x:v>
      </x:c>
      <x:c r="B3" s="24" t="str">
        <x:v>species_catch_tonnes</x:v>
      </x:c>
      <x:c r="C3" s="24" t="n">
        <x:v>6727.8088462</x:v>
      </x:c>
      <x:c r="D3" s="24" t="str">
        <x:v>tonnes</x:v>
      </x:c>
    </x:row>
    <x:row r="4" ht="18" customHeight="1">
      <x:c r="A4" s="24" t="str">
        <x:v>EEZ_913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EEZ_913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EEZ_913</x:v>
      </x:c>
      <x:c r="B6" s="24" t="str">
        <x:v>matched_catch_tonnes</x:v>
      </x:c>
      <x:c r="C6" s="24" t="n">
        <x:v>6727.8088462</x:v>
      </x:c>
      <x:c r="D6" s="24" t="str">
        <x:v>tonnes</x:v>
      </x:c>
    </x:row>
    <x:row r="7" ht="18" customHeight="1">
      <x:c r="A7" s="24" t="str">
        <x:v>EEZ_913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EEZ_913</x:v>
      </x:c>
      <x:c r="B8" s="24" t="str">
        <x:v>taxa_count</x:v>
      </x:c>
      <x:c r="C8" s="24" t="n">
        <x:v>5</x:v>
      </x:c>
      <x:c r="D8" s="24" t="str">
        <x:v>count</x:v>
      </x:c>
    </x:row>
    <x:row r="9" ht="18" customHeight="1">
      <x:c r="A9" s="24" t="str">
        <x:v>EEZ_913</x:v>
      </x:c>
      <x:c r="B9" s="24" t="str">
        <x:v>matched_taxa_count</x:v>
      </x:c>
      <x:c r="C9" s="24" t="n">
        <x:v>5</x:v>
      </x:c>
      <x:c r="D9" s="24" t="str">
        <x:v>count</x:v>
      </x:c>
    </x:row>
    <x:row r="10" ht="18" customHeight="1">
      <x:c r="A10" s="24" t="str">
        <x:v>EEZ_913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EEZ_913</x:v>
      </x:c>
      <x:c r="B11" s="24" t="str">
        <x:v>species_ppr</x:v>
      </x:c>
      <x:c r="C11" s="24" t="n">
        <x:v>1455106.3058478127</x:v>
      </x:c>
      <x:c r="D11" s="24" t="str">
        <x:v>tonnes_primary_production_equivalent</x:v>
      </x:c>
    </x:row>
    <x:row r="12" ht="18" customHeight="1">
      <x:c r="A12" s="24" t="str">
        <x:v>EEZ_913</x:v>
      </x:c>
      <x:c r="B12" s="24" t="str">
        <x:v>commercial_ppr</x:v>
      </x:c>
      <x:c r="C12" s="24" t="n">
        <x:v>1359973.6795253814</x:v>
      </x:c>
      <x:c r="D12" s="24" t="str">
        <x:v>tonnes_primary_production_equivalent</x:v>
      </x:c>
    </x:row>
    <x:row r="13" ht="18" customHeight="1">
      <x:c r="A13" s="24" t="str">
        <x:v>EEZ_913</x:v>
      </x:c>
      <x:c r="B13" s="24" t="str">
        <x:v>functional_ppr</x:v>
      </x:c>
      <x:c r="C13" s="24" t="n">
        <x:v>1360702.4574267645</x:v>
      </x:c>
      <x:c r="D13" s="24" t="str">
        <x:v>tonnes_primary_production_equivalent</x:v>
      </x:c>
    </x:row>
    <x:row r="14" ht="18" customHeight="1">
      <x:c r="A14" s="24" t="str">
        <x:v>EEZ_913</x:v>
      </x:c>
      <x:c r="B14" s="24" t="str">
        <x:v>commercial_ppr_difference</x:v>
      </x:c>
      <x:c r="C14" s="24" t="n">
        <x:v>-95132.62632243126</x:v>
      </x:c>
      <x:c r="D14" s="24" t="str">
        <x:v>tonnes_primary_production_equivalent</x:v>
      </x:c>
    </x:row>
    <x:row r="15" ht="18" customHeight="1">
      <x:c r="A15" s="24" t="str">
        <x:v>EEZ_913</x:v>
      </x:c>
      <x:c r="B15" s="24" t="str">
        <x:v>functional_ppr_difference</x:v>
      </x:c>
      <x:c r="C15" s="24" t="n">
        <x:v>-94403.84842104814</x:v>
      </x:c>
      <x:c r="D15" s="24" t="str">
        <x:v>tonnes_primary_production_equivalent</x:v>
      </x:c>
    </x:row>
    <x:row r="16" ht="18" customHeight="1">
      <x:c r="A16" s="24" t="str">
        <x:v>EEZ_913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9885d841ac74b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EEZ_913 - Russia (Laptev to Chukchi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