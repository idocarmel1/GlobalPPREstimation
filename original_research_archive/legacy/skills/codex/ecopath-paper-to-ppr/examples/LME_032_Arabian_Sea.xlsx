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doca\Desktop\אישי\אקדמיה\תואר שני\מחקר\BTN\GlobalPPREstimation\skills\artifact-template-ewe-species-to-group-mapper\example outputs\"/>
    </mc:Choice>
  </mc:AlternateContent>
  <xr:revisionPtr revIDLastSave="0" documentId="8_{B660CDE1-5B47-4910-9368-B1102D33439B}" xr6:coauthVersionLast="47" xr6:coauthVersionMax="47" xr10:uidLastSave="{00000000-0000-0000-0000-000000000000}"/>
  <bookViews>
    <workbookView xWindow="-9890" yWindow="-21710" windowWidth="38620" windowHeight="21100" xr2:uid="{00000000-000D-0000-FFFF-FFFF00000000}"/>
  </bookViews>
  <sheets>
    <sheet name="Species" sheetId="1" r:id="rId1"/>
    <sheet name="Commercial" sheetId="2" r:id="rId2"/>
    <sheet name="Functional" sheetId="3" r:id="rId3"/>
    <sheet name="Missing TL" sheetId="4" r:id="rId4"/>
    <sheet name="Validation" sheetId="5" r:id="rId5"/>
    <sheet name="Metadata" sheetId="6" r:id="rId6"/>
    <sheet name="EwE Taxonom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3" l="1"/>
  <c r="L25" i="3" s="1"/>
  <c r="K24" i="3"/>
  <c r="L24" i="3" s="1"/>
  <c r="K23" i="3"/>
  <c r="L23" i="3" s="1"/>
  <c r="K22" i="3"/>
  <c r="L22" i="3" s="1"/>
  <c r="K21" i="3"/>
  <c r="L21" i="3" s="1"/>
  <c r="K20" i="3"/>
  <c r="L20" i="3" s="1"/>
  <c r="K19" i="3"/>
  <c r="L19" i="3" s="1"/>
  <c r="K18" i="3"/>
  <c r="L18" i="3" s="1"/>
  <c r="K17" i="3"/>
  <c r="L17" i="3" s="1"/>
  <c r="K16" i="3"/>
  <c r="L16" i="3" s="1"/>
  <c r="K15" i="3"/>
  <c r="L15" i="3" s="1"/>
  <c r="K14" i="3"/>
  <c r="L14" i="3" s="1"/>
  <c r="K13" i="3"/>
  <c r="L13" i="3" s="1"/>
  <c r="K12" i="3"/>
  <c r="L12" i="3" s="1"/>
  <c r="K11" i="3"/>
  <c r="L11" i="3" s="1"/>
  <c r="K10" i="3"/>
  <c r="L10" i="3" s="1"/>
  <c r="K9" i="3"/>
  <c r="L9" i="3" s="1"/>
  <c r="K8" i="3"/>
  <c r="L8" i="3" s="1"/>
  <c r="K7" i="3"/>
  <c r="L7" i="3" s="1"/>
  <c r="K6" i="3"/>
  <c r="L6" i="3" s="1"/>
  <c r="K5" i="3"/>
  <c r="L5" i="3" s="1"/>
  <c r="K4" i="3"/>
  <c r="L4" i="3" s="1"/>
  <c r="K3" i="3"/>
  <c r="L3" i="3" s="1"/>
  <c r="K2" i="3"/>
  <c r="L2" i="3" s="1"/>
  <c r="K12" i="2"/>
  <c r="L12" i="2" s="1"/>
  <c r="K11" i="2"/>
  <c r="L11" i="2" s="1"/>
  <c r="K10" i="2"/>
  <c r="L10" i="2" s="1"/>
  <c r="K9" i="2"/>
  <c r="L9" i="2" s="1"/>
  <c r="K8" i="2"/>
  <c r="L8" i="2" s="1"/>
  <c r="K7" i="2"/>
  <c r="L7" i="2" s="1"/>
  <c r="K6" i="2"/>
  <c r="L6" i="2" s="1"/>
  <c r="K5" i="2"/>
  <c r="L5" i="2" s="1"/>
  <c r="K4" i="2"/>
  <c r="L4" i="2" s="1"/>
  <c r="K3" i="2"/>
  <c r="L3" i="2" s="1"/>
  <c r="K2" i="2"/>
  <c r="L2" i="2" s="1"/>
  <c r="T394" i="1"/>
  <c r="U394" i="1" s="1"/>
  <c r="T393" i="1"/>
  <c r="U393" i="1" s="1"/>
  <c r="T392" i="1"/>
  <c r="U392" i="1" s="1"/>
  <c r="T391" i="1"/>
  <c r="U391" i="1" s="1"/>
  <c r="T390" i="1"/>
  <c r="U390" i="1" s="1"/>
  <c r="T389" i="1"/>
  <c r="U389" i="1" s="1"/>
  <c r="T388" i="1"/>
  <c r="U388" i="1" s="1"/>
  <c r="T387" i="1"/>
  <c r="U387" i="1" s="1"/>
  <c r="T386" i="1"/>
  <c r="U386" i="1" s="1"/>
  <c r="T385" i="1"/>
  <c r="U385" i="1" s="1"/>
  <c r="T384" i="1"/>
  <c r="U384" i="1" s="1"/>
  <c r="T383" i="1"/>
  <c r="U383" i="1" s="1"/>
  <c r="T382" i="1"/>
  <c r="U382" i="1" s="1"/>
  <c r="T381" i="1"/>
  <c r="U381" i="1" s="1"/>
  <c r="T380" i="1"/>
  <c r="U380" i="1" s="1"/>
  <c r="T379" i="1"/>
  <c r="U379" i="1" s="1"/>
  <c r="T378" i="1"/>
  <c r="U378" i="1" s="1"/>
  <c r="T377" i="1"/>
  <c r="U377" i="1" s="1"/>
  <c r="T376" i="1"/>
  <c r="U376" i="1" s="1"/>
  <c r="T375" i="1"/>
  <c r="U375" i="1" s="1"/>
  <c r="T374" i="1"/>
  <c r="U374" i="1" s="1"/>
  <c r="T373" i="1"/>
  <c r="U373" i="1" s="1"/>
  <c r="T372" i="1"/>
  <c r="U372" i="1" s="1"/>
  <c r="T371" i="1"/>
  <c r="U371" i="1" s="1"/>
  <c r="T370" i="1"/>
  <c r="U370" i="1" s="1"/>
  <c r="T369" i="1"/>
  <c r="U369" i="1" s="1"/>
  <c r="T368" i="1"/>
  <c r="U368" i="1" s="1"/>
  <c r="T367" i="1"/>
  <c r="U367" i="1" s="1"/>
  <c r="T366" i="1"/>
  <c r="U366" i="1" s="1"/>
  <c r="T365" i="1"/>
  <c r="U365" i="1" s="1"/>
  <c r="T364" i="1"/>
  <c r="U364" i="1" s="1"/>
  <c r="T363" i="1"/>
  <c r="U363" i="1" s="1"/>
  <c r="T362" i="1"/>
  <c r="U362" i="1" s="1"/>
  <c r="T361" i="1"/>
  <c r="U361" i="1" s="1"/>
  <c r="T360" i="1"/>
  <c r="U360" i="1" s="1"/>
  <c r="T359" i="1"/>
  <c r="U359" i="1" s="1"/>
  <c r="T358" i="1"/>
  <c r="U358" i="1" s="1"/>
  <c r="T357" i="1"/>
  <c r="U357" i="1" s="1"/>
  <c r="T356" i="1"/>
  <c r="U356" i="1" s="1"/>
  <c r="T355" i="1"/>
  <c r="U355" i="1" s="1"/>
  <c r="T354" i="1"/>
  <c r="U354" i="1" s="1"/>
  <c r="T353" i="1"/>
  <c r="U353" i="1" s="1"/>
  <c r="T352" i="1"/>
  <c r="U352" i="1" s="1"/>
  <c r="T351" i="1"/>
  <c r="U351" i="1" s="1"/>
  <c r="T350" i="1"/>
  <c r="U350" i="1" s="1"/>
  <c r="T349" i="1"/>
  <c r="U349" i="1" s="1"/>
  <c r="T348" i="1"/>
  <c r="U348" i="1" s="1"/>
  <c r="T347" i="1"/>
  <c r="U347" i="1" s="1"/>
  <c r="T346" i="1"/>
  <c r="U346" i="1" s="1"/>
  <c r="T345" i="1"/>
  <c r="U345" i="1" s="1"/>
  <c r="T344" i="1"/>
  <c r="U344" i="1" s="1"/>
  <c r="T343" i="1"/>
  <c r="U343" i="1" s="1"/>
  <c r="T342" i="1"/>
  <c r="U342" i="1" s="1"/>
  <c r="T341" i="1"/>
  <c r="U341" i="1" s="1"/>
  <c r="T340" i="1"/>
  <c r="U340" i="1" s="1"/>
  <c r="T339" i="1"/>
  <c r="U339" i="1" s="1"/>
  <c r="T338" i="1"/>
  <c r="U338" i="1" s="1"/>
  <c r="T337" i="1"/>
  <c r="U337" i="1" s="1"/>
  <c r="T336" i="1"/>
  <c r="U336" i="1" s="1"/>
  <c r="T335" i="1"/>
  <c r="U335" i="1" s="1"/>
  <c r="T334" i="1"/>
  <c r="U334" i="1" s="1"/>
  <c r="T333" i="1"/>
  <c r="U333" i="1" s="1"/>
  <c r="T332" i="1"/>
  <c r="U332" i="1" s="1"/>
  <c r="T331" i="1"/>
  <c r="U331" i="1" s="1"/>
  <c r="T330" i="1"/>
  <c r="U330" i="1" s="1"/>
  <c r="T329" i="1"/>
  <c r="U329" i="1" s="1"/>
  <c r="T328" i="1"/>
  <c r="U328" i="1" s="1"/>
  <c r="T327" i="1"/>
  <c r="U327" i="1" s="1"/>
  <c r="T326" i="1"/>
  <c r="U326" i="1" s="1"/>
  <c r="T325" i="1"/>
  <c r="U325" i="1" s="1"/>
  <c r="U324" i="1"/>
  <c r="T324" i="1"/>
  <c r="T323" i="1"/>
  <c r="U323" i="1" s="1"/>
  <c r="T322" i="1"/>
  <c r="U322" i="1" s="1"/>
  <c r="T321" i="1"/>
  <c r="U321" i="1" s="1"/>
  <c r="T320" i="1"/>
  <c r="U320" i="1" s="1"/>
  <c r="T319" i="1"/>
  <c r="U319" i="1" s="1"/>
  <c r="T318" i="1"/>
  <c r="U318" i="1" s="1"/>
  <c r="T317" i="1"/>
  <c r="U317" i="1" s="1"/>
  <c r="T316" i="1"/>
  <c r="U316" i="1" s="1"/>
  <c r="T315" i="1"/>
  <c r="U315" i="1" s="1"/>
  <c r="T314" i="1"/>
  <c r="U314" i="1" s="1"/>
  <c r="T313" i="1"/>
  <c r="U313" i="1" s="1"/>
  <c r="T312" i="1"/>
  <c r="U312" i="1" s="1"/>
  <c r="T311" i="1"/>
  <c r="U311" i="1" s="1"/>
  <c r="T310" i="1"/>
  <c r="U310" i="1" s="1"/>
  <c r="T309" i="1"/>
  <c r="U309" i="1" s="1"/>
  <c r="T308" i="1"/>
  <c r="U308" i="1" s="1"/>
  <c r="T307" i="1"/>
  <c r="U307" i="1" s="1"/>
  <c r="T306" i="1"/>
  <c r="U306" i="1" s="1"/>
  <c r="T305" i="1"/>
  <c r="U305" i="1" s="1"/>
  <c r="T304" i="1"/>
  <c r="U304" i="1" s="1"/>
  <c r="T303" i="1"/>
  <c r="U303" i="1" s="1"/>
  <c r="T302" i="1"/>
  <c r="U302" i="1" s="1"/>
  <c r="T301" i="1"/>
  <c r="U301" i="1" s="1"/>
  <c r="T300" i="1"/>
  <c r="U300" i="1" s="1"/>
  <c r="T299" i="1"/>
  <c r="U299" i="1" s="1"/>
  <c r="T298" i="1"/>
  <c r="U298" i="1" s="1"/>
  <c r="T297" i="1"/>
  <c r="U297" i="1" s="1"/>
  <c r="T296" i="1"/>
  <c r="U296" i="1" s="1"/>
  <c r="T295" i="1"/>
  <c r="U295" i="1" s="1"/>
  <c r="T294" i="1"/>
  <c r="U294" i="1" s="1"/>
  <c r="T293" i="1"/>
  <c r="U293" i="1" s="1"/>
  <c r="T292" i="1"/>
  <c r="U292" i="1" s="1"/>
  <c r="T291" i="1"/>
  <c r="U291" i="1" s="1"/>
  <c r="T290" i="1"/>
  <c r="U290" i="1" s="1"/>
  <c r="T289" i="1"/>
  <c r="U289" i="1" s="1"/>
  <c r="T288" i="1"/>
  <c r="U288" i="1" s="1"/>
  <c r="T287" i="1"/>
  <c r="U287" i="1" s="1"/>
  <c r="T286" i="1"/>
  <c r="U286" i="1" s="1"/>
  <c r="T285" i="1"/>
  <c r="U285" i="1" s="1"/>
  <c r="T284" i="1"/>
  <c r="U284" i="1" s="1"/>
  <c r="T283" i="1"/>
  <c r="U283" i="1" s="1"/>
  <c r="T282" i="1"/>
  <c r="U282" i="1" s="1"/>
  <c r="T281" i="1"/>
  <c r="U281" i="1" s="1"/>
  <c r="T280" i="1"/>
  <c r="U280" i="1" s="1"/>
  <c r="T279" i="1"/>
  <c r="U279" i="1" s="1"/>
  <c r="T278" i="1"/>
  <c r="U278" i="1" s="1"/>
  <c r="T277" i="1"/>
  <c r="U277" i="1" s="1"/>
  <c r="T276" i="1"/>
  <c r="U276" i="1" s="1"/>
  <c r="T275" i="1"/>
  <c r="U275" i="1" s="1"/>
  <c r="T274" i="1"/>
  <c r="U274" i="1" s="1"/>
  <c r="T273" i="1"/>
  <c r="U273" i="1" s="1"/>
  <c r="T272" i="1"/>
  <c r="U272" i="1" s="1"/>
  <c r="T271" i="1"/>
  <c r="U271" i="1" s="1"/>
  <c r="T270" i="1"/>
  <c r="U270" i="1" s="1"/>
  <c r="T269" i="1"/>
  <c r="U269" i="1" s="1"/>
  <c r="T268" i="1"/>
  <c r="U268" i="1" s="1"/>
  <c r="T267" i="1"/>
  <c r="U267" i="1" s="1"/>
  <c r="T266" i="1"/>
  <c r="U266" i="1" s="1"/>
  <c r="T265" i="1"/>
  <c r="U265" i="1" s="1"/>
  <c r="T264" i="1"/>
  <c r="U264" i="1" s="1"/>
  <c r="T263" i="1"/>
  <c r="U263" i="1" s="1"/>
  <c r="T262" i="1"/>
  <c r="U262" i="1" s="1"/>
  <c r="T261" i="1"/>
  <c r="U261" i="1" s="1"/>
  <c r="T260" i="1"/>
  <c r="U260" i="1" s="1"/>
  <c r="T259" i="1"/>
  <c r="U259" i="1" s="1"/>
  <c r="T258" i="1"/>
  <c r="U258" i="1" s="1"/>
  <c r="I11" i="3" s="1"/>
  <c r="T257" i="1"/>
  <c r="U257" i="1" s="1"/>
  <c r="T256" i="1"/>
  <c r="U256" i="1" s="1"/>
  <c r="T255" i="1"/>
  <c r="U255" i="1" s="1"/>
  <c r="T254" i="1"/>
  <c r="U254" i="1" s="1"/>
  <c r="T253" i="1"/>
  <c r="U253" i="1" s="1"/>
  <c r="T252" i="1"/>
  <c r="U252" i="1" s="1"/>
  <c r="T251" i="1"/>
  <c r="U251" i="1" s="1"/>
  <c r="T250" i="1"/>
  <c r="U250" i="1" s="1"/>
  <c r="T249" i="1"/>
  <c r="U249" i="1" s="1"/>
  <c r="T248" i="1"/>
  <c r="U248" i="1" s="1"/>
  <c r="T247" i="1"/>
  <c r="U247" i="1" s="1"/>
  <c r="T246" i="1"/>
  <c r="U246" i="1" s="1"/>
  <c r="T245" i="1"/>
  <c r="U245" i="1" s="1"/>
  <c r="T244" i="1"/>
  <c r="U244" i="1" s="1"/>
  <c r="T243" i="1"/>
  <c r="U243" i="1" s="1"/>
  <c r="T242" i="1"/>
  <c r="U242" i="1" s="1"/>
  <c r="I3" i="2" s="1"/>
  <c r="T241" i="1"/>
  <c r="U241" i="1" s="1"/>
  <c r="T240" i="1"/>
  <c r="U240" i="1" s="1"/>
  <c r="T239" i="1"/>
  <c r="U239" i="1" s="1"/>
  <c r="T238" i="1"/>
  <c r="U238" i="1" s="1"/>
  <c r="T237" i="1"/>
  <c r="U237" i="1" s="1"/>
  <c r="T236" i="1"/>
  <c r="U236" i="1" s="1"/>
  <c r="T235" i="1"/>
  <c r="U235" i="1" s="1"/>
  <c r="T234" i="1"/>
  <c r="U234" i="1" s="1"/>
  <c r="T233" i="1"/>
  <c r="U233" i="1" s="1"/>
  <c r="T232" i="1"/>
  <c r="U232" i="1" s="1"/>
  <c r="T231" i="1"/>
  <c r="U231" i="1" s="1"/>
  <c r="T230" i="1"/>
  <c r="U230" i="1" s="1"/>
  <c r="T229" i="1"/>
  <c r="U229" i="1" s="1"/>
  <c r="T228" i="1"/>
  <c r="U228" i="1" s="1"/>
  <c r="T227" i="1"/>
  <c r="U227" i="1" s="1"/>
  <c r="T226" i="1"/>
  <c r="U226" i="1" s="1"/>
  <c r="T225" i="1"/>
  <c r="U225" i="1" s="1"/>
  <c r="T224" i="1"/>
  <c r="U224" i="1" s="1"/>
  <c r="T223" i="1"/>
  <c r="U223" i="1" s="1"/>
  <c r="T222" i="1"/>
  <c r="U222" i="1" s="1"/>
  <c r="T221" i="1"/>
  <c r="U221" i="1" s="1"/>
  <c r="T220" i="1"/>
  <c r="U220" i="1" s="1"/>
  <c r="T219" i="1"/>
  <c r="U219" i="1" s="1"/>
  <c r="T218" i="1"/>
  <c r="U218" i="1" s="1"/>
  <c r="T217" i="1"/>
  <c r="U217" i="1" s="1"/>
  <c r="T216" i="1"/>
  <c r="U216" i="1" s="1"/>
  <c r="T215" i="1"/>
  <c r="U215" i="1" s="1"/>
  <c r="T214" i="1"/>
  <c r="U214" i="1" s="1"/>
  <c r="T213" i="1"/>
  <c r="U213" i="1" s="1"/>
  <c r="T212" i="1"/>
  <c r="U212" i="1" s="1"/>
  <c r="T211" i="1"/>
  <c r="U211" i="1" s="1"/>
  <c r="T210" i="1"/>
  <c r="U210" i="1" s="1"/>
  <c r="T209" i="1"/>
  <c r="U209" i="1" s="1"/>
  <c r="T208" i="1"/>
  <c r="U208" i="1" s="1"/>
  <c r="T207" i="1"/>
  <c r="U207" i="1" s="1"/>
  <c r="T206" i="1"/>
  <c r="U206" i="1" s="1"/>
  <c r="T205" i="1"/>
  <c r="U205" i="1" s="1"/>
  <c r="T204" i="1"/>
  <c r="U204" i="1" s="1"/>
  <c r="T203" i="1"/>
  <c r="U203" i="1" s="1"/>
  <c r="T202" i="1"/>
  <c r="U202" i="1" s="1"/>
  <c r="T201" i="1"/>
  <c r="U201" i="1" s="1"/>
  <c r="T200" i="1"/>
  <c r="U200" i="1" s="1"/>
  <c r="I24" i="3" s="1"/>
  <c r="T199" i="1"/>
  <c r="U199" i="1" s="1"/>
  <c r="T198" i="1"/>
  <c r="U198" i="1" s="1"/>
  <c r="T197" i="1"/>
  <c r="U197" i="1" s="1"/>
  <c r="T196" i="1"/>
  <c r="U196" i="1" s="1"/>
  <c r="T195" i="1"/>
  <c r="U195" i="1" s="1"/>
  <c r="T194" i="1"/>
  <c r="U194" i="1" s="1"/>
  <c r="T193" i="1"/>
  <c r="U193" i="1" s="1"/>
  <c r="T192" i="1"/>
  <c r="U192" i="1" s="1"/>
  <c r="T191" i="1"/>
  <c r="U191" i="1" s="1"/>
  <c r="T190" i="1"/>
  <c r="U190" i="1" s="1"/>
  <c r="T189" i="1"/>
  <c r="U189" i="1" s="1"/>
  <c r="T188" i="1"/>
  <c r="U188" i="1" s="1"/>
  <c r="T187" i="1"/>
  <c r="U187" i="1" s="1"/>
  <c r="T186" i="1"/>
  <c r="U186" i="1" s="1"/>
  <c r="T185" i="1"/>
  <c r="U185" i="1" s="1"/>
  <c r="I25" i="3" s="1"/>
  <c r="T184" i="1"/>
  <c r="U184" i="1" s="1"/>
  <c r="T183" i="1"/>
  <c r="U183" i="1" s="1"/>
  <c r="T182" i="1"/>
  <c r="U182" i="1" s="1"/>
  <c r="T181" i="1"/>
  <c r="U181" i="1" s="1"/>
  <c r="T180" i="1"/>
  <c r="U180" i="1" s="1"/>
  <c r="T179" i="1"/>
  <c r="U179" i="1" s="1"/>
  <c r="T178" i="1"/>
  <c r="U178" i="1" s="1"/>
  <c r="T177" i="1"/>
  <c r="U177" i="1" s="1"/>
  <c r="T176" i="1"/>
  <c r="U176" i="1" s="1"/>
  <c r="T175" i="1"/>
  <c r="U175" i="1" s="1"/>
  <c r="T174" i="1"/>
  <c r="U174" i="1" s="1"/>
  <c r="T173" i="1"/>
  <c r="U173" i="1" s="1"/>
  <c r="T172" i="1"/>
  <c r="U172" i="1" s="1"/>
  <c r="T171" i="1"/>
  <c r="U171" i="1" s="1"/>
  <c r="I12" i="3" s="1"/>
  <c r="T170" i="1"/>
  <c r="U170" i="1" s="1"/>
  <c r="T169" i="1"/>
  <c r="U169" i="1" s="1"/>
  <c r="T168" i="1"/>
  <c r="U168" i="1" s="1"/>
  <c r="T167" i="1"/>
  <c r="U167" i="1" s="1"/>
  <c r="T166" i="1"/>
  <c r="U166" i="1" s="1"/>
  <c r="T165" i="1"/>
  <c r="U165" i="1" s="1"/>
  <c r="T164" i="1"/>
  <c r="U164" i="1" s="1"/>
  <c r="T163" i="1"/>
  <c r="U163" i="1" s="1"/>
  <c r="T162" i="1"/>
  <c r="U162" i="1" s="1"/>
  <c r="T161" i="1"/>
  <c r="U161" i="1" s="1"/>
  <c r="T160" i="1"/>
  <c r="U160" i="1" s="1"/>
  <c r="T159" i="1"/>
  <c r="U159" i="1" s="1"/>
  <c r="T158" i="1"/>
  <c r="U158" i="1" s="1"/>
  <c r="T157" i="1"/>
  <c r="U157" i="1" s="1"/>
  <c r="T156" i="1"/>
  <c r="U156" i="1" s="1"/>
  <c r="T155" i="1"/>
  <c r="U155" i="1" s="1"/>
  <c r="T154" i="1"/>
  <c r="U154" i="1" s="1"/>
  <c r="T153" i="1"/>
  <c r="U153" i="1" s="1"/>
  <c r="T152" i="1"/>
  <c r="U152" i="1" s="1"/>
  <c r="T151" i="1"/>
  <c r="U151" i="1" s="1"/>
  <c r="T150" i="1"/>
  <c r="U150" i="1" s="1"/>
  <c r="T149" i="1"/>
  <c r="U149" i="1" s="1"/>
  <c r="T148" i="1"/>
  <c r="U148" i="1" s="1"/>
  <c r="T147" i="1"/>
  <c r="U147" i="1" s="1"/>
  <c r="T146" i="1"/>
  <c r="U146" i="1" s="1"/>
  <c r="T145" i="1"/>
  <c r="U145" i="1" s="1"/>
  <c r="T144" i="1"/>
  <c r="U144" i="1" s="1"/>
  <c r="T143" i="1"/>
  <c r="U143" i="1" s="1"/>
  <c r="T142" i="1"/>
  <c r="U142" i="1" s="1"/>
  <c r="T141" i="1"/>
  <c r="U141" i="1" s="1"/>
  <c r="T140" i="1"/>
  <c r="U140" i="1" s="1"/>
  <c r="T139" i="1"/>
  <c r="U139" i="1" s="1"/>
  <c r="T138" i="1"/>
  <c r="U138" i="1" s="1"/>
  <c r="T137" i="1"/>
  <c r="U137" i="1" s="1"/>
  <c r="T136" i="1"/>
  <c r="U136" i="1" s="1"/>
  <c r="T135" i="1"/>
  <c r="U135" i="1" s="1"/>
  <c r="T134" i="1"/>
  <c r="U134" i="1" s="1"/>
  <c r="T133" i="1"/>
  <c r="U133" i="1" s="1"/>
  <c r="T132" i="1"/>
  <c r="U132" i="1" s="1"/>
  <c r="T131" i="1"/>
  <c r="U131" i="1" s="1"/>
  <c r="T130" i="1"/>
  <c r="U130" i="1" s="1"/>
  <c r="T129" i="1"/>
  <c r="U129" i="1" s="1"/>
  <c r="T128" i="1"/>
  <c r="U128" i="1" s="1"/>
  <c r="T127" i="1"/>
  <c r="U127" i="1" s="1"/>
  <c r="T126" i="1"/>
  <c r="U126" i="1" s="1"/>
  <c r="T125" i="1"/>
  <c r="U125" i="1" s="1"/>
  <c r="T124" i="1"/>
  <c r="U124" i="1" s="1"/>
  <c r="T123" i="1"/>
  <c r="U123" i="1" s="1"/>
  <c r="T122" i="1"/>
  <c r="U122" i="1" s="1"/>
  <c r="T121" i="1"/>
  <c r="U121" i="1" s="1"/>
  <c r="T120" i="1"/>
  <c r="U120" i="1" s="1"/>
  <c r="T119" i="1"/>
  <c r="U119" i="1" s="1"/>
  <c r="T118" i="1"/>
  <c r="U118" i="1" s="1"/>
  <c r="T117" i="1"/>
  <c r="U117" i="1" s="1"/>
  <c r="T116" i="1"/>
  <c r="U116" i="1" s="1"/>
  <c r="T115" i="1"/>
  <c r="U115" i="1" s="1"/>
  <c r="T114" i="1"/>
  <c r="U114" i="1" s="1"/>
  <c r="T113" i="1"/>
  <c r="U113" i="1" s="1"/>
  <c r="T112" i="1"/>
  <c r="U112" i="1" s="1"/>
  <c r="T111" i="1"/>
  <c r="U111" i="1" s="1"/>
  <c r="T110" i="1"/>
  <c r="U110" i="1" s="1"/>
  <c r="T109" i="1"/>
  <c r="U109" i="1" s="1"/>
  <c r="I10" i="2" s="1"/>
  <c r="T108" i="1"/>
  <c r="U108" i="1" s="1"/>
  <c r="T107" i="1"/>
  <c r="U107" i="1" s="1"/>
  <c r="T106" i="1"/>
  <c r="U106" i="1" s="1"/>
  <c r="T105" i="1"/>
  <c r="U105" i="1" s="1"/>
  <c r="T104" i="1"/>
  <c r="U104" i="1" s="1"/>
  <c r="T103" i="1"/>
  <c r="U103" i="1" s="1"/>
  <c r="T102" i="1"/>
  <c r="U102" i="1" s="1"/>
  <c r="T101" i="1"/>
  <c r="U101" i="1" s="1"/>
  <c r="T100" i="1"/>
  <c r="U100" i="1" s="1"/>
  <c r="T99" i="1"/>
  <c r="U99" i="1" s="1"/>
  <c r="T98" i="1"/>
  <c r="U98" i="1" s="1"/>
  <c r="T97" i="1"/>
  <c r="U97" i="1" s="1"/>
  <c r="T96" i="1"/>
  <c r="U96" i="1" s="1"/>
  <c r="T95" i="1"/>
  <c r="U95" i="1" s="1"/>
  <c r="T94" i="1"/>
  <c r="U94" i="1" s="1"/>
  <c r="T93" i="1"/>
  <c r="U93" i="1" s="1"/>
  <c r="T92" i="1"/>
  <c r="U92" i="1" s="1"/>
  <c r="T91" i="1"/>
  <c r="U91" i="1" s="1"/>
  <c r="T90" i="1"/>
  <c r="U90" i="1" s="1"/>
  <c r="T89" i="1"/>
  <c r="U89" i="1" s="1"/>
  <c r="T88" i="1"/>
  <c r="U88" i="1" s="1"/>
  <c r="T87" i="1"/>
  <c r="U87" i="1" s="1"/>
  <c r="T86" i="1"/>
  <c r="U86" i="1" s="1"/>
  <c r="T85" i="1"/>
  <c r="U85" i="1" s="1"/>
  <c r="T84" i="1"/>
  <c r="U84" i="1" s="1"/>
  <c r="I22" i="3" s="1"/>
  <c r="T83" i="1"/>
  <c r="U83" i="1" s="1"/>
  <c r="T82" i="1"/>
  <c r="U82" i="1" s="1"/>
  <c r="T81" i="1"/>
  <c r="U81" i="1" s="1"/>
  <c r="T80" i="1"/>
  <c r="U80" i="1" s="1"/>
  <c r="T79" i="1"/>
  <c r="U79" i="1" s="1"/>
  <c r="T78" i="1"/>
  <c r="U78" i="1" s="1"/>
  <c r="T77" i="1"/>
  <c r="U77" i="1" s="1"/>
  <c r="T76" i="1"/>
  <c r="U76" i="1" s="1"/>
  <c r="T75" i="1"/>
  <c r="U75" i="1" s="1"/>
  <c r="T74" i="1"/>
  <c r="U74" i="1" s="1"/>
  <c r="T73" i="1"/>
  <c r="U73" i="1" s="1"/>
  <c r="T72" i="1"/>
  <c r="U72" i="1" s="1"/>
  <c r="T71" i="1"/>
  <c r="U71" i="1" s="1"/>
  <c r="T70" i="1"/>
  <c r="U70" i="1" s="1"/>
  <c r="T69" i="1"/>
  <c r="U69" i="1" s="1"/>
  <c r="T68" i="1"/>
  <c r="U68" i="1" s="1"/>
  <c r="T67" i="1"/>
  <c r="U67" i="1" s="1"/>
  <c r="I7" i="3" s="1"/>
  <c r="T66" i="1"/>
  <c r="U66" i="1" s="1"/>
  <c r="T65" i="1"/>
  <c r="U65" i="1" s="1"/>
  <c r="T64" i="1"/>
  <c r="U64" i="1" s="1"/>
  <c r="T63" i="1"/>
  <c r="U63" i="1" s="1"/>
  <c r="T62" i="1"/>
  <c r="U62" i="1" s="1"/>
  <c r="I19" i="3" s="1"/>
  <c r="T61" i="1"/>
  <c r="U61" i="1" s="1"/>
  <c r="T60" i="1"/>
  <c r="U60" i="1" s="1"/>
  <c r="T59" i="1"/>
  <c r="U59" i="1" s="1"/>
  <c r="T58" i="1"/>
  <c r="U58" i="1" s="1"/>
  <c r="I3" i="3" s="1"/>
  <c r="T57" i="1"/>
  <c r="U57" i="1" s="1"/>
  <c r="T56" i="1"/>
  <c r="U56" i="1" s="1"/>
  <c r="T55" i="1"/>
  <c r="U55" i="1" s="1"/>
  <c r="T54" i="1"/>
  <c r="U54" i="1" s="1"/>
  <c r="T53" i="1"/>
  <c r="U53" i="1" s="1"/>
  <c r="T52" i="1"/>
  <c r="U52" i="1" s="1"/>
  <c r="T51" i="1"/>
  <c r="U51" i="1" s="1"/>
  <c r="T50" i="1"/>
  <c r="U50" i="1" s="1"/>
  <c r="T49" i="1"/>
  <c r="U49" i="1" s="1"/>
  <c r="T48" i="1"/>
  <c r="U48" i="1" s="1"/>
  <c r="T47" i="1"/>
  <c r="U47" i="1" s="1"/>
  <c r="T46" i="1"/>
  <c r="U46" i="1" s="1"/>
  <c r="T45" i="1"/>
  <c r="U45" i="1" s="1"/>
  <c r="T44" i="1"/>
  <c r="U44" i="1" s="1"/>
  <c r="T43" i="1"/>
  <c r="U43" i="1" s="1"/>
  <c r="T42" i="1"/>
  <c r="U42" i="1" s="1"/>
  <c r="T41" i="1"/>
  <c r="U41" i="1" s="1"/>
  <c r="T40" i="1"/>
  <c r="U40" i="1" s="1"/>
  <c r="T39" i="1"/>
  <c r="U39" i="1" s="1"/>
  <c r="T38" i="1"/>
  <c r="U38" i="1" s="1"/>
  <c r="T37" i="1"/>
  <c r="U37" i="1" s="1"/>
  <c r="T36" i="1"/>
  <c r="U36" i="1" s="1"/>
  <c r="T35" i="1"/>
  <c r="U35" i="1" s="1"/>
  <c r="T34" i="1"/>
  <c r="U34" i="1" s="1"/>
  <c r="T33" i="1"/>
  <c r="U33" i="1" s="1"/>
  <c r="T32" i="1"/>
  <c r="U32" i="1" s="1"/>
  <c r="T31" i="1"/>
  <c r="U31" i="1" s="1"/>
  <c r="T30" i="1"/>
  <c r="U30" i="1" s="1"/>
  <c r="T29" i="1"/>
  <c r="U29" i="1" s="1"/>
  <c r="T28" i="1"/>
  <c r="U28" i="1" s="1"/>
  <c r="I2" i="2" s="1"/>
  <c r="T27" i="1"/>
  <c r="U27" i="1" s="1"/>
  <c r="T26" i="1"/>
  <c r="U26" i="1" s="1"/>
  <c r="T25" i="1"/>
  <c r="U25" i="1" s="1"/>
  <c r="T24" i="1"/>
  <c r="U24" i="1" s="1"/>
  <c r="T23" i="1"/>
  <c r="U23" i="1" s="1"/>
  <c r="T22" i="1"/>
  <c r="U22" i="1" s="1"/>
  <c r="T21" i="1"/>
  <c r="U21" i="1" s="1"/>
  <c r="I4" i="3" s="1"/>
  <c r="T20" i="1"/>
  <c r="U20" i="1" s="1"/>
  <c r="T19" i="1"/>
  <c r="U19" i="1" s="1"/>
  <c r="T18" i="1"/>
  <c r="U18" i="1" s="1"/>
  <c r="I2" i="3" s="1"/>
  <c r="T17" i="1"/>
  <c r="U17" i="1" s="1"/>
  <c r="T16" i="1"/>
  <c r="U16" i="1" s="1"/>
  <c r="T15" i="1"/>
  <c r="U15" i="1" s="1"/>
  <c r="I13" i="3" s="1"/>
  <c r="T14" i="1"/>
  <c r="U14" i="1" s="1"/>
  <c r="T13" i="1"/>
  <c r="U13" i="1" s="1"/>
  <c r="T12" i="1"/>
  <c r="U12" i="1" s="1"/>
  <c r="T11" i="1"/>
  <c r="U11" i="1" s="1"/>
  <c r="T10" i="1"/>
  <c r="U10" i="1" s="1"/>
  <c r="I18" i="3" s="1"/>
  <c r="T9" i="1"/>
  <c r="U9" i="1" s="1"/>
  <c r="T8" i="1"/>
  <c r="U8" i="1" s="1"/>
  <c r="I20" i="3" s="1"/>
  <c r="T7" i="1"/>
  <c r="U7" i="1" s="1"/>
  <c r="T6" i="1"/>
  <c r="U6" i="1" s="1"/>
  <c r="T5" i="1"/>
  <c r="U5" i="1" s="1"/>
  <c r="T4" i="1"/>
  <c r="U4" i="1" s="1"/>
  <c r="T3" i="1"/>
  <c r="U3" i="1" s="1"/>
  <c r="T2" i="1"/>
  <c r="U2" i="1" s="1"/>
  <c r="N25" i="3" l="1"/>
  <c r="O25" i="3"/>
  <c r="N24" i="3"/>
  <c r="O24" i="3"/>
  <c r="N23" i="3"/>
  <c r="N22" i="3"/>
  <c r="O22" i="3"/>
  <c r="N20" i="3"/>
  <c r="O20" i="3"/>
  <c r="N19" i="3"/>
  <c r="O19" i="3"/>
  <c r="O18" i="3"/>
  <c r="N18" i="3"/>
  <c r="N13" i="3"/>
  <c r="N12" i="3"/>
  <c r="N11" i="3"/>
  <c r="N7" i="3"/>
  <c r="N4" i="3"/>
  <c r="N3" i="3"/>
  <c r="N2" i="3"/>
  <c r="N10" i="2"/>
  <c r="N3" i="2"/>
  <c r="N2" i="2"/>
  <c r="M11" i="3"/>
  <c r="O11" i="3" s="1"/>
  <c r="H11" i="3"/>
  <c r="M3" i="2"/>
  <c r="O3" i="2" s="1"/>
  <c r="H3" i="2"/>
  <c r="M24" i="3"/>
  <c r="H24" i="3"/>
  <c r="M25" i="3"/>
  <c r="H25" i="3"/>
  <c r="M12" i="3"/>
  <c r="O12" i="3" s="1"/>
  <c r="H12" i="3"/>
  <c r="M10" i="2"/>
  <c r="O10" i="2" s="1"/>
  <c r="H10" i="2"/>
  <c r="M22" i="3"/>
  <c r="H22" i="3"/>
  <c r="M7" i="3"/>
  <c r="O7" i="3" s="1"/>
  <c r="H7" i="3"/>
  <c r="M19" i="3"/>
  <c r="H19" i="3"/>
  <c r="M3" i="3"/>
  <c r="O3" i="3" s="1"/>
  <c r="H3" i="3"/>
  <c r="I5" i="2"/>
  <c r="N5" i="2" s="1"/>
  <c r="I23" i="3"/>
  <c r="M2" i="2"/>
  <c r="O2" i="2" s="1"/>
  <c r="H2" i="2"/>
  <c r="I11" i="2"/>
  <c r="N11" i="2" s="1"/>
  <c r="I9" i="3"/>
  <c r="N9" i="3" s="1"/>
  <c r="M4" i="3"/>
  <c r="O4" i="3" s="1"/>
  <c r="H4" i="3"/>
  <c r="I17" i="3"/>
  <c r="N17" i="3" s="1"/>
  <c r="I7" i="2"/>
  <c r="N7" i="2" s="1"/>
  <c r="M2" i="3"/>
  <c r="O2" i="3" s="1"/>
  <c r="H2" i="3"/>
  <c r="H13" i="3"/>
  <c r="M13" i="3"/>
  <c r="O13" i="3" s="1"/>
  <c r="H18" i="3"/>
  <c r="M18" i="3"/>
  <c r="M20" i="3"/>
  <c r="H20" i="3"/>
  <c r="I10" i="3"/>
  <c r="N10" i="3" s="1"/>
  <c r="I4" i="2"/>
  <c r="N4" i="2" s="1"/>
  <c r="I12" i="2"/>
  <c r="N12" i="2" s="1"/>
  <c r="I6" i="3"/>
  <c r="N6" i="3" s="1"/>
  <c r="I9" i="2"/>
  <c r="N9" i="2" s="1"/>
  <c r="I15" i="3"/>
  <c r="N15" i="3" s="1"/>
  <c r="I14" i="3"/>
  <c r="N14" i="3" s="1"/>
  <c r="I8" i="2"/>
  <c r="N8" i="2" s="1"/>
  <c r="I6" i="2"/>
  <c r="N6" i="2" s="1"/>
  <c r="I21" i="3"/>
  <c r="N21" i="3" s="1"/>
  <c r="I5" i="3"/>
  <c r="N5" i="3" s="1"/>
  <c r="I8" i="3"/>
  <c r="N8" i="3" s="1"/>
  <c r="I16" i="3"/>
  <c r="N16" i="3" s="1"/>
  <c r="M5" i="2" l="1"/>
  <c r="O5" i="2" s="1"/>
  <c r="H5" i="2"/>
  <c r="M23" i="3"/>
  <c r="O23" i="3" s="1"/>
  <c r="H23" i="3"/>
  <c r="M11" i="2"/>
  <c r="O11" i="2" s="1"/>
  <c r="H11" i="2"/>
  <c r="M9" i="3"/>
  <c r="O9" i="3" s="1"/>
  <c r="H9" i="3"/>
  <c r="H17" i="3"/>
  <c r="M17" i="3"/>
  <c r="O17" i="3" s="1"/>
  <c r="M7" i="2"/>
  <c r="O7" i="2" s="1"/>
  <c r="H7" i="2"/>
  <c r="H10" i="3"/>
  <c r="M10" i="3"/>
  <c r="O10" i="3" s="1"/>
  <c r="M4" i="2"/>
  <c r="O4" i="2" s="1"/>
  <c r="H4" i="2"/>
  <c r="M12" i="2"/>
  <c r="O12" i="2" s="1"/>
  <c r="H12" i="2"/>
  <c r="M6" i="3"/>
  <c r="O6" i="3" s="1"/>
  <c r="H6" i="3"/>
  <c r="M9" i="2"/>
  <c r="O9" i="2" s="1"/>
  <c r="H9" i="2"/>
  <c r="M15" i="3"/>
  <c r="O15" i="3" s="1"/>
  <c r="H15" i="3"/>
  <c r="H14" i="3"/>
  <c r="M14" i="3"/>
  <c r="O14" i="3" s="1"/>
  <c r="M8" i="2"/>
  <c r="O8" i="2" s="1"/>
  <c r="H8" i="2"/>
  <c r="M6" i="2"/>
  <c r="O6" i="2" s="1"/>
  <c r="H6" i="2"/>
  <c r="M21" i="3"/>
  <c r="O21" i="3" s="1"/>
  <c r="H21" i="3"/>
  <c r="H5" i="3"/>
  <c r="M5" i="3"/>
  <c r="O5" i="3" s="1"/>
  <c r="H8" i="3"/>
  <c r="M8" i="3"/>
  <c r="O8" i="3" s="1"/>
  <c r="H16" i="3"/>
  <c r="M16" i="3"/>
  <c r="O16" i="3" s="1"/>
</calcChain>
</file>

<file path=xl/sharedStrings.xml><?xml version="1.0" encoding="utf-8"?>
<sst xmlns="http://schemas.openxmlformats.org/spreadsheetml/2006/main" count="5986" uniqueCount="1812">
  <si>
    <t>unit_id</t>
  </si>
  <si>
    <t>region_name</t>
  </si>
  <si>
    <t>region_type</t>
  </si>
  <si>
    <t>year</t>
  </si>
  <si>
    <t>taxon</t>
  </si>
  <si>
    <t>common_name</t>
  </si>
  <si>
    <t>functional_group</t>
  </si>
  <si>
    <t>commercial_group</t>
  </si>
  <si>
    <t>catch_tonnes</t>
  </si>
  <si>
    <t>landings_tonnes</t>
  </si>
  <si>
    <t>discards_tonnes</t>
  </si>
  <si>
    <t>reported_tonnes</t>
  </si>
  <si>
    <t>unreported_tonnes</t>
  </si>
  <si>
    <t>taxon_key</t>
  </si>
  <si>
    <t>tl</t>
  </si>
  <si>
    <t>match_method</t>
  </si>
  <si>
    <t>tl_source</t>
  </si>
  <si>
    <t>match_confidence</t>
  </si>
  <si>
    <t>reference_taxon</t>
  </si>
  <si>
    <t>sppr</t>
  </si>
  <si>
    <t>ppr</t>
  </si>
  <si>
    <t>EwE_Mohamed_2009_ArabianSeaOffKarnataka</t>
  </si>
  <si>
    <t>EwE_Mohamed_2009_ArabianSeaOffKarnataka_explanation</t>
  </si>
  <si>
    <t>LME_032</t>
  </si>
  <si>
    <t>Arabian Sea</t>
  </si>
  <si>
    <t>LME</t>
  </si>
  <si>
    <t>Sardinella longiceps</t>
  </si>
  <si>
    <t>Indian oil sardine</t>
  </si>
  <si>
    <t>Small pelagics (&lt;30 cm)</t>
  </si>
  <si>
    <t>Herring-likes</t>
  </si>
  <si>
    <t>sardinella longiceps</t>
  </si>
  <si>
    <t>exact_2020_supplement</t>
  </si>
  <si>
    <t>2020 supplement MeanTL</t>
  </si>
  <si>
    <t>high</t>
  </si>
  <si>
    <t>Clupeids</t>
  </si>
  <si>
    <t>Indian oil sardine; "oil sardine" is Table 1's explicit named example for Clupeids.</t>
  </si>
  <si>
    <t>Marine fishes not identified</t>
  </si>
  <si>
    <t>Marine fishes nei</t>
  </si>
  <si>
    <t>Medium demersals (30 - 89 cm)</t>
  </si>
  <si>
    <t>Other fishes &amp; inverts</t>
  </si>
  <si>
    <t>marine fishes not identified</t>
  </si>
  <si>
    <t>exact_sea_around_us</t>
  </si>
  <si>
    <t>Sea Around Us exploited organisms</t>
  </si>
  <si>
    <t>Unresolved</t>
  </si>
  <si>
    <t>Fully unresolved aggregate catch category with no taxonomic resolution; spans essentially the whole model's fish-guild structure.</t>
  </si>
  <si>
    <t>Rastrelliger kanagurta</t>
  </si>
  <si>
    <t>Indian mackerel</t>
  </si>
  <si>
    <t>Medium pelagics (30 - 89 cm)</t>
  </si>
  <si>
    <t>Perch-likes</t>
  </si>
  <si>
    <t>rastrelliger kanagurta</t>
  </si>
  <si>
    <t>Mackerel</t>
  </si>
  <si>
    <t>Indian mackerel; exact species named as the model's Mackerel group definition (Rastrelliger kanagurta).</t>
  </si>
  <si>
    <t>Katsuwonus pelamis</t>
  </si>
  <si>
    <t>Skipjack tuna</t>
  </si>
  <si>
    <t>Large pelagics (&gt;=90 cm)</t>
  </si>
  <si>
    <t>Tuna &amp; billfishes</t>
  </si>
  <si>
    <t>katsuwonus pelamis</t>
  </si>
  <si>
    <t>Tunas</t>
  </si>
  <si>
    <t>Skipjack tuna; tribe Thunnini, the same tight monophyletic tribe as Table 1's explicit genera Euthynnus, Thunnus and Auxis - an unambiguous true-tuna fit despite the genus itself not being separately named.</t>
  </si>
  <si>
    <t>Thunnus albacares</t>
  </si>
  <si>
    <t>Yellowfin tuna</t>
  </si>
  <si>
    <t>thunnus albacares</t>
  </si>
  <si>
    <t>Yellowfin tuna; exact genus (Thunnus) explicitly named in Table 1's Tunas definition.</t>
  </si>
  <si>
    <t>Decapoda</t>
  </si>
  <si>
    <t>Crabs, lobsters, shrimps</t>
  </si>
  <si>
    <t>Lobsters, crabs</t>
  </si>
  <si>
    <t>Crustaceans</t>
  </si>
  <si>
    <t>decapoda</t>
  </si>
  <si>
    <t>Aggregate decapod order (SAU common name "Crabs, lobsters, shrimps") spanning both the Crabs &amp; Lobster and Shrimps groups with no way to disaggregate.</t>
  </si>
  <si>
    <t>Nemipteridae</t>
  </si>
  <si>
    <t>Threadfins, whiptail breams</t>
  </si>
  <si>
    <t>Small demersals (&lt;30 cm)</t>
  </si>
  <si>
    <t>nemipteridae</t>
  </si>
  <si>
    <t>Small Benthic Carnivores</t>
  </si>
  <si>
    <t>Threadfin bream family; Nemipteridae (threadfin bream/monocle bream family) - "threadfin breams" is Table 1's explicit example for Small Benthic Carnivores.</t>
  </si>
  <si>
    <t>Clupeiformes</t>
  </si>
  <si>
    <t>Herrings, shads, anchovies</t>
  </si>
  <si>
    <t>clupeiformes</t>
  </si>
  <si>
    <t>Order spans both Clupeidae (Clupeids group) and Engraulidae (Anchovies group), the model's two herring/anchovy groups, with no way to disaggregate.</t>
  </si>
  <si>
    <t>Penaeidae</t>
  </si>
  <si>
    <t>Commercial shrimps and prawns</t>
  </si>
  <si>
    <t>Shrimps</t>
  </si>
  <si>
    <t>penaeidae</t>
  </si>
  <si>
    <t>Penaeid shrimp family; all of Table 1's explicit example genera (Metapenaeus, Parapenaeopsis, Trachypenaeus, Aristeus) belong to this family.</t>
  </si>
  <si>
    <t>Carangidae</t>
  </si>
  <si>
    <t>Jacks, pompanos</t>
  </si>
  <si>
    <t>carangidae</t>
  </si>
  <si>
    <t>Small Benthopelagics</t>
  </si>
  <si>
    <t>Jack/carangid family; "carangids" is Table 1's explicit example for Small Benthopelagics (used here for the unidentified/generic family entry; large predatory genera in this family are placed individually with Large Benthic Carnivores where their size and ecology diverge - see explanations for Caranx, Carangoides, Seriola etc.).</t>
  </si>
  <si>
    <t>Sciaenidae</t>
  </si>
  <si>
    <t>Drums, croakers</t>
  </si>
  <si>
    <t>sciaenidae</t>
  </si>
  <si>
    <t>Med Benthic Carnivores</t>
  </si>
  <si>
    <t>Drum/croaker family; "sciaenids" is Table 1's explicit example for Med Benthic Carnivores.</t>
  </si>
  <si>
    <t>Perciformes</t>
  </si>
  <si>
    <t>perciformes</t>
  </si>
  <si>
    <t>Perciformes is an enormous order spanning the large majority of this model's demersal and many pelagic groups (Large/Med/Small Benthic Carnivores, Small Benthopelagics, Large Pelagics and more); too broad to place in any single group.</t>
  </si>
  <si>
    <t>Clupeidae</t>
  </si>
  <si>
    <t>Herrings, sardines, menhadens</t>
  </si>
  <si>
    <t>clupeidae</t>
  </si>
  <si>
    <t>Herring/sardine/shad family; this family itself is the taxonomic definition of the model's Clupeids group.</t>
  </si>
  <si>
    <t>Harpadon nehereus</t>
  </si>
  <si>
    <t>Bombay-duck</t>
  </si>
  <si>
    <t>Medium benthopelagics (30 - 89 cm)</t>
  </si>
  <si>
    <t>harpadon nehereus</t>
  </si>
  <si>
    <t>Large Benthic Carnivores</t>
  </si>
  <si>
    <t>Bombay-duck (Harpadontidae); Aulopiformes, closely allied to the lizardfish family Synodontidae (Table 1's explicit "lizardfishes" example) though not itself in that family - same demersal ambush-predator ecology and TL (4.2 vs group 4.14).</t>
  </si>
  <si>
    <t>Scomberomorus commerson</t>
  </si>
  <si>
    <t>Narrow-barred Spanish mackerel</t>
  </si>
  <si>
    <t>scomberomorus commerson</t>
  </si>
  <si>
    <t>Large Pelagics</t>
  </si>
  <si>
    <t>Narrow-barred Spanish mackerel/seer; exact genus (Scomberomorus = "seers, kingfish") explicitly named in Table 1's Large Pelagics definition.</t>
  </si>
  <si>
    <t>Decapterus</t>
  </si>
  <si>
    <t>Scads</t>
  </si>
  <si>
    <t>decapterus</t>
  </si>
  <si>
    <t>Scad (genus); "scads" is Table 1's explicit example for Small Benthopelagics.</t>
  </si>
  <si>
    <t>Teuthida</t>
  </si>
  <si>
    <t>Squids</t>
  </si>
  <si>
    <t>Cephalopods</t>
  </si>
  <si>
    <t>teuthida</t>
  </si>
  <si>
    <t>Squid order; Cephalopods is the model's only cephalopod-type group, so every cephalopod taxon is an unambiguous fit regardless of exact rank.</t>
  </si>
  <si>
    <t>Bivalvia</t>
  </si>
  <si>
    <t>Clams</t>
  </si>
  <si>
    <t>Other demersal invertebrates</t>
  </si>
  <si>
    <t>Molluscs</t>
  </si>
  <si>
    <t>bivalvia</t>
  </si>
  <si>
    <t>Heterotrophic Benthos</t>
  </si>
  <si>
    <t>Bivalve class; "bivalves" is Table 1's explicit example for Heterotrophic Benthos.</t>
  </si>
  <si>
    <t>Sepiidae</t>
  </si>
  <si>
    <t>Cuttlefishes</t>
  </si>
  <si>
    <t>sepiidae</t>
  </si>
  <si>
    <t>Cuttlefish family; Cephalopods is the model's only cephalopod-type group, so every cephalopod taxon is an unambiguous fit regardless of exact rank.</t>
  </si>
  <si>
    <t>Trichiurus lepturus</t>
  </si>
  <si>
    <t>Largehead hairtail</t>
  </si>
  <si>
    <t>Large benthopelagics (&gt;=90 cm)</t>
  </si>
  <si>
    <t>trichiurus lepturus</t>
  </si>
  <si>
    <t>Large Benthopelagics</t>
  </si>
  <si>
    <t>Largehead hairtail; "ribbonfish" is Table 1's explicit example for Large Benthopelagics, and hairtails/cutlassfishes are the ribbonfish family Trichiuridae.</t>
  </si>
  <si>
    <t>Synodontidae</t>
  </si>
  <si>
    <t>Lizardfishes, sauries</t>
  </si>
  <si>
    <t>synodontidae</t>
  </si>
  <si>
    <t>Lizardfish family; "lizardfishes" is Table 1's explicit example for Large Benthic Carnivores.</t>
  </si>
  <si>
    <t>Marine pelagic fishes not identified</t>
  </si>
  <si>
    <t>Pelagic fishes</t>
  </si>
  <si>
    <t>marine pelagic fishes not identified</t>
  </si>
  <si>
    <t>Aggregate pelagic-fish catch category spanning multiple model groups (Mackerel, Clupeids, Anchovies, Large Pelagics, Tunas, Large/Small Benthopelagics) with no way to disaggregate.</t>
  </si>
  <si>
    <t>Carcharhinidae</t>
  </si>
  <si>
    <t>Requiem sharks</t>
  </si>
  <si>
    <t>Large sharks (&gt;=90 cm)</t>
  </si>
  <si>
    <t>Sharks &amp; rays</t>
  </si>
  <si>
    <t>carcharhinidae</t>
  </si>
  <si>
    <t>Sharks</t>
  </si>
  <si>
    <t>Requiem shark family; genus Carcharhinus is Table 1's explicit example for the Sharks group, and Carcharhinidae is the family covering all true requiem sharks.</t>
  </si>
  <si>
    <t>Serranidae</t>
  </si>
  <si>
    <t>Basses, groupers, hinds</t>
  </si>
  <si>
    <t>Medium reef assoc. fish (30 - 89 cm)</t>
  </si>
  <si>
    <t>serranidae</t>
  </si>
  <si>
    <t>Grouper/seabass family; Serranidae (grouper/rockcod family) - "rock cods" is Table 1's explicit example for Large Benthic Carnivores.</t>
  </si>
  <si>
    <t>Siluriformes</t>
  </si>
  <si>
    <t>Catfishes</t>
  </si>
  <si>
    <t>siluriformes</t>
  </si>
  <si>
    <t>Catfish order; "catfish" is Table 1's explicit example for Large Benthopelagics.</t>
  </si>
  <si>
    <t>Scomberoides commersonnianus</t>
  </si>
  <si>
    <t>Talang queenfish</t>
  </si>
  <si>
    <t>Large reef assoc. fish (&gt;=90 cm)</t>
  </si>
  <si>
    <t>scomberoides commersonnianus</t>
  </si>
  <si>
    <t>Talang queenfish; exact genus (Scomberoides = "queenfish") explicitly named in Table 1's Large Benthopelagics definition.</t>
  </si>
  <si>
    <t>Stolephorus</t>
  </si>
  <si>
    <t>Garment anchovies</t>
  </si>
  <si>
    <t>Anchovies</t>
  </si>
  <si>
    <t>stolephorus</t>
  </si>
  <si>
    <t>Genus explicitly named in Table 1's Anchovies definition (Stolephorus spp, Bregmaceros mcclellandi).</t>
  </si>
  <si>
    <t>Elasmobranchii</t>
  </si>
  <si>
    <t>Sharks, rays, skates</t>
  </si>
  <si>
    <t>elasmobranchii</t>
  </si>
  <si>
    <t>Aggregate subclass spanning both true sharks and batoids; this model splits the two into separate groups (Sharks vs Skates &amp; Rays) with no further information to disambiguate this catch category.</t>
  </si>
  <si>
    <t>Soleidae</t>
  </si>
  <si>
    <t>Soles</t>
  </si>
  <si>
    <t>Small to medium flatfishes (&lt;90 cm)</t>
  </si>
  <si>
    <t>Flatfishes</t>
  </si>
  <si>
    <t>soleidae</t>
  </si>
  <si>
    <t>Benthic Omnivores</t>
  </si>
  <si>
    <t>Sole family; "soles" is Table 1's explicit example for Benthic Omnivores.</t>
  </si>
  <si>
    <t>Sphyraena</t>
  </si>
  <si>
    <t>Barracudas, sennets</t>
  </si>
  <si>
    <t>sphyraena</t>
  </si>
  <si>
    <t>Barracuda genus explicitly named in Table 1's Large Pelagics definition ("seers, kingfish and barracudas").</t>
  </si>
  <si>
    <t>Netuma thalassina</t>
  </si>
  <si>
    <t>Giant catfish</t>
  </si>
  <si>
    <t>Large demersals (&gt;=90 cm)</t>
  </si>
  <si>
    <t>netuma thalassina</t>
  </si>
  <si>
    <t>Giant catfish; Ariidae, the "catfish" family explicitly named for Large Benthopelagics.</t>
  </si>
  <si>
    <t>Ariidae</t>
  </si>
  <si>
    <t>Sea catfishes, coblers</t>
  </si>
  <si>
    <t>ariidae</t>
  </si>
  <si>
    <t>Sea catfish family; "catfish" is Table 1's explicit example for Large Benthopelagics.</t>
  </si>
  <si>
    <t>Thryssa</t>
  </si>
  <si>
    <t>Thryssas</t>
  </si>
  <si>
    <t>thryssa</t>
  </si>
  <si>
    <t>Thryssa (genus); Table 1 explicitly names "Thryssa" under Clupeids (group 13), not under Anchovies (group 14, which names only Stolephorus and Bregmaceros mcclellandi) - an explicit, paper-stated exception to the usual Engraulidae=anchovy grouping, followed here as printed.</t>
  </si>
  <si>
    <t>Coryphaena hippurus</t>
  </si>
  <si>
    <t>Common dolphinfish</t>
  </si>
  <si>
    <t>coryphaena hippurus</t>
  </si>
  <si>
    <t>Common dolphinfish; not one of Table 1's named examples, but ecologically a fast, large epipelagic piscivore matching this apex-predator group's diet (feeds on Mackerel/Clupeids/Anchovies groups per the diet matrix) and TL band (4.37-4.49 vs group TL 4.18).</t>
  </si>
  <si>
    <t>Thunnus tonggol</t>
  </si>
  <si>
    <t>Longtail tuna</t>
  </si>
  <si>
    <t>thunnus tonggol</t>
  </si>
  <si>
    <t>Longtail tuna; exact genus (Thunnus) explicitly named in Table 1's Tunas definition.</t>
  </si>
  <si>
    <t>Engraulidae</t>
  </si>
  <si>
    <t>Anchovies, round herrings</t>
  </si>
  <si>
    <t>engraulidae</t>
  </si>
  <si>
    <t>Anchovy family; "anchovies" is literally the group's name, and the family is the taxonomic core of the group (the single explicit exception is Thryssa, which Table 1 places under Clupeids instead - see that taxon's entry).</t>
  </si>
  <si>
    <t>Sphyraena barracuda</t>
  </si>
  <si>
    <t>Great barracuda</t>
  </si>
  <si>
    <t>sphyraena barracuda</t>
  </si>
  <si>
    <t>Great barracuda; exact genus (Sphyraena = "barracudas") explicitly named in Table 1's Large Pelagics definition.</t>
  </si>
  <si>
    <t>Scombridae</t>
  </si>
  <si>
    <t>Mackerels, tunas, bonitos</t>
  </si>
  <si>
    <t>scombridae</t>
  </si>
  <si>
    <t>Family spans at least three distinct model groups via its constituent genera (Rastrelliger-&gt;Mackerel, Scomberomorus-&gt;Large Pelagics, Thunnus/Euthynnus/Auxis/Katsuwonus-&gt;Tunas); an unidentified Scombridae catch cannot be disaggregated.</t>
  </si>
  <si>
    <t>Lethrinus nebulosus</t>
  </si>
  <si>
    <t>Spangled emperor</t>
  </si>
  <si>
    <t>lethrinus nebulosus</t>
  </si>
  <si>
    <t>Spangled emperor; Lethrinidae (emperor family), a demersal durophagous/piscivorous carnivore guild not named in Table 1 but ecologically parallel to the snapper/grouper apex reef-predator guild of Large Benthic Carnivores (mean TL ~3.7, group TL 4.14).</t>
  </si>
  <si>
    <t>Parastromateus niger</t>
  </si>
  <si>
    <t>Black pomfret</t>
  </si>
  <si>
    <t>parastromateus niger</t>
  </si>
  <si>
    <t>Black pomfret; Carangidae, a schooling planktivorous/omnivorous carangid (TL 2.93) ecologically closer to the small schooling "carangid" guild of Small Benthopelagics than to the apex predatory trevallies placed with Large Benthic Carnivores, despite the misleading common name "pomfret".</t>
  </si>
  <si>
    <t>Scomberomorus guttatus</t>
  </si>
  <si>
    <t>Indo-Pacific king mackerel</t>
  </si>
  <si>
    <t>scomberomorus guttatus</t>
  </si>
  <si>
    <t>Indo-Pacific king mackerel; exact genus (Scomberomorus = "seers, kingfish") explicitly named in Table 1's Large Pelagics definition.</t>
  </si>
  <si>
    <t>Alopias superciliosus</t>
  </si>
  <si>
    <t>Bigeye thresher</t>
  </si>
  <si>
    <t>alopias superciliosus</t>
  </si>
  <si>
    <t>Bigeye thresher; Lamniformes true shark. This model splits sharks from batoids cleanly (group 2 vs group 3), and any true-shark genus not a batoid is an unambiguous fit to Sharks even where the exact genus is not one of Table 1's named examples (Rhizoprionodon, Carcharhinus, Scoliodon, Sphyrna).</t>
  </si>
  <si>
    <t>Isurus oxyrinchus</t>
  </si>
  <si>
    <t>Shortfin mako</t>
  </si>
  <si>
    <t>isurus oxyrinchus</t>
  </si>
  <si>
    <t>Shortfin mako; Lamnidae true shark (mackerel shark family), unambiguous fit to the model's single Sharks group under the clean shark/batoid split.</t>
  </si>
  <si>
    <t>Mugilidae</t>
  </si>
  <si>
    <t>Mullets, grey mullets</t>
  </si>
  <si>
    <t>mugilidae</t>
  </si>
  <si>
    <t>Mullet family; mullets (Mugilidae) are benthic detritivore/omnivore grazers, not named in Table 1 but ecologically and trophically (TL 2.14-2.63) closest to the low-TL Benthic Omnivores guild (group TL 2.55).</t>
  </si>
  <si>
    <t>Thunnus obesus</t>
  </si>
  <si>
    <t>Bigeye tuna</t>
  </si>
  <si>
    <t>thunnus obesus</t>
  </si>
  <si>
    <t>Bigeye tuna; exact genus (Thunnus) explicitly named in Table 1's Tunas definition.</t>
  </si>
  <si>
    <t>Penaeus semisulcatus</t>
  </si>
  <si>
    <t>Green tiger prawn</t>
  </si>
  <si>
    <t>penaeus semisulcatus</t>
  </si>
  <si>
    <t>Green tiger prawn; Penaeidae, the family containing all of Table 1's named Shrimps genera.</t>
  </si>
  <si>
    <t>Caranx ignobilis</t>
  </si>
  <si>
    <t>Giant trevally</t>
  </si>
  <si>
    <t>caranx ignobilis</t>
  </si>
  <si>
    <t>Giant trevally; Carangidae, but a large apex predatory reef jack/trevally (TL 3.8-4.5) rather than the small schooling "scad" niche Table 1 names for Carangidae under Small Benthopelagics - placed instead with the demersal apex-predator guild (Large Benthic Carnivores) by size, diet and TL.</t>
  </si>
  <si>
    <t>Euthynnus affinis</t>
  </si>
  <si>
    <t>Kawakawa</t>
  </si>
  <si>
    <t>euthynnus affinis</t>
  </si>
  <si>
    <t>Kawakawa; exact genus (Euthynnus) explicitly named in Table 1's Tunas definition.</t>
  </si>
  <si>
    <t>Chirocentrus</t>
  </si>
  <si>
    <t>Wolf herrings</t>
  </si>
  <si>
    <t>chirocentrus</t>
  </si>
  <si>
    <t>Wolf herring genus explicitly named in Table 1's Large Benthopelagics definition.</t>
  </si>
  <si>
    <t>Rachycentron canadum</t>
  </si>
  <si>
    <t>Cobia</t>
  </si>
  <si>
    <t>rachycentron canadum</t>
  </si>
  <si>
    <t>Cobia; large solitary pelagic/benthopelagic piscivore, not one of Table 1's named examples but ecologically closest to the Large Pelagics apex-predator guild (TL 3.96 vs group TL 4.18).</t>
  </si>
  <si>
    <t>Lethrinidae</t>
  </si>
  <si>
    <t>Emperors, scavengers</t>
  </si>
  <si>
    <t>lethrinidae</t>
  </si>
  <si>
    <t>Emperor family; Lethrinidae (emperor family), a demersal durophagous/piscivorous carnivore guild not named in Table 1 but ecologically parallel to the snapper/grouper apex reef-predator guild of Large Benthic Carnivores (mean TL ~3.7, group TL 4.14).</t>
  </si>
  <si>
    <t>Sepia</t>
  </si>
  <si>
    <t>Sepia cuttlefishes</t>
  </si>
  <si>
    <t>sepia</t>
  </si>
  <si>
    <t>Cuttlefish (genus); Cephalopods is the model's only cephalopod-type group, so every cephalopod taxon is an unambiguous fit regardless of exact rank.</t>
  </si>
  <si>
    <t>Otolithes ruber</t>
  </si>
  <si>
    <t>Tigertooth croaker</t>
  </si>
  <si>
    <t>otolithes ruber</t>
  </si>
  <si>
    <t>Tigertooth croaker; "sciaenids" is Table 1's explicit example for Med Benthic Carnivores.</t>
  </si>
  <si>
    <t>Auxis thazard</t>
  </si>
  <si>
    <t>Frigate tuna</t>
  </si>
  <si>
    <t>auxis thazard</t>
  </si>
  <si>
    <t>Frigate tuna; exact genus (Auxis) explicitly named in Table 1's Tunas definition.</t>
  </si>
  <si>
    <t>Epinephelus</t>
  </si>
  <si>
    <t>Seabasses, hinds</t>
  </si>
  <si>
    <t>epinephelus</t>
  </si>
  <si>
    <t>Grouper (genus); Serranidae (grouper/rockcod family) - "rock cods" is Table 1's explicit example for Large Benthic Carnivores.</t>
  </si>
  <si>
    <t>Nemipterus japonicus</t>
  </si>
  <si>
    <t>Japanese threadfin bream</t>
  </si>
  <si>
    <t>nemipterus japonicus</t>
  </si>
  <si>
    <t>Japanese threadfin bream; Nemipteridae (threadfin bream/monocle bream family) - "threadfin breams" is Table 1's explicit example for Small Benthic Carnivores.</t>
  </si>
  <si>
    <t>Rhizostomeae</t>
  </si>
  <si>
    <t>Oral arm jellyfishes</t>
  </si>
  <si>
    <t>Jellyfish</t>
  </si>
  <si>
    <t>rhizostomeae</t>
  </si>
  <si>
    <t>Micro Nekton</t>
  </si>
  <si>
    <t>Jellyfish order; "jellyfish" is Table 1's explicit example for Micro-nekton.</t>
  </si>
  <si>
    <t>Pampus</t>
  </si>
  <si>
    <t>Silver pomfrets</t>
  </si>
  <si>
    <t>pampus</t>
  </si>
  <si>
    <t>Pomfret (genus); "pomfrets" (Stromateidae, genus Pampus) is Table 1's explicit example for Med Benthic Carnivores.</t>
  </si>
  <si>
    <t>Sardinella sindensis</t>
  </si>
  <si>
    <t>Sind sardinella</t>
  </si>
  <si>
    <t>sardinella sindensis</t>
  </si>
  <si>
    <t>Sind sardinella; "lesser sardines" (Sardinella spp) is Table 1's explicit example for Clupeids.</t>
  </si>
  <si>
    <t>Sparidae</t>
  </si>
  <si>
    <t>Porgies, seabreams</t>
  </si>
  <si>
    <t>sparidae</t>
  </si>
  <si>
    <t>Seabream family; Sparidae, a benthic durophagous-invertivore guild not named in Table 1, placed with Med Benthic Carnivores by TL match (~3.3-3.5 vs group TL 3.19).</t>
  </si>
  <si>
    <t>Leiognathidae</t>
  </si>
  <si>
    <t>Slipmouths, ponyfishes</t>
  </si>
  <si>
    <t>Small benthopelagics (&lt;30 cm)</t>
  </si>
  <si>
    <t>leiognathidae</t>
  </si>
  <si>
    <t>Ponyfish family; small schooling benthopelagic zooplanktivore, ecologically close to the scad/moonfish guild of Small Benthopelagics (TL ~2.95-3.5 vs group TL 3.88); family not itself named in Table 1.</t>
  </si>
  <si>
    <t>Mullidae</t>
  </si>
  <si>
    <t>Goatfishes</t>
  </si>
  <si>
    <t>mullidae</t>
  </si>
  <si>
    <t>Goatfish family; "goatfishes" (Mullidae) is Table 1's explicit example for Small Benthic Carnivores.</t>
  </si>
  <si>
    <t>Portunus pelagicus</t>
  </si>
  <si>
    <t>Blue swimming crab</t>
  </si>
  <si>
    <t>portunus pelagicus</t>
  </si>
  <si>
    <t>Crabs &amp; Lobster</t>
  </si>
  <si>
    <t>Blue swimming crab; exact genus (Portunus) explicitly named in Table 1's Crabs and lobsters definition.</t>
  </si>
  <si>
    <t>Epinephelus coioides</t>
  </si>
  <si>
    <t>Orange-spotted grouper</t>
  </si>
  <si>
    <t>epinephelus coioides</t>
  </si>
  <si>
    <t>Orange-spotted grouper; Serranidae (grouper/rockcod family) - "rock cods" is Table 1's explicit example for Large Benthic Carnivores.</t>
  </si>
  <si>
    <t>Siganidae</t>
  </si>
  <si>
    <t>Rabbitfishes</t>
  </si>
  <si>
    <t>siganidae</t>
  </si>
  <si>
    <t>Rabbitfish family; rabbitfish (Siganidae) are herbivorous reef grazers (TL ~2.0-2.76), not named in Table 1 but ecologically closest to the low-TL grazer/omnivore guild of Benthic Omnivores (group TL 2.55).</t>
  </si>
  <si>
    <t>Batoidea</t>
  </si>
  <si>
    <t>Batoids, skates, rays, sawfishes</t>
  </si>
  <si>
    <t>Large rays (&gt;=90 cm)</t>
  </si>
  <si>
    <t>batoidea</t>
  </si>
  <si>
    <t>Skates &amp; Rays</t>
  </si>
  <si>
    <t>Batoidea (skates/rays/sawfishes) is exactly the taxonomic scope of the model's Skates &amp; Rays group.</t>
  </si>
  <si>
    <t>Nematalosa nasus</t>
  </si>
  <si>
    <t>Bloch's gizzard shad</t>
  </si>
  <si>
    <t>nematalosa nasus</t>
  </si>
  <si>
    <t>Bloch's gizzard shad; Clupeidae, the family that itself defines the Clupeids group.</t>
  </si>
  <si>
    <t>Istiophorus platypterus</t>
  </si>
  <si>
    <t>Indo-Pacific sailfish</t>
  </si>
  <si>
    <t>istiophorus platypterus</t>
  </si>
  <si>
    <t>Indo-Pacific sailfish; Table 1 names no billfish group and lists no billfish genus under either Large Pelagics or Tunas, so placement is by ecology - a fast apex epipelagic predator matching the Large Pelagics guild's diet/TL profile (group TL 4.18) rather than the tuna tribe Thunnini.</t>
  </si>
  <si>
    <t>Pomadasys kaakan</t>
  </si>
  <si>
    <t>Javelin grunter</t>
  </si>
  <si>
    <t>pomadasys kaakan</t>
  </si>
  <si>
    <t>Javelin grunter; Haemulidae (grunt/sweetlips family), a demersal benthic-invertivore guild not named in Table 1, placed with Med Benthic Carnivores by ecology and TL (~3.3-4.0 vs group TL 3.19).</t>
  </si>
  <si>
    <t>Lutjanus johnii</t>
  </si>
  <si>
    <t>John's snapper</t>
  </si>
  <si>
    <t>lutjanus johnii</t>
  </si>
  <si>
    <t>John's snapper; Lutjanidae (snapper/jobfish family) - "jobfish" and "red snappers" are Table 1's explicit examples for Large Benthic Carnivores.</t>
  </si>
  <si>
    <t>Scomberoides</t>
  </si>
  <si>
    <t>Queenfishes</t>
  </si>
  <si>
    <t>scomberoides</t>
  </si>
  <si>
    <t>Queenfish genus explicitly named in Table 1's Large Benthopelagics definition.</t>
  </si>
  <si>
    <t>Scomberoides lysan</t>
  </si>
  <si>
    <t>Doublespotted queenfish</t>
  </si>
  <si>
    <t>scomberoides lysan</t>
  </si>
  <si>
    <t>Doublespotted queenfish; exact genus (Scomberoides = "queenfish") explicitly named in Table 1's Large Benthopelagics definition.</t>
  </si>
  <si>
    <t>Anodontostoma chacunda</t>
  </si>
  <si>
    <t>Chacunda gizzard shad</t>
  </si>
  <si>
    <t>anodontostoma chacunda</t>
  </si>
  <si>
    <t>Chacunda gizzard shad; Clupeidae, the family that itself defines the Clupeids group.</t>
  </si>
  <si>
    <t>Pteriomorphia</t>
  </si>
  <si>
    <t>Clams, cockles, arkshells</t>
  </si>
  <si>
    <t>pteriomorphia</t>
  </si>
  <si>
    <t>Bivalve subclass (clams/cockles/arkshells); "bivalves" is Table 1's explicit example for Heterotrophic Benthos.</t>
  </si>
  <si>
    <t>Sardinella gibbosa</t>
  </si>
  <si>
    <t>Goldstripe sardinella</t>
  </si>
  <si>
    <t>sardinella gibbosa</t>
  </si>
  <si>
    <t>Goldstripe sardinella; "lesser sardines" (Sardinella spp) is Table 1's explicit example for Clupeids.</t>
  </si>
  <si>
    <t>Saurida tumbil</t>
  </si>
  <si>
    <t>Greater lizardfish</t>
  </si>
  <si>
    <t>saurida tumbil</t>
  </si>
  <si>
    <t>Greater lizardfish; "lizardfishes" is Table 1's explicit example for Large Benthic Carnivores.</t>
  </si>
  <si>
    <t>Auxis</t>
  </si>
  <si>
    <t>Bullet and frigate tunas</t>
  </si>
  <si>
    <t>auxis</t>
  </si>
  <si>
    <t>Genus explicitly named in Table 1's Tunas definition (Euthynnus, Thunnus, Auxis spp).</t>
  </si>
  <si>
    <t>Portunidae</t>
  </si>
  <si>
    <t>Swimming crabs</t>
  </si>
  <si>
    <t>portunidae</t>
  </si>
  <si>
    <t>Swimming crab family; Portunus and Charybdis, Table 1's explicit example genera for Crabs and lobsters, both belong to this family.</t>
  </si>
  <si>
    <t>Platycaranx chrysophrys</t>
  </si>
  <si>
    <t>Longnose trevally</t>
  </si>
  <si>
    <t>platycaranx chrysophrys</t>
  </si>
  <si>
    <t>Longnose trevally; Carangidae, but a large apex predatory reef jack/trevally (TL 3.8-4.5) rather than the small schooling "scad" niche Table 1 names for Carangidae under Small Benthopelagics - placed instead with the demersal apex-predator guild (Large Benthic Carnivores) by size, diet and TL.</t>
  </si>
  <si>
    <t>Monacanthidae</t>
  </si>
  <si>
    <t>Filefishes</t>
  </si>
  <si>
    <t>monacanthidae</t>
  </si>
  <si>
    <t>Filefish family; a close taxonomic relative of Balistidae (order Tetraodontiformes, Table 1's explicit "balistids") with similar benthic-invertivore ecology (TL 3.0 vs group 3.19), though not itself the named family.</t>
  </si>
  <si>
    <t>Psettodes erumei</t>
  </si>
  <si>
    <t>Indian halibut</t>
  </si>
  <si>
    <t>psettodes erumei</t>
  </si>
  <si>
    <t>Indian halibut (Psettodidae); a large predatory flatfish grouped with the "flounders" example by taxonomic order (Pleuronectiformes) even though its TL (4.39) runs well above the group's 3.19, since it is not Soleidae (the "soles" that map to Benthic Omnivores).</t>
  </si>
  <si>
    <t>Dussumieria acuta</t>
  </si>
  <si>
    <t>Rainbow sardine</t>
  </si>
  <si>
    <t>dussumieria acuta</t>
  </si>
  <si>
    <t>Rainbow sardine; exact common-name match to Table 1's explicit "rainbow sardines" example for Clupeids.</t>
  </si>
  <si>
    <t>Sardinella albella</t>
  </si>
  <si>
    <t>White sardinella</t>
  </si>
  <si>
    <t>Small reef assoc. fish (&lt;30 cm)</t>
  </si>
  <si>
    <t>sardinella albella</t>
  </si>
  <si>
    <t>White sardinella; matches Table 1's explicit "white sardine" example for Clupeids by common name and genus (Sardinella).</t>
  </si>
  <si>
    <t>Sepia pharaonis</t>
  </si>
  <si>
    <t>Pharaoh cuttlefish</t>
  </si>
  <si>
    <t>sepia pharaonis</t>
  </si>
  <si>
    <t>Pharaoh cuttlefish; Cephalopods is the model's only cephalopod-type group, so every cephalopod taxon is an unambiguous fit regardless of exact rank.</t>
  </si>
  <si>
    <t>Lactarius lactarius</t>
  </si>
  <si>
    <t>False trevally</t>
  </si>
  <si>
    <t>lactarius lactarius</t>
  </si>
  <si>
    <t>False trevally (Lactariidae); a medium-large pelagic/benthopelagic piscivore not named in Table 1, placed by ecology and TL (3.97 vs group 4.15).</t>
  </si>
  <si>
    <t>Chirocentrus nudus</t>
  </si>
  <si>
    <t>Whitefin wolf-herring</t>
  </si>
  <si>
    <t>chirocentrus nudus</t>
  </si>
  <si>
    <t>Whitefin wolf-herring; exact genus (Chirocentrus = "wolf herring") explicitly named in Table 1's Large Benthopelagics definition.</t>
  </si>
  <si>
    <t>Acanthopagrus bifasciatus</t>
  </si>
  <si>
    <t>Twobar seabream</t>
  </si>
  <si>
    <t>acanthopagrus bifasciatus</t>
  </si>
  <si>
    <t>Twobar seabream; Sparidae, a benthic durophagous-invertivore guild not named in Table 1, placed with Med Benthic Carnivores by TL match (~3.3-3.5 vs group TL 3.19).</t>
  </si>
  <si>
    <t>Lutjanus</t>
  </si>
  <si>
    <t>Snappers</t>
  </si>
  <si>
    <t>lutjanus</t>
  </si>
  <si>
    <t>Snapper (genus); Lutjanidae (snapper/jobfish family) - "jobfish" and "red snappers" are Table 1's explicit examples for Large Benthic Carnivores.</t>
  </si>
  <si>
    <t>Pampus argenteus</t>
  </si>
  <si>
    <t>Silver pomfret</t>
  </si>
  <si>
    <t>pampus argenteus</t>
  </si>
  <si>
    <t>Silver pomfret; "pomfrets" (Stromateidae, genus Pampus) is Table 1's explicit example for Med Benthic Carnivores.</t>
  </si>
  <si>
    <t>Tenualosa ilisha</t>
  </si>
  <si>
    <t>Hilsa shad</t>
  </si>
  <si>
    <t>tenualosa ilisha</t>
  </si>
  <si>
    <t>Hilsa shad; Clupeidae, the family that itself defines the Clupeids group.</t>
  </si>
  <si>
    <t>Lethrinus</t>
  </si>
  <si>
    <t>Emperors</t>
  </si>
  <si>
    <t>lethrinus</t>
  </si>
  <si>
    <t>Emperor (genus); Lethrinidae (emperor family), a demersal durophagous/piscivorous carnivore guild not named in Table 1 but ecologically parallel to the snapper/grouper apex reef-predator guild of Large Benthic Carnivores (mean TL ~3.7, group TL 4.14).</t>
  </si>
  <si>
    <t>Myliobatidae</t>
  </si>
  <si>
    <t>Eagle/manta rays</t>
  </si>
  <si>
    <t>myliobatidae</t>
  </si>
  <si>
    <t>Eagle/manta ray family (batoid); any ray/skate family besides the shark side of the split is an unambiguous fit to Skates &amp; Rays.</t>
  </si>
  <si>
    <t>Lutjanidae</t>
  </si>
  <si>
    <t>lutjanidae</t>
  </si>
  <si>
    <t>Snapper family; Lutjanidae (snapper/jobfish family) - "jobfish" and "red snappers" are Table 1's explicit examples for Large Benthic Carnivores.</t>
  </si>
  <si>
    <t>Haemulidae</t>
  </si>
  <si>
    <t>Grunts, sweetlips, bonnetmouths</t>
  </si>
  <si>
    <t>haemulidae</t>
  </si>
  <si>
    <t>Grunt/sweetlips family; Haemulidae (grunt/sweetlips family), a demersal benthic-invertivore guild not named in Table 1, placed with Med Benthic Carnivores by ecology and TL (~3.3-4.0 vs group TL 3.19).</t>
  </si>
  <si>
    <t>Polynemidae</t>
  </si>
  <si>
    <t>Threadfins</t>
  </si>
  <si>
    <t>polynemidae</t>
  </si>
  <si>
    <t>Threadfin family; unidentified-species entry with TL 3.62, closest to Med Benthic Carnivores (group TL 3.19) among named groups; the family's large-bodied members (Eleutheronema tetradactylum, Leptomelanosoma indicum) are placed separately with Large Benthic Carnivores by their larger size/TL - family not itself named in Table 1.</t>
  </si>
  <si>
    <t>Catostylus perezi</t>
  </si>
  <si>
    <t>Banana jellyfish</t>
  </si>
  <si>
    <t>catostylus perezi</t>
  </si>
  <si>
    <t>Banana jellyfish; "jellyfish" is Table 1's explicit example for Micro-nekton.</t>
  </si>
  <si>
    <t>Anguilliformes</t>
  </si>
  <si>
    <t>Eels, morays</t>
  </si>
  <si>
    <t>anguilliformes</t>
  </si>
  <si>
    <t>Eel/moray order; large benthic ambush-predator eel, not named in Table 1 but ecologically and trophically (TL ~3.9-4.4) closest to the demersal apex-predator guild of Large Benthic Carnivores.</t>
  </si>
  <si>
    <t>Octopus</t>
  </si>
  <si>
    <t>Octopuses, pikas</t>
  </si>
  <si>
    <t>octopus</t>
  </si>
  <si>
    <t>Octopus (genus); Cephalopods is the model's only cephalopod-type group, so every cephalopod taxon is an unambiguous fit regardless of exact rank.</t>
  </si>
  <si>
    <t>Lutjanus malabaricus</t>
  </si>
  <si>
    <t>Malabar blood snapper</t>
  </si>
  <si>
    <t>lutjanus malabaricus</t>
  </si>
  <si>
    <t>Malabar blood snapper; Lutjanidae (snapper/jobfish family) - "jobfish" and "red snappers" are Table 1's explicit examples for Large Benthic Carnivores.</t>
  </si>
  <si>
    <t>Pomadasys stridens</t>
  </si>
  <si>
    <t>Striped piggy</t>
  </si>
  <si>
    <t>pomadasys stridens</t>
  </si>
  <si>
    <t>Striped piggy; Haemulidae (grunt/sweetlips family), a demersal benthic-invertivore guild not named in Table 1, placed with Med Benthic Carnivores by ecology and TL (~3.3-4.0 vs group TL 3.19).</t>
  </si>
  <si>
    <t>Istiompax indica</t>
  </si>
  <si>
    <t>Black marlin</t>
  </si>
  <si>
    <t>istiompax indica</t>
  </si>
  <si>
    <t>Black marlin; Table 1 names no billfish group and lists no billfish genus under either Large Pelagics or Tunas, so placement is by ecology - a fast apex epipelagic predator matching the Large Pelagics guild's diet/TL profile (group TL 4.18) rather than the tuna tribe Thunnini.</t>
  </si>
  <si>
    <t>Trichiuridae</t>
  </si>
  <si>
    <t>Cutlassfishes</t>
  </si>
  <si>
    <t>trichiuridae</t>
  </si>
  <si>
    <t>Cutlassfish/hairtail ("ribbonfish") family, explicit Table 1 example for Large Benthopelagics.</t>
  </si>
  <si>
    <t>Mytilidae</t>
  </si>
  <si>
    <t>Sea mussels</t>
  </si>
  <si>
    <t>mytilidae</t>
  </si>
  <si>
    <t>Mussel family; "bivalves" is Table 1's explicit example for Heterotrophic Benthos.</t>
  </si>
  <si>
    <t>Megalaspis cordyla</t>
  </si>
  <si>
    <t>Torpedo scad</t>
  </si>
  <si>
    <t>megalaspis cordyla</t>
  </si>
  <si>
    <t>Torpedo scad; "scads" is Table 1's explicit example for Small Benthopelagics.</t>
  </si>
  <si>
    <t>Argyrops spinifer</t>
  </si>
  <si>
    <t>King soldier bream</t>
  </si>
  <si>
    <t>argyrops spinifer</t>
  </si>
  <si>
    <t>King soldier bream; Sparidae, but its TL (4.49) sits far closer to the apex demersal-predator guild of Large Benthic Carnivores (group TL 4.14) than to the rest of this workbook's lower-TL Sparidae, which cluster with Med Benthic Carnivores (group TL 3.19).</t>
  </si>
  <si>
    <t>Siganus</t>
  </si>
  <si>
    <t>Spinefoots</t>
  </si>
  <si>
    <t>siganus</t>
  </si>
  <si>
    <t>Rabbitfish (genus); rabbitfish (Siganidae) are herbivorous reef grazers (TL ~2.0-2.76), not named in Table 1 but ecologically closest to the low-TL grazer/omnivore guild of Benthic Omnivores (group TL 2.55).</t>
  </si>
  <si>
    <t>Lutjanus argentimaculatus</t>
  </si>
  <si>
    <t>Mangrove red snapper</t>
  </si>
  <si>
    <t>lutjanus argentimaculatus</t>
  </si>
  <si>
    <t>Mangrove red snapper; Lutjanidae (snapper/jobfish family) - "jobfish" and "red snappers" are Table 1's explicit examples for Large Benthic Carnivores.</t>
  </si>
  <si>
    <t>Platycephalus indicus</t>
  </si>
  <si>
    <t>Bartail flathead</t>
  </si>
  <si>
    <t>Scorpionfishes</t>
  </si>
  <si>
    <t>platycephalus indicus</t>
  </si>
  <si>
    <t>Bartail flathead; "flatheads" is Table 1's explicit example for Med Benthic Carnivores.</t>
  </si>
  <si>
    <t>Caranx</t>
  </si>
  <si>
    <t>Jacks</t>
  </si>
  <si>
    <t>caranx</t>
  </si>
  <si>
    <t>Jack (genus); Carangidae, but a large apex predatory reef jack/trevally (TL 3.8-4.5) rather than the small schooling "scad" niche Table 1 names for Carangidae under Small Benthopelagics - placed instead with the demersal apex-predator guild (Large Benthic Carnivores) by size, diet and TL.</t>
  </si>
  <si>
    <t>Siganus canaliculatus</t>
  </si>
  <si>
    <t>White-spotted spinefoot</t>
  </si>
  <si>
    <t>siganus canaliculatus</t>
  </si>
  <si>
    <t>White-spotted spinefoot; rabbitfish (Siganidae) are herbivorous reef grazers (TL ~2.0-2.76), not named in Table 1 but ecologically closest to the low-TL grazer/omnivore guild of Benthic Omnivores (group TL 2.55).</t>
  </si>
  <si>
    <t>Loliginidae</t>
  </si>
  <si>
    <t>Common pencil squids</t>
  </si>
  <si>
    <t>loliginidae</t>
  </si>
  <si>
    <t>Squid family; Cephalopods is the model's only cephalopod-type group, so every cephalopod taxon is an unambiguous fit regardless of exact rank.</t>
  </si>
  <si>
    <t>Dendrobranchiata</t>
  </si>
  <si>
    <t>Shrimps and prawns</t>
  </si>
  <si>
    <t>dendrobranchiata</t>
  </si>
  <si>
    <t>Suborder containing all penaeid shrimp; Shrimps is the model's only shrimp-type group, so this is an unambiguous fit.</t>
  </si>
  <si>
    <t>Bramidae</t>
  </si>
  <si>
    <t>Pomfrets</t>
  </si>
  <si>
    <t>bramidae</t>
  </si>
  <si>
    <t>Pomfret (Bramidae) family; not Table 1's Stromateidae "pomfrets" (which map to Med Benthic Carnivores) but a distinct, oceanic mid-water predatory family - placed here by TL match (group TL 4.15) and offshore benthopelagic habit rather than by the shared common name.</t>
  </si>
  <si>
    <t>Muraenesox cinereus</t>
  </si>
  <si>
    <t>Daggertooth pike conger</t>
  </si>
  <si>
    <t>muraenesox cinereus</t>
  </si>
  <si>
    <t>Daggertooth pike conger; large benthic ambush-predator eel, not named in Table 1 but ecologically and trophically (TL ~3.9-4.4) closest to the demersal apex-predator guild of Large Benthic Carnivores.</t>
  </si>
  <si>
    <t>Lethrinus lentjan</t>
  </si>
  <si>
    <t>Pink ear emperor</t>
  </si>
  <si>
    <t>lethrinus lentjan</t>
  </si>
  <si>
    <t>Pink ear emperor; Lethrinidae (emperor family), a demersal durophagous/piscivorous carnivore guild not named in Table 1 but ecologically parallel to the snapper/grouper apex reef-predator guild of Large Benthic Carnivores (mean TL ~3.7, group TL 4.14).</t>
  </si>
  <si>
    <t>Chirocentrus dorab</t>
  </si>
  <si>
    <t>Dorab wolf-herring</t>
  </si>
  <si>
    <t>chirocentrus dorab</t>
  </si>
  <si>
    <t>Dorab wolf-herring; exact genus (Chirocentrus = "wolf herring") explicitly named in Table 1's Large Benthopelagics definition.</t>
  </si>
  <si>
    <t>Congresox talabonoides</t>
  </si>
  <si>
    <t>Indian pike conger</t>
  </si>
  <si>
    <t>congresox talabonoides</t>
  </si>
  <si>
    <t>Indian pike conger; large benthic ambush-predator eel, not named in Table 1 but ecologically and trophically (TL ~3.9-4.4) closest to the demersal apex-predator guild of Large Benthic Carnivores.</t>
  </si>
  <si>
    <t>Sphyraenidae</t>
  </si>
  <si>
    <t>Barracudas</t>
  </si>
  <si>
    <t>sphyraenidae</t>
  </si>
  <si>
    <t>Barracuda family; Sphyraena is Table 1's explicit example genus for Large Pelagics.</t>
  </si>
  <si>
    <t>Chondrichthyes</t>
  </si>
  <si>
    <t>Sharks, rays, chimaeras</t>
  </si>
  <si>
    <t>chondrichthyes</t>
  </si>
  <si>
    <t>Aggregate class spanning sharks, batoids, and chimaeras; the model splits sharks from rays into separate groups, so an unidentified chondrichthyan catch category cannot be assigned to either without further resolution.</t>
  </si>
  <si>
    <t>Hemiramphus</t>
  </si>
  <si>
    <t>Halfbeaks</t>
  </si>
  <si>
    <t>hemiramphus</t>
  </si>
  <si>
    <t>Halfbeak (genus); small surface-dwelling schooling fish, ecologically closest to the small pelagic/benthopelagic schooling-fish guild of Small Benthopelagics though not named in Table 1 (TL 2.82-3.25 vs group 3.88).</t>
  </si>
  <si>
    <t>Pomadasys</t>
  </si>
  <si>
    <t>Grunters</t>
  </si>
  <si>
    <t>pomadasys</t>
  </si>
  <si>
    <t>Grunter (genus); Haemulidae (grunt/sweetlips family), a demersal benthic-invertivore guild not named in Table 1, placed with Med Benthic Carnivores by ecology and TL (~3.3-4.0 vs group TL 3.19).</t>
  </si>
  <si>
    <t>Pampus chinensis</t>
  </si>
  <si>
    <t>Chinese silver pomfret</t>
  </si>
  <si>
    <t>pampus chinensis</t>
  </si>
  <si>
    <t>Chinese silver pomfret; "pomfrets" (Stromateidae, genus Pampus) is Table 1's explicit example for Med Benthic Carnivores.</t>
  </si>
  <si>
    <t>Rhabdosargus haffara</t>
  </si>
  <si>
    <t>Haffara seabream</t>
  </si>
  <si>
    <t>rhabdosargus haffara</t>
  </si>
  <si>
    <t>Haffara seabream; Sparidae, a benthic durophagous-invertivore guild not named in Table 1, placed with Med Benthic Carnivores by TL match (~3.3-3.5 vs group TL 3.19).</t>
  </si>
  <si>
    <t>Istiophoridae</t>
  </si>
  <si>
    <t>Billfishes</t>
  </si>
  <si>
    <t>istiophoridae</t>
  </si>
  <si>
    <t>Billfish family; Table 1 names no billfish group and lists no billfish genus under either Large Pelagics or Tunas, so placement is by ecology - a fast apex epipelagic predator matching the Large Pelagics guild's diet/TL profile (group TL 4.18) rather than the tuna tribe Thunnini.</t>
  </si>
  <si>
    <t>Saurida</t>
  </si>
  <si>
    <t>Lizardfishes</t>
  </si>
  <si>
    <t>saurida</t>
  </si>
  <si>
    <t>Lizardfish (genus); "lizardfishes" is Table 1's explicit example for Large Benthic Carnivores.</t>
  </si>
  <si>
    <t>Mugil cephalus</t>
  </si>
  <si>
    <t>Flathead grey mullet</t>
  </si>
  <si>
    <t>mugil cephalus</t>
  </si>
  <si>
    <t>Flathead grey mullet; mullets (Mugilidae) are benthic detritivore/omnivore grazers, not named in Table 1 but ecologically and trophically (TL 2.14-2.63) closest to the low-TL Benthic Omnivores guild (group TL 2.55).</t>
  </si>
  <si>
    <t>Epinephelus malabaricus</t>
  </si>
  <si>
    <t>Malabar grouper</t>
  </si>
  <si>
    <t>epinephelus malabaricus</t>
  </si>
  <si>
    <t>Malabar grouper; Serranidae (grouper/rockcod family) - "rock cods" is Table 1's explicit example for Large Benthic Carnivores.</t>
  </si>
  <si>
    <t>Cnidaria</t>
  </si>
  <si>
    <t>Cnidarians, coelenterates</t>
  </si>
  <si>
    <t>cnidaria</t>
  </si>
  <si>
    <t>SAU's own functional_group for this row is "Jellyfish" (matching the other Scyphozoa entries), so this catch is treated as pelagic jellyfish; however the phylum Cnidaria technically also covers benthic hydrozoans (which Table 1 assigns to Meiobenthos), so the placement relies on SAU's corroborating classification rather than the phylum name alone.</t>
  </si>
  <si>
    <t>Sillago sihama</t>
  </si>
  <si>
    <t>Silver sillago</t>
  </si>
  <si>
    <t>sillago sihama</t>
  </si>
  <si>
    <t>Silver sillago; small demersal sand-dwelling carnivore, SAU size class "Medium demersals" and TL (~3.25-3.33) closely matching Med Benthic Carnivores (group TL 3.19); family not named in Table 1.</t>
  </si>
  <si>
    <t>Eleutheronema tetradactylum</t>
  </si>
  <si>
    <t>Fourfinger threadfin</t>
  </si>
  <si>
    <t>eleutheronema tetradactylum</t>
  </si>
  <si>
    <t>Fourfinger threadfin; Polynemidae, large-bodied demersal predator (SAU size class "Large demersals", TL 3.86-4.06), closest to the demersal apex-predator guild of Large Benthic Carnivores among named groups; family not itself named in Table 1.</t>
  </si>
  <si>
    <t>Xiphias gladius</t>
  </si>
  <si>
    <t>Swordfish</t>
  </si>
  <si>
    <t>xiphias gladius</t>
  </si>
  <si>
    <t>Swordfish; Table 1 names no billfish group and lists no billfish genus under either Large Pelagics or Tunas, so placement is by ecology - a fast apex epipelagic predator matching the Large Pelagics guild's diet/TL profile (group TL 4.18) rather than the tuna tribe Thunnini.</t>
  </si>
  <si>
    <t>Chanos chanos</t>
  </si>
  <si>
    <t>Milkfish</t>
  </si>
  <si>
    <t>chanos chanos</t>
  </si>
  <si>
    <t>Milkfish; a benthic/planktonic filter-feeding herbivore-omnivore (TL 2.03), not named in Table 1 but ecologically closest to the low-TL Benthic Omnivores guild (group TL 2.55).</t>
  </si>
  <si>
    <t>Flavocaranx bajad</t>
  </si>
  <si>
    <t>Orangespotted trevally</t>
  </si>
  <si>
    <t>flavocaranx bajad</t>
  </si>
  <si>
    <t>Orangespotted trevally; Carangidae, but a large apex predatory reef jack/trevally (TL 3.8-4.5) rather than the small schooling "scad" niche Table 1 names for Carangidae under Small Benthopelagics - placed instead with the demersal apex-predator guild (Large Benthic Carnivores) by size, diet and TL.</t>
  </si>
  <si>
    <t>Scolopsis taeniata</t>
  </si>
  <si>
    <t>Black-streaked monocle bream</t>
  </si>
  <si>
    <t>scolopsis taeniata</t>
  </si>
  <si>
    <t>Black-streaked monocle bream; Nemipteridae (threadfin bream/monocle bream family) - "threadfin breams" is Table 1's explicit example for Small Benthic Carnivores.</t>
  </si>
  <si>
    <t>Palinuridae</t>
  </si>
  <si>
    <t>Spiny lobsters</t>
  </si>
  <si>
    <t>palinuridae</t>
  </si>
  <si>
    <t>Spiny lobster family; Panulirus, Table 1's explicit example genus for Crabs and lobsters, belongs to this family.</t>
  </si>
  <si>
    <t>Upeneus vittatus</t>
  </si>
  <si>
    <t>Yellowstriped goatfish</t>
  </si>
  <si>
    <t>upeneus vittatus</t>
  </si>
  <si>
    <t>Yellowstriped goatfish; "goatfishes" (Mullidae) is Table 1's explicit example for Small Benthic Carnivores.</t>
  </si>
  <si>
    <t>Moolgarda seheli</t>
  </si>
  <si>
    <t>Bluespot mullet</t>
  </si>
  <si>
    <t>moolgarda seheli</t>
  </si>
  <si>
    <t>Bluespot mullet; mullets (Mugilidae) are benthic detritivore/omnivore grazers, not named in Table 1 but ecologically and trophically (TL 2.14-2.63) closest to the low-TL Benthic Omnivores guild (group TL 2.55).</t>
  </si>
  <si>
    <t>Gastropoda</t>
  </si>
  <si>
    <t>Sea snails</t>
  </si>
  <si>
    <t>gastropoda</t>
  </si>
  <si>
    <t>Gastropod class; "gastropods" is Table 1's explicit example for Heterotrophic Benthos.</t>
  </si>
  <si>
    <t>Muraenesocidae</t>
  </si>
  <si>
    <t>Pike congers</t>
  </si>
  <si>
    <t>muraenesocidae</t>
  </si>
  <si>
    <t>Pike conger family; large benthic ambush-predator eel, not named in Table 1 but ecologically and trophically (TL ~3.9-4.4) closest to the demersal apex-predator guild of Large Benthic Carnivores.</t>
  </si>
  <si>
    <t>Gnathanodon speciosus</t>
  </si>
  <si>
    <t>Golden trevally</t>
  </si>
  <si>
    <t>gnathanodon speciosus</t>
  </si>
  <si>
    <t>Golden trevally; Carangidae, but a large apex predatory reef jack/trevally (TL 3.8-4.5) rather than the small schooling "scad" niche Table 1 names for Carangidae under Small Benthopelagics - placed instead with the demersal apex-predator guild (Large Benthic Carnivores) by size, diet and TL.</t>
  </si>
  <si>
    <t>Saccostrea cuccullata</t>
  </si>
  <si>
    <t>Hooded oyster</t>
  </si>
  <si>
    <t>saccostrea cuccullata</t>
  </si>
  <si>
    <t>Hooded oyster; "bivalves" is Table 1's explicit example for Heterotrophic Benthos.</t>
  </si>
  <si>
    <t>Drepane punctata</t>
  </si>
  <si>
    <t>Spotted sicklefish</t>
  </si>
  <si>
    <t>drepane punctata</t>
  </si>
  <si>
    <t>Spotted sicklefish; Ephippidae/Drepaneidae (Ephippoidei), a benthopelagic invertivore/omnivore guild not named in Table 1, placed by TL match (~3.3 vs group TL 3.19).</t>
  </si>
  <si>
    <t>Plectorhinchus</t>
  </si>
  <si>
    <t>Sweetlips</t>
  </si>
  <si>
    <t>plectorhinchus</t>
  </si>
  <si>
    <t>Sweetlips (genus); Haemulidae (grunt/sweetlips family), a demersal benthic-invertivore guild not named in Table 1, placed with Med Benthic Carnivores by ecology and TL (~3.3-4.0 vs group TL 3.19).</t>
  </si>
  <si>
    <t>Sparidentex hasta</t>
  </si>
  <si>
    <t>Sobaity seabream</t>
  </si>
  <si>
    <t>sparidentex hasta</t>
  </si>
  <si>
    <t>Sobaity seabream; Sparidae, a benthic durophagous-invertivore guild not named in Table 1, placed with Med Benthic Carnivores by TL match (~3.3-3.5 vs group TL 3.19).</t>
  </si>
  <si>
    <t>Gerres oyena</t>
  </si>
  <si>
    <t>Common silver-biddy</t>
  </si>
  <si>
    <t>gerres oyena</t>
  </si>
  <si>
    <t>Common silver-biddy; "silverbellies" (Gerreidae) is Table 1's explicit example for Small Benthic Carnivores.</t>
  </si>
  <si>
    <t>Rhinobatidae</t>
  </si>
  <si>
    <t>Guitarfishes, fanrays</t>
  </si>
  <si>
    <t>rhinobatidae</t>
  </si>
  <si>
    <t>Guitarfish family (batoid, order Rhinopristiformes); unambiguous fit to Skates &amp; Rays.</t>
  </si>
  <si>
    <t>Terapon jarbua</t>
  </si>
  <si>
    <t>Jarbua terapon</t>
  </si>
  <si>
    <t>terapon jarbua</t>
  </si>
  <si>
    <t>Jarbua terapon; "terapons" (Terapontidae) is Table 1's explicit example for Small Benthic Carnivores.</t>
  </si>
  <si>
    <t>Cephea</t>
  </si>
  <si>
    <t>Cepheid jellyfishes</t>
  </si>
  <si>
    <t>cephea</t>
  </si>
  <si>
    <t>Jellyfish genus (Rhizostomeae); "jellyfish" is Table 1's explicit example for Micro-nekton.</t>
  </si>
  <si>
    <t>Rhizoprionodon acutus</t>
  </si>
  <si>
    <t>Milk shark</t>
  </si>
  <si>
    <t>rhizoprionodon acutus</t>
  </si>
  <si>
    <t>Milk shark; exact genus (Rhizoprionodon) explicitly named in Table 1's Sharks definition.</t>
  </si>
  <si>
    <t>Upeneus sulphureus</t>
  </si>
  <si>
    <t>Sulphur goatfish</t>
  </si>
  <si>
    <t>upeneus sulphureus</t>
  </si>
  <si>
    <t>Sulphur goatfish; "goatfishes" (Mullidae) is Table 1's explicit example for Small Benthic Carnivores.</t>
  </si>
  <si>
    <t>Carcharhinus melanopterus</t>
  </si>
  <si>
    <t>Blacktip reef shark</t>
  </si>
  <si>
    <t>carcharhinus melanopterus</t>
  </si>
  <si>
    <t>Blacktip reef shark; exact genus (Carcharhinus) explicitly named in Table 1's Sharks definition.</t>
  </si>
  <si>
    <t>Glaucostegus granulatus</t>
  </si>
  <si>
    <t>Granulated guitarfish</t>
  </si>
  <si>
    <t>glaucostegus granulatus</t>
  </si>
  <si>
    <t>Granulated guitarfish (Rhinopristiformes, batoid); same family group as Table 1's explicit genus Rhynchobatus.</t>
  </si>
  <si>
    <t>Leiognathus</t>
  </si>
  <si>
    <t>Ponyfishes</t>
  </si>
  <si>
    <t>leiognathus</t>
  </si>
  <si>
    <t>Ponyfish (genus); small schooling benthopelagic zooplanktivore, ecologically close to the scad/moonfish guild of Small Benthopelagics (TL ~2.95-3.5 vs group TL 3.88); family not itself named in Table 1.</t>
  </si>
  <si>
    <t>Pelates quadrilineatus</t>
  </si>
  <si>
    <t>Fourlined terapon</t>
  </si>
  <si>
    <t>pelates quadrilineatus</t>
  </si>
  <si>
    <t>Fourlined terapon; "terapons" (Terapontidae) is Table 1's explicit example for Small Benthic Carnivores.</t>
  </si>
  <si>
    <t>Scyphozoa</t>
  </si>
  <si>
    <t>True jellyfishes</t>
  </si>
  <si>
    <t>scyphozoa</t>
  </si>
  <si>
    <t>True jellyfish class; "jellyfish" is Table 1's explicit example for Micro-nekton.</t>
  </si>
  <si>
    <t>Photopectoralis bindus</t>
  </si>
  <si>
    <t>Orangefin ponyfish</t>
  </si>
  <si>
    <t>photopectoralis bindus</t>
  </si>
  <si>
    <t>Orangefin ponyfish; small schooling benthopelagic zooplanktivore, ecologically close to the scad/moonfish guild of Small Benthopelagics (TL ~2.95-3.5 vs group TL 3.88); family not itself named in Table 1.</t>
  </si>
  <si>
    <t>Rhabdosargus sarba</t>
  </si>
  <si>
    <t>Goldlined seabream</t>
  </si>
  <si>
    <t>rhabdosargus sarba</t>
  </si>
  <si>
    <t>Goldlined seabream; Sparidae, a benthic durophagous-invertivore guild not named in Table 1, placed with Med Benthic Carnivores by TL match (~3.3-3.5 vs group TL 3.19).</t>
  </si>
  <si>
    <t>Decapterus russelli</t>
  </si>
  <si>
    <t>Indian scad</t>
  </si>
  <si>
    <t>decapterus russelli</t>
  </si>
  <si>
    <t>Indian scad; "scads" is Table 1's explicit example for Small Benthopelagics.</t>
  </si>
  <si>
    <t>Lamnidae</t>
  </si>
  <si>
    <t>Mackerel/white sharks</t>
  </si>
  <si>
    <t>lamnidae</t>
  </si>
  <si>
    <t>Mackerel shark family (makos, white sharks) - true sharks, unambiguous fit under the clean shark/batoid split.</t>
  </si>
  <si>
    <t>Sphyrnidae</t>
  </si>
  <si>
    <t>Hammer, bonnet, scoophead sharks</t>
  </si>
  <si>
    <t>sphyrnidae</t>
  </si>
  <si>
    <t>Hammerhead shark family; Sphyrna is Table 1's explicit example genus for Sharks.</t>
  </si>
  <si>
    <t>Atule mate</t>
  </si>
  <si>
    <t>Yellowtail scad</t>
  </si>
  <si>
    <t>atule mate</t>
  </si>
  <si>
    <t>Yellowtail scad; "scads" is Table 1's explicit example for Small Benthopelagics.</t>
  </si>
  <si>
    <t>Panulirus</t>
  </si>
  <si>
    <t>panulirus</t>
  </si>
  <si>
    <t>Spiny lobster (genus); exact genus (Panulirus) explicitly named in Table 1's Crabs and lobsters definition.</t>
  </si>
  <si>
    <t>Aetobatus narinari</t>
  </si>
  <si>
    <t>Spotted eagle ray</t>
  </si>
  <si>
    <t>aetobatus narinari</t>
  </si>
  <si>
    <t>Spotted eagle ray (Myliobatidae, batoid); unambiguous fit to Skates &amp; Rays.</t>
  </si>
  <si>
    <t>Panulirus polyphagus</t>
  </si>
  <si>
    <t>Mud spiny lobster</t>
  </si>
  <si>
    <t>panulirus polyphagus</t>
  </si>
  <si>
    <t>Mud spiny lobster; exact genus (Panulirus) explicitly named in Table 1's Crabs and lobsters definition.</t>
  </si>
  <si>
    <t>Pristipomoides filamentosus</t>
  </si>
  <si>
    <t>Crimson jobfish</t>
  </si>
  <si>
    <t>pristipomoides filamentosus</t>
  </si>
  <si>
    <t>Crimson jobfish; Lutjanidae (snapper/jobfish family) - "jobfish" and "red snappers" are Table 1's explicit examples for Large Benthic Carnivores.</t>
  </si>
  <si>
    <t>Grammoplites suppositus</t>
  </si>
  <si>
    <t>Spotfin flathead</t>
  </si>
  <si>
    <t>grammoplites suppositus</t>
  </si>
  <si>
    <t>Spotfin flathead; "flatheads" is Table 1's explicit example for Med Benthic Carnivores.</t>
  </si>
  <si>
    <t>Equulites klunzingeri</t>
  </si>
  <si>
    <t>Klunzinger's ponyfish</t>
  </si>
  <si>
    <t>equulites klunzingeri</t>
  </si>
  <si>
    <t>Klunzinger's ponyfish; small schooling benthopelagic zooplanktivore, ecologically close to the scad/moonfish guild of Small Benthopelagics (TL ~2.95-3.5 vs group TL 3.88); family not itself named in Table 1.</t>
  </si>
  <si>
    <t>Carcharhinus falciformis</t>
  </si>
  <si>
    <t>Silky shark</t>
  </si>
  <si>
    <t>carcharhinus falciformis</t>
  </si>
  <si>
    <t>Silky shark; exact genus (Carcharhinus) explicitly named in Table 1's Sharks definition.</t>
  </si>
  <si>
    <t>Alopias vulpinus</t>
  </si>
  <si>
    <t>Thresher</t>
  </si>
  <si>
    <t>alopias vulpinus</t>
  </si>
  <si>
    <t>Thresher; Lamniformes true shark. This model splits sharks from batoids cleanly (group 2 vs group 3), and any true-shark genus not a batoid is an unambiguous fit to Sharks even where the exact genus is not one of Table 1's named examples (Rhizoprionodon, Carcharhinus, Scoliodon, Sphyrna).</t>
  </si>
  <si>
    <t>Brama brama</t>
  </si>
  <si>
    <t>Atlantic pomfret</t>
  </si>
  <si>
    <t>Medium bathypelagics (30 - 89 cm)</t>
  </si>
  <si>
    <t>brama brama</t>
  </si>
  <si>
    <t>Atlantic pomfret; Bramidae oceanic predator, not the Stromateidae "pomfrets" of Med Benthic Carnivores - placed by TL (4.08 vs group 4.15) and offshore habit.</t>
  </si>
  <si>
    <t>Epinephelus polylepis</t>
  </si>
  <si>
    <t>Smallscaled grouper</t>
  </si>
  <si>
    <t>epinephelus polylepis</t>
  </si>
  <si>
    <t>Smallscaled grouper; Serranidae (grouper/rockcod family) - "rock cods" is Table 1's explicit example for Large Benthic Carnivores.</t>
  </si>
  <si>
    <t>Planiliza klunzingeri</t>
  </si>
  <si>
    <t>Klunzinger's mullet</t>
  </si>
  <si>
    <t>planiliza klunzingeri</t>
  </si>
  <si>
    <t>Klunzinger's mullet; mullets (Mugilidae) are benthic detritivore/omnivore grazers, not named in Table 1 but ecologically and trophically (TL 2.14-2.63) closest to the low-TL Benthic Omnivores guild (group TL 2.55).</t>
  </si>
  <si>
    <t>Gerreidae</t>
  </si>
  <si>
    <t>Mojarras, silverbellies</t>
  </si>
  <si>
    <t>gerreidae</t>
  </si>
  <si>
    <t>Mojarra/silverbelly family; "silverbellies" (Gerreidae) is Table 1's explicit example for Small Benthic Carnivores.</t>
  </si>
  <si>
    <t>Epinephelus tauvina</t>
  </si>
  <si>
    <t>Greasy grouper</t>
  </si>
  <si>
    <t>epinephelus tauvina</t>
  </si>
  <si>
    <t>Greasy grouper; Serranidae (grouper/rockcod family) - "rock cods" is Table 1's explicit example for Large Benthic Carnivores.</t>
  </si>
  <si>
    <t>Lates calcarifer</t>
  </si>
  <si>
    <t>Barramundi</t>
  </si>
  <si>
    <t>lates calcarifer</t>
  </si>
  <si>
    <t>Barramundi (Latidae); large apex demersal/estuarine predator, TL 4.35, closest ecological fit to the demersal apex-predator guild of Large Benthic Carnivores though the family is not named in Table 1.</t>
  </si>
  <si>
    <t>Thryssa dussumieri</t>
  </si>
  <si>
    <t>Dussumier's thryssa</t>
  </si>
  <si>
    <t>thryssa dussumieri</t>
  </si>
  <si>
    <t>Dussumier's thryssa; Table 1 explicitly names "Thryssa" under Clupeids (group 13), not under Anchovies (group 14, which names only Stolephorus and Bregmaceros mcclellandi) - an explicit, paper-stated exception to the usual Engraulidae=anchovy grouping, followed here as printed.</t>
  </si>
  <si>
    <t>Selar crumenophthalmus</t>
  </si>
  <si>
    <t>Bigeye scad</t>
  </si>
  <si>
    <t>selar crumenophthalmus</t>
  </si>
  <si>
    <t>Bigeye scad; "scads" is Table 1's explicit example for Small Benthopelagics.</t>
  </si>
  <si>
    <t>Epinephelus areolatus</t>
  </si>
  <si>
    <t>Areolate grouper</t>
  </si>
  <si>
    <t>epinephelus areolatus</t>
  </si>
  <si>
    <t>Areolate grouper; Serranidae (grouper/rockcod family) - "rock cods" is Table 1's explicit example for Large Benthic Carnivores.</t>
  </si>
  <si>
    <t>Caesionidae</t>
  </si>
  <si>
    <t>Fusiliers</t>
  </si>
  <si>
    <t>caesionidae</t>
  </si>
  <si>
    <t>Fusilier family; schooling planktivorous reef fish (Lutjanidae relatives), ecologically closer to the schooling small-benthopelagic zooplanktivore guild than to the demersal-carnivore groups; family not named in Table 1.</t>
  </si>
  <si>
    <t>Acanthocybium solandri</t>
  </si>
  <si>
    <t>Wahoo</t>
  </si>
  <si>
    <t>acanthocybium solandri</t>
  </si>
  <si>
    <t>Wahoo; a fast large epipelagic scombrid predator in tribe Acanthocybiini, distinct from the true tuna tribe Thunnini, so placed with the Large Pelagics apex-predator guild by ecology/TL (4.26 vs group TL 4.18) rather than with Tunas.</t>
  </si>
  <si>
    <t>Leiognathus equula</t>
  </si>
  <si>
    <t>Common ponyfish</t>
  </si>
  <si>
    <t>leiognathus equula</t>
  </si>
  <si>
    <t>Common ponyfish; small schooling benthopelagic zooplanktivore, ecologically close to the scad/moonfish guild of Small Benthopelagics (TL ~2.95-3.5 vs group TL 3.88); family not itself named in Table 1.</t>
  </si>
  <si>
    <t>Metapenaeus affinis</t>
  </si>
  <si>
    <t>Jinga shrimp</t>
  </si>
  <si>
    <t>metapenaeus affinis</t>
  </si>
  <si>
    <t>Jinga shrimp; exact genus (Metapenaeus) explicitly named in Table 1's Shrimps definition.</t>
  </si>
  <si>
    <t>Carcharhinus sorrah</t>
  </si>
  <si>
    <t>Spottail shark</t>
  </si>
  <si>
    <t>carcharhinus sorrah</t>
  </si>
  <si>
    <t>Spottail shark; exact genus (Carcharhinus) explicitly named in Table 1's Sharks definition.</t>
  </si>
  <si>
    <t>Chiloscyllium arabicum</t>
  </si>
  <si>
    <t>Arabian carpetshark</t>
  </si>
  <si>
    <t>Small to medium sharks (&lt;90 cm)</t>
  </si>
  <si>
    <t>chiloscyllium arabicum</t>
  </si>
  <si>
    <t>Arabian carpetshark (Orectolobiformes); a true shark, unambiguous fit under the model's clean shark/batoid split.</t>
  </si>
  <si>
    <t>Himantura uarnak</t>
  </si>
  <si>
    <t>Honeycomb stingray</t>
  </si>
  <si>
    <t>himantura uarnak</t>
  </si>
  <si>
    <t>Honeycomb stingray; Dasyatidae, the same family as Table 1's explicit example genus Dasyatis.</t>
  </si>
  <si>
    <t>Carcharhinus amblyrhynchos</t>
  </si>
  <si>
    <t>Blacktail reef shark</t>
  </si>
  <si>
    <t>carcharhinus amblyrhynchos</t>
  </si>
  <si>
    <t>Blacktail reef shark; exact genus (Carcharhinus) explicitly named in Table 1's Sharks definition.</t>
  </si>
  <si>
    <t>Panulirus homarus</t>
  </si>
  <si>
    <t>Scalloped spiny lobster</t>
  </si>
  <si>
    <t>panulirus homarus</t>
  </si>
  <si>
    <t>Scalloped spiny lobster; exact genus (Panulirus) explicitly named in Table 1's Crabs and lobsters definition.</t>
  </si>
  <si>
    <t>Parapenaeopsis stylifera</t>
  </si>
  <si>
    <t>Kiddi shrimp</t>
  </si>
  <si>
    <t>parapenaeopsis stylifera</t>
  </si>
  <si>
    <t>Kiddi shrimp; exact genus (Parapenaeopsis) explicitly named in Table 1's Shrimps definition.</t>
  </si>
  <si>
    <t>Metapenaeus</t>
  </si>
  <si>
    <t>Indo-Pacific prawns</t>
  </si>
  <si>
    <t>metapenaeus</t>
  </si>
  <si>
    <t>Genus explicitly named in Table 1's Shrimps definition.</t>
  </si>
  <si>
    <t>Argyrosomus japonicus</t>
  </si>
  <si>
    <t>Japanese meagre</t>
  </si>
  <si>
    <t>argyrosomus japonicus</t>
  </si>
  <si>
    <t>Japanese meagre; "sciaenids" is Table 1's explicit example for Med Benthic Carnivores.</t>
  </si>
  <si>
    <t>Alepes</t>
  </si>
  <si>
    <t>Crevalles</t>
  </si>
  <si>
    <t>alepes</t>
  </si>
  <si>
    <t>Lethrinus borbonicus</t>
  </si>
  <si>
    <t>Snubnose emperor</t>
  </si>
  <si>
    <t>lethrinus borbonicus</t>
  </si>
  <si>
    <t>Snubnose emperor; Lethrinidae (emperor family), a demersal durophagous/piscivorous carnivore guild not named in Table 1 but ecologically parallel to the snapper/grouper apex reef-predator guild of Large Benthic Carnivores (mean TL ~3.7, group TL 4.14).</t>
  </si>
  <si>
    <t>Epinephelus diacanthus</t>
  </si>
  <si>
    <t>Spinycheek grouper</t>
  </si>
  <si>
    <t>epinephelus diacanthus</t>
  </si>
  <si>
    <t>Spinycheek grouper; Serranidae (grouper/rockcod family) - "rock cods" is Table 1's explicit example for Large Benthic Carnivores.</t>
  </si>
  <si>
    <t>Sardinella</t>
  </si>
  <si>
    <t>Sardinellas</t>
  </si>
  <si>
    <t>sardinella</t>
  </si>
  <si>
    <t>Sardinella (genus); "lesser sardines" (Sardinella spp) is Table 1's explicit example for Clupeids.</t>
  </si>
  <si>
    <t>Alectis ciliaris</t>
  </si>
  <si>
    <t>African pompano</t>
  </si>
  <si>
    <t>alectis ciliaris</t>
  </si>
  <si>
    <t>African pompano; Carangidae, but a large apex predatory reef jack/trevally (TL 3.8-4.5) rather than the small schooling "scad" niche Table 1 names for Carangidae under Small Benthopelagics - placed instead with the demersal apex-predator guild (Large Benthic Carnivores) by size, diet and TL.</t>
  </si>
  <si>
    <t>Lethrinus olivaceus</t>
  </si>
  <si>
    <t>Longface emperor</t>
  </si>
  <si>
    <t>lethrinus olivaceus</t>
  </si>
  <si>
    <t>Longface emperor; Lethrinidae (emperor family), a demersal durophagous/piscivorous carnivore guild not named in Table 1 but ecologically parallel to the snapper/grouper apex reef-predator guild of Large Benthic Carnivores (mean TL ~3.7, group TL 4.14).</t>
  </si>
  <si>
    <t>Pterotolithus maculatus</t>
  </si>
  <si>
    <t>Blotched tiger-toothed croaker</t>
  </si>
  <si>
    <t>pterotolithus maculatus</t>
  </si>
  <si>
    <t>Blotched tiger-toothed croaker; "sciaenids" is Table 1's explicit example for Med Benthic Carnivores.</t>
  </si>
  <si>
    <t>Pastinachus sephen</t>
  </si>
  <si>
    <t>Cowtail stingray</t>
  </si>
  <si>
    <t>pastinachus sephen</t>
  </si>
  <si>
    <t>Cowtail stingray; Dasyatidae, same family as Table 1's explicit example genus Dasyatis.</t>
  </si>
  <si>
    <t>Aetomylaeus nichofii</t>
  </si>
  <si>
    <t>Banded eagle ray</t>
  </si>
  <si>
    <t>Small to medium rays (&lt;90 cm)</t>
  </si>
  <si>
    <t>aetomylaeus nichofii</t>
  </si>
  <si>
    <t>Banded eagle ray; Myliobatidae eagle ray, unambiguous batoid fit to Skates &amp; Rays.</t>
  </si>
  <si>
    <t>Aetomylaeus maculatus</t>
  </si>
  <si>
    <t>Mottled eagle ray</t>
  </si>
  <si>
    <t>aetomylaeus maculatus</t>
  </si>
  <si>
    <t>Mottled eagle ray; Myliobatidae eagle ray, unambiguous batoid fit to Skates &amp; Rays.</t>
  </si>
  <si>
    <t>Sarda orientalis</t>
  </si>
  <si>
    <t>Striped bonito</t>
  </si>
  <si>
    <t>sarda orientalis</t>
  </si>
  <si>
    <t>Striped bonito; tribe Sardini, the sister tribe to Thunnini within Scombridae, not itself named in Table 1 but ecologically and phylogenetically the closest analogue to the true tunas among the workbook's remaining Scombridae.</t>
  </si>
  <si>
    <t>Isurus paucus</t>
  </si>
  <si>
    <t>Longfin mako</t>
  </si>
  <si>
    <t>isurus paucus</t>
  </si>
  <si>
    <t>Longfin mako; Lamnidae true shark (mackerel shark family), unambiguous fit to the model's single Sharks group under the clean shark/batoid split.</t>
  </si>
  <si>
    <t>Rhynchobatus djiddensis</t>
  </si>
  <si>
    <t>Giant guitarfish</t>
  </si>
  <si>
    <t>rhynchobatus djiddensis</t>
  </si>
  <si>
    <t>Giant guitarfish; exact genus (Rhynchobatus) explicitly named in Table 1's Skates and Rays definition.</t>
  </si>
  <si>
    <t>Platycaranx malabaricus</t>
  </si>
  <si>
    <t>Malabar trevally</t>
  </si>
  <si>
    <t>platycaranx malabaricus</t>
  </si>
  <si>
    <t>Malabar trevally; Carangidae, but a large apex predatory reef jack/trevally (TL 3.8-4.5) rather than the small schooling "scad" niche Table 1 names for Carangidae under Small Benthopelagics - placed instead with the demersal apex-predator guild (Large Benthic Carnivores) by size, diet and TL.</t>
  </si>
  <si>
    <t>Pomacanthus maculosus</t>
  </si>
  <si>
    <t>Yellowbar angelfish</t>
  </si>
  <si>
    <t>pomacanthus maculosus</t>
  </si>
  <si>
    <t>Yellowbar angelfish; angelfish (Pomacanthidae) are sponge/algae-grazing reef omnivores (TL 2.67-2.86), not named in Table 1 but ecologically closest to the low-TL Benthic Omnivores guild (group TL 2.55).</t>
  </si>
  <si>
    <t>Carcharhinus dussumieri</t>
  </si>
  <si>
    <t>Whitecheek shark</t>
  </si>
  <si>
    <t>carcharhinus dussumieri</t>
  </si>
  <si>
    <t>Whitecheek shark; exact genus (Carcharhinus) explicitly named in Table 1's Sharks definition.</t>
  </si>
  <si>
    <t>Alopias pelagicus</t>
  </si>
  <si>
    <t>Pelagic thresher</t>
  </si>
  <si>
    <t>alopias pelagicus</t>
  </si>
  <si>
    <t>Pelagic thresher; Lamniformes true shark. This model splits sharks from batoids cleanly (group 2 vs group 3), and any true-shark genus not a batoid is an unambiguous fit to Sharks even where the exact genus is not one of Table 1's named examples (Rhizoprionodon, Carcharhinus, Scoliodon, Sphyrna).</t>
  </si>
  <si>
    <t>Solenidae</t>
  </si>
  <si>
    <t>Razor, knife clams</t>
  </si>
  <si>
    <t>solenidae</t>
  </si>
  <si>
    <t>Razor clam family; "bivalves" is Table 1's explicit example for Heterotrophic Benthos.</t>
  </si>
  <si>
    <t>Tetraodontidae</t>
  </si>
  <si>
    <t>Puffers, tobies</t>
  </si>
  <si>
    <t>tetraodontidae</t>
  </si>
  <si>
    <t>Puffer family; "tetradon" is Table 1's explicit example for Small Benthic Carnivores.</t>
  </si>
  <si>
    <t>Coryphaena</t>
  </si>
  <si>
    <t>Dolphinfishes</t>
  </si>
  <si>
    <t>coryphaena</t>
  </si>
  <si>
    <t>Dolphinfishes (genus); not one of Table 1's named examples, but ecologically a fast, large epipelagic piscivore matching this apex-predator group's diet (feeds on Mackerel/Clupeids/Anchovies groups per the diet matrix) and TL band (4.37-4.49 vs group TL 4.18).</t>
  </si>
  <si>
    <t>Epinephelus chlorostigma</t>
  </si>
  <si>
    <t>Brownspotted grouper</t>
  </si>
  <si>
    <t>epinephelus chlorostigma</t>
  </si>
  <si>
    <t>Brownspotted grouper; Serranidae (grouper/rockcod family) - "rock cods" is Table 1's explicit example for Large Benthic Carnivores.</t>
  </si>
  <si>
    <t>Acanthopagrus berda</t>
  </si>
  <si>
    <t>Goldsilk seabream</t>
  </si>
  <si>
    <t>acanthopagrus berda</t>
  </si>
  <si>
    <t>Goldsilk seabream; Sparidae, a benthic durophagous-invertivore guild not named in Table 1, placed with Med Benthic Carnivores by TL match (~3.3-3.5 vs group TL 3.19).</t>
  </si>
  <si>
    <t>Scaridae</t>
  </si>
  <si>
    <t>Parrotfishes</t>
  </si>
  <si>
    <t>scaridae</t>
  </si>
  <si>
    <t>Parrotfish family; parrotfish (Scaridae) are herbivorous reef grazers (TL ~2.0-2.67), not named in Table 1 but ecologically closest to the low-TL grazer/omnivore guild of Benthic Omnivores (group TL 2.55).</t>
  </si>
  <si>
    <t>Thunnus alalunga</t>
  </si>
  <si>
    <t>Albacore</t>
  </si>
  <si>
    <t>thunnus alalunga</t>
  </si>
  <si>
    <t>Albacore; exact genus (Thunnus) explicitly named in Table 1's Tunas definition.</t>
  </si>
  <si>
    <t>Scarus persicus</t>
  </si>
  <si>
    <t>Gulf parrotfish</t>
  </si>
  <si>
    <t>scarus persicus</t>
  </si>
  <si>
    <t>Gulf parrotfish; parrotfish (Scaridae) are herbivorous reef grazers (TL ~2.0-2.67), not named in Table 1 but ecologically closest to the low-TL grazer/omnivore guild of Benthic Omnivores (group TL 2.55).</t>
  </si>
  <si>
    <t>Cephalopoda</t>
  </si>
  <si>
    <t>Squids, cuttlefishes, octopuses</t>
  </si>
  <si>
    <t>cephalopoda</t>
  </si>
  <si>
    <t>Cephalopod class; Cephalopods is the model's only cephalopod-type group, so every cephalopod taxon is an unambiguous fit regardless of exact rank.</t>
  </si>
  <si>
    <t>Sphyraena obtusata</t>
  </si>
  <si>
    <t>Obtuse barracuda</t>
  </si>
  <si>
    <t>sphyraena obtusata</t>
  </si>
  <si>
    <t>Obtuse barracuda; exact genus (Sphyraena = "barracudas") explicitly named in Table 1's Large Pelagics definition.</t>
  </si>
  <si>
    <t>Ariomma indica</t>
  </si>
  <si>
    <t>Indian driftfish</t>
  </si>
  <si>
    <t>ariomma indica</t>
  </si>
  <si>
    <t>Indian driftfish (Ariommatidae); SAU size class "Small benthopelagics" and TL 3.63, ecologically consistent with the Small Benthopelagics guild though the family is not named in Table 1.</t>
  </si>
  <si>
    <t>Sphyraena jello</t>
  </si>
  <si>
    <t>Pickhandle barracuda</t>
  </si>
  <si>
    <t>sphyraena jello</t>
  </si>
  <si>
    <t>Pickhandle barracuda; exact genus (Sphyraena = "barracudas") explicitly named in Table 1's Large Pelagics definition.</t>
  </si>
  <si>
    <t>Epinephelus multinotatus</t>
  </si>
  <si>
    <t>White-blotched grouper</t>
  </si>
  <si>
    <t>epinephelus multinotatus</t>
  </si>
  <si>
    <t>White-blotched grouper; Serranidae (grouper/rockcod family) - "rock cods" is Table 1's explicit example for Large Benthic Carnivores.</t>
  </si>
  <si>
    <t>Protonibea diacanthus</t>
  </si>
  <si>
    <t>Blackspotted croaker</t>
  </si>
  <si>
    <t>protonibea diacanthus</t>
  </si>
  <si>
    <t>Blackspotted croaker; "sciaenids" is Table 1's explicit example for Med Benthic Carnivores.</t>
  </si>
  <si>
    <t>Caranx sexfasciatus</t>
  </si>
  <si>
    <t>Bigeye trevally</t>
  </si>
  <si>
    <t>caranx sexfasciatus</t>
  </si>
  <si>
    <t>Bigeye trevally; Carangidae, but a large apex predatory reef jack/trevally (TL 3.8-4.5) rather than the small schooling "scad" niche Table 1 names for Carangidae under Small Benthopelagics - placed instead with the demersal apex-predator guild (Large Benthic Carnivores) by size, diet and TL.</t>
  </si>
  <si>
    <t>Aprion virescens</t>
  </si>
  <si>
    <t>Green jobfish</t>
  </si>
  <si>
    <t>aprion virescens</t>
  </si>
  <si>
    <t>Green jobfish; Lutjanidae (snapper/jobfish family) - "jobfish" and "red snappers" are Table 1's explicit examples for Large Benthic Carnivores.</t>
  </si>
  <si>
    <t>Alepes djedaba</t>
  </si>
  <si>
    <t>Shrimp scad</t>
  </si>
  <si>
    <t>alepes djedaba</t>
  </si>
  <si>
    <t>Shrimp scad; "scads" is Table 1's explicit example for Small Benthopelagics.</t>
  </si>
  <si>
    <t>Triakidae</t>
  </si>
  <si>
    <t>Houndsharks</t>
  </si>
  <si>
    <t>triakidae</t>
  </si>
  <si>
    <t>Houndshark family - true (Carcharhiniform) sharks, unambiguous fit under the clean shark/batoid split even though the family itself is not one of Table 1's named examples.</t>
  </si>
  <si>
    <t>Lethrinus obsoletus</t>
  </si>
  <si>
    <t>Orange-striped emperor</t>
  </si>
  <si>
    <t>lethrinus obsoletus</t>
  </si>
  <si>
    <t>Orange-striped emperor; Lethrinidae (emperor family), a demersal durophagous/piscivorous carnivore guild not named in Table 1 but ecologically parallel to the snapper/grouper apex reef-predator guild of Large Benthic Carnivores (mean TL ~3.7, group TL 4.14).</t>
  </si>
  <si>
    <t>Gobiidae</t>
  </si>
  <si>
    <t>Gobies</t>
  </si>
  <si>
    <t>gobiidae</t>
  </si>
  <si>
    <t>Goby family; small cryptic benthic invertivore, SAU size class "Small reef assoc. fish" and TL 3.11, closest named group is Small Benthic Carnivores (group TL 2.68); family not named in Table 1.</t>
  </si>
  <si>
    <t>Carcharhinus limbatus</t>
  </si>
  <si>
    <t>Blacktip shark</t>
  </si>
  <si>
    <t>carcharhinus limbatus</t>
  </si>
  <si>
    <t>Blacktip shark; exact genus (Carcharhinus) explicitly named in Table 1's Sharks definition.</t>
  </si>
  <si>
    <t>Penaeus monodon</t>
  </si>
  <si>
    <t>Giant tiger prawn</t>
  </si>
  <si>
    <t>penaeus monodon</t>
  </si>
  <si>
    <t>Giant tiger prawn; Penaeidae, the family containing all of Table 1's named Shrimps genera.</t>
  </si>
  <si>
    <t>Pleuronectiformes</t>
  </si>
  <si>
    <t>pleuronectiformes</t>
  </si>
  <si>
    <t>Flatfish order spans both Soleidae ("soles", Benthic Omnivores) and other flatfish families ("flounders", Med Benthic Carnivores) as explicitly split by Table 1; an unidentified flatfish catch cannot be disaggregated between them.</t>
  </si>
  <si>
    <t>Placuna placenta</t>
  </si>
  <si>
    <t>Windowpane oyster</t>
  </si>
  <si>
    <t>placuna placenta</t>
  </si>
  <si>
    <t>Windowpane oyster; "bivalves" is Table 1's explicit example for Heterotrophic Benthos.</t>
  </si>
  <si>
    <t>Leptomelanosoma indicum</t>
  </si>
  <si>
    <t>Indian threadfin</t>
  </si>
  <si>
    <t>leptomelanosoma indicum</t>
  </si>
  <si>
    <t>Indian threadfin; Polynemidae, large-bodied demersal predator (SAU size class "Large demersals", TL 3.86-4.06), closest to the demersal apex-predator guild of Large Benthic Carnivores among named groups; family not itself named in Table 1.</t>
  </si>
  <si>
    <t>Variola louti</t>
  </si>
  <si>
    <t>Yellow-edged lyretail</t>
  </si>
  <si>
    <t>variola louti</t>
  </si>
  <si>
    <t>Yellow-edged lyretail; Serranidae (grouper/rockcod family) - "rock cods" is Table 1's explicit example for Large Benthic Carnivores.</t>
  </si>
  <si>
    <t>Scomberomorus</t>
  </si>
  <si>
    <t>Spanish mackerels</t>
  </si>
  <si>
    <t>scomberomorus</t>
  </si>
  <si>
    <t>Seer/kingfish genus explicitly named in Table 1's Large Pelagics definition.</t>
  </si>
  <si>
    <t>Scomberoides tol</t>
  </si>
  <si>
    <t>Needlescaled queenfish</t>
  </si>
  <si>
    <t>scomberoides tol</t>
  </si>
  <si>
    <t>Needlescaled queenfish; exact genus (Scomberoides = "queenfish") explicitly named in Table 1's Large Benthopelagics definition.</t>
  </si>
  <si>
    <t>Kajikia audax</t>
  </si>
  <si>
    <t>Striped marlin</t>
  </si>
  <si>
    <t>kajikia audax</t>
  </si>
  <si>
    <t>Striped marlin; Table 1 names no billfish group and lists no billfish genus under either Large Pelagics or Tunas, so placement is by ecology - a fast apex epipelagic predator matching the Large Pelagics guild's diet/TL profile (group TL 4.18) rather than the tuna tribe Thunnini.</t>
  </si>
  <si>
    <t>Diagramma pictum</t>
  </si>
  <si>
    <t>Painted sweetlips</t>
  </si>
  <si>
    <t>diagramma pictum</t>
  </si>
  <si>
    <t>Painted sweetlips; Haemulidae (grunt/sweetlips family), a demersal benthic-invertivore guild not named in Table 1, placed with Med Benthic Carnivores by ecology and TL (~3.3-4.0 vs group TL 3.19).</t>
  </si>
  <si>
    <t>Lutjanus bohar</t>
  </si>
  <si>
    <t>Two-spot red snapper</t>
  </si>
  <si>
    <t>lutjanus bohar</t>
  </si>
  <si>
    <t>Two-spot red snapper; Lutjanidae (snapper/jobfish family) - "jobfish" and "red snappers" are Table 1's explicit examples for Large Benthic Carnivores.</t>
  </si>
  <si>
    <t>Terapon</t>
  </si>
  <si>
    <t>Terapons</t>
  </si>
  <si>
    <t>terapon</t>
  </si>
  <si>
    <t>Terapon (genus); "terapons" (Terapontidae) is Table 1's explicit example for Small Benthic Carnivores.</t>
  </si>
  <si>
    <t>Gerres</t>
  </si>
  <si>
    <t>Silver biddies</t>
  </si>
  <si>
    <t>gerres</t>
  </si>
  <si>
    <t>Silver-biddy (genus); "silverbellies" (Gerreidae) is Table 1's explicit example for Small Benthic Carnivores.</t>
  </si>
  <si>
    <t>Bregmaceros mcclellandi</t>
  </si>
  <si>
    <t>Unicorn cod</t>
  </si>
  <si>
    <t>Cod-likes</t>
  </si>
  <si>
    <t>bregmaceros mcclellandi</t>
  </si>
  <si>
    <t>Unicorn cod; exact species explicitly named in Table 1's Anchovies definition.</t>
  </si>
  <si>
    <t>Plectropomus areolatus</t>
  </si>
  <si>
    <t>Squaretail coralgrouper</t>
  </si>
  <si>
    <t>plectropomus areolatus</t>
  </si>
  <si>
    <t>Squaretail coralgrouper; Serranidae (grouper/rockcod family) - "rock cods" is Table 1's explicit example for Large Benthic Carnivores.</t>
  </si>
  <si>
    <t>Acanthurus dussumieri</t>
  </si>
  <si>
    <t>Eyestripe surgeonfish</t>
  </si>
  <si>
    <t>acanthurus dussumieri</t>
  </si>
  <si>
    <t>Eyestripe surgeonfish; surgeonfish (Acanthuridae) are herbivorous reef grazers (TL 2.02-2.28), not named in Table 1 but ecologically closest to the low-TL grazer/omnivore guild of Benthic Omnivores (group TL 2.55).</t>
  </si>
  <si>
    <t>Turrum fulvoguttatum</t>
  </si>
  <si>
    <t>Yellowspotted trevally</t>
  </si>
  <si>
    <t>turrum fulvoguttatum</t>
  </si>
  <si>
    <t>Yellowspotted trevally; Carangidae, but a large apex predatory reef jack/trevally (TL 3.8-4.5) rather than the small schooling "scad" niche Table 1 names for Carangidae under Small Benthopelagics - placed instead with the demersal apex-predator guild (Large Benthic Carnivores) by size, diet and TL.</t>
  </si>
  <si>
    <t>Marine groundfishes not identified</t>
  </si>
  <si>
    <t>Groundfishes</t>
  </si>
  <si>
    <t>marine groundfishes not identified</t>
  </si>
  <si>
    <t>Aggregate demersal/groundfish catch category spanning all three Benthic Carnivore size classes plus Benthic Omnivores with no way to disaggregate.</t>
  </si>
  <si>
    <t>Plectorhinchus gaterinus</t>
  </si>
  <si>
    <t>Blackspotted rubberlip</t>
  </si>
  <si>
    <t>plectorhinchus gaterinus</t>
  </si>
  <si>
    <t>Blackspotted rubberlip; Haemulidae (grunt/sweetlips family), a demersal benthic-invertivore guild not named in Table 1, placed with Med Benthic Carnivores by ecology and TL (~3.3-4.0 vs group TL 3.19).</t>
  </si>
  <si>
    <t>Plectropomus pessuliferus</t>
  </si>
  <si>
    <t>Roving coralgrouper</t>
  </si>
  <si>
    <t>plectropomus pessuliferus</t>
  </si>
  <si>
    <t>Roving coralgrouper; Serranidae (grouper/rockcod family) - "rock cods" is Table 1's explicit example for Large Benthic Carnivores.</t>
  </si>
  <si>
    <t>Lutjanus quinquelineatus</t>
  </si>
  <si>
    <t>Five-lined snapper</t>
  </si>
  <si>
    <t>lutjanus quinquelineatus</t>
  </si>
  <si>
    <t>Five-lined snapper; Lutjanidae (snapper/jobfish family) - "jobfish" and "red snappers" are Table 1's explicit examples for Large Benthic Carnivores.</t>
  </si>
  <si>
    <t>Nemipterus</t>
  </si>
  <si>
    <t>Threadfin breams</t>
  </si>
  <si>
    <t>nemipterus</t>
  </si>
  <si>
    <t>Threadfin bream (genus); Nemipteridae (threadfin bream/monocle bream family) - "threadfin breams" is Table 1's explicit example for Small Benthic Carnivores.</t>
  </si>
  <si>
    <t>Pomadasys argenteus</t>
  </si>
  <si>
    <t>Silver grunt</t>
  </si>
  <si>
    <t>pomadasys argenteus</t>
  </si>
  <si>
    <t>Silver grunt; Haemulidae (grunt/sweetlips family), a demersal benthic-invertivore guild not named in Table 1, placed with Med Benthic Carnivores by ecology and TL (~3.3-4.0 vs group TL 3.19).</t>
  </si>
  <si>
    <t>Sphyrna</t>
  </si>
  <si>
    <t>Hammerhead sharks</t>
  </si>
  <si>
    <t>sphyrna</t>
  </si>
  <si>
    <t>Hammerhead genus explicitly named in Table 1's Sharks group definition (Rhizoprionodon, Carcharhinus, Scoliodon, Sphyrna spp).</t>
  </si>
  <si>
    <t>Lutjanus gibbus</t>
  </si>
  <si>
    <t>Humpback red snapper</t>
  </si>
  <si>
    <t>lutjanus gibbus</t>
  </si>
  <si>
    <t>Humpback red snapper; Lutjanidae (snapper/jobfish family) - "jobfish" and "red snappers" are Table 1's explicit examples for Large Benthic Carnivores.</t>
  </si>
  <si>
    <t>Echinoidea</t>
  </si>
  <si>
    <t>Sea urchins, sea hedgehogs</t>
  </si>
  <si>
    <t>echinoidea</t>
  </si>
  <si>
    <t>Sea urchin class; "echinoderms" is Table 1's explicit example for Heterotrophic Benthos.</t>
  </si>
  <si>
    <t>Xiphiidae</t>
  </si>
  <si>
    <t>Swordfishes</t>
  </si>
  <si>
    <t>xiphiidae</t>
  </si>
  <si>
    <t>Swordfish family; Table 1 names no billfish group and lists no billfish genus under either Large Pelagics or Tunas, so placement is by ecology - a fast apex epipelagic predator matching the Large Pelagics guild's diet/TL profile (group TL 4.18) rather than the tuna tribe Thunnini.</t>
  </si>
  <si>
    <t>Lethrinus microdon</t>
  </si>
  <si>
    <t>Smalltooth emperor</t>
  </si>
  <si>
    <t>lethrinus microdon</t>
  </si>
  <si>
    <t>Smalltooth emperor; Lethrinidae (emperor family), a demersal durophagous/piscivorous carnivore guild not named in Table 1 but ecologically parallel to the snapper/grouper apex reef-predator guild of Large Benthic Carnivores (mean TL ~3.7, group TL 4.14).</t>
  </si>
  <si>
    <t>Plectorhinchus sordidus</t>
  </si>
  <si>
    <t>Sordid rubberlip</t>
  </si>
  <si>
    <t>plectorhinchus sordidus</t>
  </si>
  <si>
    <t>Sordid rubberlip; Haemulidae (grunt/sweetlips family), a demersal benthic-invertivore guild not named in Table 1, placed with Med Benthic Carnivores by ecology and TL (~3.3-4.0 vs group TL 3.19).</t>
  </si>
  <si>
    <t>Etelis</t>
  </si>
  <si>
    <t>Medium bathydemersals (30 - 89 cm)</t>
  </si>
  <si>
    <t>etelis</t>
  </si>
  <si>
    <t>Deepwater snapper (genus); Lutjanidae (snapper/jobfish family) - "jobfish" and "red snappers" are Table 1's explicit examples for Large Benthic Carnivores.</t>
  </si>
  <si>
    <t>Synanceiidae</t>
  </si>
  <si>
    <t>Stonefishes</t>
  </si>
  <si>
    <t>synanceiidae</t>
  </si>
  <si>
    <t>Stonefish family (Scorpaeniformes); venomous benthic ambush predator, TL 4.2, closest ecological/TL match among named groups is the demersal apex-predator guild of Large Benthic Carnivores (group TL 4.14).</t>
  </si>
  <si>
    <t>Hemiramphidae</t>
  </si>
  <si>
    <t>Halfbeaks, garfishes</t>
  </si>
  <si>
    <t>hemiramphidae</t>
  </si>
  <si>
    <t>Halfbeak family; small surface-dwelling schooling fish, ecologically closest to the small pelagic/benthopelagic schooling-fish guild of Small Benthopelagics though not named in Table 1 (TL 2.82-3.25 vs group 3.88).</t>
  </si>
  <si>
    <t>Cephalopholis hemistiktos</t>
  </si>
  <si>
    <t>Yellowfin hind</t>
  </si>
  <si>
    <t>cephalopholis hemistiktos</t>
  </si>
  <si>
    <t>Yellowfin hind; Serranidae (grouper/rockcod family) - "rock cods" is Table 1's explicit example for Large Benthic Carnivores.</t>
  </si>
  <si>
    <t>Sillaginidae</t>
  </si>
  <si>
    <t>Smelt-whitings</t>
  </si>
  <si>
    <t>sillaginidae</t>
  </si>
  <si>
    <t>Smelt-whiting family; small demersal sand-dwelling carnivore, SAU size class "Medium demersals" and TL (~3.25-3.33) closely matching Med Benthic Carnivores (group TL 3.19); family not named in Table 1.</t>
  </si>
  <si>
    <t>Carangoides</t>
  </si>
  <si>
    <t>Trevallies</t>
  </si>
  <si>
    <t>carangoides</t>
  </si>
  <si>
    <t>Trevally (genus); Carangidae, but a large apex predatory reef jack/trevally (TL 3.8-4.5) rather than the small schooling "scad" niche Table 1 names for Carangidae under Small Benthopelagics - placed instead with the demersal apex-predator guild (Large Benthic Carnivores) by size, diet and TL.</t>
  </si>
  <si>
    <t>Drepane</t>
  </si>
  <si>
    <t>Sicklefishes</t>
  </si>
  <si>
    <t>drepane</t>
  </si>
  <si>
    <t>Sicklefish (genus); Ephippidae/Drepaneidae (Ephippoidei), a benthopelagic invertivore/omnivore guild not named in Table 1, placed by TL match (~3.3 vs group TL 3.19).</t>
  </si>
  <si>
    <t>Penaeus</t>
  </si>
  <si>
    <t>Tiger prawns</t>
  </si>
  <si>
    <t>penaeus</t>
  </si>
  <si>
    <t>Tiger prawn (genus); Penaeidae, the family containing all of Table 1's named Shrimps genera.</t>
  </si>
  <si>
    <t>Sphyraena forsteri</t>
  </si>
  <si>
    <t>Bigeye barracuda</t>
  </si>
  <si>
    <t>sphyraena forsteri</t>
  </si>
  <si>
    <t>Bigeye barracuda; exact genus (Sphyraena = "barracudas") explicitly named in Table 1's Large Pelagics definition.</t>
  </si>
  <si>
    <t>Scombroidei</t>
  </si>
  <si>
    <t>Tunas, bonitos, billfishes</t>
  </si>
  <si>
    <t>scombroidei</t>
  </si>
  <si>
    <t>Suborder spanning Mackerel, Tunas, Large Pelagics and billfish-type entries via its constituent families; too broad to place in a single group.</t>
  </si>
  <si>
    <t>Isurus</t>
  </si>
  <si>
    <t>Mako sharks</t>
  </si>
  <si>
    <t>isurus</t>
  </si>
  <si>
    <t>Mako sharks (genus); Lamnidae true shark (mackerel shark family), unambiguous fit to the model's single Sharks group under the clean shark/batoid split.</t>
  </si>
  <si>
    <t>Ophichthidae</t>
  </si>
  <si>
    <t>Snake eels</t>
  </si>
  <si>
    <t>ophichthidae</t>
  </si>
  <si>
    <t>Snake eel family; large benthic ambush-predator eel, not named in Table 1 but ecologically and trophically (TL ~3.9-4.4) closest to the demersal apex-predator guild of Large Benthic Carnivores.</t>
  </si>
  <si>
    <t>Turrum coeruleopinnatum</t>
  </si>
  <si>
    <t>Coastal trevally</t>
  </si>
  <si>
    <t>turrum coeruleopinnatum</t>
  </si>
  <si>
    <t>Coastal trevally; Carangidae, but a large apex predatory reef jack/trevally (TL 3.8-4.5) rather than the small schooling "scad" niche Table 1 names for Carangidae under Small Benthopelagics - placed instead with the demersal apex-predator guild (Large Benthic Carnivores) by size, diet and TL.</t>
  </si>
  <si>
    <t>Mene maculata</t>
  </si>
  <si>
    <t>Moonfish</t>
  </si>
  <si>
    <t>mene maculata</t>
  </si>
  <si>
    <t>Moonfish; "moonfish" is Table 1's explicit example for Small Benthopelagics.</t>
  </si>
  <si>
    <t>Platycephalidae</t>
  </si>
  <si>
    <t>Flatheads</t>
  </si>
  <si>
    <t>platycephalidae</t>
  </si>
  <si>
    <t>Flathead family; "flatheads" is Table 1's explicit example for Med Benthic Carnivores.</t>
  </si>
  <si>
    <t>Lethrinus mahsena</t>
  </si>
  <si>
    <t>Sky emperor</t>
  </si>
  <si>
    <t>lethrinus mahsena</t>
  </si>
  <si>
    <t>Sky emperor; Lethrinidae (emperor family), a demersal durophagous/piscivorous carnivore guild not named in Table 1 but ecologically parallel to the snapper/grouper apex reef-predator guild of Large Benthic Carnivores (mean TL ~3.7, group TL 4.14).</t>
  </si>
  <si>
    <t>Istiophorus</t>
  </si>
  <si>
    <t>Sailfishes</t>
  </si>
  <si>
    <t>istiophorus</t>
  </si>
  <si>
    <t>Sailfishes (genus); Table 1 names no billfish group and lists no billfish genus under either Large Pelagics or Tunas, so placement is by ecology - a fast apex epipelagic predator matching the Large Pelagics guild's diet/TL profile (group TL 4.18) rather than the tuna tribe Thunnini.</t>
  </si>
  <si>
    <t>Cheimerius nufar</t>
  </si>
  <si>
    <t>Santer seabream</t>
  </si>
  <si>
    <t>cheimerius nufar</t>
  </si>
  <si>
    <t>Santer seabream; Sparidae, a benthic durophagous-invertivore guild not named in Table 1, placed with Med Benthic Carnivores by TL match (~3.3-3.5 vs group TL 3.19).</t>
  </si>
  <si>
    <t>Prionace glauca</t>
  </si>
  <si>
    <t>Blue shark</t>
  </si>
  <si>
    <t>prionace glauca</t>
  </si>
  <si>
    <t>Blue shark (Carcharhinidae); true shark, unambiguous fit.</t>
  </si>
  <si>
    <t>Seriola</t>
  </si>
  <si>
    <t>Amberjacks</t>
  </si>
  <si>
    <t>seriola</t>
  </si>
  <si>
    <t>Amberjack (genus); Carangidae, but a large apex predatory reef jack/trevally (TL 3.8-4.5) rather than the small schooling "scad" niche Table 1 names for Carangidae under Small Benthopelagics - placed instead with the demersal apex-predator guild (Large Benthic Carnivores) by size, diet and TL.</t>
  </si>
  <si>
    <t>Scolopsis</t>
  </si>
  <si>
    <t>Monocle breams</t>
  </si>
  <si>
    <t>scolopsis</t>
  </si>
  <si>
    <t>Monocle bream (genus); Nemipteridae (threadfin bream/monocle bream family) - "threadfin breams" is Table 1's explicit example for Small Benthic Carnivores.</t>
  </si>
  <si>
    <t>Seriolina nigrofasciata</t>
  </si>
  <si>
    <t>Blackbanded trevally</t>
  </si>
  <si>
    <t>seriolina nigrofasciata</t>
  </si>
  <si>
    <t>Blackbanded trevally; Carangidae, but a large apex predatory reef jack/trevally (TL 3.8-4.5) rather than the small schooling "scad" niche Table 1 names for Carangidae under Small Benthopelagics - placed instead with the demersal apex-predator guild (Large Benthic Carnivores) by size, diet and TL.</t>
  </si>
  <si>
    <t>Bolbometopon muricatum</t>
  </si>
  <si>
    <t>Green humphead parrotfish</t>
  </si>
  <si>
    <t>bolbometopon muricatum</t>
  </si>
  <si>
    <t>Green humphead parrotfish; parrotfish (Scaridae) are herbivorous reef grazers (TL ~2.0-2.67), not named in Table 1 but ecologically closest to the low-TL grazer/omnivore guild of Benthic Omnivores (group TL 2.55).</t>
  </si>
  <si>
    <t>Rachycentridae</t>
  </si>
  <si>
    <t>Cobias</t>
  </si>
  <si>
    <t>rachycentridae</t>
  </si>
  <si>
    <t>Cobia family; large solitary pelagic/benthopelagic piscivore, not one of Table 1's named examples but ecologically closest to the Large Pelagics apex-predator guild (TL 3.96 vs group TL 4.18).</t>
  </si>
  <si>
    <t>Rastrelliger</t>
  </si>
  <si>
    <t>Indian mackerels</t>
  </si>
  <si>
    <t>rastrelliger</t>
  </si>
  <si>
    <t>Genus of the model's Mackerel group (Rastrelliger kanagurta is the named species and dominant regional member of this genus).</t>
  </si>
  <si>
    <t>Gerres longirostris</t>
  </si>
  <si>
    <t>Strongspine silver-biddy</t>
  </si>
  <si>
    <t>gerres longirostris</t>
  </si>
  <si>
    <t>Strongspine silver-biddy; "silverbellies" (Gerreidae) is Table 1's explicit example for Small Benthic Carnivores.</t>
  </si>
  <si>
    <t>Trachinotus mookalee</t>
  </si>
  <si>
    <t>Indian pompano</t>
  </si>
  <si>
    <t>trachinotus mookalee</t>
  </si>
  <si>
    <t>Indian pompano; Carangidae, but a large apex predatory reef jack/trevally (TL 3.8-4.5) rather than the small schooling "scad" niche Table 1 names for Carangidae under Small Benthopelagics - placed instead with the demersal apex-predator guild (Large Benthic Carnivores) by size, diet and TL.</t>
  </si>
  <si>
    <t>Hilsa kelee</t>
  </si>
  <si>
    <t>Kelee shad</t>
  </si>
  <si>
    <t>hilsa kelee</t>
  </si>
  <si>
    <t>Kelee shad; Clupeidae, the family that itself defines the Clupeids group.</t>
  </si>
  <si>
    <t>Carcharhinus longimanus</t>
  </si>
  <si>
    <t>Oceanic whitetip shark</t>
  </si>
  <si>
    <t>carcharhinus longimanus</t>
  </si>
  <si>
    <t>Oceanic whitetip shark; exact genus (Carcharhinus) explicitly named in Table 1's Sharks definition.</t>
  </si>
  <si>
    <t>Scyris indica</t>
  </si>
  <si>
    <t>Indian threadfish</t>
  </si>
  <si>
    <t>scyris indica</t>
  </si>
  <si>
    <t>Indian threadfish; Carangidae, but a large apex predatory reef jack/trevally (TL 3.8-4.5) rather than the small schooling "scad" niche Table 1 names for Carangidae under Small Benthopelagics - placed instead with the demersal apex-predator guild (Large Benthic Carnivores) by size, diet and TL.</t>
  </si>
  <si>
    <t>Atropus armatus</t>
  </si>
  <si>
    <t>Longfin trevally</t>
  </si>
  <si>
    <t>atropus armatus</t>
  </si>
  <si>
    <t>Longfin trevally; Carangidae, but a large apex predatory reef jack/trevally (TL 3.8-4.5) rather than the small schooling "scad" niche Table 1 names for Carangidae under Small Benthopelagics - placed instead with the demersal apex-predator guild (Large Benthic Carnivores) by size, diet and TL.</t>
  </si>
  <si>
    <t>Plectorhinchus schotaf</t>
  </si>
  <si>
    <t>Minstrel sweetlips</t>
  </si>
  <si>
    <t>plectorhinchus schotaf</t>
  </si>
  <si>
    <t>Minstrel sweetlips; Haemulidae (grunt/sweetlips family), a demersal benthic-invertivore guild not named in Table 1, placed with Med Benthic Carnivores by ecology and TL (~3.3-4.0 vs group TL 3.19).</t>
  </si>
  <si>
    <t>Sphyrna lewini</t>
  </si>
  <si>
    <t>Scalloped hammerhead</t>
  </si>
  <si>
    <t>sphyrna lewini</t>
  </si>
  <si>
    <t>Scalloped hammerhead; exact genus (Sphyrna) explicitly named in Table 1's Sharks definition.</t>
  </si>
  <si>
    <t>Sepioteuthis lessoniana</t>
  </si>
  <si>
    <t>Bigfin reef squid</t>
  </si>
  <si>
    <t>sepioteuthis lessoniana</t>
  </si>
  <si>
    <t>Bigfin reef squid; Cephalopods is the model's only cephalopod-type group, so every cephalopod taxon is an unambiguous fit regardless of exact rank.</t>
  </si>
  <si>
    <t>Crenidens crenidens</t>
  </si>
  <si>
    <t>Karanteen seabream</t>
  </si>
  <si>
    <t>crenidens crenidens</t>
  </si>
  <si>
    <t>Karanteen seabream; Sparidae, but SAU size class "Small demersals" and TL (2.8) match Small Benthic Carnivores (group TL 2.68) much more closely than the rest of this workbook's larger, higher-TL Sparidae (Med Benthic Carnivores, group TL 3.19).</t>
  </si>
  <si>
    <t>Carcharhinus albimarginatus</t>
  </si>
  <si>
    <t>Silvertip shark</t>
  </si>
  <si>
    <t>carcharhinus albimarginatus</t>
  </si>
  <si>
    <t>Silvertip shark; exact genus (Carcharhinus) explicitly named in Table 1's Sharks definition.</t>
  </si>
  <si>
    <t>Lutjanus russellii</t>
  </si>
  <si>
    <t>Russell's snapper</t>
  </si>
  <si>
    <t>lutjanus russellii</t>
  </si>
  <si>
    <t>Russell's snapper; Lutjanidae (snapper/jobfish family) - "jobfish" and "red snappers" are Table 1's explicit examples for Large Benthic Carnivores.</t>
  </si>
  <si>
    <t>Mollusca</t>
  </si>
  <si>
    <t>Clams, seasnails, squids, octopuses</t>
  </si>
  <si>
    <t>mollusca</t>
  </si>
  <si>
    <t>Aggregate mollusc phylum spanning two distinct model groups: cephalopods (their own dedicated Cephalopods group) versus bivalves/gastropods (Heterotrophic Benthos), with no way to tell which this catch category represents.</t>
  </si>
  <si>
    <t>Nebrius ferrugineus</t>
  </si>
  <si>
    <t>Tawny nurse shark</t>
  </si>
  <si>
    <t>nebrius ferrugineus</t>
  </si>
  <si>
    <t>Tawny nurse shark (Orectolobiformes); a true shark, unambiguous fit under the shark/batoid split.</t>
  </si>
  <si>
    <t>Carcharhiniformes</t>
  </si>
  <si>
    <t>Ground sharks</t>
  </si>
  <si>
    <t>carcharhiniformes</t>
  </si>
  <si>
    <t>Order name ("ground sharks") is itself the taxonomic definition of true (non-batoid) sharks; unambiguous fit to the model's Sharks group.</t>
  </si>
  <si>
    <t>Spratelloides gracilis</t>
  </si>
  <si>
    <t>Silver-stripe round herring</t>
  </si>
  <si>
    <t>spratelloides gracilis</t>
  </si>
  <si>
    <t>Silver-stripe round herring; round herrings (Dussumieriidae) are historically classified within Clupeidae, the family defining the Clupeids group.</t>
  </si>
  <si>
    <t>Pristipomoides</t>
  </si>
  <si>
    <t>Jobfishes</t>
  </si>
  <si>
    <t>pristipomoides</t>
  </si>
  <si>
    <t>Jobfish (genus); Lutjanidae (snapper/jobfish family) - "jobfish" and "red snappers" are Table 1's explicit examples for Large Benthic Carnivores.</t>
  </si>
  <si>
    <t>Monotaxis grandoculis</t>
  </si>
  <si>
    <t>Humpnose big-eye bream</t>
  </si>
  <si>
    <t>monotaxis grandoculis</t>
  </si>
  <si>
    <t>Humpnose big-eye bream; Lethrinidae (emperor family), a demersal durophagous/piscivorous carnivore guild not named in Table 1 but ecologically parallel to the snapper/grouper apex reef-predator guild of Large Benthic Carnivores (mean TL ~3.7, group TL 4.14).</t>
  </si>
  <si>
    <t>Carcharhinus plumbeus</t>
  </si>
  <si>
    <t>Sandbar shark</t>
  </si>
  <si>
    <t>carcharhinus plumbeus</t>
  </si>
  <si>
    <t>Sandbar shark; exact genus (Carcharhinus) explicitly named in Table 1's Sharks definition.</t>
  </si>
  <si>
    <t>Balistidae</t>
  </si>
  <si>
    <t>Triggerfishes</t>
  </si>
  <si>
    <t>balistidae</t>
  </si>
  <si>
    <t>Triggerfish family; "balistids" is Table 1's explicit example for Med Benthic Carnivores.</t>
  </si>
  <si>
    <t>Terapontidae</t>
  </si>
  <si>
    <t>Grunters, tigerperches</t>
  </si>
  <si>
    <t>terapontidae</t>
  </si>
  <si>
    <t>Terapon family; "terapons" (Terapontidae) is Table 1's explicit example for Small Benthic Carnivores.</t>
  </si>
  <si>
    <t>Carcharhinus</t>
  </si>
  <si>
    <t>Sharp-nosed sharks</t>
  </si>
  <si>
    <t>carcharhinus</t>
  </si>
  <si>
    <t>Genus explicitly named in Table 1's Sharks definition (Rhizoprionodon, Carcharhinus, Scoliodon, Sphyrna spp).</t>
  </si>
  <si>
    <t>Thenus orientalis</t>
  </si>
  <si>
    <t>Flathead lobster</t>
  </si>
  <si>
    <t>thenus orientalis</t>
  </si>
  <si>
    <t>Flathead (Moreton Bay bug) lobster; Scyllaridae, a different lobster family from Palinuridae, but unambiguously a lobster and the model's Crabs &amp; Lobster group is the only crustacean group besides Shrimps that could hold it.</t>
  </si>
  <si>
    <t>Gerres oblongus</t>
  </si>
  <si>
    <t>Slender silver-biddy</t>
  </si>
  <si>
    <t>gerres oblongus</t>
  </si>
  <si>
    <t>Slender silver-biddy; "silverbellies" (Gerreidae) is Table 1's explicit example for Small Benthic Carnivores.</t>
  </si>
  <si>
    <t>Lethrinus harak</t>
  </si>
  <si>
    <t>Thumbprint emperor</t>
  </si>
  <si>
    <t>lethrinus harak</t>
  </si>
  <si>
    <t>Thumbprint emperor; Lethrinidae (emperor family), a demersal durophagous/piscivorous carnivore guild not named in Table 1 but ecologically parallel to the snapper/grouper apex reef-predator guild of Large Benthic Carnivores (mean TL ~3.7, group TL 4.14).</t>
  </si>
  <si>
    <t>Lutjanus fulviflamma</t>
  </si>
  <si>
    <t>Dory snapper</t>
  </si>
  <si>
    <t>lutjanus fulviflamma</t>
  </si>
  <si>
    <t>Dory snapper; Lutjanidae (snapper/jobfish family) - "jobfish" and "red snappers" are Table 1's explicit examples for Large Benthic Carnivores.</t>
  </si>
  <si>
    <t>Rajiformes</t>
  </si>
  <si>
    <t>Skates and rays</t>
  </si>
  <si>
    <t>rajiformes</t>
  </si>
  <si>
    <t>Order name ("skates and rays") is itself the group's taxonomic definition.</t>
  </si>
  <si>
    <t>Seriola dumerili</t>
  </si>
  <si>
    <t>Greater amberjack</t>
  </si>
  <si>
    <t>seriola dumerili</t>
  </si>
  <si>
    <t>Greater amberjack; Carangidae, but a large apex predatory reef jack/trevally (TL 3.8-4.5) rather than the small schooling "scad" niche Table 1 names for Carangidae under Small Benthopelagics - placed instead with the demersal apex-predator guild (Large Benthic Carnivores) by size, diet and TL.</t>
  </si>
  <si>
    <t>Bothus pantherinus</t>
  </si>
  <si>
    <t>Leopard flounder</t>
  </si>
  <si>
    <t>bothus pantherinus</t>
  </si>
  <si>
    <t>Leopard flounder; "flounders" is Table 1's explicit example for Med Benthic Carnivores.</t>
  </si>
  <si>
    <t>Platax orbicularis</t>
  </si>
  <si>
    <t>Orbicular batfish</t>
  </si>
  <si>
    <t>platax orbicularis</t>
  </si>
  <si>
    <t>Orbicular batfish; Ephippidae/Drepaneidae (Ephippoidei), a benthopelagic invertivore/omnivore guild not named in Table 1, placed by TL match (~3.3 vs group TL 3.19).</t>
  </si>
  <si>
    <t>Galeocerdo cuvier</t>
  </si>
  <si>
    <t>Tiger shark</t>
  </si>
  <si>
    <t>galeocerdo cuvier</t>
  </si>
  <si>
    <t>Tiger shark (Carcharhinidae); true shark, unambiguous fit.</t>
  </si>
  <si>
    <t>Carcharhinus amblyrhynchoides</t>
  </si>
  <si>
    <t>Graceful shark</t>
  </si>
  <si>
    <t>carcharhinus amblyrhynchoides</t>
  </si>
  <si>
    <t>Graceful shark; exact genus (Carcharhinus) explicitly named in Table 1's Sharks definition.</t>
  </si>
  <si>
    <t>Caranx melampygus</t>
  </si>
  <si>
    <t>Bluefin trevally</t>
  </si>
  <si>
    <t>caranx melampygus</t>
  </si>
  <si>
    <t>Bluefin trevally; Carangidae, but a large apex predatory reef jack/trevally (TL 3.8-4.5) rather than the small schooling "scad" niche Table 1 names for Carangidae under Small Benthopelagics - placed instead with the demersal apex-predator guild (Large Benthic Carnivores) by size, diet and TL.</t>
  </si>
  <si>
    <t>Miscellaneous marine crustaceans</t>
  </si>
  <si>
    <t>Marine crabs, shrimps, lobsters nei</t>
  </si>
  <si>
    <t>miscellaneous marine crustaceans</t>
  </si>
  <si>
    <t>SAU common name is explicitly "Marine crabs, shrimps, lobsters nei", spanning both the Crabs &amp; Lobster and Shrimps groups with no way to disaggregate.</t>
  </si>
  <si>
    <t>Epinephelus fuscoguttatus</t>
  </si>
  <si>
    <t>Brown-marbled grouper</t>
  </si>
  <si>
    <t>epinephelus fuscoguttatus</t>
  </si>
  <si>
    <t>Brown-marbled grouper; Serranidae (grouper/rockcod family) - "rock cods" is Table 1's explicit example for Large Benthic Carnivores.</t>
  </si>
  <si>
    <t>Lethrinus xanthochilus</t>
  </si>
  <si>
    <t>Yellowlip emperor</t>
  </si>
  <si>
    <t>lethrinus xanthochilus</t>
  </si>
  <si>
    <t>Yellowlip emperor; Lethrinidae (emperor family), a demersal durophagous/piscivorous carnivore guild not named in Table 1 but ecologically parallel to the snapper/grouper apex reef-predator guild of Large Benthic Carnivores (mean TL ~3.7, group TL 4.14).</t>
  </si>
  <si>
    <t>Ablennes hians</t>
  </si>
  <si>
    <t>Flat needlefish</t>
  </si>
  <si>
    <t>ablennes hians</t>
  </si>
  <si>
    <t>Flat needlefish (Belonidae); fast epipelagic surface predator on small fish, TL 4.5, ecologically closest to the Large Pelagics apex-predator guild though not one of Table 1's named examples.</t>
  </si>
  <si>
    <t>Gymnosarda unicolor</t>
  </si>
  <si>
    <t>Dogtooth tuna</t>
  </si>
  <si>
    <t>gymnosarda unicolor</t>
  </si>
  <si>
    <t>Dogtooth tuna; a tuna-like Scombridae (tribe Sardini) closely allied to the true tunas, not itself named in Table 1 but the closest ecological/phylogenetic fit among the remaining scombrids.</t>
  </si>
  <si>
    <t>Siganus sutor</t>
  </si>
  <si>
    <t>Shoemaker spinefoot</t>
  </si>
  <si>
    <t>siganus sutor</t>
  </si>
  <si>
    <t>Shoemaker spinefoot; rabbitfish (Siganidae) are herbivorous reef grazers (TL ~2.0-2.76), not named in Table 1 but ecologically closest to the low-TL grazer/omnivore guild of Benthic Omnivores (group TL 2.55).</t>
  </si>
  <si>
    <t>Maculabatis gerrardi</t>
  </si>
  <si>
    <t>Sharpnose stingray</t>
  </si>
  <si>
    <t>maculabatis gerrardi</t>
  </si>
  <si>
    <t>Sharpnose stingray; Dasyatidae, same family as Table 1's explicit example genus Dasyatis.</t>
  </si>
  <si>
    <t>Selaroides leptolepis</t>
  </si>
  <si>
    <t>Yellowstripe scad</t>
  </si>
  <si>
    <t>selaroides leptolepis</t>
  </si>
  <si>
    <t>Yellowstripe scad; "scads" is Table 1's explicit example for Small Benthopelagics.</t>
  </si>
  <si>
    <t>Epinephelus polyphekadion</t>
  </si>
  <si>
    <t>Camouflage grouper</t>
  </si>
  <si>
    <t>epinephelus polyphekadion</t>
  </si>
  <si>
    <t>Camouflage grouper; Serranidae (grouper/rockcod family) - "rock cods" is Table 1's explicit example for Large Benthic Carnivores.</t>
  </si>
  <si>
    <t>Lutjanus kasmira</t>
  </si>
  <si>
    <t>Common bluestripe snapper</t>
  </si>
  <si>
    <t>lutjanus kasmira</t>
  </si>
  <si>
    <t>Common bluestripe snapper; Lutjanidae (snapper/jobfish family) - "jobfish" and "red snappers" are Table 1's explicit examples for Large Benthic Carnivores.</t>
  </si>
  <si>
    <t>Holothuroidea</t>
  </si>
  <si>
    <t>Sea cucumbers</t>
  </si>
  <si>
    <t>holothuroidea</t>
  </si>
  <si>
    <t>Sea cucumber class; sea cucumbers are echinoderms (class Holothuroidea), and "echinoderms" is Table 1's explicit example for Heterotrophic Benthos.</t>
  </si>
  <si>
    <t>Uroteuthis duvaucelii</t>
  </si>
  <si>
    <t>Indian squid</t>
  </si>
  <si>
    <t>uroteuthis duvaucelii</t>
  </si>
  <si>
    <t>Indian squid; Cephalopods is the model's only cephalopod-type group, so every cephalopod taxon is an unambiguous fit regardless of exact rank.</t>
  </si>
  <si>
    <t>Aethaloperca rogaa</t>
  </si>
  <si>
    <t>Redmouth grouper</t>
  </si>
  <si>
    <t>aethaloperca rogaa</t>
  </si>
  <si>
    <t>Redmouth grouper; Serranidae (grouper/rockcod family) - "rock cods" is Table 1's explicit example for Large Benthic Carnivores.</t>
  </si>
  <si>
    <t>Sphyrna zygaena</t>
  </si>
  <si>
    <t>Smooth hammerhead</t>
  </si>
  <si>
    <t>sphyrna zygaena</t>
  </si>
  <si>
    <t>Smooth hammerhead; exact genus (Sphyrna) explicitly named in Table 1's Sharks definition.</t>
  </si>
  <si>
    <t>Decapterus macarellus</t>
  </si>
  <si>
    <t>Mackerel scad</t>
  </si>
  <si>
    <t>decapterus macarellus</t>
  </si>
  <si>
    <t>Mackerel scad; "scads" is Table 1's explicit example for Small Benthopelagics.</t>
  </si>
  <si>
    <t>Auxis rochei</t>
  </si>
  <si>
    <t>Bullet tuna</t>
  </si>
  <si>
    <t>auxis rochei</t>
  </si>
  <si>
    <t>Bullet tuna; exact genus (Auxis) explicitly named in Table 1's Tunas definition.</t>
  </si>
  <si>
    <t>Miscellaneous aquatic invertebrates</t>
  </si>
  <si>
    <t>Aquatic invertebrates</t>
  </si>
  <si>
    <t>miscellaneous aquatic invertebrates</t>
  </si>
  <si>
    <t>Fully unresolved aggregate invertebrate catch category with no taxonomic information to place it in any of the model's 24 groups.</t>
  </si>
  <si>
    <t>Pristidae</t>
  </si>
  <si>
    <t>Sawfishes</t>
  </si>
  <si>
    <t>pristidae</t>
  </si>
  <si>
    <t>Sawfish family (Rhinopristiformes, batoid); unambiguous fit to Skates &amp; Rays.</t>
  </si>
  <si>
    <t>Encrasicholina heteroloba</t>
  </si>
  <si>
    <t>Shorthead anchovy</t>
  </si>
  <si>
    <t>encrasicholina heteroloba</t>
  </si>
  <si>
    <t>Shorthead anchovy; Engraulidae, the family defining the Anchovies group.</t>
  </si>
  <si>
    <t>Caesio</t>
  </si>
  <si>
    <t>Caesios</t>
  </si>
  <si>
    <t>caesio</t>
  </si>
  <si>
    <t>Fusilier (genus); schooling planktivorous reef fish (Lutjanidae relatives), ecologically closer to the schooling small-benthopelagic zooplanktivore guild than to the demersal-carnivore groups; family not named in Table 1.</t>
  </si>
  <si>
    <t>Caesio caerulaurea</t>
  </si>
  <si>
    <t>Blue and gold fusilier</t>
  </si>
  <si>
    <t>caesio caerulaurea</t>
  </si>
  <si>
    <t>Blue and gold fusilier; schooling planktivorous reef fish (Lutjanidae relatives), ecologically closer to the schooling small-benthopelagic zooplanktivore guild than to the demersal-carnivore groups; family not named in Table 1.</t>
  </si>
  <si>
    <t>Haliotis</t>
  </si>
  <si>
    <t>Abalones</t>
  </si>
  <si>
    <t>haliotis</t>
  </si>
  <si>
    <t>Abalone (genus); "gastropods" is Table 1's explicit example for Heterotrophic Benthos.</t>
  </si>
  <si>
    <t>Aphareus furca</t>
  </si>
  <si>
    <t>Small toothed jobfish</t>
  </si>
  <si>
    <t>aphareus furca</t>
  </si>
  <si>
    <t>Small toothed jobfish; Lutjanidae (snapper/jobfish family) - "jobfish" and "red snappers" are Table 1's explicit examples for Large Benthic Carnivores.</t>
  </si>
  <si>
    <t>Ferdauia orthogrammus</t>
  </si>
  <si>
    <t>Island trevally</t>
  </si>
  <si>
    <t>ferdauia orthogrammus</t>
  </si>
  <si>
    <t>Island trevally; Carangidae, but a large apex predatory reef jack/trevally (TL 3.8-4.5) rather than the small schooling "scad" niche Table 1 names for Carangidae under Small Benthopelagics - placed instead with the demersal apex-predator guild (Large Benthic Carnivores) by size, diet and TL.</t>
  </si>
  <si>
    <t>Platycaranx talamparoides</t>
  </si>
  <si>
    <t>Imposter trevally</t>
  </si>
  <si>
    <t>platycaranx talamparoides</t>
  </si>
  <si>
    <t>Imposter trevally; Carangidae, but a large apex predatory reef jack/trevally (TL 3.8-4.5) rather than the small schooling "scad" niche Table 1 names for Carangidae under Small Benthopelagics - placed instead with the demersal apex-predator guild (Large Benthic Carnivores) by size, diet and TL.</t>
  </si>
  <si>
    <t>Ephippidae</t>
  </si>
  <si>
    <t>Spade-, batfishes, scats</t>
  </si>
  <si>
    <t>ephippidae</t>
  </si>
  <si>
    <t>Spadefish/batfish family; Ephippidae/Drepaneidae (Ephippoidei), a benthopelagic invertivore/omnivore guild not named in Table 1, placed by TL match (~3.3 vs group TL 3.19).</t>
  </si>
  <si>
    <t>Plectorhinchus pictus</t>
  </si>
  <si>
    <t>Trout sweetlips</t>
  </si>
  <si>
    <t>plectorhinchus pictus</t>
  </si>
  <si>
    <t>Trout sweetlips; Haemulidae (grunt/sweetlips family), a demersal benthic-invertivore guild not named in Table 1, placed with Med Benthic Carnivores by ecology and TL (~3.3-4.0 vs group TL 3.19).</t>
  </si>
  <si>
    <t>Cephalopholis miniata</t>
  </si>
  <si>
    <t>Coral hind</t>
  </si>
  <si>
    <t>cephalopholis miniata</t>
  </si>
  <si>
    <t>Coral hind; Serranidae (grouper/rockcod family) - "rock cods" is Table 1's explicit example for Large Benthic Carnivores.</t>
  </si>
  <si>
    <t>Aluterus monoceros</t>
  </si>
  <si>
    <t>Unicorn leatherjacket filefish</t>
  </si>
  <si>
    <t>aluterus monoceros</t>
  </si>
  <si>
    <t>Unicorn leatherjacket filefish; Monacanthidae, close relative of the explicitly named "balistids" (Balistidae), similar benthic-invertivore ecology.</t>
  </si>
  <si>
    <t>Aphareus rutilans</t>
  </si>
  <si>
    <t>Rusty jobfish</t>
  </si>
  <si>
    <t>aphareus rutilans</t>
  </si>
  <si>
    <t>Rusty jobfish; Lutjanidae (snapper/jobfish family) - "jobfish" and "red snappers" are Table 1's explicit examples for Large Benthic Carnivores.</t>
  </si>
  <si>
    <t>Epinephelus fasciatus</t>
  </si>
  <si>
    <t>Blacktip grouper</t>
  </si>
  <si>
    <t>epinephelus fasciatus</t>
  </si>
  <si>
    <t>Blacktip grouper; Serranidae (grouper/rockcod family) - "rock cods" is Table 1's explicit example for Large Benthic Carnivores.</t>
  </si>
  <si>
    <t>Cephalopholis</t>
  </si>
  <si>
    <t>Hinds</t>
  </si>
  <si>
    <t>cephalopholis</t>
  </si>
  <si>
    <t>Hind (genus); Serranidae (grouper/rockcod family) - "rock cods" is Table 1's explicit example for Large Benthic Carnivores.</t>
  </si>
  <si>
    <t>Caranx lugubris</t>
  </si>
  <si>
    <t>Black jack</t>
  </si>
  <si>
    <t>caranx lugubris</t>
  </si>
  <si>
    <t>Black jack; Carangidae, but a large apex predatory reef jack/trevally (TL 3.8-4.5) rather than the small schooling "scad" niche Table 1 names for Carangidae under Small Benthopelagics - placed instead with the demersal apex-predator guild (Large Benthic Carnivores) by size, diet and TL.</t>
  </si>
  <si>
    <t>Macolor</t>
  </si>
  <si>
    <t>macolor</t>
  </si>
  <si>
    <t>Macolor niger</t>
  </si>
  <si>
    <t>Black and white snapper</t>
  </si>
  <si>
    <t>macolor niger</t>
  </si>
  <si>
    <t>Black and white snapper; Lutjanidae (snapper/jobfish family) - "jobfish" and "red snappers" are Table 1's explicit examples for Large Benthic Carnivores.</t>
  </si>
  <si>
    <t>Octopodidae</t>
  </si>
  <si>
    <t>Octopuses</t>
  </si>
  <si>
    <t>octopodidae</t>
  </si>
  <si>
    <t>Octopus family; Cephalopods is the model's only cephalopod-type group, so every cephalopod taxon is an unambiguous fit regardless of exact rank.</t>
  </si>
  <si>
    <t>Sphyraena putnamae</t>
  </si>
  <si>
    <t>Sawtooth barracuda</t>
  </si>
  <si>
    <t>sphyraena putnamae</t>
  </si>
  <si>
    <t>Sawtooth barracuda; exact genus (Sphyraena = "barracudas") explicitly named in Table 1's Large Pelagics definition.</t>
  </si>
  <si>
    <t>Seriola rivoliana</t>
  </si>
  <si>
    <t>Longfin yellowtail</t>
  </si>
  <si>
    <t>seriola rivoliana</t>
  </si>
  <si>
    <t>Longfin yellowtail; Carangidae, but a large apex predatory reef jack/trevally (TL 3.8-4.5) rather than the small schooling "scad" niche Table 1 names for Carangidae under Small Benthopelagics - placed instead with the demersal apex-predator guild (Large Benthic Carnivores) by size, diet and TL.</t>
  </si>
  <si>
    <t>Platax</t>
  </si>
  <si>
    <t>Spadefishes</t>
  </si>
  <si>
    <t>platax</t>
  </si>
  <si>
    <t>Batfish (genus); Ephippidae/Drepaneidae (Ephippoidei), a benthopelagic invertivore/omnivore guild not named in Table 1, placed by TL match (~3.3 vs group TL 3.19).</t>
  </si>
  <si>
    <t>Plotosidae</t>
  </si>
  <si>
    <t>Eeltail catfishes</t>
  </si>
  <si>
    <t>plotosidae</t>
  </si>
  <si>
    <t>Eeltail catfish family (Siluriformes); "catfish" is Table 1's explicit example for Large Benthopelagics.</t>
  </si>
  <si>
    <t>Elagatis bipinnulata</t>
  </si>
  <si>
    <t>Rainbow runner</t>
  </si>
  <si>
    <t>elagatis bipinnulata</t>
  </si>
  <si>
    <t>Rainbow runner (Carangidae); although Carangidae is named for Small Benthopelagics ("carangids"), this species is a large, fast, fully epipelagic oceanic predator (TL 4.27) whose size and open-water habit diverge sharply from the small schooling scad guild that example targets, so it is placed instead with the Large Pelagics apex-predator guild by ecology.</t>
  </si>
  <si>
    <t>Haliotidae</t>
  </si>
  <si>
    <t>Abalones, ear shells</t>
  </si>
  <si>
    <t>haliotidae</t>
  </si>
  <si>
    <t>Abalone family; "gastropods" is Table 1's explicit example for Heterotrophic Benthos.</t>
  </si>
  <si>
    <t>Rhincodon typus</t>
  </si>
  <si>
    <t>Whale shark</t>
  </si>
  <si>
    <t>rhincodon typus</t>
  </si>
  <si>
    <t>Whale shark; phylogenetically an unambiguous true shark (not a batoid), so it falls to the model's single Sharks compartment by elimination, but its filter-feeding, plankton-based ecology (TL 3.55) diverges sharply from the mid-large piscivorous diet implied by the group's printed TL (4.45) and diet matrix - flagged rather than treated as a clean fit.</t>
  </si>
  <si>
    <t>Hemiramphus archipelagicus</t>
  </si>
  <si>
    <t>Jumping halfbeak</t>
  </si>
  <si>
    <t>hemiramphus archipelagicus</t>
  </si>
  <si>
    <t>Jumping halfbeak; small surface-dwelling schooling fish, ecologically closest to the small pelagic/benthopelagic schooling-fish guild of Small Benthopelagics though not named in Table 1 (TL 2.82-3.25 vs group 3.88).</t>
  </si>
  <si>
    <t>Scorpaenidae</t>
  </si>
  <si>
    <t>Scorpionfishes, rockfishes</t>
  </si>
  <si>
    <t>scorpaenidae</t>
  </si>
  <si>
    <t>Scorpionfish/rockfish family; venomous benthic ambush predator, TL 3.92, closest to the demersal apex-predator guild of Large Benthic Carnivores (group TL 4.14).</t>
  </si>
  <si>
    <t>Chaetodontidae</t>
  </si>
  <si>
    <t>Butterflyfishes</t>
  </si>
  <si>
    <t>chaetodontidae</t>
  </si>
  <si>
    <t>Butterflyfish family; small reef invertivore/corallivore grazers (TL 3.24), not named in Table 1 but closest among low-TL grazer/omnivore reef guilds to Benthic Omnivores (group TL 2.55).</t>
  </si>
  <si>
    <t>Makaira</t>
  </si>
  <si>
    <t>Blue marlins</t>
  </si>
  <si>
    <t>makaira</t>
  </si>
  <si>
    <t>Blue marlins (genus); Table 1 names no billfish group and lists no billfish genus under either Large Pelagics or Tunas, so placement is by ecology - a fast apex epipelagic predator matching the Large Pelagics guild's diet/TL profile (group TL 4.18) rather than the tuna tribe Thunnini.</t>
  </si>
  <si>
    <t>Tetrapturus angustirostris</t>
  </si>
  <si>
    <t>Shortbill spearfish</t>
  </si>
  <si>
    <t>tetrapturus angustirostris</t>
  </si>
  <si>
    <t>Shortbill spearfish; Table 1 names no billfish group and lists no billfish genus under either Large Pelagics or Tunas, so placement is by ecology - a fast apex epipelagic predator matching the Large Pelagics guild's diet/TL profile (group TL 4.18) rather than the tuna tribe Thunnini.</t>
  </si>
  <si>
    <t>Lethrinus rubrioperculatus</t>
  </si>
  <si>
    <t>Spotcheek emperor</t>
  </si>
  <si>
    <t>lethrinus rubrioperculatus</t>
  </si>
  <si>
    <t>Spotcheek emperor; Lethrinidae (emperor family), a demersal durophagous/piscivorous carnivore guild not named in Table 1 but ecologically parallel to the snapper/grouper apex reef-predator guild of Large Benthic Carnivores (mean TL ~3.7, group TL 4.14).</t>
  </si>
  <si>
    <t>Argyrosomus heinii</t>
  </si>
  <si>
    <t>Arabian sea meagre</t>
  </si>
  <si>
    <t>argyrosomus heinii</t>
  </si>
  <si>
    <t>Arabian sea meagre; "sciaenids" is Table 1's explicit example for Med Benthic Carnivores.</t>
  </si>
  <si>
    <t>Sillago</t>
  </si>
  <si>
    <t>sillago</t>
  </si>
  <si>
    <t>Smelt-whiting (genus); small demersal sand-dwelling carnivore, SAU size class "Medium demersals" and TL (~3.25-3.33) closely matching Med Benthic Carnivores (group TL 3.19); family not named in Table 1.</t>
  </si>
  <si>
    <t>Holothuriidae</t>
  </si>
  <si>
    <t>Fleshy sea cucumbers</t>
  </si>
  <si>
    <t>holothuriidae</t>
  </si>
  <si>
    <t>Sea cucumber family; sea cucumbers are echinoderms (class Holothuroidea), and "echinoderms" is Table 1's explicit example for Heterotrophic Benthos.</t>
  </si>
  <si>
    <t>Stromateidae</t>
  </si>
  <si>
    <t>Butterfishes</t>
  </si>
  <si>
    <t>stromateidae</t>
  </si>
  <si>
    <t>Pomfret family; "pomfrets" (Stromateidae, genus Pampus) is Table 1's explicit example for Med Benthic Carnivores.</t>
  </si>
  <si>
    <t>Scomberomorus lineolatus</t>
  </si>
  <si>
    <t>Streaked seerfish</t>
  </si>
  <si>
    <t>scomberomorus lineolatus</t>
  </si>
  <si>
    <t>Streaked seerfish; exact genus (Scomberomorus = "seers, kingfish") explicitly named in Table 1's Large Pelagics definition.</t>
  </si>
  <si>
    <t>Cephalopholis argus</t>
  </si>
  <si>
    <t>Peacock hind</t>
  </si>
  <si>
    <t>cephalopholis argus</t>
  </si>
  <si>
    <t>Peacock hind; Serranidae (grouper/rockcod family) - "rock cods" is Table 1's explicit example for Large Benthic Carnivores.</t>
  </si>
  <si>
    <t>Pomacentridae</t>
  </si>
  <si>
    <t>Damselfishes</t>
  </si>
  <si>
    <t>pomacentridae</t>
  </si>
  <si>
    <t>Damselfish family; small omnivorous/planktivorous reef fish (TL 2.57), not named in Table 1 but ecologically closest to the low-TL Benthic Omnivores guild (group TL 2.55).</t>
  </si>
  <si>
    <t>Scylla serrata</t>
  </si>
  <si>
    <t>Indo-Pacific swamp crab</t>
  </si>
  <si>
    <t>scylla serrata</t>
  </si>
  <si>
    <t>Indo-Pacific swamp/mud crab; Portunidae, the same family as Table 1's explicit example genera Portunus and Charybdis.</t>
  </si>
  <si>
    <t>Holothuria fuscogilva</t>
  </si>
  <si>
    <t>White teatfish</t>
  </si>
  <si>
    <t>holothuria fuscogilva</t>
  </si>
  <si>
    <t>White teatfish; sea cucumbers are echinoderms (class Holothuroidea), and "echinoderms" is Table 1's explicit example for Heterotrophic Benthos.</t>
  </si>
  <si>
    <t>Holothuria edulis</t>
  </si>
  <si>
    <t>Pinkfish</t>
  </si>
  <si>
    <t>holothuria edulis</t>
  </si>
  <si>
    <t>Pinkfish; sea cucumbers are echinoderms (class Holothuroidea), and "echinoderms" is Table 1's explicit example for Heterotrophic Benthos.</t>
  </si>
  <si>
    <t>Holothuria atra</t>
  </si>
  <si>
    <t>Lollyfish</t>
  </si>
  <si>
    <t>holothuria atra</t>
  </si>
  <si>
    <t>Lollyfish; sea cucumbers are echinoderms (class Holothuroidea), and "echinoderms" is Table 1's explicit example for Heterotrophic Benthos.</t>
  </si>
  <si>
    <t>Holothuria fuscopunctata</t>
  </si>
  <si>
    <t>Elephant trunkfish</t>
  </si>
  <si>
    <t>holothuria fuscopunctata</t>
  </si>
  <si>
    <t>Elephant trunkfish; sea cucumbers are echinoderms (class Holothuroidea), and "echinoderms" is Table 1's explicit example for Heterotrophic Benthos.</t>
  </si>
  <si>
    <t>Holothuria leucospilota</t>
  </si>
  <si>
    <t>White threads fish</t>
  </si>
  <si>
    <t>holothuria leucospilota</t>
  </si>
  <si>
    <t>White threads fish; sea cucumbers are echinoderms (class Holothuroidea), and "echinoderms" is Table 1's explicit example for Heterotrophic Benthos.</t>
  </si>
  <si>
    <t>Epinephelus coeruleopunctatus</t>
  </si>
  <si>
    <t>Whitespotted grouper</t>
  </si>
  <si>
    <t>epinephelus coeruleopunctatus</t>
  </si>
  <si>
    <t>Whitespotted grouper; Serranidae (grouper/rockcod family) - "rock cods" is Table 1's explicit example for Large Benthic Carnivores.</t>
  </si>
  <si>
    <t>Panulirus versicolor</t>
  </si>
  <si>
    <t>Painted spiny lobster</t>
  </si>
  <si>
    <t>panulirus versicolor</t>
  </si>
  <si>
    <t>Painted spiny lobster; exact genus (Panulirus) explicitly named in Table 1's Crabs and lobsters definition.</t>
  </si>
  <si>
    <t>Lepturacanthus savala</t>
  </si>
  <si>
    <t>Savalai hairtail</t>
  </si>
  <si>
    <t>lepturacanthus savala</t>
  </si>
  <si>
    <t>Savalai hairtail; Trichiuridae, the "ribbonfish" family explicitly named for Large Benthopelagics.</t>
  </si>
  <si>
    <t>Panulirus penicillatus</t>
  </si>
  <si>
    <t>Pronghorn spiny lobster</t>
  </si>
  <si>
    <t>panulirus penicillatus</t>
  </si>
  <si>
    <t>Pronghorn spiny lobster; exact genus (Panulirus) explicitly named in Table 1's Crabs and lobsters definition.</t>
  </si>
  <si>
    <t>Scarus ghobban</t>
  </si>
  <si>
    <t>Blue-barred parrotfish</t>
  </si>
  <si>
    <t>scarus ghobban</t>
  </si>
  <si>
    <t>Blue-barred parrotfish; parrotfish (Scaridae) are herbivorous reef grazers (TL ~2.0-2.67), not named in Table 1 but ecologically closest to the low-TL grazer/omnivore guild of Benthic Omnivores (group TL 2.55).</t>
  </si>
  <si>
    <t>Penaeus latisulcatus</t>
  </si>
  <si>
    <t>Western king prawn</t>
  </si>
  <si>
    <t>penaeus latisulcatus</t>
  </si>
  <si>
    <t>Western king prawn; Penaeidae, the family containing all of Table 1's named Shrimps genera.</t>
  </si>
  <si>
    <t>Trichiurus</t>
  </si>
  <si>
    <t>Hairtails</t>
  </si>
  <si>
    <t>trichiurus</t>
  </si>
  <si>
    <t>Hairtail ("ribbonfish") genus, explicit Table 1 example for Large Benthopelagics.</t>
  </si>
  <si>
    <t>Mobula birostris</t>
  </si>
  <si>
    <t>Giant manta</t>
  </si>
  <si>
    <t>mobula birostris</t>
  </si>
  <si>
    <t>Giant manta ray (Mobulidae, batoid); unambiguous fit to Skates &amp; Rays.</t>
  </si>
  <si>
    <t>Gymnocranius grandoculis</t>
  </si>
  <si>
    <t>Blue-lined large-eye bream</t>
  </si>
  <si>
    <t>gymnocranius grandoculis</t>
  </si>
  <si>
    <t>Blue-lined large-eye bream; Lethrinidae (emperor family), a demersal durophagous/piscivorous carnivore guild not named in Table 1 but ecologically parallel to the snapper/grouper apex reef-predator guild of Large Benthic Carnivores (mean TL ~3.7, group TL 4.14).</t>
  </si>
  <si>
    <t>Bothidae</t>
  </si>
  <si>
    <t>Lefteye flounders</t>
  </si>
  <si>
    <t>bothidae</t>
  </si>
  <si>
    <t>Lefteye flounder family; "flounders" is Table 1's explicit example for Med Benthic Carnivores.</t>
  </si>
  <si>
    <t>Veneridae</t>
  </si>
  <si>
    <t>Venus clams</t>
  </si>
  <si>
    <t>veneridae</t>
  </si>
  <si>
    <t>Venus clam family; "bivalves" is Table 1's explicit example for Heterotrophic Benthos.</t>
  </si>
  <si>
    <t>Pristipomoides multidens</t>
  </si>
  <si>
    <t>Goldbanded jobfish</t>
  </si>
  <si>
    <t>pristipomoides multidens</t>
  </si>
  <si>
    <t>Goldbanded jobfish; Lutjanidae (snapper/jobfish family) - "jobfish" and "red snappers" are Table 1's explicit examples for Large Benthic Carnivores.</t>
  </si>
  <si>
    <t>Octopoda</t>
  </si>
  <si>
    <t>Octopuses, argonauts</t>
  </si>
  <si>
    <t>octopoda</t>
  </si>
  <si>
    <t>Octopus order; Cephalopods is the model's only cephalopod-type group, so every cephalopod taxon is an unambiguous fit regardless of exact rank.</t>
  </si>
  <si>
    <t>Portunus</t>
  </si>
  <si>
    <t>Swimmer crabs</t>
  </si>
  <si>
    <t>portunus</t>
  </si>
  <si>
    <t>Genus explicitly named in Table 1's Crabs and lobsters definition.</t>
  </si>
  <si>
    <t>Pomacanthidae</t>
  </si>
  <si>
    <t>Angelfishes</t>
  </si>
  <si>
    <t>pomacanthidae</t>
  </si>
  <si>
    <t>Angelfish family; angelfish (Pomacanthidae) are sponge/algae-grazing reef omnivores (TL 2.67-2.86), not named in Table 1 but ecologically closest to the low-TL Benthic Omnivores guild (group TL 2.55).</t>
  </si>
  <si>
    <t>Acanthuridae</t>
  </si>
  <si>
    <t>Surgeons, tangs, unicornfishes</t>
  </si>
  <si>
    <t>acanthuridae</t>
  </si>
  <si>
    <t>Surgeonfish family; surgeonfish (Acanthuridae) are herbivorous reef grazers (TL 2.02-2.28), not named in Table 1 but ecologically closest to the low-TL grazer/omnivore guild of Benthic Omnivores (group TL 2.55).</t>
  </si>
  <si>
    <t>Labridae</t>
  </si>
  <si>
    <t>Wrasses, gropers, tuskfishes</t>
  </si>
  <si>
    <t>labridae</t>
  </si>
  <si>
    <t>Wrasse family; diverse benthic invertivores/durophages, SAU size class "Medium reef assoc. fish" and TL (3.46) closest to Med Benthic Carnivores (group TL 3.19); family not named in Table 1.</t>
  </si>
  <si>
    <t>taxon_count_total</t>
  </si>
  <si>
    <t>taxon_count_matched</t>
  </si>
  <si>
    <t>catch_tonnes_total</t>
  </si>
  <si>
    <t>catch_tonnes_matched</t>
  </si>
  <si>
    <t>catch_tonnes_missing_tl</t>
  </si>
  <si>
    <t>catch_coverage_fraction</t>
  </si>
  <si>
    <t>sppr_correct</t>
  </si>
  <si>
    <t>ppr_correct</t>
  </si>
  <si>
    <t>tl_weighted_jensen</t>
  </si>
  <si>
    <t>sppr_jensen</t>
  </si>
  <si>
    <t>ppr_jensen</t>
  </si>
  <si>
    <t>jensen_difference</t>
  </si>
  <si>
    <t>jensen_ratio_correct_to_error</t>
  </si>
  <si>
    <t>jensen_percent_difference</t>
  </si>
  <si>
    <t>check</t>
  </si>
  <si>
    <t>value</t>
  </si>
  <si>
    <t>unit</t>
  </si>
  <si>
    <t>raw_filtered_tonnes</t>
  </si>
  <si>
    <t>tonnes</t>
  </si>
  <si>
    <t>species_catch_tonnes</t>
  </si>
  <si>
    <t>catch_difference_tonnes</t>
  </si>
  <si>
    <t>catch_reconciled</t>
  </si>
  <si>
    <t>True</t>
  </si>
  <si>
    <t>boolean</t>
  </si>
  <si>
    <t>matched_catch_tonnes</t>
  </si>
  <si>
    <t>fraction</t>
  </si>
  <si>
    <t>taxa_count</t>
  </si>
  <si>
    <t>count</t>
  </si>
  <si>
    <t>matched_taxa_count</t>
  </si>
  <si>
    <t>unmatched_taxa_count</t>
  </si>
  <si>
    <t>species_ppr</t>
  </si>
  <si>
    <t>tonnes_primary_production_equivalent</t>
  </si>
  <si>
    <t>commercial_ppr</t>
  </si>
  <si>
    <t>functional_ppr</t>
  </si>
  <si>
    <t>commercial_ppr_difference</t>
  </si>
  <si>
    <t>functional_ppr_difference</t>
  </si>
  <si>
    <t>commercial_ppr_reconciled</t>
  </si>
  <si>
    <t>functional_ppr_reconciled</t>
  </si>
  <si>
    <t>commercial_jensen_violations</t>
  </si>
  <si>
    <t>functional_jensen_violations</t>
  </si>
  <si>
    <t>LME_032 - Arabian Sea</t>
  </si>
  <si>
    <t>Field</t>
  </si>
  <si>
    <t>Value</t>
  </si>
  <si>
    <t>Notes / source</t>
  </si>
  <si>
    <t>Unit ID</t>
  </si>
  <si>
    <t>Sea Around Us region identifier</t>
  </si>
  <si>
    <t>Transfer efficiency</t>
  </si>
  <si>
    <t>Used by every SPPR formula</t>
  </si>
  <si>
    <t>Year</t>
  </si>
  <si>
    <t>Latest year common to all 84 datasets</t>
  </si>
  <si>
    <t>Region type</t>
  </si>
  <si>
    <t>Sea Around Us spatial classification</t>
  </si>
  <si>
    <t>Catch scope</t>
  </si>
  <si>
    <t>Landings + Discards</t>
  </si>
  <si>
    <t>Reported + unreported; all sectors, gears, entities, and end uses</t>
  </si>
  <si>
    <t>SPPR formula</t>
  </si>
  <si>
    <t>(1 / TE)^(TL - 1)</t>
  </si>
  <si>
    <t>TE is the Metadata!B5 value</t>
  </si>
  <si>
    <t>PPR formula</t>
  </si>
  <si>
    <t>Catch tonnes × SPPR</t>
  </si>
  <si>
    <t>Unit: tonnes primary-production equivalent</t>
  </si>
  <si>
    <t>Wet-weight/carbon divisor</t>
  </si>
  <si>
    <t>Not applied</t>
  </si>
  <si>
    <t>The paper's /9 conversion is intentionally omitted</t>
  </si>
  <si>
    <t>Primary TL source</t>
  </si>
  <si>
    <t>No SPPR regression from the supplement is used</t>
  </si>
  <si>
    <t>Secondary TL source</t>
  </si>
  <si>
    <t>Exact taxon matches, followed by documented fallbacks</t>
  </si>
  <si>
    <t>Catch data URL</t>
  </si>
  <si>
    <t>https://www.seaaroundus.org/data/</t>
  </si>
  <si>
    <t>Frozen archive: raw_data/SAU_downloads/LME_032-catch.zip</t>
  </si>
  <si>
    <t>Method source</t>
  </si>
  <si>
    <t>Pauly &amp; Christensen (1995)</t>
  </si>
  <si>
    <t>Nature 374:255-257</t>
  </si>
  <si>
    <t>paper</t>
  </si>
  <si>
    <t>model</t>
  </si>
  <si>
    <t>model_tl</t>
  </si>
  <si>
    <t>grouping_basis</t>
  </si>
  <si>
    <t>reported_or_supporting_taxa</t>
  </si>
  <si>
    <t>evidence_note</t>
  </si>
  <si>
    <t>primary_source</t>
  </si>
  <si>
    <t>supporting_source</t>
  </si>
  <si>
    <t>primary_url</t>
  </si>
  <si>
    <t>supporting_url</t>
  </si>
  <si>
    <t>supplement_status</t>
  </si>
  <si>
    <t>Mohamed, K.S. &amp; Zacharia, P.U. (2009) Prediction and modelling of marine fishery yields from the Arabian Sea off Karnataka using Ecosim. Indian Journal of Marine Sciences 38(1): 69-76.</t>
  </si>
  <si>
    <t>Arabian Sea off Karnataka (2000)</t>
  </si>
  <si>
    <t>Marine Mammals</t>
  </si>
  <si>
    <t>Taxonomic (marine mammal order)</t>
  </si>
  <si>
    <t>Dolphins</t>
  </si>
  <si>
    <t>No dolphin/cetacean taxa are present in this workbook's 393 catch rows; this row documents the group definition for completeness even though it receives no species-sheet assignments.</t>
  </si>
  <si>
    <t>Mohamed, K.S. &amp; Zacharia, P.U. (2009), Indian J. Mar. Sci. 38(1): 69-76; Table 1 (functional group list with indicative taxa, PDF p.2 / printed p.70), Table 2 (biomass, P/B, Q/B, EE, TL per group, PDF p.3 / printed p.71).</t>
  </si>
  <si>
    <t>Mohamed, K.S., Zacharia, P.U., Muthiah, C., Abdurahiman, K.P. &amp; Nayak, T.H. (2008) Trophic modelling of the Arabian Sea ecosystem off Karnataka and simulation of fishery yields, CMFRI Bulletin 51 (underlying Ecopath model, cited as reference 13 of the 2009 paper; present in this collection as LME_032/ARAB-2005/).</t>
  </si>
  <si>
    <t>https://eprints.cmfri.org.in/6253/1/IJMS_38%281%29_69-76.pdf</t>
  </si>
  <si>
    <t>https://eprints.cmfri.org.in/3945/</t>
  </si>
  <si>
    <t>No supplementary species-list file exists for this paper; Table 1 (PDF p.2, printed p.70) is a two-column in-text table captioned 'not an exhaustive list, only indicative; includes more than 120 species' and is the only species-to-group evidence the source provides. No further supplement was found or needed.</t>
  </si>
  <si>
    <t>Taxonomic (true/non-batoid sharks: Carcharhiniformes, Lamniformes, Orectolobiformes)</t>
  </si>
  <si>
    <t>Rhizoprionodon, Carcharhinus, Scoliodon, Sphyrna spp</t>
  </si>
  <si>
    <t>Model 3 (Skates &amp; Rays) is a separate, dedicated batoid group in this LME, so every non-batoid shark taxon in the workbook (31 rows) maps here regardless of whether its exact genus is one of Table 1's four named examples.</t>
  </si>
  <si>
    <t>Taxonomic (batoids: Rhinopristiformes, Myliobatiformes)</t>
  </si>
  <si>
    <t>Rhynchobatus, Rhinoptera, Dasyatis spp</t>
  </si>
  <si>
    <t>Separate from Sharks in this model (unlike some other LME Ecopath models, which pool sharks and rays); 14 workbook rows map here via explicit genus/family containment.</t>
  </si>
  <si>
    <t>Taxonomic/ecological (fast large epipelagic predators)</t>
  </si>
  <si>
    <t>seers, kingfish and barracudas (Scomberomorus, Sphyraena)</t>
  </si>
  <si>
    <t>Table 1 names only seerfish and barracuda genera; billfish (Istiophoridae, Xiphiidae), dolphinfish (Coryphaena), cobia (Rachycentron) and other apex epipelagic predators not named in Table 1 are placed here by ecological analogy (diet on Mackerel/Clupeids/Anchovies groups per the model's own diet matrix) and TL proximity (group TL 4.18), all flagged YELLOW rather than GREEN.</t>
  </si>
  <si>
    <t>Taxonomic (tribe Thunnini + closely allied Scombridae)</t>
  </si>
  <si>
    <t>Euthynnus, Thunnus, Auxis spp</t>
  </si>
  <si>
    <t>Katsuwonus pelamis (skipjack) is treated as GREEN despite not being separately named because it belongs to the same tribe (Thunnini) as the three named genera; Sarda and Gymnosarda (tribe Sardini) are placed here YELLOW as the closest phylogenetic/ecological analogues among the workbook's remaining scombrids.</t>
  </si>
  <si>
    <t>Taxonomic (class Cephalopoda)</t>
  </si>
  <si>
    <t>squids and cuttlefish</t>
  </si>
  <si>
    <t>The model's only cephalopod-type group, so every cephalopod taxon in the workbook (11 rows, including octopuses) is an unambiguous GREEN fit regardless of taxonomic rank.</t>
  </si>
  <si>
    <t>Taxonomic/common-name guild</t>
  </si>
  <si>
    <t>ribbonfish, horse mackerel, catfish, wolf herring and queenfish</t>
  </si>
  <si>
    <t>Covers Trichiuridae (ribbonfish/hairtail), Ariidae/Siluriformes (catfish), Chirocentrus (wolf herring) and Scomberoides (queenfish) by explicit genus/family/common-name match; Bramidae and Lactarius lactarius are placed here YELLOW by TL match (~4.1-4.2 vs group TL 4.15) as oceanic mid-water predators distinct from the shallow benthic guilds.</t>
  </si>
  <si>
    <t>Size-class + taxonomic (large demersal carnivorous reef/benthic fish)</t>
  </si>
  <si>
    <t>rock cods, jobfish, lizardfishes, red snappers</t>
  </si>
  <si>
    <t>Serranidae (rock cods/groupers), Lutjanidae (jobfish/snappers) and Synodontidae (lizardfishes) map here by explicit family match (93 rows, the model's largest group by taxon count). A large ecological-inference bucket (YELLOW) covers demersal apex-predator families/genera not named in Table 1 but TL- and diet-consistent with this guild: Lethrinidae (emperors), large predatory Carangidae (Caranx, Carangoides, Seriola and allied trevally/amberjack genera - as distinct from the small schooling 'scad' Carangidae placed in Small Benthopelagics), Anguilliformes/Muraenesocidae (eels), Synanceiidae/Scorpaenidae (venomous ambush predators), Latidae (Lates calcarifer), Polynemidae's large-bodied genera, and the single high-TL Sparidae outlier Argyrops spinifer (TL 4.49).</t>
  </si>
  <si>
    <t>Size-class + taxonomic (medium demersal carnivorous fish)</t>
  </si>
  <si>
    <t>sciaenids, flatheads, bull's eye, pomfrets, balistids, flounders</t>
  </si>
  <si>
    <t>Sciaenidae (sciaenids), Platycephalidae (flatheads), Stromateidae/Pampus (pomfrets), Balistidae (balistids) and Bothidae (flounders) map here by explicit family match. A YELLOW ecological-inference bucket covers Sparidae (seabreams, TL ~3.3-3.5), Haemulidae (grunts/sweetlips), Ephippidae/Drepaneidae (batfish/sicklefish), Sillaginidae, Polynemidae's unidentified entry, Monacanthidae (filefish, close relative of Balistidae), Psettodes erumei (a non-Soleidae flatfish grouped with 'flounders' by order) and Labridae (wrasses) - none named in Table 1 but TL- and size-consistent with this guild (group TL 3.19).</t>
  </si>
  <si>
    <t>Size-class + taxonomic (small demersal carnivorous fish)</t>
  </si>
  <si>
    <t>threadfin breams, terapons, whitefish, silverbellies, goatfishes, cardinalfish, Uranoscopus sp and tetradon</t>
  </si>
  <si>
    <t>Nemipteridae (threadfin breams, incl. Scolopsis monocle breams), Terapontidae (terapons), Gerreidae (silverbellies), Mullidae (goatfishes) and Tetraodontidae (tetradon) map here by explicit family match. Gobiidae and the small, low-TL Sparidae outlier Crenidens crenidens (TL 2.8) are placed here YELLOW by TL/size-class match; no cardinalfish (Apogonidae) or Uranoscopus taxa are present in this workbook.</t>
  </si>
  <si>
    <t>Taxonomic/ecological (small schooling pelagic/benthopelagic fish)</t>
  </si>
  <si>
    <t>scads, carangids, moonfish and myctophids</t>
  </si>
  <si>
    <t>Decapterus/Selar/Selaroides/Atule/Megalaspis/Alepes (scads) and Mene maculata (moonfish) map by explicit genus/common-name match; unidentified Carangidae defaults here. Leiognathidae (ponyfish), Caesionidae (fusiliers), Ariomma indica and Hemiramphidae (halfbeaks) are placed here YELLOW as small schooling zooplanktivores ecologically analogous to scads/moonfish, though none are named in Table 1; no myctophid taxa are present in this workbook.</t>
  </si>
  <si>
    <t>Single-species</t>
  </si>
  <si>
    <t>The model's Mackerel group is defined by this one species; Rastrelliger kanagurta (2 rows, including the bare genus entry) is the only workbook taxon mapped here, both GREEN.</t>
  </si>
  <si>
    <t>Taxonomic (family Clupeidae, with one paper-stated exception)</t>
  </si>
  <si>
    <t>oil sardine, lesser sardines, rainbow sardines, Thryssa, white sardine, Pellona</t>
  </si>
  <si>
    <t>Table 1 explicitly places the anchovy-family genus Thryssa under Clupeids rather than under Anchovies (which names only Stolephorus and Bregmaceros mcclellandi) - an unusual, paper-specific exception followed here as printed rather than by standard Engraulidae taxonomy. All other Clupeidae genera/species (Sardinella, Dussumieria, Nematalosa, Anodontostoma, Tenualosa, Hilsa, Spratelloides) map by family/genus containment or exact common-name match.</t>
  </si>
  <si>
    <t>Taxonomic (family Engraulidae, minus the Thryssa exception) + one named non-clupeoid species</t>
  </si>
  <si>
    <t>Stolephorus spp, Bregmaceros mcclellandi</t>
  </si>
  <si>
    <t>Stolephorus (explicit genus) and Bregmaceros mcclellandi (explicit species, though not an anchovy taxonomically - a codlet, Gadiformes) map by exact Table 1 match; Engraulidae and Encrasicholina heteroloba map by family containment, excluding the Thryssa genus which Table 1 explicitly assigns to Clupeids instead.</t>
  </si>
  <si>
    <t>Taxonomic (Portunidae crabs + Palinuridae/Scyllaridae lobsters)</t>
  </si>
  <si>
    <t>Portunus, Charybdis, Panulirus spp</t>
  </si>
  <si>
    <t>Portunus and Panulirus map by exact genus match; Portunidae, Palinuridae and Scylla serrata (same family as Portunus) map by family containment. Thenus orientalis (Scyllaridae, a slipper lobster rather than Palinuridae) is treated GREEN as an unambiguous lobster given this is the model's only lobster-holding group.</t>
  </si>
  <si>
    <t>Taxonomic (family Penaeidae / suborder Dendrobranchiata)</t>
  </si>
  <si>
    <t>Metapenaeus, Parapenaeopsis, Trachypenaeus, Aristeus spp</t>
  </si>
  <si>
    <t>Metapenaeus and Parapenaeopsis map by exact genus match; Penaeidae, Penaeus and Dendrobranchiata map by family/suborder containment, this being the model's only shrimp-type group.</t>
  </si>
  <si>
    <t>Ecological/size (low-TL benthic grazer/omnivore/detritivore guild)</t>
  </si>
  <si>
    <t>soles, cornetfish, squilla</t>
  </si>
  <si>
    <t>Soleidae (soles) maps by explicit family match. A YELLOW ecological-inference bucket covers other low-TL (~2.0-3.2) grazing/omnivorous reef and estuarine fish not named in Table 1: Mugilidae (mullets), Scaridae (parrotfish), Siganidae (rabbitfish), Acanthuridae (surgeonfish), Pomacentridae (damselfish), Pomacanthidae (angelfish), Chaetodontidae (butterflyfish) and Chanos chanos (milkfish); no cornetfish (Fistulariidae) or squilla (Stomatopoda) taxa are present in this workbook.</t>
  </si>
  <si>
    <t>Taxonomic (epifaunal benthic invertebrates)</t>
  </si>
  <si>
    <t>epifauna: bivalves, gastropods, echinoderms, benthic crabs, amphipods and isopods</t>
  </si>
  <si>
    <t>Bivalvia/Pteriomorphia/Mytilidae and named bivalve genera map to 'bivalves'; Gastropoda/Haliotis(idae) map to 'gastropods'; Echinoidea and Holothuroidea (sea cucumbers, also echinoderms) map to 'echinoderms'. No amphipod, isopod or additional benthic-crab taxa beyond those already placed in Crabs &amp; Lobster are present in this workbook.</t>
  </si>
  <si>
    <t>Meiobenthos</t>
  </si>
  <si>
    <t>Taxonomic (infaunal benthic invertebrates)</t>
  </si>
  <si>
    <t>benthic infauna: annelids, polychaetes, foraminiferans and hydrozoans</t>
  </si>
  <si>
    <t>No annelid, polychaete, foraminiferan or hydrozoan taxa are present in this workbook's 393 catch rows (expected, since Sea Around Us commercial catch reconstructions do not report infaunal meiobenthos); this row documents the group definition for completeness.</t>
  </si>
  <si>
    <t>Taxonomic/life-stage</t>
  </si>
  <si>
    <t>jellyfish, juveniles of fishes</t>
  </si>
  <si>
    <t>Rhizostomeae, Scyphozoa and named jellyfish genera map by explicit 'jellyfish' match. Cnidaria (129) is placed here YELLOW on the corroborating evidence of SAU's own functional_group label for that row ('Jellyfish', matching the other Scyphozoa rows), since the phylum itself technically also spans benthic hydrozoans (Meiobenthos); no juvenile-fish catch category is present in this workbook.</t>
  </si>
  <si>
    <t>Large zooplankton</t>
  </si>
  <si>
    <t>Taxonomic (planktonic crustaceans/gelatinous zooplankton)</t>
  </si>
  <si>
    <t>Alima larva, Calanus sp, Cladocerans, Mysids, Lucifer larva, Siphonophores</t>
  </si>
  <si>
    <t>No matching taxa are present in this workbook's 393 catch rows (Sea Around Us commercial catch reconstructions do not report zooplankton); this row documents the group definition for completeness.</t>
  </si>
  <si>
    <t>Micro Zooplankton</t>
  </si>
  <si>
    <t>Taxonomic (eggs, larvae, tintinnids)</t>
  </si>
  <si>
    <t>fish eggs, decapod eggs and larva, bivalve larva and tintinnids</t>
  </si>
  <si>
    <t>No matching taxa are present in this workbook's 393 catch rows; this row documents the group definition for completeness.</t>
  </si>
  <si>
    <t>Phytoplankton</t>
  </si>
  <si>
    <t>Taxonomic (primary producers)</t>
  </si>
  <si>
    <t>Fragilaria, Coscinodiscus, Thalassiothrix, Nitzchia spp etc</t>
  </si>
  <si>
    <t>Detritus</t>
  </si>
  <si>
    <t>Non-living compartment</t>
  </si>
  <si>
    <t>No matching taxa are present in this workbook's 393 catch rows (detritus is not a harvested category); this row documents the group definition for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</si>
</sst>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7">
    <font>
      <sz val="11"/>
      <name val="Carlito"/>
    </font>
    <font>
      <b/>
      <sz val="16"/>
      <color rgb="FFFFFFFF"/>
      <name val="Aptos Display"/>
    </font>
    <font>
      <sz val="10"/>
      <name val="Aptos"/>
    </font>
    <font>
      <b/>
      <sz val="10"/>
      <color rgb="FFFFFFFF"/>
      <name val="Aptos"/>
    </font>
    <font>
      <b/>
      <sz val="10"/>
      <color rgb="FF17324D"/>
      <name val="Aptos"/>
    </font>
    <font>
      <sz val="9"/>
      <color rgb="FF1D2939"/>
      <name val="Aptos"/>
    </font>
    <font>
      <b/>
      <sz val="10"/>
      <color rgb="FFFFFFFF"/>
      <name val="Aptos Display"/>
    </font>
  </fonts>
  <fills count="7">
    <fill>
      <patternFill patternType="none"/>
    </fill>
    <fill>
      <patternFill patternType="gray125"/>
    </fill>
    <fill>
      <patternFill patternType="solid">
        <fgColor rgb="FF17324D"/>
      </patternFill>
    </fill>
    <fill>
      <patternFill patternType="solid">
        <fgColor rgb="FF147D92"/>
      </patternFill>
    </fill>
    <fill>
      <patternFill patternType="solid">
        <fgColor rgb="FFC6EFCE"/>
      </patternFill>
    </fill>
    <fill>
      <patternFill patternType="solid">
        <fgColor rgb="FFFFC7CE"/>
      </patternFill>
    </fill>
    <fill>
      <patternFill patternType="solid">
        <fgColor rgb="FFFFEB9C"/>
      </patternFill>
    </fill>
  </fills>
  <borders count="12">
    <border>
      <left/>
      <right/>
      <top/>
      <bottom/>
      <diagonal/>
    </border>
    <border>
      <left/>
      <right/>
      <top/>
      <bottom/>
      <diagonal/>
    </border>
    <border>
      <left/>
      <right style="thin">
        <color rgb="FFD0D5DD"/>
      </right>
      <top/>
      <bottom style="thin">
        <color rgb="FFD0D5DD"/>
      </bottom>
      <diagonal/>
    </border>
    <border>
      <left style="thin">
        <color rgb="FFD0D5DD"/>
      </left>
      <right style="thin">
        <color rgb="FFD0D5DD"/>
      </right>
      <top/>
      <bottom style="thin">
        <color rgb="FFD0D5DD"/>
      </bottom>
      <diagonal/>
    </border>
    <border>
      <left style="thin">
        <color rgb="FFD0D5DD"/>
      </left>
      <right/>
      <top/>
      <bottom style="thin">
        <color rgb="FFD0D5DD"/>
      </bottom>
      <diagonal/>
    </border>
    <border>
      <left/>
      <right style="thin">
        <color rgb="FFD0D5DD"/>
      </right>
      <top style="thin">
        <color rgb="FFD0D5DD"/>
      </top>
      <bottom style="thin">
        <color rgb="FFD0D5DD"/>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style="thin">
        <color rgb="FFD0D5DD"/>
      </top>
      <bottom/>
      <diagonal/>
    </border>
    <border>
      <left style="thin">
        <color rgb="FFD0D5DD"/>
      </left>
      <right style="thin">
        <color rgb="FFD0D5DD"/>
      </right>
      <top style="thin">
        <color rgb="FFD0D5DD"/>
      </top>
      <bottom/>
      <diagonal/>
    </border>
    <border>
      <left style="thin">
        <color rgb="FFD0D5DD"/>
      </left>
      <right/>
      <top style="thin">
        <color rgb="FFD0D5DD"/>
      </top>
      <bottom/>
      <diagonal/>
    </border>
    <border>
      <left/>
      <right/>
      <top/>
      <bottom style="medium">
        <color rgb="FF147D92"/>
      </bottom>
      <diagonal/>
    </border>
  </borders>
  <cellStyleXfs count="1">
    <xf numFmtId="0" fontId="0" fillId="0" borderId="1"/>
  </cellStyleXfs>
  <cellXfs count="25">
    <xf numFmtId="0" fontId="0" fillId="0" borderId="0" xfId="0" applyBorder="1"/>
    <xf numFmtId="0" fontId="3" fillId="3" borderId="2" xfId="0" applyFont="1" applyFill="1" applyBorder="1"/>
    <xf numFmtId="0" fontId="3" fillId="3" borderId="3" xfId="0" applyFont="1" applyFill="1" applyBorder="1"/>
    <xf numFmtId="0" fontId="3" fillId="3" borderId="4" xfId="0" applyFont="1" applyFill="1" applyBorder="1"/>
    <xf numFmtId="0" fontId="2" fillId="0" borderId="6" xfId="0" applyFont="1" applyBorder="1" applyAlignment="1">
      <alignment wrapText="1"/>
    </xf>
    <xf numFmtId="0" fontId="2" fillId="0" borderId="7" xfId="0" applyFont="1" applyBorder="1" applyAlignment="1">
      <alignment wrapText="1"/>
    </xf>
    <xf numFmtId="0" fontId="2" fillId="0" borderId="9" xfId="0" applyFont="1" applyBorder="1" applyAlignment="1">
      <alignment wrapText="1"/>
    </xf>
    <xf numFmtId="0" fontId="2" fillId="0" borderId="10" xfId="0" applyFont="1" applyBorder="1" applyAlignment="1">
      <alignment wrapText="1"/>
    </xf>
    <xf numFmtId="0" fontId="4" fillId="0" borderId="5" xfId="0" applyFont="1" applyBorder="1" applyAlignment="1">
      <alignment wrapText="1"/>
    </xf>
    <xf numFmtId="0" fontId="4" fillId="0" borderId="8" xfId="0" applyFont="1" applyBorder="1" applyAlignment="1">
      <alignment wrapText="1"/>
    </xf>
    <xf numFmtId="0" fontId="5" fillId="0" borderId="0" xfId="0" applyFont="1" applyBorder="1"/>
    <xf numFmtId="0" fontId="6" fillId="2" borderId="11" xfId="0" applyFont="1" applyFill="1" applyBorder="1" applyAlignment="1">
      <alignment vertical="center" wrapText="1"/>
    </xf>
    <xf numFmtId="1" fontId="5" fillId="0" borderId="0" xfId="0" applyNumberFormat="1" applyFont="1" applyBorder="1"/>
    <xf numFmtId="4" fontId="5" fillId="0" borderId="0" xfId="0" applyNumberFormat="1" applyFont="1" applyBorder="1"/>
    <xf numFmtId="164" fontId="5" fillId="0" borderId="0" xfId="0" applyNumberFormat="1" applyFont="1" applyBorder="1"/>
    <xf numFmtId="3" fontId="5" fillId="0" borderId="0" xfId="0" applyNumberFormat="1" applyFont="1" applyBorder="1"/>
    <xf numFmtId="10" fontId="5" fillId="0" borderId="0" xfId="0" applyNumberFormat="1" applyFont="1" applyBorder="1"/>
    <xf numFmtId="165" fontId="2" fillId="0" borderId="6" xfId="0" applyNumberFormat="1" applyFont="1" applyBorder="1" applyAlignment="1">
      <alignment wrapText="1"/>
    </xf>
    <xf numFmtId="0" fontId="6" fillId="2" borderId="0" xfId="0" applyFont="1" applyFill="1" applyBorder="1" applyAlignment="1">
      <alignment vertical="center" wrapText="1"/>
    </xf>
    <xf numFmtId="0" fontId="0" fillId="4" borderId="0" xfId="0" applyFill="1" applyBorder="1" applyAlignment="1">
      <alignment vertical="top"/>
    </xf>
    <xf numFmtId="0" fontId="0" fillId="0" borderId="0" xfId="0" applyBorder="1" applyAlignment="1">
      <alignment vertical="top" wrapText="1"/>
    </xf>
    <xf numFmtId="0" fontId="0" fillId="5" borderId="0" xfId="0" applyFill="1" applyBorder="1" applyAlignment="1">
      <alignment vertical="top"/>
    </xf>
    <xf numFmtId="0" fontId="0" fillId="6" borderId="0" xfId="0" applyFill="1" applyBorder="1" applyAlignment="1">
      <alignment vertical="top"/>
    </xf>
    <xf numFmtId="0" fontId="1" fillId="2" borderId="1" xfId="0" applyFont="1" applyFill="1"/>
    <xf numFmtId="0" fontId="0" fillId="0" borderId="1" xfId="0"/>
  </cellXfs>
  <cellStyles count="1">
    <cellStyle name="Normal" xfId="0" builtinId="0"/>
  </cellStyles>
  <dxfs count="3">
    <dxf>
      <font>
        <b/>
        <color rgb="FFB42318"/>
      </font>
      <fill>
        <patternFill patternType="solid">
          <bgColor rgb="FFFEE4E2"/>
        </patternFill>
      </fill>
    </dxf>
    <dxf>
      <font>
        <b/>
        <color rgb="FFB42318"/>
      </font>
      <fill>
        <patternFill patternType="solid">
          <bgColor rgb="FFFEE4E2"/>
        </patternFill>
      </fill>
    </dxf>
    <dxf>
      <font>
        <color rgb="FF9A3412"/>
      </font>
      <fill>
        <patternFill patternType="solid">
          <bgColor rgb="FFFCEA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ME032SpeciesTable" displayName="LME032SpeciesTable" ref="A1:U394" totalsRowShown="0">
  <autoFilter ref="A1:U394" xr:uid="{00000000-0009-0000-0100-000001000000}"/>
  <tableColumns count="21">
    <tableColumn id="1" xr3:uid="{00000000-0010-0000-0000-000001000000}" name="unit_id"/>
    <tableColumn id="2" xr3:uid="{00000000-0010-0000-0000-000002000000}" name="region_name"/>
    <tableColumn id="3" xr3:uid="{00000000-0010-0000-0000-000003000000}" name="region_type"/>
    <tableColumn id="4" xr3:uid="{00000000-0010-0000-0000-000004000000}" name="year"/>
    <tableColumn id="5" xr3:uid="{00000000-0010-0000-0000-000005000000}" name="taxon"/>
    <tableColumn id="6" xr3:uid="{00000000-0010-0000-0000-000006000000}" name="common_name"/>
    <tableColumn id="7" xr3:uid="{00000000-0010-0000-0000-000007000000}" name="functional_group"/>
    <tableColumn id="8" xr3:uid="{00000000-0010-0000-0000-000008000000}" name="commercial_group"/>
    <tableColumn id="9" xr3:uid="{00000000-0010-0000-0000-000009000000}" name="catch_tonnes"/>
    <tableColumn id="10" xr3:uid="{00000000-0010-0000-0000-00000A000000}" name="landings_tonnes"/>
    <tableColumn id="11" xr3:uid="{00000000-0010-0000-0000-00000B000000}" name="discards_tonnes"/>
    <tableColumn id="12" xr3:uid="{00000000-0010-0000-0000-00000C000000}" name="reported_tonnes"/>
    <tableColumn id="13" xr3:uid="{00000000-0010-0000-0000-00000D000000}" name="unreported_tonnes"/>
    <tableColumn id="14" xr3:uid="{00000000-0010-0000-0000-00000E000000}" name="taxon_key"/>
    <tableColumn id="15" xr3:uid="{00000000-0010-0000-0000-00000F000000}" name="tl"/>
    <tableColumn id="16" xr3:uid="{00000000-0010-0000-0000-000010000000}" name="match_method"/>
    <tableColumn id="17" xr3:uid="{00000000-0010-0000-0000-000011000000}" name="tl_source"/>
    <tableColumn id="18" xr3:uid="{00000000-0010-0000-0000-000012000000}" name="match_confidence"/>
    <tableColumn id="19" xr3:uid="{00000000-0010-0000-0000-000013000000}" name="reference_taxon"/>
    <tableColumn id="20" xr3:uid="{00000000-0010-0000-0000-000014000000}" name="sppr"/>
    <tableColumn id="21" xr3:uid="{00000000-0010-0000-0000-000015000000}" name="pp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ME032CommercialTable" displayName="LME032CommercialTable" ref="A1:O12" totalsRowShown="0">
  <autoFilter ref="A1:O12" xr:uid="{00000000-0009-0000-0100-000002000000}"/>
  <tableColumns count="15">
    <tableColumn id="1" xr3:uid="{00000000-0010-0000-0100-000001000000}" name="commercial_group"/>
    <tableColumn id="2" xr3:uid="{00000000-0010-0000-0100-000002000000}" name="taxon_count_total"/>
    <tableColumn id="3" xr3:uid="{00000000-0010-0000-0100-000003000000}" name="taxon_count_matched"/>
    <tableColumn id="4" xr3:uid="{00000000-0010-0000-0100-000004000000}" name="catch_tonnes_total"/>
    <tableColumn id="5" xr3:uid="{00000000-0010-0000-0100-000005000000}" name="catch_tonnes_matched"/>
    <tableColumn id="6" xr3:uid="{00000000-0010-0000-0100-000006000000}" name="catch_tonnes_missing_tl"/>
    <tableColumn id="7" xr3:uid="{00000000-0010-0000-0100-000007000000}" name="catch_coverage_fraction"/>
    <tableColumn id="8" xr3:uid="{00000000-0010-0000-0100-000008000000}" name="sppr_correct"/>
    <tableColumn id="9" xr3:uid="{00000000-0010-0000-0100-000009000000}" name="ppr_correct"/>
    <tableColumn id="10" xr3:uid="{00000000-0010-0000-0100-00000A000000}" name="tl_weighted_jensen"/>
    <tableColumn id="11" xr3:uid="{00000000-0010-0000-0100-00000B000000}" name="sppr_jensen"/>
    <tableColumn id="12" xr3:uid="{00000000-0010-0000-0100-00000C000000}" name="ppr_jensen"/>
    <tableColumn id="13" xr3:uid="{00000000-0010-0000-0100-00000D000000}" name="jensen_difference"/>
    <tableColumn id="14" xr3:uid="{00000000-0010-0000-0100-00000E000000}" name="jensen_ratio_correct_to_error"/>
    <tableColumn id="15" xr3:uid="{00000000-0010-0000-0100-00000F000000}" name="jensen_percent_differ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ME032FunctionalTable" displayName="LME032FunctionalTable" ref="A1:O25" totalsRowShown="0">
  <autoFilter ref="A1:O25" xr:uid="{00000000-0009-0000-0100-000003000000}"/>
  <tableColumns count="15">
    <tableColumn id="1" xr3:uid="{00000000-0010-0000-0200-000001000000}" name="functional_group"/>
    <tableColumn id="2" xr3:uid="{00000000-0010-0000-0200-000002000000}" name="taxon_count_total"/>
    <tableColumn id="3" xr3:uid="{00000000-0010-0000-0200-000003000000}" name="taxon_count_matched"/>
    <tableColumn id="4" xr3:uid="{00000000-0010-0000-0200-000004000000}" name="catch_tonnes_total"/>
    <tableColumn id="5" xr3:uid="{00000000-0010-0000-0200-000005000000}" name="catch_tonnes_matched"/>
    <tableColumn id="6" xr3:uid="{00000000-0010-0000-0200-000006000000}" name="catch_tonnes_missing_tl"/>
    <tableColumn id="7" xr3:uid="{00000000-0010-0000-0200-000007000000}" name="catch_coverage_fraction"/>
    <tableColumn id="8" xr3:uid="{00000000-0010-0000-0200-000008000000}" name="sppr_correct"/>
    <tableColumn id="9" xr3:uid="{00000000-0010-0000-0200-000009000000}" name="ppr_correct"/>
    <tableColumn id="10" xr3:uid="{00000000-0010-0000-0200-00000A000000}" name="tl_weighted_jensen"/>
    <tableColumn id="11" xr3:uid="{00000000-0010-0000-0200-00000B000000}" name="sppr_jensen"/>
    <tableColumn id="12" xr3:uid="{00000000-0010-0000-0200-00000C000000}" name="ppr_jensen"/>
    <tableColumn id="13" xr3:uid="{00000000-0010-0000-0200-00000D000000}" name="jensen_difference"/>
    <tableColumn id="14" xr3:uid="{00000000-0010-0000-0200-00000E000000}" name="jensen_ratio_correct_to_error"/>
    <tableColumn id="15" xr3:uid="{00000000-0010-0000-0200-00000F000000}" name="jensen_percent_differ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ME032ValidationTable" displayName="LME032ValidationTable" ref="A1:D19" totalsRowShown="0">
  <autoFilter ref="A1:D19" xr:uid="{00000000-0009-0000-0100-000004000000}"/>
  <tableColumns count="4">
    <tableColumn id="1" xr3:uid="{00000000-0010-0000-0300-000001000000}" name="unit_id"/>
    <tableColumn id="2" xr3:uid="{00000000-0010-0000-0300-000002000000}" name="check"/>
    <tableColumn id="3" xr3:uid="{00000000-0010-0000-0300-000003000000}" name="value"/>
    <tableColumn id="4" xr3:uid="{00000000-0010-0000-0300-000004000000}" name="un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94"/>
  <sheetViews>
    <sheetView showGridLines="0" tabSelected="1" workbookViewId="0"/>
  </sheetViews>
  <sheetFormatPr defaultRowHeight="14"/>
  <cols>
    <col min="1" max="3" width="22" customWidth="1"/>
    <col min="4" max="4" width="15" customWidth="1"/>
    <col min="5" max="5" width="25" customWidth="1"/>
    <col min="6" max="6" width="23" customWidth="1"/>
    <col min="7" max="7" width="30" customWidth="1"/>
    <col min="8" max="8" width="24" customWidth="1"/>
    <col min="9" max="13" width="18" customWidth="1"/>
    <col min="14" max="14" width="22" customWidth="1"/>
    <col min="15" max="15" width="15" customWidth="1"/>
    <col min="16" max="16" width="22" customWidth="1"/>
    <col min="17" max="17" width="40" customWidth="1"/>
    <col min="18" max="18" width="22" customWidth="1"/>
    <col min="19" max="19" width="25" customWidth="1"/>
    <col min="20" max="21" width="18" customWidth="1"/>
    <col min="22" max="22" width="34" customWidth="1"/>
    <col min="23" max="23" width="70" customWidth="1"/>
  </cols>
  <sheetData>
    <row r="1" spans="1:23" ht="32"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8" t="s">
        <v>21</v>
      </c>
      <c r="W1" s="18" t="s">
        <v>22</v>
      </c>
    </row>
    <row r="2" spans="1:23" ht="18" customHeight="1">
      <c r="A2" s="10" t="s">
        <v>23</v>
      </c>
      <c r="B2" s="10" t="s">
        <v>24</v>
      </c>
      <c r="C2" s="10" t="s">
        <v>25</v>
      </c>
      <c r="D2" s="12">
        <v>2019</v>
      </c>
      <c r="E2" s="10" t="s">
        <v>26</v>
      </c>
      <c r="F2" s="10" t="s">
        <v>27</v>
      </c>
      <c r="G2" s="10" t="s">
        <v>28</v>
      </c>
      <c r="H2" s="10" t="s">
        <v>29</v>
      </c>
      <c r="I2" s="13">
        <v>613277.91702229262</v>
      </c>
      <c r="J2" s="13">
        <v>608735.6964675124</v>
      </c>
      <c r="K2" s="13">
        <v>4542.2205547801996</v>
      </c>
      <c r="L2" s="13">
        <v>518298.31975531339</v>
      </c>
      <c r="M2" s="13">
        <v>94979.59726697921</v>
      </c>
      <c r="N2" s="10" t="s">
        <v>30</v>
      </c>
      <c r="O2" s="14">
        <v>2.41</v>
      </c>
      <c r="P2" s="10" t="s">
        <v>31</v>
      </c>
      <c r="Q2" s="14" t="s">
        <v>32</v>
      </c>
      <c r="R2" s="10" t="s">
        <v>33</v>
      </c>
      <c r="S2" s="10" t="s">
        <v>26</v>
      </c>
      <c r="T2" s="14">
        <f>IF(O2="","",(1/Metadata!$B$5)^(O2-1))</f>
        <v>25.703957827688658</v>
      </c>
      <c r="U2" s="13">
        <f t="shared" ref="U2:U65" si="0">IF(T2="","",I2*T2)</f>
        <v>15763669.715793753</v>
      </c>
      <c r="V2" s="19" t="s">
        <v>34</v>
      </c>
      <c r="W2" s="20" t="s">
        <v>35</v>
      </c>
    </row>
    <row r="3" spans="1:23" ht="18" customHeight="1">
      <c r="A3" s="10" t="s">
        <v>23</v>
      </c>
      <c r="B3" s="10" t="s">
        <v>24</v>
      </c>
      <c r="C3" s="10" t="s">
        <v>25</v>
      </c>
      <c r="D3" s="12">
        <v>2019</v>
      </c>
      <c r="E3" s="10" t="s">
        <v>36</v>
      </c>
      <c r="F3" s="10" t="s">
        <v>37</v>
      </c>
      <c r="G3" s="10" t="s">
        <v>38</v>
      </c>
      <c r="H3" s="10" t="s">
        <v>39</v>
      </c>
      <c r="I3" s="13">
        <v>558935.37345999375</v>
      </c>
      <c r="J3" s="13">
        <v>493606.02621869219</v>
      </c>
      <c r="K3" s="13">
        <v>65329.347241301497</v>
      </c>
      <c r="L3" s="13">
        <v>406066.68239805917</v>
      </c>
      <c r="M3" s="13">
        <v>152868.69106193451</v>
      </c>
      <c r="N3" s="10" t="s">
        <v>40</v>
      </c>
      <c r="O3" s="14">
        <v>3.28</v>
      </c>
      <c r="P3" s="10" t="s">
        <v>41</v>
      </c>
      <c r="Q3" s="14" t="s">
        <v>42</v>
      </c>
      <c r="R3" s="10" t="s">
        <v>33</v>
      </c>
      <c r="S3" s="10" t="s">
        <v>36</v>
      </c>
      <c r="T3" s="14">
        <f>IF(O3="","",(1/Metadata!$B$5)^(O3-1))</f>
        <v>190.54607179632481</v>
      </c>
      <c r="U3" s="13">
        <f t="shared" si="0"/>
        <v>106502939.80081359</v>
      </c>
      <c r="V3" s="21" t="s">
        <v>43</v>
      </c>
      <c r="W3" s="20" t="s">
        <v>44</v>
      </c>
    </row>
    <row r="4" spans="1:23" ht="18" customHeight="1">
      <c r="A4" s="10" t="s">
        <v>23</v>
      </c>
      <c r="B4" s="10" t="s">
        <v>24</v>
      </c>
      <c r="C4" s="10" t="s">
        <v>25</v>
      </c>
      <c r="D4" s="12">
        <v>2019</v>
      </c>
      <c r="E4" s="10" t="s">
        <v>45</v>
      </c>
      <c r="F4" s="10" t="s">
        <v>46</v>
      </c>
      <c r="G4" s="10" t="s">
        <v>47</v>
      </c>
      <c r="H4" s="10" t="s">
        <v>48</v>
      </c>
      <c r="I4" s="13">
        <v>288152.29221300769</v>
      </c>
      <c r="J4" s="13">
        <v>271292.46728090849</v>
      </c>
      <c r="K4" s="13">
        <v>16859.824932099302</v>
      </c>
      <c r="L4" s="13">
        <v>227126.34195007459</v>
      </c>
      <c r="M4" s="13">
        <v>61025.950262933198</v>
      </c>
      <c r="N4" s="10" t="s">
        <v>49</v>
      </c>
      <c r="O4" s="14">
        <v>3.19</v>
      </c>
      <c r="P4" s="10" t="s">
        <v>31</v>
      </c>
      <c r="Q4" s="14" t="s">
        <v>32</v>
      </c>
      <c r="R4" s="10" t="s">
        <v>33</v>
      </c>
      <c r="S4" s="10" t="s">
        <v>45</v>
      </c>
      <c r="T4" s="14">
        <f>IF(O4="","",(1/Metadata!$B$5)^(O4-1))</f>
        <v>154.8816618912482</v>
      </c>
      <c r="U4" s="13">
        <f t="shared" si="0"/>
        <v>44629505.895723209</v>
      </c>
      <c r="V4" s="19" t="s">
        <v>50</v>
      </c>
      <c r="W4" s="20" t="s">
        <v>51</v>
      </c>
    </row>
    <row r="5" spans="1:23" ht="18" customHeight="1">
      <c r="A5" s="10" t="s">
        <v>23</v>
      </c>
      <c r="B5" s="10" t="s">
        <v>24</v>
      </c>
      <c r="C5" s="10" t="s">
        <v>25</v>
      </c>
      <c r="D5" s="12">
        <v>2019</v>
      </c>
      <c r="E5" s="10" t="s">
        <v>52</v>
      </c>
      <c r="F5" s="10" t="s">
        <v>53</v>
      </c>
      <c r="G5" s="10" t="s">
        <v>54</v>
      </c>
      <c r="H5" s="10" t="s">
        <v>55</v>
      </c>
      <c r="I5" s="13">
        <v>243529.1395198309</v>
      </c>
      <c r="J5" s="13">
        <v>243529.12869407141</v>
      </c>
      <c r="K5" s="13">
        <v>1.0825759500000001E-2</v>
      </c>
      <c r="L5" s="13">
        <v>242424.54462119169</v>
      </c>
      <c r="M5" s="13">
        <v>1104.5948986392</v>
      </c>
      <c r="N5" s="10" t="s">
        <v>56</v>
      </c>
      <c r="O5" s="14">
        <v>4.43</v>
      </c>
      <c r="P5" s="10" t="s">
        <v>31</v>
      </c>
      <c r="Q5" s="14" t="s">
        <v>32</v>
      </c>
      <c r="R5" s="10" t="s">
        <v>33</v>
      </c>
      <c r="S5" s="10" t="s">
        <v>52</v>
      </c>
      <c r="T5" s="14">
        <f>IF(O5="","",(1/Metadata!$B$5)^(O5-1))</f>
        <v>2691.5348039269161</v>
      </c>
      <c r="U5" s="13">
        <f t="shared" si="0"/>
        <v>655467154.78799868</v>
      </c>
      <c r="V5" s="19" t="s">
        <v>57</v>
      </c>
      <c r="W5" s="20" t="s">
        <v>58</v>
      </c>
    </row>
    <row r="6" spans="1:23" ht="18" customHeight="1">
      <c r="A6" s="10" t="s">
        <v>23</v>
      </c>
      <c r="B6" s="10" t="s">
        <v>24</v>
      </c>
      <c r="C6" s="10" t="s">
        <v>25</v>
      </c>
      <c r="D6" s="12">
        <v>2019</v>
      </c>
      <c r="E6" s="10" t="s">
        <v>59</v>
      </c>
      <c r="F6" s="10" t="s">
        <v>60</v>
      </c>
      <c r="G6" s="10" t="s">
        <v>54</v>
      </c>
      <c r="H6" s="10" t="s">
        <v>55</v>
      </c>
      <c r="I6" s="13">
        <v>222031.92809300081</v>
      </c>
      <c r="J6" s="13">
        <v>222031.92809300081</v>
      </c>
      <c r="K6" s="13">
        <v>0</v>
      </c>
      <c r="L6" s="13">
        <v>169560.3512404637</v>
      </c>
      <c r="M6" s="13">
        <v>52471.576852537088</v>
      </c>
      <c r="N6" s="10" t="s">
        <v>61</v>
      </c>
      <c r="O6" s="14">
        <v>4.41</v>
      </c>
      <c r="P6" s="10" t="s">
        <v>31</v>
      </c>
      <c r="Q6" s="14" t="s">
        <v>32</v>
      </c>
      <c r="R6" s="10" t="s">
        <v>33</v>
      </c>
      <c r="S6" s="10" t="s">
        <v>59</v>
      </c>
      <c r="T6" s="14">
        <f>IF(O6="","",(1/Metadata!$B$5)^(O6-1))</f>
        <v>2570.3957827688669</v>
      </c>
      <c r="U6" s="13">
        <f t="shared" si="0"/>
        <v>570709931.61028957</v>
      </c>
      <c r="V6" s="19" t="s">
        <v>57</v>
      </c>
      <c r="W6" s="20" t="s">
        <v>62</v>
      </c>
    </row>
    <row r="7" spans="1:23" ht="18" customHeight="1">
      <c r="A7" s="10" t="s">
        <v>23</v>
      </c>
      <c r="B7" s="10" t="s">
        <v>24</v>
      </c>
      <c r="C7" s="10" t="s">
        <v>25</v>
      </c>
      <c r="D7" s="12">
        <v>2019</v>
      </c>
      <c r="E7" s="10" t="s">
        <v>63</v>
      </c>
      <c r="F7" s="10" t="s">
        <v>64</v>
      </c>
      <c r="G7" s="10" t="s">
        <v>65</v>
      </c>
      <c r="H7" s="10" t="s">
        <v>66</v>
      </c>
      <c r="I7" s="13">
        <v>181058.91993278771</v>
      </c>
      <c r="J7" s="13">
        <v>179608.16195409209</v>
      </c>
      <c r="K7" s="13">
        <v>1450.7579786956001</v>
      </c>
      <c r="L7" s="13">
        <v>179278.4708203531</v>
      </c>
      <c r="M7" s="13">
        <v>1780.4491124346</v>
      </c>
      <c r="N7" s="10" t="s">
        <v>67</v>
      </c>
      <c r="O7" s="14">
        <v>3.43</v>
      </c>
      <c r="P7" s="10" t="s">
        <v>41</v>
      </c>
      <c r="Q7" s="14" t="s">
        <v>42</v>
      </c>
      <c r="R7" s="10" t="s">
        <v>33</v>
      </c>
      <c r="S7" s="10" t="s">
        <v>63</v>
      </c>
      <c r="T7" s="14">
        <f>IF(O7="","",(1/Metadata!$B$5)^(O7-1))</f>
        <v>269.15348039269179</v>
      </c>
      <c r="U7" s="13">
        <f t="shared" si="0"/>
        <v>48732638.456051528</v>
      </c>
      <c r="V7" s="21" t="s">
        <v>43</v>
      </c>
      <c r="W7" s="20" t="s">
        <v>68</v>
      </c>
    </row>
    <row r="8" spans="1:23" ht="18" customHeight="1">
      <c r="A8" s="10" t="s">
        <v>23</v>
      </c>
      <c r="B8" s="10" t="s">
        <v>24</v>
      </c>
      <c r="C8" s="10" t="s">
        <v>25</v>
      </c>
      <c r="D8" s="12">
        <v>2019</v>
      </c>
      <c r="E8" s="10" t="s">
        <v>69</v>
      </c>
      <c r="F8" s="10" t="s">
        <v>70</v>
      </c>
      <c r="G8" s="10" t="s">
        <v>71</v>
      </c>
      <c r="H8" s="10" t="s">
        <v>48</v>
      </c>
      <c r="I8" s="13">
        <v>157523.98867517279</v>
      </c>
      <c r="J8" s="13">
        <v>146247.92383395709</v>
      </c>
      <c r="K8" s="13">
        <v>11276.064841215701</v>
      </c>
      <c r="L8" s="13">
        <v>144581.8463866238</v>
      </c>
      <c r="M8" s="13">
        <v>12942.142288548999</v>
      </c>
      <c r="N8" s="10" t="s">
        <v>72</v>
      </c>
      <c r="O8" s="14">
        <v>3.51</v>
      </c>
      <c r="P8" s="10" t="s">
        <v>41</v>
      </c>
      <c r="Q8" s="14" t="s">
        <v>42</v>
      </c>
      <c r="R8" s="10" t="s">
        <v>33</v>
      </c>
      <c r="S8" s="10" t="s">
        <v>69</v>
      </c>
      <c r="T8" s="14">
        <f>IF(O8="","",(1/Metadata!$B$5)^(O8-1))</f>
        <v>323.59365692962825</v>
      </c>
      <c r="U8" s="13">
        <f t="shared" si="0"/>
        <v>50973763.549540512</v>
      </c>
      <c r="V8" s="19" t="s">
        <v>73</v>
      </c>
      <c r="W8" s="20" t="s">
        <v>74</v>
      </c>
    </row>
    <row r="9" spans="1:23" ht="18" customHeight="1">
      <c r="A9" s="10" t="s">
        <v>23</v>
      </c>
      <c r="B9" s="10" t="s">
        <v>24</v>
      </c>
      <c r="C9" s="10" t="s">
        <v>25</v>
      </c>
      <c r="D9" s="12">
        <v>2019</v>
      </c>
      <c r="E9" s="10" t="s">
        <v>75</v>
      </c>
      <c r="F9" s="10" t="s">
        <v>76</v>
      </c>
      <c r="G9" s="10" t="s">
        <v>28</v>
      </c>
      <c r="H9" s="10" t="s">
        <v>39</v>
      </c>
      <c r="I9" s="13">
        <v>155067.75389989919</v>
      </c>
      <c r="J9" s="13">
        <v>152190.23360987581</v>
      </c>
      <c r="K9" s="13">
        <v>2877.5202900233999</v>
      </c>
      <c r="L9" s="13">
        <v>37279.947567700299</v>
      </c>
      <c r="M9" s="13">
        <v>117787.8063321989</v>
      </c>
      <c r="N9" s="10" t="s">
        <v>77</v>
      </c>
      <c r="O9" s="14">
        <v>3.24</v>
      </c>
      <c r="P9" s="10" t="s">
        <v>41</v>
      </c>
      <c r="Q9" s="14" t="s">
        <v>42</v>
      </c>
      <c r="R9" s="10" t="s">
        <v>33</v>
      </c>
      <c r="S9" s="10" t="s">
        <v>75</v>
      </c>
      <c r="T9" s="14">
        <f>IF(O9="","",(1/Metadata!$B$5)^(O9-1))</f>
        <v>173.78008287493768</v>
      </c>
      <c r="U9" s="13">
        <f t="shared" si="0"/>
        <v>26947687.123954922</v>
      </c>
      <c r="V9" s="21" t="s">
        <v>43</v>
      </c>
      <c r="W9" s="20" t="s">
        <v>78</v>
      </c>
    </row>
    <row r="10" spans="1:23" ht="18" customHeight="1">
      <c r="A10" s="10" t="s">
        <v>23</v>
      </c>
      <c r="B10" s="10" t="s">
        <v>24</v>
      </c>
      <c r="C10" s="10" t="s">
        <v>25</v>
      </c>
      <c r="D10" s="12">
        <v>2019</v>
      </c>
      <c r="E10" s="10" t="s">
        <v>79</v>
      </c>
      <c r="F10" s="10" t="s">
        <v>80</v>
      </c>
      <c r="G10" s="10" t="s">
        <v>81</v>
      </c>
      <c r="H10" s="10" t="s">
        <v>66</v>
      </c>
      <c r="I10" s="13">
        <v>152834.2850174809</v>
      </c>
      <c r="J10" s="13">
        <v>152771.84637741771</v>
      </c>
      <c r="K10" s="13">
        <v>62.438640063199998</v>
      </c>
      <c r="L10" s="13">
        <v>150350.3410169571</v>
      </c>
      <c r="M10" s="13">
        <v>2483.9440005237998</v>
      </c>
      <c r="N10" s="10" t="s">
        <v>82</v>
      </c>
      <c r="O10" s="14">
        <v>3.31</v>
      </c>
      <c r="P10" s="10" t="s">
        <v>41</v>
      </c>
      <c r="Q10" s="14" t="s">
        <v>42</v>
      </c>
      <c r="R10" s="10" t="s">
        <v>33</v>
      </c>
      <c r="S10" s="10" t="s">
        <v>79</v>
      </c>
      <c r="T10" s="14">
        <f>IF(O10="","",(1/Metadata!$B$5)^(O10-1))</f>
        <v>204.17379446695315</v>
      </c>
      <c r="U10" s="13">
        <f t="shared" si="0"/>
        <v>31204755.896662883</v>
      </c>
      <c r="V10" s="19" t="s">
        <v>81</v>
      </c>
      <c r="W10" s="20" t="s">
        <v>83</v>
      </c>
    </row>
    <row r="11" spans="1:23" ht="18" customHeight="1">
      <c r="A11" s="10" t="s">
        <v>23</v>
      </c>
      <c r="B11" s="10" t="s">
        <v>24</v>
      </c>
      <c r="C11" s="10" t="s">
        <v>25</v>
      </c>
      <c r="D11" s="12">
        <v>2019</v>
      </c>
      <c r="E11" s="10" t="s">
        <v>84</v>
      </c>
      <c r="F11" s="10" t="s">
        <v>85</v>
      </c>
      <c r="G11" s="10" t="s">
        <v>47</v>
      </c>
      <c r="H11" s="10" t="s">
        <v>48</v>
      </c>
      <c r="I11" s="13">
        <v>150824.2976232832</v>
      </c>
      <c r="J11" s="13">
        <v>143907.3391550958</v>
      </c>
      <c r="K11" s="13">
        <v>6916.9584681874003</v>
      </c>
      <c r="L11" s="13">
        <v>128919.7402217349</v>
      </c>
      <c r="M11" s="13">
        <v>21904.5574015483</v>
      </c>
      <c r="N11" s="10" t="s">
        <v>86</v>
      </c>
      <c r="O11" s="14">
        <v>4.05</v>
      </c>
      <c r="P11" s="10" t="s">
        <v>41</v>
      </c>
      <c r="Q11" s="14" t="s">
        <v>42</v>
      </c>
      <c r="R11" s="10" t="s">
        <v>33</v>
      </c>
      <c r="S11" s="10" t="s">
        <v>84</v>
      </c>
      <c r="T11" s="14">
        <f>IF(O11="","",(1/Metadata!$B$5)^(O11-1))</f>
        <v>1122.0184543019636</v>
      </c>
      <c r="U11" s="13">
        <f t="shared" si="0"/>
        <v>169227645.29045555</v>
      </c>
      <c r="V11" s="19" t="s">
        <v>87</v>
      </c>
      <c r="W11" s="20" t="s">
        <v>88</v>
      </c>
    </row>
    <row r="12" spans="1:23" ht="18" customHeight="1">
      <c r="A12" s="10" t="s">
        <v>23</v>
      </c>
      <c r="B12" s="10" t="s">
        <v>24</v>
      </c>
      <c r="C12" s="10" t="s">
        <v>25</v>
      </c>
      <c r="D12" s="12">
        <v>2019</v>
      </c>
      <c r="E12" s="10" t="s">
        <v>89</v>
      </c>
      <c r="F12" s="10" t="s">
        <v>90</v>
      </c>
      <c r="G12" s="10" t="s">
        <v>38</v>
      </c>
      <c r="H12" s="10" t="s">
        <v>48</v>
      </c>
      <c r="I12" s="13">
        <v>143027.64937485449</v>
      </c>
      <c r="J12" s="13">
        <v>136353.8684607191</v>
      </c>
      <c r="K12" s="13">
        <v>6673.7809141354001</v>
      </c>
      <c r="L12" s="13">
        <v>116229.3360715075</v>
      </c>
      <c r="M12" s="13">
        <v>26798.313303347</v>
      </c>
      <c r="N12" s="10" t="s">
        <v>91</v>
      </c>
      <c r="O12" s="14">
        <v>3.76</v>
      </c>
      <c r="P12" s="10" t="s">
        <v>41</v>
      </c>
      <c r="Q12" s="14" t="s">
        <v>42</v>
      </c>
      <c r="R12" s="10" t="s">
        <v>33</v>
      </c>
      <c r="S12" s="10" t="s">
        <v>89</v>
      </c>
      <c r="T12" s="14">
        <f>IF(O12="","",(1/Metadata!$B$5)^(O12-1))</f>
        <v>575.43993733715706</v>
      </c>
      <c r="U12" s="13">
        <f t="shared" si="0"/>
        <v>82303821.593747139</v>
      </c>
      <c r="V12" s="19" t="s">
        <v>92</v>
      </c>
      <c r="W12" s="20" t="s">
        <v>93</v>
      </c>
    </row>
    <row r="13" spans="1:23" ht="18" customHeight="1">
      <c r="A13" s="10" t="s">
        <v>23</v>
      </c>
      <c r="B13" s="10" t="s">
        <v>24</v>
      </c>
      <c r="C13" s="10" t="s">
        <v>25</v>
      </c>
      <c r="D13" s="12">
        <v>2019</v>
      </c>
      <c r="E13" s="10" t="s">
        <v>94</v>
      </c>
      <c r="F13" s="10" t="s">
        <v>48</v>
      </c>
      <c r="G13" s="10" t="s">
        <v>38</v>
      </c>
      <c r="H13" s="10" t="s">
        <v>48</v>
      </c>
      <c r="I13" s="13">
        <v>116754.076682559</v>
      </c>
      <c r="J13" s="13">
        <v>106836.0879339301</v>
      </c>
      <c r="K13" s="13">
        <v>9917.9887486289008</v>
      </c>
      <c r="L13" s="13">
        <v>106830.3803869642</v>
      </c>
      <c r="M13" s="13">
        <v>9923.6962955947984</v>
      </c>
      <c r="N13" s="10" t="s">
        <v>95</v>
      </c>
      <c r="O13" s="14">
        <v>3.53</v>
      </c>
      <c r="P13" s="10" t="s">
        <v>41</v>
      </c>
      <c r="Q13" s="14" t="s">
        <v>42</v>
      </c>
      <c r="R13" s="10" t="s">
        <v>33</v>
      </c>
      <c r="S13" s="10" t="s">
        <v>94</v>
      </c>
      <c r="T13" s="14">
        <f>IF(O13="","",(1/Metadata!$B$5)^(O13-1))</f>
        <v>338.84415613920248</v>
      </c>
      <c r="U13" s="13">
        <f t="shared" si="0"/>
        <v>39561436.58931344</v>
      </c>
      <c r="V13" s="21" t="s">
        <v>43</v>
      </c>
      <c r="W13" s="20" t="s">
        <v>96</v>
      </c>
    </row>
    <row r="14" spans="1:23" ht="18" customHeight="1">
      <c r="A14" s="10" t="s">
        <v>23</v>
      </c>
      <c r="B14" s="10" t="s">
        <v>24</v>
      </c>
      <c r="C14" s="10" t="s">
        <v>25</v>
      </c>
      <c r="D14" s="12">
        <v>2019</v>
      </c>
      <c r="E14" s="10" t="s">
        <v>97</v>
      </c>
      <c r="F14" s="10" t="s">
        <v>98</v>
      </c>
      <c r="G14" s="10" t="s">
        <v>28</v>
      </c>
      <c r="H14" s="10" t="s">
        <v>29</v>
      </c>
      <c r="I14" s="13">
        <v>106818.4070016068</v>
      </c>
      <c r="J14" s="13">
        <v>104074.81586511069</v>
      </c>
      <c r="K14" s="13">
        <v>2743.5911364960998</v>
      </c>
      <c r="L14" s="13">
        <v>88121.998816387306</v>
      </c>
      <c r="M14" s="13">
        <v>18696.408185219501</v>
      </c>
      <c r="N14" s="10" t="s">
        <v>99</v>
      </c>
      <c r="O14" s="14">
        <v>3.16</v>
      </c>
      <c r="P14" s="10" t="s">
        <v>41</v>
      </c>
      <c r="Q14" s="14" t="s">
        <v>42</v>
      </c>
      <c r="R14" s="10" t="s">
        <v>33</v>
      </c>
      <c r="S14" s="10" t="s">
        <v>97</v>
      </c>
      <c r="T14" s="14">
        <f>IF(O14="","",(1/Metadata!$B$5)^(O14-1))</f>
        <v>144.54397707459285</v>
      </c>
      <c r="U14" s="13">
        <f t="shared" si="0"/>
        <v>15439957.37278478</v>
      </c>
      <c r="V14" s="19" t="s">
        <v>34</v>
      </c>
      <c r="W14" s="20" t="s">
        <v>100</v>
      </c>
    </row>
    <row r="15" spans="1:23" ht="18" customHeight="1">
      <c r="A15" s="10" t="s">
        <v>23</v>
      </c>
      <c r="B15" s="10" t="s">
        <v>24</v>
      </c>
      <c r="C15" s="10" t="s">
        <v>25</v>
      </c>
      <c r="D15" s="12">
        <v>2019</v>
      </c>
      <c r="E15" s="10" t="s">
        <v>101</v>
      </c>
      <c r="F15" s="10" t="s">
        <v>102</v>
      </c>
      <c r="G15" s="10" t="s">
        <v>103</v>
      </c>
      <c r="H15" s="10" t="s">
        <v>39</v>
      </c>
      <c r="I15" s="13">
        <v>102577.5547632831</v>
      </c>
      <c r="J15" s="13">
        <v>95792.892515428408</v>
      </c>
      <c r="K15" s="13">
        <v>6784.6622478547006</v>
      </c>
      <c r="L15" s="13">
        <v>94960.877768289807</v>
      </c>
      <c r="M15" s="13">
        <v>7616.6769949932996</v>
      </c>
      <c r="N15" s="10" t="s">
        <v>104</v>
      </c>
      <c r="O15" s="14">
        <v>4.2</v>
      </c>
      <c r="P15" s="10" t="s">
        <v>31</v>
      </c>
      <c r="Q15" s="14" t="s">
        <v>32</v>
      </c>
      <c r="R15" s="10" t="s">
        <v>33</v>
      </c>
      <c r="S15" s="10" t="s">
        <v>101</v>
      </c>
      <c r="T15" s="14">
        <f>IF(O15="","",(1/Metadata!$B$5)^(O15-1))</f>
        <v>1584.8931924611156</v>
      </c>
      <c r="U15" s="13">
        <f t="shared" si="0"/>
        <v>162574468.24363467</v>
      </c>
      <c r="V15" s="22" t="s">
        <v>105</v>
      </c>
      <c r="W15" s="20" t="s">
        <v>106</v>
      </c>
    </row>
    <row r="16" spans="1:23" ht="18" customHeight="1">
      <c r="A16" s="10" t="s">
        <v>23</v>
      </c>
      <c r="B16" s="10" t="s">
        <v>24</v>
      </c>
      <c r="C16" s="10" t="s">
        <v>25</v>
      </c>
      <c r="D16" s="12">
        <v>2019</v>
      </c>
      <c r="E16" s="10" t="s">
        <v>107</v>
      </c>
      <c r="F16" s="10" t="s">
        <v>108</v>
      </c>
      <c r="G16" s="10" t="s">
        <v>54</v>
      </c>
      <c r="H16" s="10" t="s">
        <v>48</v>
      </c>
      <c r="I16" s="13">
        <v>98172.689256657599</v>
      </c>
      <c r="J16" s="13">
        <v>98172.689256657599</v>
      </c>
      <c r="K16" s="13">
        <v>0</v>
      </c>
      <c r="L16" s="13">
        <v>85073.610848694298</v>
      </c>
      <c r="M16" s="13">
        <v>13099.078407963299</v>
      </c>
      <c r="N16" s="10" t="s">
        <v>109</v>
      </c>
      <c r="O16" s="14">
        <v>4.5</v>
      </c>
      <c r="P16" s="10" t="s">
        <v>31</v>
      </c>
      <c r="Q16" s="14" t="s">
        <v>32</v>
      </c>
      <c r="R16" s="10" t="s">
        <v>33</v>
      </c>
      <c r="S16" s="10" t="s">
        <v>107</v>
      </c>
      <c r="T16" s="14">
        <f>IF(O16="","",(1/Metadata!$B$5)^(O16-1))</f>
        <v>3162.2776601683804</v>
      </c>
      <c r="U16" s="13">
        <f t="shared" si="0"/>
        <v>310449302.07498068</v>
      </c>
      <c r="V16" s="19" t="s">
        <v>110</v>
      </c>
      <c r="W16" s="20" t="s">
        <v>111</v>
      </c>
    </row>
    <row r="17" spans="1:23" ht="18" customHeight="1">
      <c r="A17" s="10" t="s">
        <v>23</v>
      </c>
      <c r="B17" s="10" t="s">
        <v>24</v>
      </c>
      <c r="C17" s="10" t="s">
        <v>25</v>
      </c>
      <c r="D17" s="12">
        <v>2019</v>
      </c>
      <c r="E17" s="10" t="s">
        <v>112</v>
      </c>
      <c r="F17" s="10" t="s">
        <v>113</v>
      </c>
      <c r="G17" s="10" t="s">
        <v>47</v>
      </c>
      <c r="H17" s="10" t="s">
        <v>48</v>
      </c>
      <c r="I17" s="13">
        <v>84215.865586896311</v>
      </c>
      <c r="J17" s="13">
        <v>77590.630206158006</v>
      </c>
      <c r="K17" s="13">
        <v>6625.2353807383006</v>
      </c>
      <c r="L17" s="13">
        <v>77590.630206158006</v>
      </c>
      <c r="M17" s="13">
        <v>6625.2353807383006</v>
      </c>
      <c r="N17" s="10" t="s">
        <v>114</v>
      </c>
      <c r="O17" s="14">
        <v>3.63</v>
      </c>
      <c r="P17" s="10" t="s">
        <v>41</v>
      </c>
      <c r="Q17" s="14" t="s">
        <v>42</v>
      </c>
      <c r="R17" s="10" t="s">
        <v>33</v>
      </c>
      <c r="S17" s="10" t="s">
        <v>112</v>
      </c>
      <c r="T17" s="14">
        <f>IF(O17="","",(1/Metadata!$B$5)^(O17-1))</f>
        <v>426.57951880159294</v>
      </c>
      <c r="U17" s="13">
        <f t="shared" si="0"/>
        <v>35924763.417517856</v>
      </c>
      <c r="V17" s="19" t="s">
        <v>87</v>
      </c>
      <c r="W17" s="20" t="s">
        <v>115</v>
      </c>
    </row>
    <row r="18" spans="1:23" ht="18" customHeight="1">
      <c r="A18" s="10" t="s">
        <v>23</v>
      </c>
      <c r="B18" s="10" t="s">
        <v>24</v>
      </c>
      <c r="C18" s="10" t="s">
        <v>25</v>
      </c>
      <c r="D18" s="12">
        <v>2019</v>
      </c>
      <c r="E18" s="10" t="s">
        <v>116</v>
      </c>
      <c r="F18" s="10" t="s">
        <v>117</v>
      </c>
      <c r="G18" s="10" t="s">
        <v>118</v>
      </c>
      <c r="H18" s="10" t="s">
        <v>39</v>
      </c>
      <c r="I18" s="13">
        <v>79150.8219431701</v>
      </c>
      <c r="J18" s="13">
        <v>79150.8219431701</v>
      </c>
      <c r="K18" s="13">
        <v>0</v>
      </c>
      <c r="L18" s="13">
        <v>79117.400433618895</v>
      </c>
      <c r="M18" s="13">
        <v>33.421509551200003</v>
      </c>
      <c r="N18" s="10" t="s">
        <v>119</v>
      </c>
      <c r="O18" s="14">
        <v>4.13</v>
      </c>
      <c r="P18" s="10" t="s">
        <v>41</v>
      </c>
      <c r="Q18" s="14" t="s">
        <v>42</v>
      </c>
      <c r="R18" s="10" t="s">
        <v>33</v>
      </c>
      <c r="S18" s="10" t="s">
        <v>116</v>
      </c>
      <c r="T18" s="14">
        <f>IF(O18="","",(1/Metadata!$B$5)^(O18-1))</f>
        <v>1348.9628825916541</v>
      </c>
      <c r="U18" s="13">
        <f t="shared" si="0"/>
        <v>106771520.92795749</v>
      </c>
      <c r="V18" s="19" t="s">
        <v>118</v>
      </c>
      <c r="W18" s="20" t="s">
        <v>120</v>
      </c>
    </row>
    <row r="19" spans="1:23" ht="18" customHeight="1">
      <c r="A19" s="10" t="s">
        <v>23</v>
      </c>
      <c r="B19" s="10" t="s">
        <v>24</v>
      </c>
      <c r="C19" s="10" t="s">
        <v>25</v>
      </c>
      <c r="D19" s="12">
        <v>2019</v>
      </c>
      <c r="E19" s="10" t="s">
        <v>121</v>
      </c>
      <c r="F19" s="10" t="s">
        <v>122</v>
      </c>
      <c r="G19" s="10" t="s">
        <v>123</v>
      </c>
      <c r="H19" s="10" t="s">
        <v>124</v>
      </c>
      <c r="I19" s="13">
        <v>78490.783450504096</v>
      </c>
      <c r="J19" s="13">
        <v>78475.174452900799</v>
      </c>
      <c r="K19" s="13">
        <v>15.608997603300001</v>
      </c>
      <c r="L19" s="13">
        <v>453.0974834374</v>
      </c>
      <c r="M19" s="13">
        <v>78037.685967066704</v>
      </c>
      <c r="N19" s="10" t="s">
        <v>125</v>
      </c>
      <c r="O19" s="14">
        <v>2.23</v>
      </c>
      <c r="P19" s="10" t="s">
        <v>41</v>
      </c>
      <c r="Q19" s="14" t="s">
        <v>42</v>
      </c>
      <c r="R19" s="10" t="s">
        <v>33</v>
      </c>
      <c r="S19" s="10" t="s">
        <v>121</v>
      </c>
      <c r="T19" s="14">
        <f>IF(O19="","",(1/Metadata!$B$5)^(O19-1))</f>
        <v>16.982436524617448</v>
      </c>
      <c r="U19" s="13">
        <f t="shared" si="0"/>
        <v>1332964.7477156795</v>
      </c>
      <c r="V19" s="19" t="s">
        <v>126</v>
      </c>
      <c r="W19" s="20" t="s">
        <v>127</v>
      </c>
    </row>
    <row r="20" spans="1:23" ht="18" customHeight="1">
      <c r="A20" s="10" t="s">
        <v>23</v>
      </c>
      <c r="B20" s="10" t="s">
        <v>24</v>
      </c>
      <c r="C20" s="10" t="s">
        <v>25</v>
      </c>
      <c r="D20" s="12">
        <v>2019</v>
      </c>
      <c r="E20" s="10" t="s">
        <v>128</v>
      </c>
      <c r="F20" s="10" t="s">
        <v>129</v>
      </c>
      <c r="G20" s="10" t="s">
        <v>118</v>
      </c>
      <c r="H20" s="10" t="s">
        <v>39</v>
      </c>
      <c r="I20" s="13">
        <v>75386.421727397101</v>
      </c>
      <c r="J20" s="13">
        <v>75336.687962694792</v>
      </c>
      <c r="K20" s="13">
        <v>49.7337647023</v>
      </c>
      <c r="L20" s="13">
        <v>73572.939535493497</v>
      </c>
      <c r="M20" s="13">
        <v>1813.4821919036001</v>
      </c>
      <c r="N20" s="10" t="s">
        <v>130</v>
      </c>
      <c r="O20" s="14">
        <v>3.6</v>
      </c>
      <c r="P20" s="10" t="s">
        <v>41</v>
      </c>
      <c r="Q20" s="14" t="s">
        <v>42</v>
      </c>
      <c r="R20" s="10" t="s">
        <v>33</v>
      </c>
      <c r="S20" s="10" t="s">
        <v>128</v>
      </c>
      <c r="T20" s="14">
        <f>IF(O20="","",(1/Metadata!$B$5)^(O20-1))</f>
        <v>398.10717055349761</v>
      </c>
      <c r="U20" s="13">
        <f t="shared" si="0"/>
        <v>30011875.052046776</v>
      </c>
      <c r="V20" s="19" t="s">
        <v>118</v>
      </c>
      <c r="W20" s="20" t="s">
        <v>131</v>
      </c>
    </row>
    <row r="21" spans="1:23" ht="18" customHeight="1">
      <c r="A21" s="10" t="s">
        <v>23</v>
      </c>
      <c r="B21" s="10" t="s">
        <v>24</v>
      </c>
      <c r="C21" s="10" t="s">
        <v>25</v>
      </c>
      <c r="D21" s="12">
        <v>2019</v>
      </c>
      <c r="E21" s="10" t="s">
        <v>132</v>
      </c>
      <c r="F21" s="10" t="s">
        <v>133</v>
      </c>
      <c r="G21" s="10" t="s">
        <v>134</v>
      </c>
      <c r="H21" s="10" t="s">
        <v>48</v>
      </c>
      <c r="I21" s="13">
        <v>74234.103108230396</v>
      </c>
      <c r="J21" s="13">
        <v>74234.103108230396</v>
      </c>
      <c r="K21" s="13">
        <v>0</v>
      </c>
      <c r="L21" s="13">
        <v>66328.101502790101</v>
      </c>
      <c r="M21" s="13">
        <v>7906.0016054402986</v>
      </c>
      <c r="N21" s="10" t="s">
        <v>135</v>
      </c>
      <c r="O21" s="14">
        <v>4.42</v>
      </c>
      <c r="P21" s="10" t="s">
        <v>31</v>
      </c>
      <c r="Q21" s="14" t="s">
        <v>32</v>
      </c>
      <c r="R21" s="10" t="s">
        <v>33</v>
      </c>
      <c r="S21" s="10" t="s">
        <v>132</v>
      </c>
      <c r="T21" s="14">
        <f>IF(O21="","",(1/Metadata!$B$5)^(O21-1))</f>
        <v>2630.2679918953822</v>
      </c>
      <c r="U21" s="13">
        <f t="shared" si="0"/>
        <v>195255585.31263992</v>
      </c>
      <c r="V21" s="19" t="s">
        <v>136</v>
      </c>
      <c r="W21" s="20" t="s">
        <v>137</v>
      </c>
    </row>
    <row r="22" spans="1:23" ht="18" customHeight="1">
      <c r="A22" s="10" t="s">
        <v>23</v>
      </c>
      <c r="B22" s="10" t="s">
        <v>24</v>
      </c>
      <c r="C22" s="10" t="s">
        <v>25</v>
      </c>
      <c r="D22" s="12">
        <v>2019</v>
      </c>
      <c r="E22" s="10" t="s">
        <v>138</v>
      </c>
      <c r="F22" s="10" t="s">
        <v>139</v>
      </c>
      <c r="G22" s="10" t="s">
        <v>38</v>
      </c>
      <c r="H22" s="10" t="s">
        <v>39</v>
      </c>
      <c r="I22" s="13">
        <v>58709.752336231897</v>
      </c>
      <c r="J22" s="13">
        <v>54340.585908304201</v>
      </c>
      <c r="K22" s="13">
        <v>4369.1664279277002</v>
      </c>
      <c r="L22" s="13">
        <v>54247.145792724303</v>
      </c>
      <c r="M22" s="13">
        <v>4462.6065435075998</v>
      </c>
      <c r="N22" s="10" t="s">
        <v>140</v>
      </c>
      <c r="O22" s="14">
        <v>4.3</v>
      </c>
      <c r="P22" s="10" t="s">
        <v>41</v>
      </c>
      <c r="Q22" s="14" t="s">
        <v>42</v>
      </c>
      <c r="R22" s="10" t="s">
        <v>33</v>
      </c>
      <c r="S22" s="10" t="s">
        <v>138</v>
      </c>
      <c r="T22" s="14">
        <f>IF(O22="","",(1/Metadata!$B$5)^(O22-1))</f>
        <v>1995.2623149688804</v>
      </c>
      <c r="U22" s="13">
        <f t="shared" si="0"/>
        <v>117141356.35763969</v>
      </c>
      <c r="V22" s="19" t="s">
        <v>105</v>
      </c>
      <c r="W22" s="20" t="s">
        <v>141</v>
      </c>
    </row>
    <row r="23" spans="1:23" ht="18" customHeight="1">
      <c r="A23" s="10" t="s">
        <v>23</v>
      </c>
      <c r="B23" s="10" t="s">
        <v>24</v>
      </c>
      <c r="C23" s="10" t="s">
        <v>25</v>
      </c>
      <c r="D23" s="12">
        <v>2019</v>
      </c>
      <c r="E23" s="10" t="s">
        <v>142</v>
      </c>
      <c r="F23" s="10" t="s">
        <v>143</v>
      </c>
      <c r="G23" s="10" t="s">
        <v>47</v>
      </c>
      <c r="H23" s="10" t="s">
        <v>39</v>
      </c>
      <c r="I23" s="13">
        <v>52625.479658580698</v>
      </c>
      <c r="J23" s="13">
        <v>52625.479658580698</v>
      </c>
      <c r="K23" s="13">
        <v>0</v>
      </c>
      <c r="L23" s="13">
        <v>52618.107833647598</v>
      </c>
      <c r="M23" s="13">
        <v>7.3718249331000001</v>
      </c>
      <c r="N23" s="10" t="s">
        <v>144</v>
      </c>
      <c r="O23" s="14">
        <v>3.35</v>
      </c>
      <c r="P23" s="10" t="s">
        <v>41</v>
      </c>
      <c r="Q23" s="14" t="s">
        <v>42</v>
      </c>
      <c r="R23" s="10" t="s">
        <v>33</v>
      </c>
      <c r="S23" s="10" t="s">
        <v>142</v>
      </c>
      <c r="T23" s="14">
        <f>IF(O23="","",(1/Metadata!$B$5)^(O23-1))</f>
        <v>223.87211385683412</v>
      </c>
      <c r="U23" s="13">
        <f t="shared" si="0"/>
        <v>11781377.373896286</v>
      </c>
      <c r="V23" s="21" t="s">
        <v>43</v>
      </c>
      <c r="W23" s="20" t="s">
        <v>145</v>
      </c>
    </row>
    <row r="24" spans="1:23" ht="18" customHeight="1">
      <c r="A24" s="10" t="s">
        <v>23</v>
      </c>
      <c r="B24" s="10" t="s">
        <v>24</v>
      </c>
      <c r="C24" s="10" t="s">
        <v>25</v>
      </c>
      <c r="D24" s="12">
        <v>2019</v>
      </c>
      <c r="E24" s="10" t="s">
        <v>146</v>
      </c>
      <c r="F24" s="10" t="s">
        <v>147</v>
      </c>
      <c r="G24" s="10" t="s">
        <v>148</v>
      </c>
      <c r="H24" s="10" t="s">
        <v>149</v>
      </c>
      <c r="I24" s="13">
        <v>52462.172707550591</v>
      </c>
      <c r="J24" s="13">
        <v>49660.477686688697</v>
      </c>
      <c r="K24" s="13">
        <v>2801.6950208619</v>
      </c>
      <c r="L24" s="13">
        <v>4183.2624692285999</v>
      </c>
      <c r="M24" s="13">
        <v>48278.910238322002</v>
      </c>
      <c r="N24" s="10" t="s">
        <v>150</v>
      </c>
      <c r="O24" s="14">
        <v>4.24</v>
      </c>
      <c r="P24" s="10" t="s">
        <v>41</v>
      </c>
      <c r="Q24" s="14" t="s">
        <v>42</v>
      </c>
      <c r="R24" s="10" t="s">
        <v>33</v>
      </c>
      <c r="S24" s="10" t="s">
        <v>146</v>
      </c>
      <c r="T24" s="14">
        <f>IF(O24="","",(1/Metadata!$B$5)^(O24-1))</f>
        <v>1737.8008287493772</v>
      </c>
      <c r="U24" s="13">
        <f t="shared" si="0"/>
        <v>91168807.20917438</v>
      </c>
      <c r="V24" s="19" t="s">
        <v>151</v>
      </c>
      <c r="W24" s="20" t="s">
        <v>152</v>
      </c>
    </row>
    <row r="25" spans="1:23" ht="18" customHeight="1">
      <c r="A25" s="10" t="s">
        <v>23</v>
      </c>
      <c r="B25" s="10" t="s">
        <v>24</v>
      </c>
      <c r="C25" s="10" t="s">
        <v>25</v>
      </c>
      <c r="D25" s="12">
        <v>2019</v>
      </c>
      <c r="E25" s="10" t="s">
        <v>153</v>
      </c>
      <c r="F25" s="10" t="s">
        <v>154</v>
      </c>
      <c r="G25" s="10" t="s">
        <v>155</v>
      </c>
      <c r="H25" s="10" t="s">
        <v>48</v>
      </c>
      <c r="I25" s="13">
        <v>50351.750194553708</v>
      </c>
      <c r="J25" s="13">
        <v>46475.820056581302</v>
      </c>
      <c r="K25" s="13">
        <v>3875.9301379724002</v>
      </c>
      <c r="L25" s="13">
        <v>42947.142389937297</v>
      </c>
      <c r="M25" s="13">
        <v>7404.6078046163993</v>
      </c>
      <c r="N25" s="10" t="s">
        <v>156</v>
      </c>
      <c r="O25" s="14">
        <v>3.98</v>
      </c>
      <c r="P25" s="10" t="s">
        <v>41</v>
      </c>
      <c r="Q25" s="14" t="s">
        <v>42</v>
      </c>
      <c r="R25" s="10" t="s">
        <v>33</v>
      </c>
      <c r="S25" s="10" t="s">
        <v>153</v>
      </c>
      <c r="T25" s="14">
        <f>IF(O25="","",(1/Metadata!$B$5)^(O25-1))</f>
        <v>954.99258602143675</v>
      </c>
      <c r="U25" s="13">
        <f t="shared" si="0"/>
        <v>48085548.129002228</v>
      </c>
      <c r="V25" s="19" t="s">
        <v>105</v>
      </c>
      <c r="W25" s="20" t="s">
        <v>157</v>
      </c>
    </row>
    <row r="26" spans="1:23" ht="18" customHeight="1">
      <c r="A26" s="10" t="s">
        <v>23</v>
      </c>
      <c r="B26" s="10" t="s">
        <v>24</v>
      </c>
      <c r="C26" s="10" t="s">
        <v>25</v>
      </c>
      <c r="D26" s="12">
        <v>2019</v>
      </c>
      <c r="E26" s="10" t="s">
        <v>158</v>
      </c>
      <c r="F26" s="10" t="s">
        <v>159</v>
      </c>
      <c r="G26" s="10" t="s">
        <v>38</v>
      </c>
      <c r="H26" s="10" t="s">
        <v>39</v>
      </c>
      <c r="I26" s="13">
        <v>47637.669497103198</v>
      </c>
      <c r="J26" s="13">
        <v>45068.157493366103</v>
      </c>
      <c r="K26" s="13">
        <v>2569.5120037370998</v>
      </c>
      <c r="L26" s="13">
        <v>44038.668237306301</v>
      </c>
      <c r="M26" s="13">
        <v>3599.0012597968998</v>
      </c>
      <c r="N26" s="10" t="s">
        <v>160</v>
      </c>
      <c r="O26" s="14">
        <v>3.48</v>
      </c>
      <c r="P26" s="10" t="s">
        <v>41</v>
      </c>
      <c r="Q26" s="14" t="s">
        <v>42</v>
      </c>
      <c r="R26" s="10" t="s">
        <v>33</v>
      </c>
      <c r="S26" s="10" t="s">
        <v>158</v>
      </c>
      <c r="T26" s="14">
        <f>IF(O26="","",(1/Metadata!$B$5)^(O26-1))</f>
        <v>301.99517204020168</v>
      </c>
      <c r="U26" s="13">
        <f t="shared" si="0"/>
        <v>14386346.195371948</v>
      </c>
      <c r="V26" s="19" t="s">
        <v>136</v>
      </c>
      <c r="W26" s="20" t="s">
        <v>161</v>
      </c>
    </row>
    <row r="27" spans="1:23" ht="18" customHeight="1">
      <c r="A27" s="10" t="s">
        <v>23</v>
      </c>
      <c r="B27" s="10" t="s">
        <v>24</v>
      </c>
      <c r="C27" s="10" t="s">
        <v>25</v>
      </c>
      <c r="D27" s="12">
        <v>2019</v>
      </c>
      <c r="E27" s="10" t="s">
        <v>162</v>
      </c>
      <c r="F27" s="10" t="s">
        <v>163</v>
      </c>
      <c r="G27" s="10" t="s">
        <v>164</v>
      </c>
      <c r="H27" s="10" t="s">
        <v>48</v>
      </c>
      <c r="I27" s="13">
        <v>43941.162179516803</v>
      </c>
      <c r="J27" s="13">
        <v>43941.162179516803</v>
      </c>
      <c r="K27" s="13">
        <v>0</v>
      </c>
      <c r="L27" s="13">
        <v>38485.501872605899</v>
      </c>
      <c r="M27" s="13">
        <v>5455.6603069108996</v>
      </c>
      <c r="N27" s="10" t="s">
        <v>165</v>
      </c>
      <c r="O27" s="14">
        <v>4.4800000000000004</v>
      </c>
      <c r="P27" s="10" t="s">
        <v>31</v>
      </c>
      <c r="Q27" s="14" t="s">
        <v>32</v>
      </c>
      <c r="R27" s="10" t="s">
        <v>33</v>
      </c>
      <c r="S27" s="10" t="s">
        <v>162</v>
      </c>
      <c r="T27" s="14">
        <f>IF(O27="","",(1/Metadata!$B$5)^(O27-1))</f>
        <v>3019.9517204020231</v>
      </c>
      <c r="U27" s="13">
        <f t="shared" si="0"/>
        <v>132700188.32049608</v>
      </c>
      <c r="V27" s="19" t="s">
        <v>136</v>
      </c>
      <c r="W27" s="20" t="s">
        <v>166</v>
      </c>
    </row>
    <row r="28" spans="1:23" ht="18" customHeight="1">
      <c r="A28" s="10" t="s">
        <v>23</v>
      </c>
      <c r="B28" s="10" t="s">
        <v>24</v>
      </c>
      <c r="C28" s="10" t="s">
        <v>25</v>
      </c>
      <c r="D28" s="12">
        <v>2019</v>
      </c>
      <c r="E28" s="10" t="s">
        <v>167</v>
      </c>
      <c r="F28" s="10" t="s">
        <v>168</v>
      </c>
      <c r="G28" s="10" t="s">
        <v>28</v>
      </c>
      <c r="H28" s="10" t="s">
        <v>169</v>
      </c>
      <c r="I28" s="13">
        <v>43167.411262873196</v>
      </c>
      <c r="J28" s="13">
        <v>39672.757913030197</v>
      </c>
      <c r="K28" s="13">
        <v>3494.6533498429999</v>
      </c>
      <c r="L28" s="13">
        <v>39672.757913030197</v>
      </c>
      <c r="M28" s="13">
        <v>3494.6533498429999</v>
      </c>
      <c r="N28" s="10" t="s">
        <v>170</v>
      </c>
      <c r="O28" s="14">
        <v>3.44</v>
      </c>
      <c r="P28" s="10" t="s">
        <v>41</v>
      </c>
      <c r="Q28" s="14" t="s">
        <v>42</v>
      </c>
      <c r="R28" s="10" t="s">
        <v>33</v>
      </c>
      <c r="S28" s="10" t="s">
        <v>167</v>
      </c>
      <c r="T28" s="14">
        <f>IF(O28="","",(1/Metadata!$B$5)^(O28-1))</f>
        <v>275.42287033381683</v>
      </c>
      <c r="U28" s="13">
        <f t="shared" si="0"/>
        <v>11889292.31490087</v>
      </c>
      <c r="V28" s="19" t="s">
        <v>169</v>
      </c>
      <c r="W28" s="20" t="s">
        <v>171</v>
      </c>
    </row>
    <row r="29" spans="1:23" ht="18" customHeight="1">
      <c r="A29" s="10" t="s">
        <v>23</v>
      </c>
      <c r="B29" s="10" t="s">
        <v>24</v>
      </c>
      <c r="C29" s="10" t="s">
        <v>25</v>
      </c>
      <c r="D29" s="12">
        <v>2019</v>
      </c>
      <c r="E29" s="10" t="s">
        <v>172</v>
      </c>
      <c r="F29" s="10" t="s">
        <v>173</v>
      </c>
      <c r="G29" s="10" t="s">
        <v>148</v>
      </c>
      <c r="H29" s="10" t="s">
        <v>149</v>
      </c>
      <c r="I29" s="13">
        <v>42497.630536008699</v>
      </c>
      <c r="J29" s="13">
        <v>38103.205350878103</v>
      </c>
      <c r="K29" s="13">
        <v>4394.4251851305999</v>
      </c>
      <c r="L29" s="13">
        <v>35348.1101669739</v>
      </c>
      <c r="M29" s="13">
        <v>7149.5203690347998</v>
      </c>
      <c r="N29" s="10" t="s">
        <v>174</v>
      </c>
      <c r="O29" s="14">
        <v>4.05</v>
      </c>
      <c r="P29" s="10" t="s">
        <v>41</v>
      </c>
      <c r="Q29" s="14" t="s">
        <v>42</v>
      </c>
      <c r="R29" s="10" t="s">
        <v>33</v>
      </c>
      <c r="S29" s="10" t="s">
        <v>172</v>
      </c>
      <c r="T29" s="14">
        <f>IF(O29="","",(1/Metadata!$B$5)^(O29-1))</f>
        <v>1122.0184543019636</v>
      </c>
      <c r="U29" s="13">
        <f t="shared" si="0"/>
        <v>47683125.725508414</v>
      </c>
      <c r="V29" s="21" t="s">
        <v>43</v>
      </c>
      <c r="W29" s="20" t="s">
        <v>175</v>
      </c>
    </row>
    <row r="30" spans="1:23" ht="18" customHeight="1">
      <c r="A30" s="10" t="s">
        <v>23</v>
      </c>
      <c r="B30" s="10" t="s">
        <v>24</v>
      </c>
      <c r="C30" s="10" t="s">
        <v>25</v>
      </c>
      <c r="D30" s="12">
        <v>2019</v>
      </c>
      <c r="E30" s="10" t="s">
        <v>176</v>
      </c>
      <c r="F30" s="10" t="s">
        <v>177</v>
      </c>
      <c r="G30" s="10" t="s">
        <v>178</v>
      </c>
      <c r="H30" s="10" t="s">
        <v>179</v>
      </c>
      <c r="I30" s="13">
        <v>40713.973735525098</v>
      </c>
      <c r="J30" s="13">
        <v>38235.902749776687</v>
      </c>
      <c r="K30" s="13">
        <v>2478.0709857483998</v>
      </c>
      <c r="L30" s="13">
        <v>35619.406523255202</v>
      </c>
      <c r="M30" s="13">
        <v>5094.5672122698998</v>
      </c>
      <c r="N30" s="10" t="s">
        <v>180</v>
      </c>
      <c r="O30" s="14">
        <v>3.15</v>
      </c>
      <c r="P30" s="10" t="s">
        <v>41</v>
      </c>
      <c r="Q30" s="14" t="s">
        <v>42</v>
      </c>
      <c r="R30" s="10" t="s">
        <v>33</v>
      </c>
      <c r="S30" s="10" t="s">
        <v>176</v>
      </c>
      <c r="T30" s="14">
        <f>IF(O30="","",(1/Metadata!$B$5)^(O30-1))</f>
        <v>141.25375446227542</v>
      </c>
      <c r="U30" s="13">
        <f t="shared" si="0"/>
        <v>5751001.6492213923</v>
      </c>
      <c r="V30" s="19" t="s">
        <v>181</v>
      </c>
      <c r="W30" s="20" t="s">
        <v>182</v>
      </c>
    </row>
    <row r="31" spans="1:23" ht="18" customHeight="1">
      <c r="A31" s="10" t="s">
        <v>23</v>
      </c>
      <c r="B31" s="10" t="s">
        <v>24</v>
      </c>
      <c r="C31" s="10" t="s">
        <v>25</v>
      </c>
      <c r="D31" s="12">
        <v>2019</v>
      </c>
      <c r="E31" s="10" t="s">
        <v>183</v>
      </c>
      <c r="F31" s="10" t="s">
        <v>184</v>
      </c>
      <c r="G31" s="10" t="s">
        <v>54</v>
      </c>
      <c r="H31" s="10" t="s">
        <v>48</v>
      </c>
      <c r="I31" s="13">
        <v>40473.894674019502</v>
      </c>
      <c r="J31" s="13">
        <v>39134.256772393499</v>
      </c>
      <c r="K31" s="13">
        <v>1339.637901626</v>
      </c>
      <c r="L31" s="13">
        <v>32609.722486262901</v>
      </c>
      <c r="M31" s="13">
        <v>7864.1721877566006</v>
      </c>
      <c r="N31" s="10" t="s">
        <v>185</v>
      </c>
      <c r="O31" s="14">
        <v>4.4000000000000004</v>
      </c>
      <c r="P31" s="10" t="s">
        <v>41</v>
      </c>
      <c r="Q31" s="14" t="s">
        <v>42</v>
      </c>
      <c r="R31" s="10" t="s">
        <v>33</v>
      </c>
      <c r="S31" s="10" t="s">
        <v>183</v>
      </c>
      <c r="T31" s="14">
        <f>IF(O31="","",(1/Metadata!$B$5)^(O31-1))</f>
        <v>2511.8864315095834</v>
      </c>
      <c r="U31" s="13">
        <f t="shared" si="0"/>
        <v>101665826.86201759</v>
      </c>
      <c r="V31" s="19" t="s">
        <v>110</v>
      </c>
      <c r="W31" s="20" t="s">
        <v>186</v>
      </c>
    </row>
    <row r="32" spans="1:23" ht="18" customHeight="1">
      <c r="A32" s="10" t="s">
        <v>23</v>
      </c>
      <c r="B32" s="10" t="s">
        <v>24</v>
      </c>
      <c r="C32" s="10" t="s">
        <v>25</v>
      </c>
      <c r="D32" s="12">
        <v>2019</v>
      </c>
      <c r="E32" s="10" t="s">
        <v>187</v>
      </c>
      <c r="F32" s="10" t="s">
        <v>188</v>
      </c>
      <c r="G32" s="10" t="s">
        <v>189</v>
      </c>
      <c r="H32" s="10" t="s">
        <v>39</v>
      </c>
      <c r="I32" s="13">
        <v>39820.190000429997</v>
      </c>
      <c r="J32" s="13">
        <v>25305.143510222599</v>
      </c>
      <c r="K32" s="13">
        <v>14515.0464902074</v>
      </c>
      <c r="L32" s="13">
        <v>4292.0998180712004</v>
      </c>
      <c r="M32" s="13">
        <v>35528.090182358799</v>
      </c>
      <c r="N32" s="10" t="s">
        <v>190</v>
      </c>
      <c r="O32" s="14">
        <v>3.54</v>
      </c>
      <c r="P32" s="10" t="s">
        <v>31</v>
      </c>
      <c r="Q32" s="14" t="s">
        <v>32</v>
      </c>
      <c r="R32" s="10" t="s">
        <v>33</v>
      </c>
      <c r="S32" s="10" t="s">
        <v>187</v>
      </c>
      <c r="T32" s="14">
        <f>IF(O32="","",(1/Metadata!$B$5)^(O32-1))</f>
        <v>346.73685045253183</v>
      </c>
      <c r="U32" s="13">
        <f t="shared" si="0"/>
        <v>13807127.2651705</v>
      </c>
      <c r="V32" s="19" t="s">
        <v>136</v>
      </c>
      <c r="W32" s="20" t="s">
        <v>191</v>
      </c>
    </row>
    <row r="33" spans="1:23" ht="18" customHeight="1">
      <c r="A33" s="10" t="s">
        <v>23</v>
      </c>
      <c r="B33" s="10" t="s">
        <v>24</v>
      </c>
      <c r="C33" s="10" t="s">
        <v>25</v>
      </c>
      <c r="D33" s="12">
        <v>2019</v>
      </c>
      <c r="E33" s="10" t="s">
        <v>192</v>
      </c>
      <c r="F33" s="10" t="s">
        <v>193</v>
      </c>
      <c r="G33" s="10" t="s">
        <v>38</v>
      </c>
      <c r="H33" s="10" t="s">
        <v>39</v>
      </c>
      <c r="I33" s="13">
        <v>39522.581760599503</v>
      </c>
      <c r="J33" s="13">
        <v>39358.463941868198</v>
      </c>
      <c r="K33" s="13">
        <v>164.11781873129999</v>
      </c>
      <c r="L33" s="13">
        <v>23377.208090572902</v>
      </c>
      <c r="M33" s="13">
        <v>16145.3736700266</v>
      </c>
      <c r="N33" s="10" t="s">
        <v>194</v>
      </c>
      <c r="O33" s="14">
        <v>3.48</v>
      </c>
      <c r="P33" s="10" t="s">
        <v>41</v>
      </c>
      <c r="Q33" s="14" t="s">
        <v>42</v>
      </c>
      <c r="R33" s="10" t="s">
        <v>33</v>
      </c>
      <c r="S33" s="10" t="s">
        <v>192</v>
      </c>
      <c r="T33" s="14">
        <f>IF(O33="","",(1/Metadata!$B$5)^(O33-1))</f>
        <v>301.99517204020168</v>
      </c>
      <c r="U33" s="13">
        <f t="shared" si="0"/>
        <v>11935628.878265183</v>
      </c>
      <c r="V33" s="19" t="s">
        <v>136</v>
      </c>
      <c r="W33" s="20" t="s">
        <v>195</v>
      </c>
    </row>
    <row r="34" spans="1:23" ht="18" customHeight="1">
      <c r="A34" s="10" t="s">
        <v>23</v>
      </c>
      <c r="B34" s="10" t="s">
        <v>24</v>
      </c>
      <c r="C34" s="10" t="s">
        <v>25</v>
      </c>
      <c r="D34" s="12">
        <v>2019</v>
      </c>
      <c r="E34" s="10" t="s">
        <v>196</v>
      </c>
      <c r="F34" s="10" t="s">
        <v>197</v>
      </c>
      <c r="G34" s="10" t="s">
        <v>28</v>
      </c>
      <c r="H34" s="10" t="s">
        <v>169</v>
      </c>
      <c r="I34" s="13">
        <v>37279.243769348097</v>
      </c>
      <c r="J34" s="13">
        <v>35209.060497520499</v>
      </c>
      <c r="K34" s="13">
        <v>2070.1832718276</v>
      </c>
      <c r="L34" s="13">
        <v>34888.194682852598</v>
      </c>
      <c r="M34" s="13">
        <v>2391.0490864955</v>
      </c>
      <c r="N34" s="10" t="s">
        <v>198</v>
      </c>
      <c r="O34" s="14">
        <v>3.34</v>
      </c>
      <c r="P34" s="10" t="s">
        <v>41</v>
      </c>
      <c r="Q34" s="14" t="s">
        <v>42</v>
      </c>
      <c r="R34" s="10" t="s">
        <v>33</v>
      </c>
      <c r="S34" s="10" t="s">
        <v>196</v>
      </c>
      <c r="T34" s="14">
        <f>IF(O34="","",(1/Metadata!$B$5)^(O34-1))</f>
        <v>218.77616239495524</v>
      </c>
      <c r="U34" s="13">
        <f t="shared" si="0"/>
        <v>8155809.8888440225</v>
      </c>
      <c r="V34" s="19" t="s">
        <v>34</v>
      </c>
      <c r="W34" s="20" t="s">
        <v>199</v>
      </c>
    </row>
    <row r="35" spans="1:23" ht="18" customHeight="1">
      <c r="A35" s="10" t="s">
        <v>23</v>
      </c>
      <c r="B35" s="10" t="s">
        <v>24</v>
      </c>
      <c r="C35" s="10" t="s">
        <v>25</v>
      </c>
      <c r="D35" s="12">
        <v>2019</v>
      </c>
      <c r="E35" s="10" t="s">
        <v>200</v>
      </c>
      <c r="F35" s="10" t="s">
        <v>201</v>
      </c>
      <c r="G35" s="10" t="s">
        <v>54</v>
      </c>
      <c r="H35" s="10" t="s">
        <v>48</v>
      </c>
      <c r="I35" s="13">
        <v>37268.174578336097</v>
      </c>
      <c r="J35" s="13">
        <v>36934.330468636203</v>
      </c>
      <c r="K35" s="13">
        <v>333.8441096999</v>
      </c>
      <c r="L35" s="13">
        <v>11858.4332832444</v>
      </c>
      <c r="M35" s="13">
        <v>25409.741295091699</v>
      </c>
      <c r="N35" s="10" t="s">
        <v>202</v>
      </c>
      <c r="O35" s="14">
        <v>4.37</v>
      </c>
      <c r="P35" s="10" t="s">
        <v>31</v>
      </c>
      <c r="Q35" s="14" t="s">
        <v>32</v>
      </c>
      <c r="R35" s="10" t="s">
        <v>33</v>
      </c>
      <c r="S35" s="10" t="s">
        <v>200</v>
      </c>
      <c r="T35" s="14">
        <f>IF(O35="","",(1/Metadata!$B$5)^(O35-1))</f>
        <v>2344.2288153199238</v>
      </c>
      <c r="U35" s="13">
        <f t="shared" si="0"/>
        <v>87365128.740908936</v>
      </c>
      <c r="V35" s="22" t="s">
        <v>110</v>
      </c>
      <c r="W35" s="20" t="s">
        <v>203</v>
      </c>
    </row>
    <row r="36" spans="1:23" ht="18" customHeight="1">
      <c r="A36" s="10" t="s">
        <v>23</v>
      </c>
      <c r="B36" s="10" t="s">
        <v>24</v>
      </c>
      <c r="C36" s="10" t="s">
        <v>25</v>
      </c>
      <c r="D36" s="12">
        <v>2019</v>
      </c>
      <c r="E36" s="10" t="s">
        <v>204</v>
      </c>
      <c r="F36" s="10" t="s">
        <v>205</v>
      </c>
      <c r="G36" s="10" t="s">
        <v>54</v>
      </c>
      <c r="H36" s="10" t="s">
        <v>55</v>
      </c>
      <c r="I36" s="13">
        <v>33414.752010639299</v>
      </c>
      <c r="J36" s="13">
        <v>33414.752010639299</v>
      </c>
      <c r="K36" s="13">
        <v>0</v>
      </c>
      <c r="L36" s="13">
        <v>25724.844064325898</v>
      </c>
      <c r="M36" s="13">
        <v>7689.9079463134003</v>
      </c>
      <c r="N36" s="10" t="s">
        <v>206</v>
      </c>
      <c r="O36" s="14">
        <v>4.5</v>
      </c>
      <c r="P36" s="10" t="s">
        <v>31</v>
      </c>
      <c r="Q36" s="14" t="s">
        <v>32</v>
      </c>
      <c r="R36" s="10" t="s">
        <v>33</v>
      </c>
      <c r="S36" s="10" t="s">
        <v>204</v>
      </c>
      <c r="T36" s="14">
        <f>IF(O36="","",(1/Metadata!$B$5)^(O36-1))</f>
        <v>3162.2776601683804</v>
      </c>
      <c r="U36" s="13">
        <f t="shared" si="0"/>
        <v>105666723.80331112</v>
      </c>
      <c r="V36" s="19" t="s">
        <v>57</v>
      </c>
      <c r="W36" s="20" t="s">
        <v>207</v>
      </c>
    </row>
    <row r="37" spans="1:23" ht="18" customHeight="1">
      <c r="A37" s="10" t="s">
        <v>23</v>
      </c>
      <c r="B37" s="10" t="s">
        <v>24</v>
      </c>
      <c r="C37" s="10" t="s">
        <v>25</v>
      </c>
      <c r="D37" s="12">
        <v>2019</v>
      </c>
      <c r="E37" s="10" t="s">
        <v>208</v>
      </c>
      <c r="F37" s="10" t="s">
        <v>209</v>
      </c>
      <c r="G37" s="10" t="s">
        <v>28</v>
      </c>
      <c r="H37" s="10" t="s">
        <v>169</v>
      </c>
      <c r="I37" s="13">
        <v>32631.194418032399</v>
      </c>
      <c r="J37" s="13">
        <v>30837.408388720301</v>
      </c>
      <c r="K37" s="13">
        <v>1793.7860293121</v>
      </c>
      <c r="L37" s="13">
        <v>28544.037672419399</v>
      </c>
      <c r="M37" s="13">
        <v>4087.1567456130001</v>
      </c>
      <c r="N37" s="10" t="s">
        <v>210</v>
      </c>
      <c r="O37" s="14">
        <v>3.2</v>
      </c>
      <c r="P37" s="10" t="s">
        <v>41</v>
      </c>
      <c r="Q37" s="14" t="s">
        <v>42</v>
      </c>
      <c r="R37" s="10" t="s">
        <v>33</v>
      </c>
      <c r="S37" s="10" t="s">
        <v>208</v>
      </c>
      <c r="T37" s="14">
        <f>IF(O37="","",(1/Metadata!$B$5)^(O37-1))</f>
        <v>158.48931924611153</v>
      </c>
      <c r="U37" s="13">
        <f t="shared" si="0"/>
        <v>5171695.7895014696</v>
      </c>
      <c r="V37" s="19" t="s">
        <v>169</v>
      </c>
      <c r="W37" s="20" t="s">
        <v>211</v>
      </c>
    </row>
    <row r="38" spans="1:23" ht="18" customHeight="1">
      <c r="A38" s="10" t="s">
        <v>23</v>
      </c>
      <c r="B38" s="10" t="s">
        <v>24</v>
      </c>
      <c r="C38" s="10" t="s">
        <v>25</v>
      </c>
      <c r="D38" s="12">
        <v>2019</v>
      </c>
      <c r="E38" s="10" t="s">
        <v>212</v>
      </c>
      <c r="F38" s="10" t="s">
        <v>213</v>
      </c>
      <c r="G38" s="10" t="s">
        <v>54</v>
      </c>
      <c r="H38" s="10" t="s">
        <v>48</v>
      </c>
      <c r="I38" s="13">
        <v>30840.748941219099</v>
      </c>
      <c r="J38" s="13">
        <v>30549.240785883801</v>
      </c>
      <c r="K38" s="13">
        <v>291.50815533529999</v>
      </c>
      <c r="L38" s="13">
        <v>22322.788479946201</v>
      </c>
      <c r="M38" s="13">
        <v>8517.9604612728999</v>
      </c>
      <c r="N38" s="10" t="s">
        <v>214</v>
      </c>
      <c r="O38" s="14">
        <v>4.49</v>
      </c>
      <c r="P38" s="10" t="s">
        <v>31</v>
      </c>
      <c r="Q38" s="14" t="s">
        <v>32</v>
      </c>
      <c r="R38" s="10" t="s">
        <v>33</v>
      </c>
      <c r="S38" s="10" t="s">
        <v>212</v>
      </c>
      <c r="T38" s="14">
        <f>IF(O38="","",(1/Metadata!$B$5)^(O38-1))</f>
        <v>3090.295432513592</v>
      </c>
      <c r="U38" s="13">
        <f t="shared" si="0"/>
        <v>95307025.588347778</v>
      </c>
      <c r="V38" s="19" t="s">
        <v>110</v>
      </c>
      <c r="W38" s="20" t="s">
        <v>215</v>
      </c>
    </row>
    <row r="39" spans="1:23" ht="18" customHeight="1">
      <c r="A39" s="10" t="s">
        <v>23</v>
      </c>
      <c r="B39" s="10" t="s">
        <v>24</v>
      </c>
      <c r="C39" s="10" t="s">
        <v>25</v>
      </c>
      <c r="D39" s="12">
        <v>2019</v>
      </c>
      <c r="E39" s="10" t="s">
        <v>216</v>
      </c>
      <c r="F39" s="10" t="s">
        <v>217</v>
      </c>
      <c r="G39" s="10" t="s">
        <v>47</v>
      </c>
      <c r="H39" s="10" t="s">
        <v>48</v>
      </c>
      <c r="I39" s="13">
        <v>27457.208705512701</v>
      </c>
      <c r="J39" s="13">
        <v>26579.66330393</v>
      </c>
      <c r="K39" s="13">
        <v>877.54540158270004</v>
      </c>
      <c r="L39" s="13">
        <v>16491.494286491499</v>
      </c>
      <c r="M39" s="13">
        <v>10965.7144190212</v>
      </c>
      <c r="N39" s="10" t="s">
        <v>218</v>
      </c>
      <c r="O39" s="14">
        <v>4.26</v>
      </c>
      <c r="P39" s="10" t="s">
        <v>41</v>
      </c>
      <c r="Q39" s="14" t="s">
        <v>42</v>
      </c>
      <c r="R39" s="10" t="s">
        <v>33</v>
      </c>
      <c r="S39" s="10" t="s">
        <v>216</v>
      </c>
      <c r="T39" s="14">
        <f>IF(O39="","",(1/Metadata!$B$5)^(O39-1))</f>
        <v>1819.7008586099832</v>
      </c>
      <c r="U39" s="13">
        <f t="shared" si="0"/>
        <v>49963906.256454967</v>
      </c>
      <c r="V39" s="21" t="s">
        <v>43</v>
      </c>
      <c r="W39" s="20" t="s">
        <v>219</v>
      </c>
    </row>
    <row r="40" spans="1:23" ht="18" customHeight="1">
      <c r="A40" s="10" t="s">
        <v>23</v>
      </c>
      <c r="B40" s="10" t="s">
        <v>24</v>
      </c>
      <c r="C40" s="10" t="s">
        <v>25</v>
      </c>
      <c r="D40" s="12">
        <v>2019</v>
      </c>
      <c r="E40" s="10" t="s">
        <v>220</v>
      </c>
      <c r="F40" s="10" t="s">
        <v>221</v>
      </c>
      <c r="G40" s="10" t="s">
        <v>38</v>
      </c>
      <c r="H40" s="10" t="s">
        <v>48</v>
      </c>
      <c r="I40" s="13">
        <v>26837.7335499289</v>
      </c>
      <c r="J40" s="13">
        <v>26837.7335499289</v>
      </c>
      <c r="K40" s="13">
        <v>0</v>
      </c>
      <c r="L40" s="13">
        <v>25163.667810148101</v>
      </c>
      <c r="M40" s="13">
        <v>1674.0657397808</v>
      </c>
      <c r="N40" s="10" t="s">
        <v>222</v>
      </c>
      <c r="O40" s="14">
        <v>3.76</v>
      </c>
      <c r="P40" s="10" t="s">
        <v>31</v>
      </c>
      <c r="Q40" s="14" t="s">
        <v>32</v>
      </c>
      <c r="R40" s="10" t="s">
        <v>33</v>
      </c>
      <c r="S40" s="10" t="s">
        <v>220</v>
      </c>
      <c r="T40" s="14">
        <f>IF(O40="","",(1/Metadata!$B$5)^(O40-1))</f>
        <v>575.43993733715706</v>
      </c>
      <c r="U40" s="13">
        <f t="shared" si="0"/>
        <v>15443503.712242404</v>
      </c>
      <c r="V40" s="22" t="s">
        <v>105</v>
      </c>
      <c r="W40" s="20" t="s">
        <v>223</v>
      </c>
    </row>
    <row r="41" spans="1:23" ht="18" customHeight="1">
      <c r="A41" s="10" t="s">
        <v>23</v>
      </c>
      <c r="B41" s="10" t="s">
        <v>24</v>
      </c>
      <c r="C41" s="10" t="s">
        <v>25</v>
      </c>
      <c r="D41" s="12">
        <v>2019</v>
      </c>
      <c r="E41" s="10" t="s">
        <v>224</v>
      </c>
      <c r="F41" s="10" t="s">
        <v>225</v>
      </c>
      <c r="G41" s="10" t="s">
        <v>103</v>
      </c>
      <c r="H41" s="10" t="s">
        <v>48</v>
      </c>
      <c r="I41" s="13">
        <v>26280.496024271601</v>
      </c>
      <c r="J41" s="13">
        <v>26237.936892145201</v>
      </c>
      <c r="K41" s="13">
        <v>42.559132126400002</v>
      </c>
      <c r="L41" s="13">
        <v>21460.371754261701</v>
      </c>
      <c r="M41" s="13">
        <v>4820.1242700099001</v>
      </c>
      <c r="N41" s="10" t="s">
        <v>226</v>
      </c>
      <c r="O41" s="14">
        <v>2.93</v>
      </c>
      <c r="P41" s="10" t="s">
        <v>31</v>
      </c>
      <c r="Q41" s="14" t="s">
        <v>32</v>
      </c>
      <c r="R41" s="10" t="s">
        <v>33</v>
      </c>
      <c r="S41" s="10" t="s">
        <v>224</v>
      </c>
      <c r="T41" s="14">
        <f>IF(O41="","",(1/Metadata!$B$5)^(O41-1))</f>
        <v>85.113803820237734</v>
      </c>
      <c r="U41" s="13">
        <f t="shared" si="0"/>
        <v>2236832.9829083909</v>
      </c>
      <c r="V41" s="22" t="s">
        <v>87</v>
      </c>
      <c r="W41" s="20" t="s">
        <v>227</v>
      </c>
    </row>
    <row r="42" spans="1:23" ht="18" customHeight="1">
      <c r="A42" s="10" t="s">
        <v>23</v>
      </c>
      <c r="B42" s="10" t="s">
        <v>24</v>
      </c>
      <c r="C42" s="10" t="s">
        <v>25</v>
      </c>
      <c r="D42" s="12">
        <v>2019</v>
      </c>
      <c r="E42" s="10" t="s">
        <v>228</v>
      </c>
      <c r="F42" s="10" t="s">
        <v>229</v>
      </c>
      <c r="G42" s="10" t="s">
        <v>47</v>
      </c>
      <c r="H42" s="10" t="s">
        <v>48</v>
      </c>
      <c r="I42" s="13">
        <v>26024.869424465</v>
      </c>
      <c r="J42" s="13">
        <v>26024.869424465</v>
      </c>
      <c r="K42" s="13">
        <v>0</v>
      </c>
      <c r="L42" s="13">
        <v>24345.431419332799</v>
      </c>
      <c r="M42" s="13">
        <v>1679.4380051322</v>
      </c>
      <c r="N42" s="10" t="s">
        <v>230</v>
      </c>
      <c r="O42" s="14">
        <v>4.28</v>
      </c>
      <c r="P42" s="10" t="s">
        <v>31</v>
      </c>
      <c r="Q42" s="14" t="s">
        <v>32</v>
      </c>
      <c r="R42" s="10" t="s">
        <v>33</v>
      </c>
      <c r="S42" s="10" t="s">
        <v>228</v>
      </c>
      <c r="T42" s="14">
        <f>IF(O42="","",(1/Metadata!$B$5)^(O42-1))</f>
        <v>1905.4607179632501</v>
      </c>
      <c r="U42" s="13">
        <f t="shared" si="0"/>
        <v>49589366.378440917</v>
      </c>
      <c r="V42" s="19" t="s">
        <v>110</v>
      </c>
      <c r="W42" s="20" t="s">
        <v>231</v>
      </c>
    </row>
    <row r="43" spans="1:23" ht="18" customHeight="1">
      <c r="A43" s="10" t="s">
        <v>23</v>
      </c>
      <c r="B43" s="10" t="s">
        <v>24</v>
      </c>
      <c r="C43" s="10" t="s">
        <v>25</v>
      </c>
      <c r="D43" s="12">
        <v>2019</v>
      </c>
      <c r="E43" s="10" t="s">
        <v>232</v>
      </c>
      <c r="F43" s="10" t="s">
        <v>233</v>
      </c>
      <c r="G43" s="10" t="s">
        <v>148</v>
      </c>
      <c r="H43" s="10" t="s">
        <v>149</v>
      </c>
      <c r="I43" s="13">
        <v>25711.153310591701</v>
      </c>
      <c r="J43" s="13">
        <v>25711.153310591701</v>
      </c>
      <c r="K43" s="13">
        <v>0</v>
      </c>
      <c r="L43" s="13">
        <v>359.25095656309998</v>
      </c>
      <c r="M43" s="13">
        <v>25351.9023540286</v>
      </c>
      <c r="N43" s="10" t="s">
        <v>234</v>
      </c>
      <c r="O43" s="14">
        <v>4.51</v>
      </c>
      <c r="P43" s="10" t="s">
        <v>31</v>
      </c>
      <c r="Q43" s="14" t="s">
        <v>32</v>
      </c>
      <c r="R43" s="10" t="s">
        <v>33</v>
      </c>
      <c r="S43" s="10" t="s">
        <v>232</v>
      </c>
      <c r="T43" s="14">
        <f>IF(O43="","",(1/Metadata!$B$5)^(O43-1))</f>
        <v>3235.9365692962833</v>
      </c>
      <c r="U43" s="13">
        <f t="shared" si="0"/>
        <v>83199661.236526892</v>
      </c>
      <c r="V43" s="19" t="s">
        <v>151</v>
      </c>
      <c r="W43" s="20" t="s">
        <v>235</v>
      </c>
    </row>
    <row r="44" spans="1:23" ht="18" customHeight="1">
      <c r="A44" s="10" t="s">
        <v>23</v>
      </c>
      <c r="B44" s="10" t="s">
        <v>24</v>
      </c>
      <c r="C44" s="10" t="s">
        <v>25</v>
      </c>
      <c r="D44" s="12">
        <v>2019</v>
      </c>
      <c r="E44" s="10" t="s">
        <v>236</v>
      </c>
      <c r="F44" s="10" t="s">
        <v>237</v>
      </c>
      <c r="G44" s="10" t="s">
        <v>148</v>
      </c>
      <c r="H44" s="10" t="s">
        <v>149</v>
      </c>
      <c r="I44" s="13">
        <v>25338.116004381602</v>
      </c>
      <c r="J44" s="13">
        <v>25338.116004381602</v>
      </c>
      <c r="K44" s="13">
        <v>0</v>
      </c>
      <c r="L44" s="13">
        <v>820.61953072180006</v>
      </c>
      <c r="M44" s="13">
        <v>24517.496473659801</v>
      </c>
      <c r="N44" s="10" t="s">
        <v>238</v>
      </c>
      <c r="O44" s="14">
        <v>4.5</v>
      </c>
      <c r="P44" s="10" t="s">
        <v>31</v>
      </c>
      <c r="Q44" s="14" t="s">
        <v>32</v>
      </c>
      <c r="R44" s="10" t="s">
        <v>33</v>
      </c>
      <c r="S44" s="10" t="s">
        <v>236</v>
      </c>
      <c r="T44" s="14">
        <f>IF(O44="","",(1/Metadata!$B$5)^(O44-1))</f>
        <v>3162.2776601683804</v>
      </c>
      <c r="U44" s="13">
        <f t="shared" si="0"/>
        <v>80126158.19141084</v>
      </c>
      <c r="V44" s="19" t="s">
        <v>151</v>
      </c>
      <c r="W44" s="20" t="s">
        <v>239</v>
      </c>
    </row>
    <row r="45" spans="1:23" ht="18" customHeight="1">
      <c r="A45" s="10" t="s">
        <v>23</v>
      </c>
      <c r="B45" s="10" t="s">
        <v>24</v>
      </c>
      <c r="C45" s="10" t="s">
        <v>25</v>
      </c>
      <c r="D45" s="12">
        <v>2019</v>
      </c>
      <c r="E45" s="10" t="s">
        <v>240</v>
      </c>
      <c r="F45" s="10" t="s">
        <v>241</v>
      </c>
      <c r="G45" s="10" t="s">
        <v>155</v>
      </c>
      <c r="H45" s="10" t="s">
        <v>48</v>
      </c>
      <c r="I45" s="13">
        <v>22213.171508498501</v>
      </c>
      <c r="J45" s="13">
        <v>22075.5779914634</v>
      </c>
      <c r="K45" s="13">
        <v>137.59351703510001</v>
      </c>
      <c r="L45" s="13">
        <v>16574.8830408662</v>
      </c>
      <c r="M45" s="13">
        <v>5638.2884676323001</v>
      </c>
      <c r="N45" s="10" t="s">
        <v>242</v>
      </c>
      <c r="O45" s="14">
        <v>2.5299999999999998</v>
      </c>
      <c r="P45" s="10" t="s">
        <v>41</v>
      </c>
      <c r="Q45" s="14" t="s">
        <v>42</v>
      </c>
      <c r="R45" s="10" t="s">
        <v>33</v>
      </c>
      <c r="S45" s="10" t="s">
        <v>240</v>
      </c>
      <c r="T45" s="14">
        <f>IF(O45="","",(1/Metadata!$B$5)^(O45-1))</f>
        <v>33.884415613920254</v>
      </c>
      <c r="U45" s="13">
        <f t="shared" si="0"/>
        <v>752680.33549725509</v>
      </c>
      <c r="V45" s="22" t="s">
        <v>181</v>
      </c>
      <c r="W45" s="20" t="s">
        <v>243</v>
      </c>
    </row>
    <row r="46" spans="1:23" ht="18" customHeight="1">
      <c r="A46" s="10" t="s">
        <v>23</v>
      </c>
      <c r="B46" s="10" t="s">
        <v>24</v>
      </c>
      <c r="C46" s="10" t="s">
        <v>25</v>
      </c>
      <c r="D46" s="12">
        <v>2019</v>
      </c>
      <c r="E46" s="10" t="s">
        <v>244</v>
      </c>
      <c r="F46" s="10" t="s">
        <v>245</v>
      </c>
      <c r="G46" s="10" t="s">
        <v>54</v>
      </c>
      <c r="H46" s="10" t="s">
        <v>55</v>
      </c>
      <c r="I46" s="13">
        <v>22130.328172936301</v>
      </c>
      <c r="J46" s="13">
        <v>22130.328172936301</v>
      </c>
      <c r="K46" s="13">
        <v>0</v>
      </c>
      <c r="L46" s="13">
        <v>22129.3098293533</v>
      </c>
      <c r="M46" s="13">
        <v>1.0183435830000001</v>
      </c>
      <c r="N46" s="10" t="s">
        <v>246</v>
      </c>
      <c r="O46" s="14">
        <v>4.49</v>
      </c>
      <c r="P46" s="10" t="s">
        <v>31</v>
      </c>
      <c r="Q46" s="14" t="s">
        <v>32</v>
      </c>
      <c r="R46" s="10" t="s">
        <v>33</v>
      </c>
      <c r="S46" s="10" t="s">
        <v>244</v>
      </c>
      <c r="T46" s="14">
        <f>IF(O46="","",(1/Metadata!$B$5)^(O46-1))</f>
        <v>3090.295432513592</v>
      </c>
      <c r="U46" s="13">
        <f t="shared" si="0"/>
        <v>68389252.072851911</v>
      </c>
      <c r="V46" s="19" t="s">
        <v>57</v>
      </c>
      <c r="W46" s="20" t="s">
        <v>247</v>
      </c>
    </row>
    <row r="47" spans="1:23" ht="18" customHeight="1">
      <c r="A47" s="10" t="s">
        <v>23</v>
      </c>
      <c r="B47" s="10" t="s">
        <v>24</v>
      </c>
      <c r="C47" s="10" t="s">
        <v>25</v>
      </c>
      <c r="D47" s="12">
        <v>2019</v>
      </c>
      <c r="E47" s="10" t="s">
        <v>248</v>
      </c>
      <c r="F47" s="10" t="s">
        <v>249</v>
      </c>
      <c r="G47" s="10" t="s">
        <v>81</v>
      </c>
      <c r="H47" s="10" t="s">
        <v>66</v>
      </c>
      <c r="I47" s="13">
        <v>20702.398743715101</v>
      </c>
      <c r="J47" s="13">
        <v>20702.398743715101</v>
      </c>
      <c r="K47" s="13">
        <v>0</v>
      </c>
      <c r="L47" s="13">
        <v>10783.3239671598</v>
      </c>
      <c r="M47" s="13">
        <v>9919.0747765553006</v>
      </c>
      <c r="N47" s="10" t="s">
        <v>250</v>
      </c>
      <c r="O47" s="14">
        <v>2</v>
      </c>
      <c r="P47" s="10" t="s">
        <v>31</v>
      </c>
      <c r="Q47" s="14" t="s">
        <v>32</v>
      </c>
      <c r="R47" s="10" t="s">
        <v>33</v>
      </c>
      <c r="S47" s="10" t="s">
        <v>248</v>
      </c>
      <c r="T47" s="14">
        <f>IF(O47="","",(1/Metadata!$B$5)^(O47-1))</f>
        <v>10</v>
      </c>
      <c r="U47" s="13">
        <f t="shared" si="0"/>
        <v>207023.98743715102</v>
      </c>
      <c r="V47" s="19" t="s">
        <v>81</v>
      </c>
      <c r="W47" s="20" t="s">
        <v>251</v>
      </c>
    </row>
    <row r="48" spans="1:23" ht="18" customHeight="1">
      <c r="A48" s="10" t="s">
        <v>23</v>
      </c>
      <c r="B48" s="10" t="s">
        <v>24</v>
      </c>
      <c r="C48" s="10" t="s">
        <v>25</v>
      </c>
      <c r="D48" s="12">
        <v>2019</v>
      </c>
      <c r="E48" s="10" t="s">
        <v>252</v>
      </c>
      <c r="F48" s="10" t="s">
        <v>253</v>
      </c>
      <c r="G48" s="10" t="s">
        <v>164</v>
      </c>
      <c r="H48" s="10" t="s">
        <v>48</v>
      </c>
      <c r="I48" s="13">
        <v>19580.075896574199</v>
      </c>
      <c r="J48" s="13">
        <v>19580.075896574199</v>
      </c>
      <c r="K48" s="13">
        <v>0</v>
      </c>
      <c r="L48" s="13">
        <v>19545.432033599802</v>
      </c>
      <c r="M48" s="13">
        <v>34.643862974400001</v>
      </c>
      <c r="N48" s="10" t="s">
        <v>254</v>
      </c>
      <c r="O48" s="14">
        <v>4.22</v>
      </c>
      <c r="P48" s="10" t="s">
        <v>31</v>
      </c>
      <c r="Q48" s="14" t="s">
        <v>32</v>
      </c>
      <c r="R48" s="10" t="s">
        <v>33</v>
      </c>
      <c r="S48" s="10" t="s">
        <v>252</v>
      </c>
      <c r="T48" s="14">
        <f>IF(O48="","",(1/Metadata!$B$5)^(O48-1))</f>
        <v>1659.5869074375612</v>
      </c>
      <c r="U48" s="13">
        <f t="shared" si="0"/>
        <v>32494837.604588307</v>
      </c>
      <c r="V48" s="22" t="s">
        <v>105</v>
      </c>
      <c r="W48" s="20" t="s">
        <v>255</v>
      </c>
    </row>
    <row r="49" spans="1:23" ht="18" customHeight="1">
      <c r="A49" s="10" t="s">
        <v>23</v>
      </c>
      <c r="B49" s="10" t="s">
        <v>24</v>
      </c>
      <c r="C49" s="10" t="s">
        <v>25</v>
      </c>
      <c r="D49" s="12">
        <v>2019</v>
      </c>
      <c r="E49" s="10" t="s">
        <v>256</v>
      </c>
      <c r="F49" s="10" t="s">
        <v>257</v>
      </c>
      <c r="G49" s="10" t="s">
        <v>54</v>
      </c>
      <c r="H49" s="10" t="s">
        <v>55</v>
      </c>
      <c r="I49" s="13">
        <v>19336.702823408901</v>
      </c>
      <c r="J49" s="13">
        <v>19336.702823408901</v>
      </c>
      <c r="K49" s="13">
        <v>0</v>
      </c>
      <c r="L49" s="13">
        <v>14535.485574574601</v>
      </c>
      <c r="M49" s="13">
        <v>4801.2172488343003</v>
      </c>
      <c r="N49" s="10" t="s">
        <v>258</v>
      </c>
      <c r="O49" s="14">
        <v>4.5</v>
      </c>
      <c r="P49" s="10" t="s">
        <v>31</v>
      </c>
      <c r="Q49" s="14" t="s">
        <v>32</v>
      </c>
      <c r="R49" s="10" t="s">
        <v>33</v>
      </c>
      <c r="S49" s="10" t="s">
        <v>256</v>
      </c>
      <c r="T49" s="14">
        <f>IF(O49="","",(1/Metadata!$B$5)^(O49-1))</f>
        <v>3162.2776601683804</v>
      </c>
      <c r="U49" s="13">
        <f t="shared" si="0"/>
        <v>61148023.359780818</v>
      </c>
      <c r="V49" s="19" t="s">
        <v>57</v>
      </c>
      <c r="W49" s="20" t="s">
        <v>259</v>
      </c>
    </row>
    <row r="50" spans="1:23" ht="18" customHeight="1">
      <c r="A50" s="10" t="s">
        <v>23</v>
      </c>
      <c r="B50" s="10" t="s">
        <v>24</v>
      </c>
      <c r="C50" s="10" t="s">
        <v>25</v>
      </c>
      <c r="D50" s="12">
        <v>2019</v>
      </c>
      <c r="E50" s="10" t="s">
        <v>260</v>
      </c>
      <c r="F50" s="10" t="s">
        <v>261</v>
      </c>
      <c r="G50" s="10" t="s">
        <v>54</v>
      </c>
      <c r="H50" s="10" t="s">
        <v>29</v>
      </c>
      <c r="I50" s="13">
        <v>17808.4238839016</v>
      </c>
      <c r="J50" s="13">
        <v>17197.4202054696</v>
      </c>
      <c r="K50" s="13">
        <v>611.00367843200002</v>
      </c>
      <c r="L50" s="13">
        <v>17122.357318884198</v>
      </c>
      <c r="M50" s="13">
        <v>686.06656501739997</v>
      </c>
      <c r="N50" s="10" t="s">
        <v>262</v>
      </c>
      <c r="O50" s="14">
        <v>4.3</v>
      </c>
      <c r="P50" s="10" t="s">
        <v>41</v>
      </c>
      <c r="Q50" s="14" t="s">
        <v>42</v>
      </c>
      <c r="R50" s="10" t="s">
        <v>33</v>
      </c>
      <c r="S50" s="10" t="s">
        <v>260</v>
      </c>
      <c r="T50" s="14">
        <f>IF(O50="","",(1/Metadata!$B$5)^(O50-1))</f>
        <v>1995.2623149688804</v>
      </c>
      <c r="U50" s="13">
        <f t="shared" si="0"/>
        <v>35532477.06454061</v>
      </c>
      <c r="V50" s="19" t="s">
        <v>136</v>
      </c>
      <c r="W50" s="20" t="s">
        <v>263</v>
      </c>
    </row>
    <row r="51" spans="1:23" ht="18" customHeight="1">
      <c r="A51" s="10" t="s">
        <v>23</v>
      </c>
      <c r="B51" s="10" t="s">
        <v>24</v>
      </c>
      <c r="C51" s="10" t="s">
        <v>25</v>
      </c>
      <c r="D51" s="12">
        <v>2019</v>
      </c>
      <c r="E51" s="10" t="s">
        <v>264</v>
      </c>
      <c r="F51" s="10" t="s">
        <v>265</v>
      </c>
      <c r="G51" s="10" t="s">
        <v>54</v>
      </c>
      <c r="H51" s="10" t="s">
        <v>48</v>
      </c>
      <c r="I51" s="13">
        <v>17654.194360937701</v>
      </c>
      <c r="J51" s="13">
        <v>17654.194360937701</v>
      </c>
      <c r="K51" s="13">
        <v>0</v>
      </c>
      <c r="L51" s="13">
        <v>17343.475569957402</v>
      </c>
      <c r="M51" s="13">
        <v>310.71879098030001</v>
      </c>
      <c r="N51" s="10" t="s">
        <v>266</v>
      </c>
      <c r="O51" s="14">
        <v>3.96</v>
      </c>
      <c r="P51" s="10" t="s">
        <v>31</v>
      </c>
      <c r="Q51" s="14" t="s">
        <v>32</v>
      </c>
      <c r="R51" s="10" t="s">
        <v>33</v>
      </c>
      <c r="S51" s="10" t="s">
        <v>264</v>
      </c>
      <c r="T51" s="14">
        <f>IF(O51="","",(1/Metadata!$B$5)^(O51-1))</f>
        <v>912.01083935590987</v>
      </c>
      <c r="U51" s="13">
        <f t="shared" si="0"/>
        <v>16100816.617271164</v>
      </c>
      <c r="V51" s="22" t="s">
        <v>110</v>
      </c>
      <c r="W51" s="20" t="s">
        <v>267</v>
      </c>
    </row>
    <row r="52" spans="1:23" ht="18" customHeight="1">
      <c r="A52" s="10" t="s">
        <v>23</v>
      </c>
      <c r="B52" s="10" t="s">
        <v>24</v>
      </c>
      <c r="C52" s="10" t="s">
        <v>25</v>
      </c>
      <c r="D52" s="12">
        <v>2019</v>
      </c>
      <c r="E52" s="10" t="s">
        <v>268</v>
      </c>
      <c r="F52" s="10" t="s">
        <v>269</v>
      </c>
      <c r="G52" s="10" t="s">
        <v>155</v>
      </c>
      <c r="H52" s="10" t="s">
        <v>48</v>
      </c>
      <c r="I52" s="13">
        <v>17566.194469704202</v>
      </c>
      <c r="J52" s="13">
        <v>16745.925430337102</v>
      </c>
      <c r="K52" s="13">
        <v>820.26903936710005</v>
      </c>
      <c r="L52" s="13">
        <v>11257.5124196422</v>
      </c>
      <c r="M52" s="13">
        <v>6308.6820500619997</v>
      </c>
      <c r="N52" s="10" t="s">
        <v>270</v>
      </c>
      <c r="O52" s="14">
        <v>3.59</v>
      </c>
      <c r="P52" s="10" t="s">
        <v>41</v>
      </c>
      <c r="Q52" s="14" t="s">
        <v>42</v>
      </c>
      <c r="R52" s="10" t="s">
        <v>33</v>
      </c>
      <c r="S52" s="10" t="s">
        <v>268</v>
      </c>
      <c r="T52" s="14">
        <f>IF(O52="","",(1/Metadata!$B$5)^(O52-1))</f>
        <v>389.04514499428063</v>
      </c>
      <c r="U52" s="13">
        <f t="shared" si="0"/>
        <v>6834042.674463802</v>
      </c>
      <c r="V52" s="22" t="s">
        <v>105</v>
      </c>
      <c r="W52" s="20" t="s">
        <v>271</v>
      </c>
    </row>
    <row r="53" spans="1:23" ht="18" customHeight="1">
      <c r="A53" s="10" t="s">
        <v>23</v>
      </c>
      <c r="B53" s="10" t="s">
        <v>24</v>
      </c>
      <c r="C53" s="10" t="s">
        <v>25</v>
      </c>
      <c r="D53" s="12">
        <v>2019</v>
      </c>
      <c r="E53" s="10" t="s">
        <v>272</v>
      </c>
      <c r="F53" s="10" t="s">
        <v>273</v>
      </c>
      <c r="G53" s="10" t="s">
        <v>118</v>
      </c>
      <c r="H53" s="10" t="s">
        <v>39</v>
      </c>
      <c r="I53" s="13">
        <v>16656.422660448599</v>
      </c>
      <c r="J53" s="13">
        <v>16656.422660448599</v>
      </c>
      <c r="K53" s="13">
        <v>0</v>
      </c>
      <c r="L53" s="13">
        <v>10059.3610019117</v>
      </c>
      <c r="M53" s="13">
        <v>6597.0616585368998</v>
      </c>
      <c r="N53" s="10" t="s">
        <v>274</v>
      </c>
      <c r="O53" s="14">
        <v>3.69</v>
      </c>
      <c r="P53" s="10" t="s">
        <v>41</v>
      </c>
      <c r="Q53" s="14" t="s">
        <v>42</v>
      </c>
      <c r="R53" s="10" t="s">
        <v>33</v>
      </c>
      <c r="S53" s="10" t="s">
        <v>272</v>
      </c>
      <c r="T53" s="14">
        <f>IF(O53="","",(1/Metadata!$B$5)^(O53-1))</f>
        <v>489.77881936844625</v>
      </c>
      <c r="U53" s="13">
        <f t="shared" si="0"/>
        <v>8157963.025536349</v>
      </c>
      <c r="V53" s="19" t="s">
        <v>118</v>
      </c>
      <c r="W53" s="20" t="s">
        <v>275</v>
      </c>
    </row>
    <row r="54" spans="1:23" ht="18" customHeight="1">
      <c r="A54" s="10" t="s">
        <v>23</v>
      </c>
      <c r="B54" s="10" t="s">
        <v>24</v>
      </c>
      <c r="C54" s="10" t="s">
        <v>25</v>
      </c>
      <c r="D54" s="12">
        <v>2019</v>
      </c>
      <c r="E54" s="10" t="s">
        <v>276</v>
      </c>
      <c r="F54" s="10" t="s">
        <v>277</v>
      </c>
      <c r="G54" s="10" t="s">
        <v>103</v>
      </c>
      <c r="H54" s="10" t="s">
        <v>48</v>
      </c>
      <c r="I54" s="13">
        <v>16570.293686030502</v>
      </c>
      <c r="J54" s="13">
        <v>16135.361522658601</v>
      </c>
      <c r="K54" s="13">
        <v>434.9321633719</v>
      </c>
      <c r="L54" s="13">
        <v>9839.9671568519007</v>
      </c>
      <c r="M54" s="13">
        <v>6730.326529178601</v>
      </c>
      <c r="N54" s="10" t="s">
        <v>278</v>
      </c>
      <c r="O54" s="14">
        <v>3.6</v>
      </c>
      <c r="P54" s="10" t="s">
        <v>31</v>
      </c>
      <c r="Q54" s="14" t="s">
        <v>32</v>
      </c>
      <c r="R54" s="10" t="s">
        <v>33</v>
      </c>
      <c r="S54" s="10" t="s">
        <v>276</v>
      </c>
      <c r="T54" s="14">
        <f>IF(O54="","",(1/Metadata!$B$5)^(O54-1))</f>
        <v>398.10717055349761</v>
      </c>
      <c r="U54" s="13">
        <f t="shared" si="0"/>
        <v>6596752.7345860898</v>
      </c>
      <c r="V54" s="19" t="s">
        <v>92</v>
      </c>
      <c r="W54" s="20" t="s">
        <v>279</v>
      </c>
    </row>
    <row r="55" spans="1:23" ht="18" customHeight="1">
      <c r="A55" s="10" t="s">
        <v>23</v>
      </c>
      <c r="B55" s="10" t="s">
        <v>24</v>
      </c>
      <c r="C55" s="10" t="s">
        <v>25</v>
      </c>
      <c r="D55" s="12">
        <v>2019</v>
      </c>
      <c r="E55" s="10" t="s">
        <v>280</v>
      </c>
      <c r="F55" s="10" t="s">
        <v>281</v>
      </c>
      <c r="G55" s="10" t="s">
        <v>47</v>
      </c>
      <c r="H55" s="10" t="s">
        <v>55</v>
      </c>
      <c r="I55" s="13">
        <v>16143.5219502987</v>
      </c>
      <c r="J55" s="13">
        <v>16143.5219502987</v>
      </c>
      <c r="K55" s="13">
        <v>0</v>
      </c>
      <c r="L55" s="13">
        <v>13782.6293239276</v>
      </c>
      <c r="M55" s="13">
        <v>2360.8926263711001</v>
      </c>
      <c r="N55" s="10" t="s">
        <v>282</v>
      </c>
      <c r="O55" s="14">
        <v>4.37</v>
      </c>
      <c r="P55" s="10" t="s">
        <v>31</v>
      </c>
      <c r="Q55" s="14" t="s">
        <v>32</v>
      </c>
      <c r="R55" s="10" t="s">
        <v>33</v>
      </c>
      <c r="S55" s="10" t="s">
        <v>280</v>
      </c>
      <c r="T55" s="14">
        <f>IF(O55="","",(1/Metadata!$B$5)^(O55-1))</f>
        <v>2344.2288153199238</v>
      </c>
      <c r="U55" s="13">
        <f t="shared" si="0"/>
        <v>37844109.336639911</v>
      </c>
      <c r="V55" s="19" t="s">
        <v>57</v>
      </c>
      <c r="W55" s="20" t="s">
        <v>283</v>
      </c>
    </row>
    <row r="56" spans="1:23" ht="18" customHeight="1">
      <c r="A56" s="10" t="s">
        <v>23</v>
      </c>
      <c r="B56" s="10" t="s">
        <v>24</v>
      </c>
      <c r="C56" s="10" t="s">
        <v>25</v>
      </c>
      <c r="D56" s="12">
        <v>2019</v>
      </c>
      <c r="E56" s="10" t="s">
        <v>284</v>
      </c>
      <c r="F56" s="10" t="s">
        <v>285</v>
      </c>
      <c r="G56" s="10" t="s">
        <v>155</v>
      </c>
      <c r="H56" s="10" t="s">
        <v>48</v>
      </c>
      <c r="I56" s="13">
        <v>15164.639378659</v>
      </c>
      <c r="J56" s="13">
        <v>15164.639378659</v>
      </c>
      <c r="K56" s="13">
        <v>0</v>
      </c>
      <c r="L56" s="13">
        <v>12685.6839960088</v>
      </c>
      <c r="M56" s="13">
        <v>2478.9553826502001</v>
      </c>
      <c r="N56" s="10" t="s">
        <v>286</v>
      </c>
      <c r="O56" s="14">
        <v>3.84</v>
      </c>
      <c r="P56" s="10" t="s">
        <v>41</v>
      </c>
      <c r="Q56" s="14" t="s">
        <v>42</v>
      </c>
      <c r="R56" s="10" t="s">
        <v>33</v>
      </c>
      <c r="S56" s="10" t="s">
        <v>284</v>
      </c>
      <c r="T56" s="14">
        <f>IF(O56="","",(1/Metadata!$B$5)^(O56-1))</f>
        <v>691.83097091893671</v>
      </c>
      <c r="U56" s="13">
        <f t="shared" si="0"/>
        <v>10491367.184973197</v>
      </c>
      <c r="V56" s="19" t="s">
        <v>105</v>
      </c>
      <c r="W56" s="20" t="s">
        <v>287</v>
      </c>
    </row>
    <row r="57" spans="1:23" ht="18" customHeight="1">
      <c r="A57" s="10" t="s">
        <v>23</v>
      </c>
      <c r="B57" s="10" t="s">
        <v>24</v>
      </c>
      <c r="C57" s="10" t="s">
        <v>25</v>
      </c>
      <c r="D57" s="12">
        <v>2019</v>
      </c>
      <c r="E57" s="10" t="s">
        <v>288</v>
      </c>
      <c r="F57" s="10" t="s">
        <v>289</v>
      </c>
      <c r="G57" s="10" t="s">
        <v>71</v>
      </c>
      <c r="H57" s="10" t="s">
        <v>48</v>
      </c>
      <c r="I57" s="13">
        <v>14164.110741267301</v>
      </c>
      <c r="J57" s="13">
        <v>14080.009757812801</v>
      </c>
      <c r="K57" s="13">
        <v>84.100983454499996</v>
      </c>
      <c r="L57" s="13">
        <v>8874.5930551983001</v>
      </c>
      <c r="M57" s="13">
        <v>5289.5176860689999</v>
      </c>
      <c r="N57" s="10" t="s">
        <v>290</v>
      </c>
      <c r="O57" s="14">
        <v>3.77</v>
      </c>
      <c r="P57" s="10" t="s">
        <v>31</v>
      </c>
      <c r="Q57" s="14" t="s">
        <v>32</v>
      </c>
      <c r="R57" s="10" t="s">
        <v>33</v>
      </c>
      <c r="S57" s="10" t="s">
        <v>288</v>
      </c>
      <c r="T57" s="14">
        <f>IF(O57="","",(1/Metadata!$B$5)^(O57-1))</f>
        <v>588.84365535558959</v>
      </c>
      <c r="U57" s="13">
        <f t="shared" si="0"/>
        <v>8340446.7437492069</v>
      </c>
      <c r="V57" s="19" t="s">
        <v>73</v>
      </c>
      <c r="W57" s="20" t="s">
        <v>291</v>
      </c>
    </row>
    <row r="58" spans="1:23" ht="18" customHeight="1">
      <c r="A58" s="10" t="s">
        <v>23</v>
      </c>
      <c r="B58" s="10" t="s">
        <v>24</v>
      </c>
      <c r="C58" s="10" t="s">
        <v>25</v>
      </c>
      <c r="D58" s="12">
        <v>2019</v>
      </c>
      <c r="E58" s="10" t="s">
        <v>292</v>
      </c>
      <c r="F58" s="10" t="s">
        <v>293</v>
      </c>
      <c r="G58" s="10" t="s">
        <v>294</v>
      </c>
      <c r="H58" s="10" t="s">
        <v>39</v>
      </c>
      <c r="I58" s="13">
        <v>13295.6041304956</v>
      </c>
      <c r="J58" s="13">
        <v>13295.6041304956</v>
      </c>
      <c r="K58" s="13">
        <v>0</v>
      </c>
      <c r="L58" s="13">
        <v>0</v>
      </c>
      <c r="M58" s="13">
        <v>13295.6041304956</v>
      </c>
      <c r="N58" s="10" t="s">
        <v>295</v>
      </c>
      <c r="O58" s="14">
        <v>3.46</v>
      </c>
      <c r="P58" s="10" t="s">
        <v>41</v>
      </c>
      <c r="Q58" s="14" t="s">
        <v>42</v>
      </c>
      <c r="R58" s="10" t="s">
        <v>33</v>
      </c>
      <c r="S58" s="10" t="s">
        <v>292</v>
      </c>
      <c r="T58" s="14">
        <f>IF(O58="","",(1/Metadata!$B$5)^(O58-1))</f>
        <v>288.40315031266073</v>
      </c>
      <c r="U58" s="13">
        <f t="shared" si="0"/>
        <v>3834494.1165449554</v>
      </c>
      <c r="V58" s="19" t="s">
        <v>296</v>
      </c>
      <c r="W58" s="20" t="s">
        <v>297</v>
      </c>
    </row>
    <row r="59" spans="1:23" ht="18" customHeight="1">
      <c r="A59" s="10" t="s">
        <v>23</v>
      </c>
      <c r="B59" s="10" t="s">
        <v>24</v>
      </c>
      <c r="C59" s="10" t="s">
        <v>25</v>
      </c>
      <c r="D59" s="12">
        <v>2019</v>
      </c>
      <c r="E59" s="10" t="s">
        <v>298</v>
      </c>
      <c r="F59" s="10" t="s">
        <v>299</v>
      </c>
      <c r="G59" s="10" t="s">
        <v>103</v>
      </c>
      <c r="H59" s="10" t="s">
        <v>48</v>
      </c>
      <c r="I59" s="13">
        <v>12893.3051865943</v>
      </c>
      <c r="J59" s="13">
        <v>12893.3051865943</v>
      </c>
      <c r="K59" s="13">
        <v>0</v>
      </c>
      <c r="L59" s="13">
        <v>12893.3051865943</v>
      </c>
      <c r="M59" s="13">
        <v>0</v>
      </c>
      <c r="N59" s="10" t="s">
        <v>300</v>
      </c>
      <c r="O59" s="14">
        <v>3.41</v>
      </c>
      <c r="P59" s="10" t="s">
        <v>41</v>
      </c>
      <c r="Q59" s="14" t="s">
        <v>42</v>
      </c>
      <c r="R59" s="10" t="s">
        <v>33</v>
      </c>
      <c r="S59" s="10" t="s">
        <v>298</v>
      </c>
      <c r="T59" s="14">
        <f>IF(O59="","",(1/Metadata!$B$5)^(O59-1))</f>
        <v>257.03957827688663</v>
      </c>
      <c r="U59" s="13">
        <f t="shared" si="0"/>
        <v>3314089.7277573938</v>
      </c>
      <c r="V59" s="19" t="s">
        <v>92</v>
      </c>
      <c r="W59" s="20" t="s">
        <v>301</v>
      </c>
    </row>
    <row r="60" spans="1:23" ht="18" customHeight="1">
      <c r="A60" s="10" t="s">
        <v>23</v>
      </c>
      <c r="B60" s="10" t="s">
        <v>24</v>
      </c>
      <c r="C60" s="10" t="s">
        <v>25</v>
      </c>
      <c r="D60" s="12">
        <v>2019</v>
      </c>
      <c r="E60" s="10" t="s">
        <v>302</v>
      </c>
      <c r="F60" s="10" t="s">
        <v>303</v>
      </c>
      <c r="G60" s="10" t="s">
        <v>28</v>
      </c>
      <c r="H60" s="10" t="s">
        <v>29</v>
      </c>
      <c r="I60" s="13">
        <v>12522.8035879446</v>
      </c>
      <c r="J60" s="13">
        <v>12457.3867776685</v>
      </c>
      <c r="K60" s="13">
        <v>65.416810276099994</v>
      </c>
      <c r="L60" s="13">
        <v>0</v>
      </c>
      <c r="M60" s="13">
        <v>12522.8035879446</v>
      </c>
      <c r="N60" s="10" t="s">
        <v>304</v>
      </c>
      <c r="O60" s="14">
        <v>2.9</v>
      </c>
      <c r="P60" s="10" t="s">
        <v>41</v>
      </c>
      <c r="Q60" s="14" t="s">
        <v>42</v>
      </c>
      <c r="R60" s="10" t="s">
        <v>33</v>
      </c>
      <c r="S60" s="10" t="s">
        <v>302</v>
      </c>
      <c r="T60" s="14">
        <f>IF(O60="","",(1/Metadata!$B$5)^(O60-1))</f>
        <v>79.432823472428197</v>
      </c>
      <c r="U60" s="13">
        <f t="shared" si="0"/>
        <v>994721.64678109379</v>
      </c>
      <c r="V60" s="19" t="s">
        <v>34</v>
      </c>
      <c r="W60" s="20" t="s">
        <v>305</v>
      </c>
    </row>
    <row r="61" spans="1:23" ht="18" customHeight="1">
      <c r="A61" s="10" t="s">
        <v>23</v>
      </c>
      <c r="B61" s="10" t="s">
        <v>24</v>
      </c>
      <c r="C61" s="10" t="s">
        <v>25</v>
      </c>
      <c r="D61" s="12">
        <v>2019</v>
      </c>
      <c r="E61" s="10" t="s">
        <v>306</v>
      </c>
      <c r="F61" s="10" t="s">
        <v>307</v>
      </c>
      <c r="G61" s="10" t="s">
        <v>103</v>
      </c>
      <c r="H61" s="10" t="s">
        <v>48</v>
      </c>
      <c r="I61" s="13">
        <v>12499.482958136001</v>
      </c>
      <c r="J61" s="13">
        <v>12243.031748593899</v>
      </c>
      <c r="K61" s="13">
        <v>256.4512095421</v>
      </c>
      <c r="L61" s="13">
        <v>7084.7384862012004</v>
      </c>
      <c r="M61" s="13">
        <v>5414.7444719347995</v>
      </c>
      <c r="N61" s="10" t="s">
        <v>308</v>
      </c>
      <c r="O61" s="14">
        <v>3.31</v>
      </c>
      <c r="P61" s="10" t="s">
        <v>41</v>
      </c>
      <c r="Q61" s="14" t="s">
        <v>42</v>
      </c>
      <c r="R61" s="10" t="s">
        <v>33</v>
      </c>
      <c r="S61" s="10" t="s">
        <v>306</v>
      </c>
      <c r="T61" s="14">
        <f>IF(O61="","",(1/Metadata!$B$5)^(O61-1))</f>
        <v>204.17379446695315</v>
      </c>
      <c r="U61" s="13">
        <f t="shared" si="0"/>
        <v>2552066.8644376434</v>
      </c>
      <c r="V61" s="22" t="s">
        <v>92</v>
      </c>
      <c r="W61" s="20" t="s">
        <v>309</v>
      </c>
    </row>
    <row r="62" spans="1:23" ht="18" customHeight="1">
      <c r="A62" s="10" t="s">
        <v>23</v>
      </c>
      <c r="B62" s="10" t="s">
        <v>24</v>
      </c>
      <c r="C62" s="10" t="s">
        <v>25</v>
      </c>
      <c r="D62" s="12">
        <v>2019</v>
      </c>
      <c r="E62" s="10" t="s">
        <v>310</v>
      </c>
      <c r="F62" s="10" t="s">
        <v>311</v>
      </c>
      <c r="G62" s="10" t="s">
        <v>312</v>
      </c>
      <c r="H62" s="10" t="s">
        <v>48</v>
      </c>
      <c r="I62" s="13">
        <v>12368.060038965599</v>
      </c>
      <c r="J62" s="13">
        <v>10401.316259249301</v>
      </c>
      <c r="K62" s="13">
        <v>1966.7437797163</v>
      </c>
      <c r="L62" s="13">
        <v>6132.3852155492004</v>
      </c>
      <c r="M62" s="13">
        <v>6235.6748234164006</v>
      </c>
      <c r="N62" s="10" t="s">
        <v>313</v>
      </c>
      <c r="O62" s="14">
        <v>3.24</v>
      </c>
      <c r="P62" s="10" t="s">
        <v>41</v>
      </c>
      <c r="Q62" s="14" t="s">
        <v>42</v>
      </c>
      <c r="R62" s="10" t="s">
        <v>33</v>
      </c>
      <c r="S62" s="10" t="s">
        <v>310</v>
      </c>
      <c r="T62" s="14">
        <f>IF(O62="","",(1/Metadata!$B$5)^(O62-1))</f>
        <v>173.78008287493768</v>
      </c>
      <c r="U62" s="13">
        <f t="shared" si="0"/>
        <v>2149322.4985736469</v>
      </c>
      <c r="V62" s="22" t="s">
        <v>87</v>
      </c>
      <c r="W62" s="20" t="s">
        <v>314</v>
      </c>
    </row>
    <row r="63" spans="1:23" ht="18" customHeight="1">
      <c r="A63" s="10" t="s">
        <v>23</v>
      </c>
      <c r="B63" s="10" t="s">
        <v>24</v>
      </c>
      <c r="C63" s="10" t="s">
        <v>25</v>
      </c>
      <c r="D63" s="12">
        <v>2019</v>
      </c>
      <c r="E63" s="10" t="s">
        <v>315</v>
      </c>
      <c r="F63" s="10" t="s">
        <v>316</v>
      </c>
      <c r="G63" s="10" t="s">
        <v>155</v>
      </c>
      <c r="H63" s="10" t="s">
        <v>48</v>
      </c>
      <c r="I63" s="13">
        <v>12162.722276853199</v>
      </c>
      <c r="J63" s="13">
        <v>11776.4557339148</v>
      </c>
      <c r="K63" s="13">
        <v>386.26654293839999</v>
      </c>
      <c r="L63" s="13">
        <v>8929.6084852749009</v>
      </c>
      <c r="M63" s="13">
        <v>3233.1137915783002</v>
      </c>
      <c r="N63" s="10" t="s">
        <v>317</v>
      </c>
      <c r="O63" s="14">
        <v>3.46</v>
      </c>
      <c r="P63" s="10" t="s">
        <v>41</v>
      </c>
      <c r="Q63" s="14" t="s">
        <v>42</v>
      </c>
      <c r="R63" s="10" t="s">
        <v>33</v>
      </c>
      <c r="S63" s="10" t="s">
        <v>315</v>
      </c>
      <c r="T63" s="14">
        <f>IF(O63="","",(1/Metadata!$B$5)^(O63-1))</f>
        <v>288.40315031266073</v>
      </c>
      <c r="U63" s="13">
        <f t="shared" si="0"/>
        <v>3507767.4210224403</v>
      </c>
      <c r="V63" s="19" t="s">
        <v>73</v>
      </c>
      <c r="W63" s="20" t="s">
        <v>318</v>
      </c>
    </row>
    <row r="64" spans="1:23" ht="18" customHeight="1">
      <c r="A64" s="10" t="s">
        <v>23</v>
      </c>
      <c r="B64" s="10" t="s">
        <v>24</v>
      </c>
      <c r="C64" s="10" t="s">
        <v>25</v>
      </c>
      <c r="D64" s="12">
        <v>2019</v>
      </c>
      <c r="E64" s="10" t="s">
        <v>319</v>
      </c>
      <c r="F64" s="10" t="s">
        <v>320</v>
      </c>
      <c r="G64" s="10" t="s">
        <v>65</v>
      </c>
      <c r="H64" s="10" t="s">
        <v>66</v>
      </c>
      <c r="I64" s="13">
        <v>11587.998194489001</v>
      </c>
      <c r="J64" s="13">
        <v>11587.998194489001</v>
      </c>
      <c r="K64" s="13">
        <v>0</v>
      </c>
      <c r="L64" s="13">
        <v>5084.7286888606004</v>
      </c>
      <c r="M64" s="13">
        <v>6503.2695056284001</v>
      </c>
      <c r="N64" s="10" t="s">
        <v>321</v>
      </c>
      <c r="O64" s="14">
        <v>2.48</v>
      </c>
      <c r="P64" s="10" t="s">
        <v>31</v>
      </c>
      <c r="Q64" s="14" t="s">
        <v>32</v>
      </c>
      <c r="R64" s="10" t="s">
        <v>33</v>
      </c>
      <c r="S64" s="10" t="s">
        <v>319</v>
      </c>
      <c r="T64" s="14">
        <f>IF(O64="","",(1/Metadata!$B$5)^(O64-1))</f>
        <v>30.199517204020164</v>
      </c>
      <c r="U64" s="13">
        <f t="shared" si="0"/>
        <v>349951.95083462517</v>
      </c>
      <c r="V64" s="19" t="s">
        <v>322</v>
      </c>
      <c r="W64" s="20" t="s">
        <v>323</v>
      </c>
    </row>
    <row r="65" spans="1:23" ht="18" customHeight="1">
      <c r="A65" s="10" t="s">
        <v>23</v>
      </c>
      <c r="B65" s="10" t="s">
        <v>24</v>
      </c>
      <c r="C65" s="10" t="s">
        <v>25</v>
      </c>
      <c r="D65" s="12">
        <v>2019</v>
      </c>
      <c r="E65" s="10" t="s">
        <v>324</v>
      </c>
      <c r="F65" s="10" t="s">
        <v>325</v>
      </c>
      <c r="G65" s="10" t="s">
        <v>164</v>
      </c>
      <c r="H65" s="10" t="s">
        <v>48</v>
      </c>
      <c r="I65" s="13">
        <v>11581.6270094666</v>
      </c>
      <c r="J65" s="13">
        <v>11581.6270094666</v>
      </c>
      <c r="K65" s="13">
        <v>0</v>
      </c>
      <c r="L65" s="13">
        <v>10934.686197307101</v>
      </c>
      <c r="M65" s="13">
        <v>646.94081215949996</v>
      </c>
      <c r="N65" s="10" t="s">
        <v>326</v>
      </c>
      <c r="O65" s="14">
        <v>4</v>
      </c>
      <c r="P65" s="10" t="s">
        <v>31</v>
      </c>
      <c r="Q65" s="14" t="s">
        <v>32</v>
      </c>
      <c r="R65" s="10" t="s">
        <v>33</v>
      </c>
      <c r="S65" s="10" t="s">
        <v>324</v>
      </c>
      <c r="T65" s="14">
        <f>IF(O65="","",(1/Metadata!$B$5)^(O65-1))</f>
        <v>1000</v>
      </c>
      <c r="U65" s="13">
        <f t="shared" si="0"/>
        <v>11581627.0094666</v>
      </c>
      <c r="V65" s="19" t="s">
        <v>105</v>
      </c>
      <c r="W65" s="20" t="s">
        <v>327</v>
      </c>
    </row>
    <row r="66" spans="1:23" ht="18" customHeight="1">
      <c r="A66" s="10" t="s">
        <v>23</v>
      </c>
      <c r="B66" s="10" t="s">
        <v>24</v>
      </c>
      <c r="C66" s="10" t="s">
        <v>25</v>
      </c>
      <c r="D66" s="12">
        <v>2019</v>
      </c>
      <c r="E66" s="10" t="s">
        <v>328</v>
      </c>
      <c r="F66" s="10" t="s">
        <v>329</v>
      </c>
      <c r="G66" s="10" t="s">
        <v>155</v>
      </c>
      <c r="H66" s="10" t="s">
        <v>48</v>
      </c>
      <c r="I66" s="13">
        <v>11511.6699557431</v>
      </c>
      <c r="J66" s="13">
        <v>11453.6827165665</v>
      </c>
      <c r="K66" s="13">
        <v>57.987239176599999</v>
      </c>
      <c r="L66" s="13">
        <v>4719.7095315590004</v>
      </c>
      <c r="M66" s="13">
        <v>6791.9604241840998</v>
      </c>
      <c r="N66" s="10" t="s">
        <v>330</v>
      </c>
      <c r="O66" s="14">
        <v>2.11</v>
      </c>
      <c r="P66" s="10" t="s">
        <v>41</v>
      </c>
      <c r="Q66" s="14" t="s">
        <v>42</v>
      </c>
      <c r="R66" s="10" t="s">
        <v>33</v>
      </c>
      <c r="S66" s="10" t="s">
        <v>328</v>
      </c>
      <c r="T66" s="14">
        <f>IF(O66="","",(1/Metadata!$B$5)^(O66-1))</f>
        <v>12.882495516931341</v>
      </c>
      <c r="U66" s="13">
        <f t="shared" ref="U66:U129" si="1">IF(T66="","",I66*T66)</f>
        <v>148299.0365972537</v>
      </c>
      <c r="V66" s="22" t="s">
        <v>181</v>
      </c>
      <c r="W66" s="20" t="s">
        <v>331</v>
      </c>
    </row>
    <row r="67" spans="1:23" ht="18" customHeight="1">
      <c r="A67" s="10" t="s">
        <v>23</v>
      </c>
      <c r="B67" s="10" t="s">
        <v>24</v>
      </c>
      <c r="C67" s="10" t="s">
        <v>25</v>
      </c>
      <c r="D67" s="12">
        <v>2019</v>
      </c>
      <c r="E67" s="10" t="s">
        <v>332</v>
      </c>
      <c r="F67" s="10" t="s">
        <v>333</v>
      </c>
      <c r="G67" s="10" t="s">
        <v>334</v>
      </c>
      <c r="H67" s="10" t="s">
        <v>149</v>
      </c>
      <c r="I67" s="13">
        <v>10916.374918166999</v>
      </c>
      <c r="J67" s="13">
        <v>10359.426125645599</v>
      </c>
      <c r="K67" s="13">
        <v>556.94879252140004</v>
      </c>
      <c r="L67" s="13">
        <v>9907.5281451327992</v>
      </c>
      <c r="M67" s="13">
        <v>1008.8467730342001</v>
      </c>
      <c r="N67" s="10" t="s">
        <v>335</v>
      </c>
      <c r="O67" s="14">
        <v>3.72</v>
      </c>
      <c r="P67" s="10" t="s">
        <v>41</v>
      </c>
      <c r="Q67" s="14" t="s">
        <v>42</v>
      </c>
      <c r="R67" s="10" t="s">
        <v>33</v>
      </c>
      <c r="S67" s="10" t="s">
        <v>332</v>
      </c>
      <c r="T67" s="14">
        <f>IF(O67="","",(1/Metadata!$B$5)^(O67-1))</f>
        <v>524.80746024977293</v>
      </c>
      <c r="U67" s="13">
        <f t="shared" si="1"/>
        <v>5728994.9959375458</v>
      </c>
      <c r="V67" s="19" t="s">
        <v>336</v>
      </c>
      <c r="W67" s="20" t="s">
        <v>337</v>
      </c>
    </row>
    <row r="68" spans="1:23" ht="18" customHeight="1">
      <c r="A68" s="10" t="s">
        <v>23</v>
      </c>
      <c r="B68" s="10" t="s">
        <v>24</v>
      </c>
      <c r="C68" s="10" t="s">
        <v>25</v>
      </c>
      <c r="D68" s="12">
        <v>2019</v>
      </c>
      <c r="E68" s="10" t="s">
        <v>338</v>
      </c>
      <c r="F68" s="10" t="s">
        <v>339</v>
      </c>
      <c r="G68" s="10" t="s">
        <v>28</v>
      </c>
      <c r="H68" s="10" t="s">
        <v>29</v>
      </c>
      <c r="I68" s="13">
        <v>10576.3247043267</v>
      </c>
      <c r="J68" s="13">
        <v>9921.0855099611999</v>
      </c>
      <c r="K68" s="13">
        <v>655.2391943655</v>
      </c>
      <c r="L68" s="13">
        <v>486.31664955619999</v>
      </c>
      <c r="M68" s="13">
        <v>10090.0080547705</v>
      </c>
      <c r="N68" s="10" t="s">
        <v>340</v>
      </c>
      <c r="O68" s="14">
        <v>2.67</v>
      </c>
      <c r="P68" s="10" t="s">
        <v>31</v>
      </c>
      <c r="Q68" s="14" t="s">
        <v>32</v>
      </c>
      <c r="R68" s="10" t="s">
        <v>33</v>
      </c>
      <c r="S68" s="10" t="s">
        <v>338</v>
      </c>
      <c r="T68" s="14">
        <f>IF(O68="","",(1/Metadata!$B$5)^(O68-1))</f>
        <v>46.773514128719818</v>
      </c>
      <c r="U68" s="13">
        <f t="shared" si="1"/>
        <v>494691.87298775336</v>
      </c>
      <c r="V68" s="19" t="s">
        <v>34</v>
      </c>
      <c r="W68" s="20" t="s">
        <v>341</v>
      </c>
    </row>
    <row r="69" spans="1:23" ht="18" customHeight="1">
      <c r="A69" s="10" t="s">
        <v>23</v>
      </c>
      <c r="B69" s="10" t="s">
        <v>24</v>
      </c>
      <c r="C69" s="10" t="s">
        <v>25</v>
      </c>
      <c r="D69" s="12">
        <v>2019</v>
      </c>
      <c r="E69" s="10" t="s">
        <v>342</v>
      </c>
      <c r="F69" s="10" t="s">
        <v>343</v>
      </c>
      <c r="G69" s="10" t="s">
        <v>54</v>
      </c>
      <c r="H69" s="10" t="s">
        <v>55</v>
      </c>
      <c r="I69" s="13">
        <v>10466.483932187301</v>
      </c>
      <c r="J69" s="13">
        <v>10466.483932187301</v>
      </c>
      <c r="K69" s="13">
        <v>0</v>
      </c>
      <c r="L69" s="13">
        <v>8897.3263449663009</v>
      </c>
      <c r="M69" s="13">
        <v>1569.1575872210001</v>
      </c>
      <c r="N69" s="10" t="s">
        <v>344</v>
      </c>
      <c r="O69" s="14">
        <v>4.5</v>
      </c>
      <c r="P69" s="10" t="s">
        <v>31</v>
      </c>
      <c r="Q69" s="14" t="s">
        <v>32</v>
      </c>
      <c r="R69" s="10" t="s">
        <v>33</v>
      </c>
      <c r="S69" s="10" t="s">
        <v>342</v>
      </c>
      <c r="T69" s="14">
        <f>IF(O69="","",(1/Metadata!$B$5)^(O69-1))</f>
        <v>3162.2776601683804</v>
      </c>
      <c r="U69" s="13">
        <f t="shared" si="1"/>
        <v>33097928.319267206</v>
      </c>
      <c r="V69" s="22" t="s">
        <v>110</v>
      </c>
      <c r="W69" s="20" t="s">
        <v>345</v>
      </c>
    </row>
    <row r="70" spans="1:23" ht="18" customHeight="1">
      <c r="A70" s="10" t="s">
        <v>23</v>
      </c>
      <c r="B70" s="10" t="s">
        <v>24</v>
      </c>
      <c r="C70" s="10" t="s">
        <v>25</v>
      </c>
      <c r="D70" s="12">
        <v>2019</v>
      </c>
      <c r="E70" s="10" t="s">
        <v>346</v>
      </c>
      <c r="F70" s="10" t="s">
        <v>347</v>
      </c>
      <c r="G70" s="10" t="s">
        <v>155</v>
      </c>
      <c r="H70" s="10" t="s">
        <v>48</v>
      </c>
      <c r="I70" s="13">
        <v>10463.577711186201</v>
      </c>
      <c r="J70" s="13">
        <v>10463.577711186201</v>
      </c>
      <c r="K70" s="13">
        <v>0</v>
      </c>
      <c r="L70" s="13">
        <v>8800.1130854537005</v>
      </c>
      <c r="M70" s="13">
        <v>1663.4646257325001</v>
      </c>
      <c r="N70" s="10" t="s">
        <v>348</v>
      </c>
      <c r="O70" s="14">
        <v>3.46</v>
      </c>
      <c r="P70" s="10" t="s">
        <v>31</v>
      </c>
      <c r="Q70" s="14" t="s">
        <v>32</v>
      </c>
      <c r="R70" s="10" t="s">
        <v>33</v>
      </c>
      <c r="S70" s="10" t="s">
        <v>346</v>
      </c>
      <c r="T70" s="14">
        <f>IF(O70="","",(1/Metadata!$B$5)^(O70-1))</f>
        <v>288.40315031266073</v>
      </c>
      <c r="U70" s="13">
        <f t="shared" si="1"/>
        <v>3017728.7754474403</v>
      </c>
      <c r="V70" s="22" t="s">
        <v>92</v>
      </c>
      <c r="W70" s="20" t="s">
        <v>349</v>
      </c>
    </row>
    <row r="71" spans="1:23" ht="18" customHeight="1">
      <c r="A71" s="10" t="s">
        <v>23</v>
      </c>
      <c r="B71" s="10" t="s">
        <v>24</v>
      </c>
      <c r="C71" s="10" t="s">
        <v>25</v>
      </c>
      <c r="D71" s="12">
        <v>2019</v>
      </c>
      <c r="E71" s="10" t="s">
        <v>350</v>
      </c>
      <c r="F71" s="10" t="s">
        <v>351</v>
      </c>
      <c r="G71" s="10" t="s">
        <v>155</v>
      </c>
      <c r="H71" s="10" t="s">
        <v>48</v>
      </c>
      <c r="I71" s="13">
        <v>10422.420300416101</v>
      </c>
      <c r="J71" s="13">
        <v>10422.420300416101</v>
      </c>
      <c r="K71" s="13">
        <v>0</v>
      </c>
      <c r="L71" s="13">
        <v>6696.2153119546001</v>
      </c>
      <c r="M71" s="13">
        <v>3726.2049884614999</v>
      </c>
      <c r="N71" s="10" t="s">
        <v>352</v>
      </c>
      <c r="O71" s="14">
        <v>4.2</v>
      </c>
      <c r="P71" s="10" t="s">
        <v>31</v>
      </c>
      <c r="Q71" s="14" t="s">
        <v>32</v>
      </c>
      <c r="R71" s="10" t="s">
        <v>33</v>
      </c>
      <c r="S71" s="10" t="s">
        <v>350</v>
      </c>
      <c r="T71" s="14">
        <f>IF(O71="","",(1/Metadata!$B$5)^(O71-1))</f>
        <v>1584.8931924611156</v>
      </c>
      <c r="U71" s="13">
        <f t="shared" si="1"/>
        <v>16518422.983098013</v>
      </c>
      <c r="V71" s="19" t="s">
        <v>105</v>
      </c>
      <c r="W71" s="20" t="s">
        <v>353</v>
      </c>
    </row>
    <row r="72" spans="1:23" ht="18" customHeight="1">
      <c r="A72" s="10" t="s">
        <v>23</v>
      </c>
      <c r="B72" s="10" t="s">
        <v>24</v>
      </c>
      <c r="C72" s="10" t="s">
        <v>25</v>
      </c>
      <c r="D72" s="12">
        <v>2019</v>
      </c>
      <c r="E72" s="10" t="s">
        <v>354</v>
      </c>
      <c r="F72" s="10" t="s">
        <v>355</v>
      </c>
      <c r="G72" s="10" t="s">
        <v>47</v>
      </c>
      <c r="H72" s="10" t="s">
        <v>48</v>
      </c>
      <c r="I72" s="13">
        <v>10329.157563692899</v>
      </c>
      <c r="J72" s="13">
        <v>10329.157563692899</v>
      </c>
      <c r="K72" s="13">
        <v>0</v>
      </c>
      <c r="L72" s="13">
        <v>9830.4649776650003</v>
      </c>
      <c r="M72" s="13">
        <v>498.69258602790001</v>
      </c>
      <c r="N72" s="10" t="s">
        <v>356</v>
      </c>
      <c r="O72" s="14">
        <v>4.47</v>
      </c>
      <c r="P72" s="10" t="s">
        <v>41</v>
      </c>
      <c r="Q72" s="14" t="s">
        <v>42</v>
      </c>
      <c r="R72" s="10" t="s">
        <v>33</v>
      </c>
      <c r="S72" s="10" t="s">
        <v>354</v>
      </c>
      <c r="T72" s="14">
        <f>IF(O72="","",(1/Metadata!$B$5)^(O72-1))</f>
        <v>2951.2092266663876</v>
      </c>
      <c r="U72" s="13">
        <f t="shared" si="1"/>
        <v>30483505.105661388</v>
      </c>
      <c r="V72" s="19" t="s">
        <v>136</v>
      </c>
      <c r="W72" s="20" t="s">
        <v>357</v>
      </c>
    </row>
    <row r="73" spans="1:23" ht="18" customHeight="1">
      <c r="A73" s="10" t="s">
        <v>23</v>
      </c>
      <c r="B73" s="10" t="s">
        <v>24</v>
      </c>
      <c r="C73" s="10" t="s">
        <v>25</v>
      </c>
      <c r="D73" s="12">
        <v>2019</v>
      </c>
      <c r="E73" s="10" t="s">
        <v>358</v>
      </c>
      <c r="F73" s="10" t="s">
        <v>359</v>
      </c>
      <c r="G73" s="10" t="s">
        <v>155</v>
      </c>
      <c r="H73" s="10" t="s">
        <v>48</v>
      </c>
      <c r="I73" s="13">
        <v>10036.3737138284</v>
      </c>
      <c r="J73" s="13">
        <v>9876.9092888882005</v>
      </c>
      <c r="K73" s="13">
        <v>159.46442494019999</v>
      </c>
      <c r="L73" s="13">
        <v>1845.6476098008</v>
      </c>
      <c r="M73" s="13">
        <v>8190.7261040275998</v>
      </c>
      <c r="N73" s="10" t="s">
        <v>360</v>
      </c>
      <c r="O73" s="14">
        <v>4.38</v>
      </c>
      <c r="P73" s="10" t="s">
        <v>31</v>
      </c>
      <c r="Q73" s="14" t="s">
        <v>32</v>
      </c>
      <c r="R73" s="10" t="s">
        <v>33</v>
      </c>
      <c r="S73" s="10" t="s">
        <v>358</v>
      </c>
      <c r="T73" s="14">
        <f>IF(O73="","",(1/Metadata!$B$5)^(O73-1))</f>
        <v>2398.8329190194918</v>
      </c>
      <c r="U73" s="13">
        <f t="shared" si="1"/>
        <v>24075583.652313478</v>
      </c>
      <c r="V73" s="19" t="s">
        <v>136</v>
      </c>
      <c r="W73" s="20" t="s">
        <v>361</v>
      </c>
    </row>
    <row r="74" spans="1:23" ht="18" customHeight="1">
      <c r="A74" s="10" t="s">
        <v>23</v>
      </c>
      <c r="B74" s="10" t="s">
        <v>24</v>
      </c>
      <c r="C74" s="10" t="s">
        <v>25</v>
      </c>
      <c r="D74" s="12">
        <v>2019</v>
      </c>
      <c r="E74" s="10" t="s">
        <v>362</v>
      </c>
      <c r="F74" s="10" t="s">
        <v>363</v>
      </c>
      <c r="G74" s="10" t="s">
        <v>28</v>
      </c>
      <c r="H74" s="10" t="s">
        <v>29</v>
      </c>
      <c r="I74" s="13">
        <v>10024.2634246497</v>
      </c>
      <c r="J74" s="13">
        <v>10024.2634246497</v>
      </c>
      <c r="K74" s="13">
        <v>0</v>
      </c>
      <c r="L74" s="13">
        <v>307.00739477140002</v>
      </c>
      <c r="M74" s="13">
        <v>9717.2560298782992</v>
      </c>
      <c r="N74" s="10" t="s">
        <v>364</v>
      </c>
      <c r="O74" s="14">
        <v>2.84</v>
      </c>
      <c r="P74" s="10" t="s">
        <v>31</v>
      </c>
      <c r="Q74" s="14" t="s">
        <v>32</v>
      </c>
      <c r="R74" s="10" t="s">
        <v>33</v>
      </c>
      <c r="S74" s="10" t="s">
        <v>362</v>
      </c>
      <c r="T74" s="14">
        <f>IF(O74="","",(1/Metadata!$B$5)^(O74-1))</f>
        <v>69.183097091893657</v>
      </c>
      <c r="U74" s="13">
        <f t="shared" si="1"/>
        <v>693509.58978225861</v>
      </c>
      <c r="V74" s="19" t="s">
        <v>34</v>
      </c>
      <c r="W74" s="20" t="s">
        <v>365</v>
      </c>
    </row>
    <row r="75" spans="1:23" ht="18" customHeight="1">
      <c r="A75" s="10" t="s">
        <v>23</v>
      </c>
      <c r="B75" s="10" t="s">
        <v>24</v>
      </c>
      <c r="C75" s="10" t="s">
        <v>25</v>
      </c>
      <c r="D75" s="12">
        <v>2019</v>
      </c>
      <c r="E75" s="10" t="s">
        <v>366</v>
      </c>
      <c r="F75" s="10" t="s">
        <v>367</v>
      </c>
      <c r="G75" s="10" t="s">
        <v>123</v>
      </c>
      <c r="H75" s="10" t="s">
        <v>124</v>
      </c>
      <c r="I75" s="13">
        <v>9823.3010831509</v>
      </c>
      <c r="J75" s="13">
        <v>9823.3010831509</v>
      </c>
      <c r="K75" s="13">
        <v>0</v>
      </c>
      <c r="L75" s="13">
        <v>0</v>
      </c>
      <c r="M75" s="13">
        <v>9823.3010831509</v>
      </c>
      <c r="N75" s="10" t="s">
        <v>368</v>
      </c>
      <c r="O75" s="14">
        <v>2.27</v>
      </c>
      <c r="P75" s="10" t="s">
        <v>41</v>
      </c>
      <c r="Q75" s="14" t="s">
        <v>42</v>
      </c>
      <c r="R75" s="10" t="s">
        <v>33</v>
      </c>
      <c r="S75" s="10" t="s">
        <v>366</v>
      </c>
      <c r="T75" s="14">
        <f>IF(O75="","",(1/Metadata!$B$5)^(O75-1))</f>
        <v>18.62087136662868</v>
      </c>
      <c r="U75" s="13">
        <f t="shared" si="1"/>
        <v>182918.42586501711</v>
      </c>
      <c r="V75" s="19" t="s">
        <v>126</v>
      </c>
      <c r="W75" s="20" t="s">
        <v>369</v>
      </c>
    </row>
    <row r="76" spans="1:23" ht="18" customHeight="1">
      <c r="A76" s="10" t="s">
        <v>23</v>
      </c>
      <c r="B76" s="10" t="s">
        <v>24</v>
      </c>
      <c r="C76" s="10" t="s">
        <v>25</v>
      </c>
      <c r="D76" s="12">
        <v>2019</v>
      </c>
      <c r="E76" s="10" t="s">
        <v>370</v>
      </c>
      <c r="F76" s="10" t="s">
        <v>371</v>
      </c>
      <c r="G76" s="10" t="s">
        <v>28</v>
      </c>
      <c r="H76" s="10" t="s">
        <v>29</v>
      </c>
      <c r="I76" s="13">
        <v>9738.9446842033994</v>
      </c>
      <c r="J76" s="13">
        <v>9709.0147101080001</v>
      </c>
      <c r="K76" s="13">
        <v>29.929974095399999</v>
      </c>
      <c r="L76" s="13">
        <v>208.62730467980001</v>
      </c>
      <c r="M76" s="13">
        <v>9530.3173795235998</v>
      </c>
      <c r="N76" s="10" t="s">
        <v>372</v>
      </c>
      <c r="O76" s="14">
        <v>2.85</v>
      </c>
      <c r="P76" s="10" t="s">
        <v>31</v>
      </c>
      <c r="Q76" s="14" t="s">
        <v>32</v>
      </c>
      <c r="R76" s="10" t="s">
        <v>33</v>
      </c>
      <c r="S76" s="10" t="s">
        <v>370</v>
      </c>
      <c r="T76" s="14">
        <f>IF(O76="","",(1/Metadata!$B$5)^(O76-1))</f>
        <v>70.794578438413865</v>
      </c>
      <c r="U76" s="13">
        <f t="shared" si="1"/>
        <v>689464.48335321131</v>
      </c>
      <c r="V76" s="19" t="s">
        <v>34</v>
      </c>
      <c r="W76" s="20" t="s">
        <v>373</v>
      </c>
    </row>
    <row r="77" spans="1:23" ht="18" customHeight="1">
      <c r="A77" s="10" t="s">
        <v>23</v>
      </c>
      <c r="B77" s="10" t="s">
        <v>24</v>
      </c>
      <c r="C77" s="10" t="s">
        <v>25</v>
      </c>
      <c r="D77" s="12">
        <v>2019</v>
      </c>
      <c r="E77" s="10" t="s">
        <v>374</v>
      </c>
      <c r="F77" s="10" t="s">
        <v>375</v>
      </c>
      <c r="G77" s="10" t="s">
        <v>38</v>
      </c>
      <c r="H77" s="10" t="s">
        <v>39</v>
      </c>
      <c r="I77" s="13">
        <v>9538.7008878171</v>
      </c>
      <c r="J77" s="13">
        <v>9482.8955797987001</v>
      </c>
      <c r="K77" s="13">
        <v>55.805308018399998</v>
      </c>
      <c r="L77" s="13">
        <v>6435.6141655204001</v>
      </c>
      <c r="M77" s="13">
        <v>3103.0867222966999</v>
      </c>
      <c r="N77" s="10" t="s">
        <v>376</v>
      </c>
      <c r="O77" s="14">
        <v>4.4000000000000004</v>
      </c>
      <c r="P77" s="10" t="s">
        <v>31</v>
      </c>
      <c r="Q77" s="14" t="s">
        <v>32</v>
      </c>
      <c r="R77" s="10" t="s">
        <v>33</v>
      </c>
      <c r="S77" s="10" t="s">
        <v>374</v>
      </c>
      <c r="T77" s="14">
        <f>IF(O77="","",(1/Metadata!$B$5)^(O77-1))</f>
        <v>2511.8864315095834</v>
      </c>
      <c r="U77" s="13">
        <f t="shared" si="1"/>
        <v>23960133.334336191</v>
      </c>
      <c r="V77" s="19" t="s">
        <v>105</v>
      </c>
      <c r="W77" s="20" t="s">
        <v>377</v>
      </c>
    </row>
    <row r="78" spans="1:23" ht="18" customHeight="1">
      <c r="A78" s="10" t="s">
        <v>23</v>
      </c>
      <c r="B78" s="10" t="s">
        <v>24</v>
      </c>
      <c r="C78" s="10" t="s">
        <v>25</v>
      </c>
      <c r="D78" s="12">
        <v>2019</v>
      </c>
      <c r="E78" s="10" t="s">
        <v>378</v>
      </c>
      <c r="F78" s="10" t="s">
        <v>379</v>
      </c>
      <c r="G78" s="10" t="s">
        <v>47</v>
      </c>
      <c r="H78" s="10" t="s">
        <v>55</v>
      </c>
      <c r="I78" s="13">
        <v>9494.0710371067998</v>
      </c>
      <c r="J78" s="13">
        <v>9494.0710371067998</v>
      </c>
      <c r="K78" s="13">
        <v>0</v>
      </c>
      <c r="L78" s="13">
        <v>9461.4010418727994</v>
      </c>
      <c r="M78" s="13">
        <v>32.669995234000012</v>
      </c>
      <c r="N78" s="10" t="s">
        <v>380</v>
      </c>
      <c r="O78" s="14">
        <v>4.24</v>
      </c>
      <c r="P78" s="10" t="s">
        <v>41</v>
      </c>
      <c r="Q78" s="14" t="s">
        <v>42</v>
      </c>
      <c r="R78" s="10" t="s">
        <v>33</v>
      </c>
      <c r="S78" s="10" t="s">
        <v>378</v>
      </c>
      <c r="T78" s="14">
        <f>IF(O78="","",(1/Metadata!$B$5)^(O78-1))</f>
        <v>1737.8008287493772</v>
      </c>
      <c r="U78" s="13">
        <f t="shared" si="1"/>
        <v>16498804.516489655</v>
      </c>
      <c r="V78" s="19" t="s">
        <v>57</v>
      </c>
      <c r="W78" s="20" t="s">
        <v>381</v>
      </c>
    </row>
    <row r="79" spans="1:23" ht="18" customHeight="1">
      <c r="A79" s="10" t="s">
        <v>23</v>
      </c>
      <c r="B79" s="10" t="s">
        <v>24</v>
      </c>
      <c r="C79" s="10" t="s">
        <v>25</v>
      </c>
      <c r="D79" s="12">
        <v>2019</v>
      </c>
      <c r="E79" s="10" t="s">
        <v>382</v>
      </c>
      <c r="F79" s="10" t="s">
        <v>383</v>
      </c>
      <c r="G79" s="10" t="s">
        <v>65</v>
      </c>
      <c r="H79" s="10" t="s">
        <v>66</v>
      </c>
      <c r="I79" s="13">
        <v>9351.0515010221989</v>
      </c>
      <c r="J79" s="13">
        <v>9351.0515010221989</v>
      </c>
      <c r="K79" s="13">
        <v>0</v>
      </c>
      <c r="L79" s="13">
        <v>6377.4349610638001</v>
      </c>
      <c r="M79" s="13">
        <v>2973.6165399584002</v>
      </c>
      <c r="N79" s="10" t="s">
        <v>384</v>
      </c>
      <c r="O79" s="14">
        <v>3.56</v>
      </c>
      <c r="P79" s="10" t="s">
        <v>41</v>
      </c>
      <c r="Q79" s="14" t="s">
        <v>42</v>
      </c>
      <c r="R79" s="10" t="s">
        <v>33</v>
      </c>
      <c r="S79" s="10" t="s">
        <v>382</v>
      </c>
      <c r="T79" s="14">
        <f>IF(O79="","",(1/Metadata!$B$5)^(O79-1))</f>
        <v>363.07805477010152</v>
      </c>
      <c r="U79" s="13">
        <f t="shared" si="1"/>
        <v>3395161.5890461779</v>
      </c>
      <c r="V79" s="19" t="s">
        <v>322</v>
      </c>
      <c r="W79" s="20" t="s">
        <v>385</v>
      </c>
    </row>
    <row r="80" spans="1:23" ht="18" customHeight="1">
      <c r="A80" s="10" t="s">
        <v>23</v>
      </c>
      <c r="B80" s="10" t="s">
        <v>24</v>
      </c>
      <c r="C80" s="10" t="s">
        <v>25</v>
      </c>
      <c r="D80" s="12">
        <v>2019</v>
      </c>
      <c r="E80" s="10" t="s">
        <v>386</v>
      </c>
      <c r="F80" s="10" t="s">
        <v>387</v>
      </c>
      <c r="G80" s="10" t="s">
        <v>28</v>
      </c>
      <c r="H80" s="10" t="s">
        <v>48</v>
      </c>
      <c r="I80" s="13">
        <v>9301.8744487067015</v>
      </c>
      <c r="J80" s="13">
        <v>8898.7710974051006</v>
      </c>
      <c r="K80" s="13">
        <v>403.10335130160001</v>
      </c>
      <c r="L80" s="13">
        <v>4593.9565090407996</v>
      </c>
      <c r="M80" s="13">
        <v>4707.9179396659001</v>
      </c>
      <c r="N80" s="10" t="s">
        <v>388</v>
      </c>
      <c r="O80" s="14">
        <v>4.3</v>
      </c>
      <c r="P80" s="10" t="s">
        <v>41</v>
      </c>
      <c r="Q80" s="14" t="s">
        <v>42</v>
      </c>
      <c r="R80" s="10" t="s">
        <v>33</v>
      </c>
      <c r="S80" s="10" t="s">
        <v>386</v>
      </c>
      <c r="T80" s="14">
        <f>IF(O80="","",(1/Metadata!$B$5)^(O80-1))</f>
        <v>1995.2623149688804</v>
      </c>
      <c r="U80" s="13">
        <f t="shared" si="1"/>
        <v>18559679.546076413</v>
      </c>
      <c r="V80" s="22" t="s">
        <v>105</v>
      </c>
      <c r="W80" s="20" t="s">
        <v>389</v>
      </c>
    </row>
    <row r="81" spans="1:23" ht="18" customHeight="1">
      <c r="A81" s="10" t="s">
        <v>23</v>
      </c>
      <c r="B81" s="10" t="s">
        <v>24</v>
      </c>
      <c r="C81" s="10" t="s">
        <v>25</v>
      </c>
      <c r="D81" s="12">
        <v>2019</v>
      </c>
      <c r="E81" s="10" t="s">
        <v>390</v>
      </c>
      <c r="F81" s="10" t="s">
        <v>391</v>
      </c>
      <c r="G81" s="10" t="s">
        <v>155</v>
      </c>
      <c r="H81" s="10" t="s">
        <v>39</v>
      </c>
      <c r="I81" s="13">
        <v>9253.2432572562993</v>
      </c>
      <c r="J81" s="13">
        <v>8584.9128807466004</v>
      </c>
      <c r="K81" s="13">
        <v>668.33037650970005</v>
      </c>
      <c r="L81" s="13">
        <v>8584.6355267978997</v>
      </c>
      <c r="M81" s="13">
        <v>668.60773045840006</v>
      </c>
      <c r="N81" s="10" t="s">
        <v>392</v>
      </c>
      <c r="O81" s="14">
        <v>3</v>
      </c>
      <c r="P81" s="10" t="s">
        <v>41</v>
      </c>
      <c r="Q81" s="14" t="s">
        <v>42</v>
      </c>
      <c r="R81" s="10" t="s">
        <v>33</v>
      </c>
      <c r="S81" s="10" t="s">
        <v>390</v>
      </c>
      <c r="T81" s="14">
        <f>IF(O81="","",(1/Metadata!$B$5)^(O81-1))</f>
        <v>100</v>
      </c>
      <c r="U81" s="13">
        <f t="shared" si="1"/>
        <v>925324.32572562993</v>
      </c>
      <c r="V81" s="22" t="s">
        <v>92</v>
      </c>
      <c r="W81" s="20" t="s">
        <v>393</v>
      </c>
    </row>
    <row r="82" spans="1:23" ht="18" customHeight="1">
      <c r="A82" s="10" t="s">
        <v>23</v>
      </c>
      <c r="B82" s="10" t="s">
        <v>24</v>
      </c>
      <c r="C82" s="10" t="s">
        <v>25</v>
      </c>
      <c r="D82" s="12">
        <v>2019</v>
      </c>
      <c r="E82" s="10" t="s">
        <v>394</v>
      </c>
      <c r="F82" s="10" t="s">
        <v>395</v>
      </c>
      <c r="G82" s="10" t="s">
        <v>178</v>
      </c>
      <c r="H82" s="10" t="s">
        <v>179</v>
      </c>
      <c r="I82" s="13">
        <v>9210.306812286799</v>
      </c>
      <c r="J82" s="13">
        <v>9210.306812286799</v>
      </c>
      <c r="K82" s="13">
        <v>0</v>
      </c>
      <c r="L82" s="13">
        <v>7341.2715805995003</v>
      </c>
      <c r="M82" s="13">
        <v>1869.0352316873</v>
      </c>
      <c r="N82" s="10" t="s">
        <v>396</v>
      </c>
      <c r="O82" s="14">
        <v>4.3899999999999997</v>
      </c>
      <c r="P82" s="10" t="s">
        <v>31</v>
      </c>
      <c r="Q82" s="14" t="s">
        <v>32</v>
      </c>
      <c r="R82" s="10" t="s">
        <v>33</v>
      </c>
      <c r="S82" s="10" t="s">
        <v>394</v>
      </c>
      <c r="T82" s="14">
        <f>IF(O82="","",(1/Metadata!$B$5)^(O82-1))</f>
        <v>2454.7089156850293</v>
      </c>
      <c r="U82" s="13">
        <f t="shared" si="1"/>
        <v>22608622.248314966</v>
      </c>
      <c r="V82" s="22" t="s">
        <v>92</v>
      </c>
      <c r="W82" s="20" t="s">
        <v>397</v>
      </c>
    </row>
    <row r="83" spans="1:23" ht="18" customHeight="1">
      <c r="A83" s="10" t="s">
        <v>23</v>
      </c>
      <c r="B83" s="10" t="s">
        <v>24</v>
      </c>
      <c r="C83" s="10" t="s">
        <v>25</v>
      </c>
      <c r="D83" s="12">
        <v>2019</v>
      </c>
      <c r="E83" s="10" t="s">
        <v>398</v>
      </c>
      <c r="F83" s="10" t="s">
        <v>399</v>
      </c>
      <c r="G83" s="10" t="s">
        <v>28</v>
      </c>
      <c r="H83" s="10" t="s">
        <v>29</v>
      </c>
      <c r="I83" s="13">
        <v>9132.1075602060009</v>
      </c>
      <c r="J83" s="13">
        <v>9132.1075602060009</v>
      </c>
      <c r="K83" s="13">
        <v>0</v>
      </c>
      <c r="L83" s="13">
        <v>168.30954493159999</v>
      </c>
      <c r="M83" s="13">
        <v>8963.7980152744003</v>
      </c>
      <c r="N83" s="10" t="s">
        <v>400</v>
      </c>
      <c r="O83" s="14">
        <v>3.4</v>
      </c>
      <c r="P83" s="10" t="s">
        <v>31</v>
      </c>
      <c r="Q83" s="14" t="s">
        <v>32</v>
      </c>
      <c r="R83" s="10" t="s">
        <v>33</v>
      </c>
      <c r="S83" s="10" t="s">
        <v>398</v>
      </c>
      <c r="T83" s="14">
        <f>IF(O83="","",(1/Metadata!$B$5)^(O83-1))</f>
        <v>251.18864315095806</v>
      </c>
      <c r="U83" s="13">
        <f t="shared" si="1"/>
        <v>2293881.7071567513</v>
      </c>
      <c r="V83" s="19" t="s">
        <v>34</v>
      </c>
      <c r="W83" s="20" t="s">
        <v>401</v>
      </c>
    </row>
    <row r="84" spans="1:23" ht="18" customHeight="1">
      <c r="A84" s="10" t="s">
        <v>23</v>
      </c>
      <c r="B84" s="10" t="s">
        <v>24</v>
      </c>
      <c r="C84" s="10" t="s">
        <v>25</v>
      </c>
      <c r="D84" s="12">
        <v>2019</v>
      </c>
      <c r="E84" s="10" t="s">
        <v>402</v>
      </c>
      <c r="F84" s="10" t="s">
        <v>403</v>
      </c>
      <c r="G84" s="10" t="s">
        <v>404</v>
      </c>
      <c r="H84" s="10" t="s">
        <v>29</v>
      </c>
      <c r="I84" s="13">
        <v>9104.8444447794991</v>
      </c>
      <c r="J84" s="13">
        <v>9104.8444447794991</v>
      </c>
      <c r="K84" s="13">
        <v>0</v>
      </c>
      <c r="L84" s="13">
        <v>0</v>
      </c>
      <c r="M84" s="13">
        <v>9104.8444447794991</v>
      </c>
      <c r="N84" s="10" t="s">
        <v>405</v>
      </c>
      <c r="O84" s="14">
        <v>2.68</v>
      </c>
      <c r="P84" s="10" t="s">
        <v>31</v>
      </c>
      <c r="Q84" s="14" t="s">
        <v>32</v>
      </c>
      <c r="R84" s="10" t="s">
        <v>33</v>
      </c>
      <c r="S84" s="10" t="s">
        <v>402</v>
      </c>
      <c r="T84" s="14">
        <f>IF(O84="","",(1/Metadata!$B$5)^(O84-1))</f>
        <v>47.863009232263877</v>
      </c>
      <c r="U84" s="13">
        <f t="shared" si="1"/>
        <v>435785.25371880765</v>
      </c>
      <c r="V84" s="19" t="s">
        <v>34</v>
      </c>
      <c r="W84" s="20" t="s">
        <v>406</v>
      </c>
    </row>
    <row r="85" spans="1:23" ht="18" customHeight="1">
      <c r="A85" s="10" t="s">
        <v>23</v>
      </c>
      <c r="B85" s="10" t="s">
        <v>24</v>
      </c>
      <c r="C85" s="10" t="s">
        <v>25</v>
      </c>
      <c r="D85" s="12">
        <v>2019</v>
      </c>
      <c r="E85" s="10" t="s">
        <v>407</v>
      </c>
      <c r="F85" s="10" t="s">
        <v>408</v>
      </c>
      <c r="G85" s="10" t="s">
        <v>118</v>
      </c>
      <c r="H85" s="10" t="s">
        <v>39</v>
      </c>
      <c r="I85" s="13">
        <v>8853.7057817885998</v>
      </c>
      <c r="J85" s="13">
        <v>8853.7057817885998</v>
      </c>
      <c r="K85" s="13">
        <v>0</v>
      </c>
      <c r="L85" s="13">
        <v>8366.6932739399999</v>
      </c>
      <c r="M85" s="13">
        <v>487.01250784860002</v>
      </c>
      <c r="N85" s="10" t="s">
        <v>409</v>
      </c>
      <c r="O85" s="14">
        <v>3.8</v>
      </c>
      <c r="P85" s="10" t="s">
        <v>41</v>
      </c>
      <c r="Q85" s="14" t="s">
        <v>42</v>
      </c>
      <c r="R85" s="10" t="s">
        <v>33</v>
      </c>
      <c r="S85" s="10" t="s">
        <v>407</v>
      </c>
      <c r="T85" s="14">
        <f>IF(O85="","",(1/Metadata!$B$5)^(O85-1))</f>
        <v>630.95734448019323</v>
      </c>
      <c r="U85" s="13">
        <f t="shared" si="1"/>
        <v>5586310.6888862681</v>
      </c>
      <c r="V85" s="19" t="s">
        <v>118</v>
      </c>
      <c r="W85" s="20" t="s">
        <v>410</v>
      </c>
    </row>
    <row r="86" spans="1:23" ht="18" customHeight="1">
      <c r="A86" s="10" t="s">
        <v>23</v>
      </c>
      <c r="B86" s="10" t="s">
        <v>24</v>
      </c>
      <c r="C86" s="10" t="s">
        <v>25</v>
      </c>
      <c r="D86" s="12">
        <v>2019</v>
      </c>
      <c r="E86" s="10" t="s">
        <v>411</v>
      </c>
      <c r="F86" s="10" t="s">
        <v>412</v>
      </c>
      <c r="G86" s="10" t="s">
        <v>47</v>
      </c>
      <c r="H86" s="10" t="s">
        <v>48</v>
      </c>
      <c r="I86" s="13">
        <v>8474.6147408610996</v>
      </c>
      <c r="J86" s="13">
        <v>7900.1379533974005</v>
      </c>
      <c r="K86" s="13">
        <v>574.47678746370002</v>
      </c>
      <c r="L86" s="13">
        <v>5567.9339690532997</v>
      </c>
      <c r="M86" s="13">
        <v>2906.6807718077998</v>
      </c>
      <c r="N86" s="10" t="s">
        <v>413</v>
      </c>
      <c r="O86" s="14">
        <v>3.97</v>
      </c>
      <c r="P86" s="10" t="s">
        <v>31</v>
      </c>
      <c r="Q86" s="14" t="s">
        <v>32</v>
      </c>
      <c r="R86" s="10" t="s">
        <v>33</v>
      </c>
      <c r="S86" s="10" t="s">
        <v>411</v>
      </c>
      <c r="T86" s="14">
        <f>IF(O86="","",(1/Metadata!$B$5)^(O86-1))</f>
        <v>933.25430079699197</v>
      </c>
      <c r="U86" s="13">
        <f t="shared" si="1"/>
        <v>7908970.6545062065</v>
      </c>
      <c r="V86" s="22" t="s">
        <v>136</v>
      </c>
      <c r="W86" s="20" t="s">
        <v>414</v>
      </c>
    </row>
    <row r="87" spans="1:23" ht="18" customHeight="1">
      <c r="A87" s="10" t="s">
        <v>23</v>
      </c>
      <c r="B87" s="10" t="s">
        <v>24</v>
      </c>
      <c r="C87" s="10" t="s">
        <v>25</v>
      </c>
      <c r="D87" s="12">
        <v>2019</v>
      </c>
      <c r="E87" s="10" t="s">
        <v>415</v>
      </c>
      <c r="F87" s="10" t="s">
        <v>416</v>
      </c>
      <c r="G87" s="10" t="s">
        <v>54</v>
      </c>
      <c r="H87" s="10" t="s">
        <v>29</v>
      </c>
      <c r="I87" s="13">
        <v>7896.267977480099</v>
      </c>
      <c r="J87" s="13">
        <v>7896.267977480099</v>
      </c>
      <c r="K87" s="13">
        <v>0</v>
      </c>
      <c r="L87" s="13">
        <v>7172.0986395253003</v>
      </c>
      <c r="M87" s="13">
        <v>724.16933795479997</v>
      </c>
      <c r="N87" s="10" t="s">
        <v>417</v>
      </c>
      <c r="O87" s="14">
        <v>4.1900000000000004</v>
      </c>
      <c r="P87" s="10" t="s">
        <v>31</v>
      </c>
      <c r="Q87" s="14" t="s">
        <v>32</v>
      </c>
      <c r="R87" s="10" t="s">
        <v>33</v>
      </c>
      <c r="S87" s="10" t="s">
        <v>415</v>
      </c>
      <c r="T87" s="14">
        <f>IF(O87="","",(1/Metadata!$B$5)^(O87-1))</f>
        <v>1548.8166189124836</v>
      </c>
      <c r="U87" s="13">
        <f t="shared" si="1"/>
        <v>12229871.070907641</v>
      </c>
      <c r="V87" s="19" t="s">
        <v>136</v>
      </c>
      <c r="W87" s="20" t="s">
        <v>418</v>
      </c>
    </row>
    <row r="88" spans="1:23" ht="18" customHeight="1">
      <c r="A88" s="10" t="s">
        <v>23</v>
      </c>
      <c r="B88" s="10" t="s">
        <v>24</v>
      </c>
      <c r="C88" s="10" t="s">
        <v>25</v>
      </c>
      <c r="D88" s="12">
        <v>2019</v>
      </c>
      <c r="E88" s="10" t="s">
        <v>419</v>
      </c>
      <c r="F88" s="10" t="s">
        <v>420</v>
      </c>
      <c r="G88" s="10" t="s">
        <v>155</v>
      </c>
      <c r="H88" s="10" t="s">
        <v>48</v>
      </c>
      <c r="I88" s="13">
        <v>7539.4144808108986</v>
      </c>
      <c r="J88" s="13">
        <v>7539.4144808108986</v>
      </c>
      <c r="K88" s="13">
        <v>0</v>
      </c>
      <c r="L88" s="13">
        <v>7389.261848669199</v>
      </c>
      <c r="M88" s="13">
        <v>150.1526321417</v>
      </c>
      <c r="N88" s="10" t="s">
        <v>421</v>
      </c>
      <c r="O88" s="14">
        <v>3.39</v>
      </c>
      <c r="P88" s="10" t="s">
        <v>31</v>
      </c>
      <c r="Q88" s="14" t="s">
        <v>32</v>
      </c>
      <c r="R88" s="10" t="s">
        <v>33</v>
      </c>
      <c r="S88" s="10" t="s">
        <v>419</v>
      </c>
      <c r="T88" s="14">
        <f>IF(O88="","",(1/Metadata!$B$5)^(O88-1))</f>
        <v>245.4708915685033</v>
      </c>
      <c r="U88" s="13">
        <f t="shared" si="1"/>
        <v>1850706.7945091357</v>
      </c>
      <c r="V88" s="22" t="s">
        <v>92</v>
      </c>
      <c r="W88" s="20" t="s">
        <v>422</v>
      </c>
    </row>
    <row r="89" spans="1:23" ht="18" customHeight="1">
      <c r="A89" s="10" t="s">
        <v>23</v>
      </c>
      <c r="B89" s="10" t="s">
        <v>24</v>
      </c>
      <c r="C89" s="10" t="s">
        <v>25</v>
      </c>
      <c r="D89" s="12">
        <v>2019</v>
      </c>
      <c r="E89" s="10" t="s">
        <v>423</v>
      </c>
      <c r="F89" s="10" t="s">
        <v>424</v>
      </c>
      <c r="G89" s="10" t="s">
        <v>155</v>
      </c>
      <c r="H89" s="10" t="s">
        <v>48</v>
      </c>
      <c r="I89" s="13">
        <v>7416.3159171019997</v>
      </c>
      <c r="J89" s="13">
        <v>7416.3159171019997</v>
      </c>
      <c r="K89" s="13">
        <v>0</v>
      </c>
      <c r="L89" s="13">
        <v>3087.3985501613001</v>
      </c>
      <c r="M89" s="13">
        <v>4328.9173669407</v>
      </c>
      <c r="N89" s="10" t="s">
        <v>425</v>
      </c>
      <c r="O89" s="14">
        <v>4.0199999999999996</v>
      </c>
      <c r="P89" s="10" t="s">
        <v>41</v>
      </c>
      <c r="Q89" s="14" t="s">
        <v>42</v>
      </c>
      <c r="R89" s="10" t="s">
        <v>33</v>
      </c>
      <c r="S89" s="10" t="s">
        <v>423</v>
      </c>
      <c r="T89" s="14">
        <f>IF(O89="","",(1/Metadata!$B$5)^(O89-1))</f>
        <v>1047.1285480508991</v>
      </c>
      <c r="U89" s="13">
        <f t="shared" si="1"/>
        <v>7765836.1181617891</v>
      </c>
      <c r="V89" s="19" t="s">
        <v>105</v>
      </c>
      <c r="W89" s="20" t="s">
        <v>426</v>
      </c>
    </row>
    <row r="90" spans="1:23" ht="18" customHeight="1">
      <c r="A90" s="10" t="s">
        <v>23</v>
      </c>
      <c r="B90" s="10" t="s">
        <v>24</v>
      </c>
      <c r="C90" s="10" t="s">
        <v>25</v>
      </c>
      <c r="D90" s="12">
        <v>2019</v>
      </c>
      <c r="E90" s="10" t="s">
        <v>427</v>
      </c>
      <c r="F90" s="10" t="s">
        <v>428</v>
      </c>
      <c r="G90" s="10" t="s">
        <v>103</v>
      </c>
      <c r="H90" s="10" t="s">
        <v>48</v>
      </c>
      <c r="I90" s="13">
        <v>7246.8625246596994</v>
      </c>
      <c r="J90" s="13">
        <v>7246.8625246596994</v>
      </c>
      <c r="K90" s="13">
        <v>0</v>
      </c>
      <c r="L90" s="13">
        <v>2980.3460708187999</v>
      </c>
      <c r="M90" s="13">
        <v>4266.5164538408999</v>
      </c>
      <c r="N90" s="10" t="s">
        <v>429</v>
      </c>
      <c r="O90" s="14">
        <v>3.3</v>
      </c>
      <c r="P90" s="10" t="s">
        <v>31</v>
      </c>
      <c r="Q90" s="14" t="s">
        <v>32</v>
      </c>
      <c r="R90" s="10" t="s">
        <v>33</v>
      </c>
      <c r="S90" s="10" t="s">
        <v>427</v>
      </c>
      <c r="T90" s="14">
        <f>IF(O90="","",(1/Metadata!$B$5)^(O90-1))</f>
        <v>199.52623149688802</v>
      </c>
      <c r="U90" s="13">
        <f t="shared" si="1"/>
        <v>1445939.1697213736</v>
      </c>
      <c r="V90" s="19" t="s">
        <v>92</v>
      </c>
      <c r="W90" s="20" t="s">
        <v>430</v>
      </c>
    </row>
    <row r="91" spans="1:23" ht="18" customHeight="1">
      <c r="A91" s="10" t="s">
        <v>23</v>
      </c>
      <c r="B91" s="10" t="s">
        <v>24</v>
      </c>
      <c r="C91" s="10" t="s">
        <v>25</v>
      </c>
      <c r="D91" s="12">
        <v>2019</v>
      </c>
      <c r="E91" s="10" t="s">
        <v>431</v>
      </c>
      <c r="F91" s="10" t="s">
        <v>432</v>
      </c>
      <c r="G91" s="10" t="s">
        <v>47</v>
      </c>
      <c r="H91" s="10" t="s">
        <v>29</v>
      </c>
      <c r="I91" s="13">
        <v>7192.9564223990001</v>
      </c>
      <c r="J91" s="13">
        <v>7029.5433802274001</v>
      </c>
      <c r="K91" s="13">
        <v>163.41304217160001</v>
      </c>
      <c r="L91" s="13">
        <v>6409.0474059694998</v>
      </c>
      <c r="M91" s="13">
        <v>783.90901642950007</v>
      </c>
      <c r="N91" s="10" t="s">
        <v>433</v>
      </c>
      <c r="O91" s="14">
        <v>2.2000000000000002</v>
      </c>
      <c r="P91" s="10" t="s">
        <v>31</v>
      </c>
      <c r="Q91" s="14" t="s">
        <v>32</v>
      </c>
      <c r="R91" s="10" t="s">
        <v>33</v>
      </c>
      <c r="S91" s="10" t="s">
        <v>431</v>
      </c>
      <c r="T91" s="14">
        <f>IF(O91="","",(1/Metadata!$B$5)^(O91-1))</f>
        <v>15.848931924611144</v>
      </c>
      <c r="U91" s="13">
        <f t="shared" si="1"/>
        <v>114000.67667529627</v>
      </c>
      <c r="V91" s="19" t="s">
        <v>34</v>
      </c>
      <c r="W91" s="20" t="s">
        <v>434</v>
      </c>
    </row>
    <row r="92" spans="1:23" ht="18" customHeight="1">
      <c r="A92" s="10" t="s">
        <v>23</v>
      </c>
      <c r="B92" s="10" t="s">
        <v>24</v>
      </c>
      <c r="C92" s="10" t="s">
        <v>25</v>
      </c>
      <c r="D92" s="12">
        <v>2019</v>
      </c>
      <c r="E92" s="10" t="s">
        <v>435</v>
      </c>
      <c r="F92" s="10" t="s">
        <v>436</v>
      </c>
      <c r="G92" s="10" t="s">
        <v>155</v>
      </c>
      <c r="H92" s="10" t="s">
        <v>48</v>
      </c>
      <c r="I92" s="13">
        <v>6959.0017173916985</v>
      </c>
      <c r="J92" s="13">
        <v>6959.0017173916985</v>
      </c>
      <c r="K92" s="13">
        <v>0</v>
      </c>
      <c r="L92" s="13">
        <v>2998.4549200039</v>
      </c>
      <c r="M92" s="13">
        <v>3960.5467973877999</v>
      </c>
      <c r="N92" s="10" t="s">
        <v>437</v>
      </c>
      <c r="O92" s="14">
        <v>3.75</v>
      </c>
      <c r="P92" s="10" t="s">
        <v>41</v>
      </c>
      <c r="Q92" s="14" t="s">
        <v>42</v>
      </c>
      <c r="R92" s="10" t="s">
        <v>33</v>
      </c>
      <c r="S92" s="10" t="s">
        <v>435</v>
      </c>
      <c r="T92" s="14">
        <f>IF(O92="","",(1/Metadata!$B$5)^(O92-1))</f>
        <v>562.34132519034927</v>
      </c>
      <c r="U92" s="13">
        <f t="shared" si="1"/>
        <v>3913334.2477599643</v>
      </c>
      <c r="V92" s="22" t="s">
        <v>105</v>
      </c>
      <c r="W92" s="20" t="s">
        <v>438</v>
      </c>
    </row>
    <row r="93" spans="1:23" ht="18" customHeight="1">
      <c r="A93" s="10" t="s">
        <v>23</v>
      </c>
      <c r="B93" s="10" t="s">
        <v>24</v>
      </c>
      <c r="C93" s="10" t="s">
        <v>25</v>
      </c>
      <c r="D93" s="12">
        <v>2019</v>
      </c>
      <c r="E93" s="10" t="s">
        <v>439</v>
      </c>
      <c r="F93" s="10" t="s">
        <v>440</v>
      </c>
      <c r="G93" s="10" t="s">
        <v>334</v>
      </c>
      <c r="H93" s="10" t="s">
        <v>149</v>
      </c>
      <c r="I93" s="13">
        <v>6932.8299642637003</v>
      </c>
      <c r="J93" s="13">
        <v>6929.1241122896008</v>
      </c>
      <c r="K93" s="13">
        <v>3.7058519740999998</v>
      </c>
      <c r="L93" s="13">
        <v>833.00714928039997</v>
      </c>
      <c r="M93" s="13">
        <v>6099.8228149833003</v>
      </c>
      <c r="N93" s="10" t="s">
        <v>441</v>
      </c>
      <c r="O93" s="14">
        <v>3.36</v>
      </c>
      <c r="P93" s="10" t="s">
        <v>41</v>
      </c>
      <c r="Q93" s="14" t="s">
        <v>42</v>
      </c>
      <c r="R93" s="10" t="s">
        <v>33</v>
      </c>
      <c r="S93" s="10" t="s">
        <v>439</v>
      </c>
      <c r="T93" s="14">
        <f>IF(O93="","",(1/Metadata!$B$5)^(O93-1))</f>
        <v>229.08676527677744</v>
      </c>
      <c r="U93" s="13">
        <f t="shared" si="1"/>
        <v>1588219.5907270876</v>
      </c>
      <c r="V93" s="19" t="s">
        <v>336</v>
      </c>
      <c r="W93" s="20" t="s">
        <v>442</v>
      </c>
    </row>
    <row r="94" spans="1:23" ht="18" customHeight="1">
      <c r="A94" s="10" t="s">
        <v>23</v>
      </c>
      <c r="B94" s="10" t="s">
        <v>24</v>
      </c>
      <c r="C94" s="10" t="s">
        <v>25</v>
      </c>
      <c r="D94" s="12">
        <v>2019</v>
      </c>
      <c r="E94" s="10" t="s">
        <v>443</v>
      </c>
      <c r="F94" s="10" t="s">
        <v>424</v>
      </c>
      <c r="G94" s="10" t="s">
        <v>155</v>
      </c>
      <c r="H94" s="10" t="s">
        <v>48</v>
      </c>
      <c r="I94" s="13">
        <v>6894.2737507523998</v>
      </c>
      <c r="J94" s="13">
        <v>6378.4532272143997</v>
      </c>
      <c r="K94" s="13">
        <v>515.82052353799997</v>
      </c>
      <c r="L94" s="13">
        <v>4805.2668453319002</v>
      </c>
      <c r="M94" s="13">
        <v>2089.0069054205001</v>
      </c>
      <c r="N94" s="10" t="s">
        <v>444</v>
      </c>
      <c r="O94" s="14">
        <v>4.0199999999999996</v>
      </c>
      <c r="P94" s="10" t="s">
        <v>41</v>
      </c>
      <c r="Q94" s="14" t="s">
        <v>42</v>
      </c>
      <c r="R94" s="10" t="s">
        <v>33</v>
      </c>
      <c r="S94" s="10" t="s">
        <v>443</v>
      </c>
      <c r="T94" s="14">
        <f>IF(O94="","",(1/Metadata!$B$5)^(O94-1))</f>
        <v>1047.1285480508991</v>
      </c>
      <c r="U94" s="13">
        <f t="shared" si="1"/>
        <v>7219190.8624907862</v>
      </c>
      <c r="V94" s="19" t="s">
        <v>105</v>
      </c>
      <c r="W94" s="20" t="s">
        <v>445</v>
      </c>
    </row>
    <row r="95" spans="1:23" ht="18" customHeight="1">
      <c r="A95" s="10" t="s">
        <v>23</v>
      </c>
      <c r="B95" s="10" t="s">
        <v>24</v>
      </c>
      <c r="C95" s="10" t="s">
        <v>25</v>
      </c>
      <c r="D95" s="12">
        <v>2019</v>
      </c>
      <c r="E95" s="10" t="s">
        <v>446</v>
      </c>
      <c r="F95" s="10" t="s">
        <v>447</v>
      </c>
      <c r="G95" s="10" t="s">
        <v>38</v>
      </c>
      <c r="H95" s="10" t="s">
        <v>48</v>
      </c>
      <c r="I95" s="13">
        <v>6719.6563903049</v>
      </c>
      <c r="J95" s="13">
        <v>6297.7689344062001</v>
      </c>
      <c r="K95" s="13">
        <v>421.88745589870001</v>
      </c>
      <c r="L95" s="13">
        <v>3889.3383962425</v>
      </c>
      <c r="M95" s="13">
        <v>2830.3179940624</v>
      </c>
      <c r="N95" s="10" t="s">
        <v>448</v>
      </c>
      <c r="O95" s="14">
        <v>3.36</v>
      </c>
      <c r="P95" s="10" t="s">
        <v>41</v>
      </c>
      <c r="Q95" s="14" t="s">
        <v>42</v>
      </c>
      <c r="R95" s="10" t="s">
        <v>33</v>
      </c>
      <c r="S95" s="10" t="s">
        <v>446</v>
      </c>
      <c r="T95" s="14">
        <f>IF(O95="","",(1/Metadata!$B$5)^(O95-1))</f>
        <v>229.08676527677744</v>
      </c>
      <c r="U95" s="13">
        <f t="shared" si="1"/>
        <v>1539384.3462263762</v>
      </c>
      <c r="V95" s="22" t="s">
        <v>92</v>
      </c>
      <c r="W95" s="20" t="s">
        <v>449</v>
      </c>
    </row>
    <row r="96" spans="1:23" ht="18" customHeight="1">
      <c r="A96" s="10" t="s">
        <v>23</v>
      </c>
      <c r="B96" s="10" t="s">
        <v>24</v>
      </c>
      <c r="C96" s="10" t="s">
        <v>25</v>
      </c>
      <c r="D96" s="12">
        <v>2019</v>
      </c>
      <c r="E96" s="10" t="s">
        <v>450</v>
      </c>
      <c r="F96" s="10" t="s">
        <v>451</v>
      </c>
      <c r="G96" s="10" t="s">
        <v>71</v>
      </c>
      <c r="H96" s="10" t="s">
        <v>48</v>
      </c>
      <c r="I96" s="13">
        <v>6502.7226467141991</v>
      </c>
      <c r="J96" s="13">
        <v>6131.8712414407992</v>
      </c>
      <c r="K96" s="13">
        <v>370.85140527340002</v>
      </c>
      <c r="L96" s="13">
        <v>5720.0293435379999</v>
      </c>
      <c r="M96" s="13">
        <v>782.69330317620006</v>
      </c>
      <c r="N96" s="10" t="s">
        <v>452</v>
      </c>
      <c r="O96" s="14">
        <v>3.62</v>
      </c>
      <c r="P96" s="10" t="s">
        <v>41</v>
      </c>
      <c r="Q96" s="14" t="s">
        <v>42</v>
      </c>
      <c r="R96" s="10" t="s">
        <v>33</v>
      </c>
      <c r="S96" s="10" t="s">
        <v>450</v>
      </c>
      <c r="T96" s="14">
        <f>IF(O96="","",(1/Metadata!$B$5)^(O96-1))</f>
        <v>416.86938347033572</v>
      </c>
      <c r="U96" s="13">
        <f t="shared" si="1"/>
        <v>2710785.9806143381</v>
      </c>
      <c r="V96" s="22" t="s">
        <v>92</v>
      </c>
      <c r="W96" s="20" t="s">
        <v>453</v>
      </c>
    </row>
    <row r="97" spans="1:23" ht="18" customHeight="1">
      <c r="A97" s="10" t="s">
        <v>23</v>
      </c>
      <c r="B97" s="10" t="s">
        <v>24</v>
      </c>
      <c r="C97" s="10" t="s">
        <v>25</v>
      </c>
      <c r="D97" s="12">
        <v>2019</v>
      </c>
      <c r="E97" s="10" t="s">
        <v>454</v>
      </c>
      <c r="F97" s="10" t="s">
        <v>455</v>
      </c>
      <c r="G97" s="10" t="s">
        <v>294</v>
      </c>
      <c r="H97" s="10" t="s">
        <v>39</v>
      </c>
      <c r="I97" s="13">
        <v>6462.5519781693001</v>
      </c>
      <c r="J97" s="13">
        <v>6462.5519781693001</v>
      </c>
      <c r="K97" s="13">
        <v>0</v>
      </c>
      <c r="L97" s="13">
        <v>0</v>
      </c>
      <c r="M97" s="13">
        <v>6462.5519781693001</v>
      </c>
      <c r="N97" s="10" t="s">
        <v>456</v>
      </c>
      <c r="O97" s="14">
        <v>3.46</v>
      </c>
      <c r="P97" s="10" t="s">
        <v>41</v>
      </c>
      <c r="Q97" s="14" t="s">
        <v>42</v>
      </c>
      <c r="R97" s="10" t="s">
        <v>33</v>
      </c>
      <c r="S97" s="10" t="s">
        <v>454</v>
      </c>
      <c r="T97" s="14">
        <f>IF(O97="","",(1/Metadata!$B$5)^(O97-1))</f>
        <v>288.40315031266073</v>
      </c>
      <c r="U97" s="13">
        <f t="shared" si="1"/>
        <v>1863820.3495633437</v>
      </c>
      <c r="V97" s="19" t="s">
        <v>296</v>
      </c>
      <c r="W97" s="20" t="s">
        <v>457</v>
      </c>
    </row>
    <row r="98" spans="1:23" ht="18" customHeight="1">
      <c r="A98" s="10" t="s">
        <v>23</v>
      </c>
      <c r="B98" s="10" t="s">
        <v>24</v>
      </c>
      <c r="C98" s="10" t="s">
        <v>25</v>
      </c>
      <c r="D98" s="12">
        <v>2019</v>
      </c>
      <c r="E98" s="10" t="s">
        <v>458</v>
      </c>
      <c r="F98" s="10" t="s">
        <v>459</v>
      </c>
      <c r="G98" s="10" t="s">
        <v>189</v>
      </c>
      <c r="H98" s="10" t="s">
        <v>39</v>
      </c>
      <c r="I98" s="13">
        <v>6126.1798828244991</v>
      </c>
      <c r="J98" s="13">
        <v>6126.1798828244991</v>
      </c>
      <c r="K98" s="13">
        <v>0</v>
      </c>
      <c r="L98" s="13">
        <v>6126.1798828244991</v>
      </c>
      <c r="M98" s="13">
        <v>0</v>
      </c>
      <c r="N98" s="10" t="s">
        <v>460</v>
      </c>
      <c r="O98" s="14">
        <v>3.89</v>
      </c>
      <c r="P98" s="10" t="s">
        <v>41</v>
      </c>
      <c r="Q98" s="14" t="s">
        <v>42</v>
      </c>
      <c r="R98" s="10" t="s">
        <v>33</v>
      </c>
      <c r="S98" s="10" t="s">
        <v>458</v>
      </c>
      <c r="T98" s="14">
        <f>IF(O98="","",(1/Metadata!$B$5)^(O98-1))</f>
        <v>776.24711662869231</v>
      </c>
      <c r="U98" s="13">
        <f t="shared" si="1"/>
        <v>4755429.4699912174</v>
      </c>
      <c r="V98" s="22" t="s">
        <v>105</v>
      </c>
      <c r="W98" s="20" t="s">
        <v>461</v>
      </c>
    </row>
    <row r="99" spans="1:23" ht="18" customHeight="1">
      <c r="A99" s="10" t="s">
        <v>23</v>
      </c>
      <c r="B99" s="10" t="s">
        <v>24</v>
      </c>
      <c r="C99" s="10" t="s">
        <v>25</v>
      </c>
      <c r="D99" s="12">
        <v>2019</v>
      </c>
      <c r="E99" s="10" t="s">
        <v>462</v>
      </c>
      <c r="F99" s="10" t="s">
        <v>463</v>
      </c>
      <c r="G99" s="10" t="s">
        <v>118</v>
      </c>
      <c r="H99" s="10" t="s">
        <v>39</v>
      </c>
      <c r="I99" s="13">
        <v>6059.5613661060997</v>
      </c>
      <c r="J99" s="13">
        <v>6059.5613661060997</v>
      </c>
      <c r="K99" s="13">
        <v>0</v>
      </c>
      <c r="L99" s="13">
        <v>6004.2780303623986</v>
      </c>
      <c r="M99" s="13">
        <v>55.2833357437</v>
      </c>
      <c r="N99" s="10" t="s">
        <v>464</v>
      </c>
      <c r="O99" s="14">
        <v>3.8</v>
      </c>
      <c r="P99" s="10" t="s">
        <v>41</v>
      </c>
      <c r="Q99" s="14" t="s">
        <v>42</v>
      </c>
      <c r="R99" s="10" t="s">
        <v>33</v>
      </c>
      <c r="S99" s="10" t="s">
        <v>462</v>
      </c>
      <c r="T99" s="14">
        <f>IF(O99="","",(1/Metadata!$B$5)^(O99-1))</f>
        <v>630.95734448019323</v>
      </c>
      <c r="U99" s="13">
        <f t="shared" si="1"/>
        <v>3823324.7482730765</v>
      </c>
      <c r="V99" s="19" t="s">
        <v>118</v>
      </c>
      <c r="W99" s="20" t="s">
        <v>465</v>
      </c>
    </row>
    <row r="100" spans="1:23" ht="18" customHeight="1">
      <c r="A100" s="10" t="s">
        <v>23</v>
      </c>
      <c r="B100" s="10" t="s">
        <v>24</v>
      </c>
      <c r="C100" s="10" t="s">
        <v>25</v>
      </c>
      <c r="D100" s="12">
        <v>2019</v>
      </c>
      <c r="E100" s="10" t="s">
        <v>466</v>
      </c>
      <c r="F100" s="10" t="s">
        <v>467</v>
      </c>
      <c r="G100" s="10" t="s">
        <v>155</v>
      </c>
      <c r="H100" s="10" t="s">
        <v>48</v>
      </c>
      <c r="I100" s="13">
        <v>6033.2656647153999</v>
      </c>
      <c r="J100" s="13">
        <v>6033.2656647153999</v>
      </c>
      <c r="K100" s="13">
        <v>0</v>
      </c>
      <c r="L100" s="13">
        <v>2466.5849498140001</v>
      </c>
      <c r="M100" s="13">
        <v>3566.6807149013998</v>
      </c>
      <c r="N100" s="10" t="s">
        <v>468</v>
      </c>
      <c r="O100" s="14">
        <v>4.4800000000000004</v>
      </c>
      <c r="P100" s="10" t="s">
        <v>31</v>
      </c>
      <c r="Q100" s="14" t="s">
        <v>32</v>
      </c>
      <c r="R100" s="10" t="s">
        <v>33</v>
      </c>
      <c r="S100" s="10" t="s">
        <v>466</v>
      </c>
      <c r="T100" s="14">
        <f>IF(O100="","",(1/Metadata!$B$5)^(O100-1))</f>
        <v>3019.9517204020231</v>
      </c>
      <c r="U100" s="13">
        <f t="shared" si="1"/>
        <v>18220171.023799729</v>
      </c>
      <c r="V100" s="19" t="s">
        <v>105</v>
      </c>
      <c r="W100" s="20" t="s">
        <v>469</v>
      </c>
    </row>
    <row r="101" spans="1:23" ht="18" customHeight="1">
      <c r="A101" s="10" t="s">
        <v>23</v>
      </c>
      <c r="B101" s="10" t="s">
        <v>24</v>
      </c>
      <c r="C101" s="10" t="s">
        <v>25</v>
      </c>
      <c r="D101" s="12">
        <v>2019</v>
      </c>
      <c r="E101" s="10" t="s">
        <v>470</v>
      </c>
      <c r="F101" s="10" t="s">
        <v>471</v>
      </c>
      <c r="G101" s="10" t="s">
        <v>404</v>
      </c>
      <c r="H101" s="10" t="s">
        <v>48</v>
      </c>
      <c r="I101" s="13">
        <v>5917.5150241539004</v>
      </c>
      <c r="J101" s="13">
        <v>5917.5150241539004</v>
      </c>
      <c r="K101" s="13">
        <v>0</v>
      </c>
      <c r="L101" s="13">
        <v>1736.4029827424999</v>
      </c>
      <c r="M101" s="13">
        <v>4181.1120414114002</v>
      </c>
      <c r="N101" s="10" t="s">
        <v>472</v>
      </c>
      <c r="O101" s="14">
        <v>4.0199999999999996</v>
      </c>
      <c r="P101" s="10" t="s">
        <v>31</v>
      </c>
      <c r="Q101" s="14" t="s">
        <v>32</v>
      </c>
      <c r="R101" s="10" t="s">
        <v>33</v>
      </c>
      <c r="S101" s="10" t="s">
        <v>470</v>
      </c>
      <c r="T101" s="14">
        <f>IF(O101="","",(1/Metadata!$B$5)^(O101-1))</f>
        <v>1047.1285480508991</v>
      </c>
      <c r="U101" s="13">
        <f t="shared" si="1"/>
        <v>6196398.915311655</v>
      </c>
      <c r="V101" s="22" t="s">
        <v>92</v>
      </c>
      <c r="W101" s="20" t="s">
        <v>473</v>
      </c>
    </row>
    <row r="102" spans="1:23" ht="18" customHeight="1">
      <c r="A102" s="10" t="s">
        <v>23</v>
      </c>
      <c r="B102" s="10" t="s">
        <v>24</v>
      </c>
      <c r="C102" s="10" t="s">
        <v>25</v>
      </c>
      <c r="D102" s="12">
        <v>2019</v>
      </c>
      <c r="E102" s="10" t="s">
        <v>474</v>
      </c>
      <c r="F102" s="10" t="s">
        <v>475</v>
      </c>
      <c r="G102" s="10" t="s">
        <v>54</v>
      </c>
      <c r="H102" s="10" t="s">
        <v>55</v>
      </c>
      <c r="I102" s="13">
        <v>5631.1001249368001</v>
      </c>
      <c r="J102" s="13">
        <v>5631.1001249368001</v>
      </c>
      <c r="K102" s="13">
        <v>0</v>
      </c>
      <c r="L102" s="13">
        <v>5628.0064412657002</v>
      </c>
      <c r="M102" s="13">
        <v>3.0936836711</v>
      </c>
      <c r="N102" s="10" t="s">
        <v>476</v>
      </c>
      <c r="O102" s="14">
        <v>4.5</v>
      </c>
      <c r="P102" s="10" t="s">
        <v>31</v>
      </c>
      <c r="Q102" s="14" t="s">
        <v>32</v>
      </c>
      <c r="R102" s="10" t="s">
        <v>33</v>
      </c>
      <c r="S102" s="10" t="s">
        <v>474</v>
      </c>
      <c r="T102" s="14">
        <f>IF(O102="","",(1/Metadata!$B$5)^(O102-1))</f>
        <v>3162.2776601683804</v>
      </c>
      <c r="U102" s="13">
        <f t="shared" si="1"/>
        <v>17807102.12725902</v>
      </c>
      <c r="V102" s="22" t="s">
        <v>110</v>
      </c>
      <c r="W102" s="20" t="s">
        <v>477</v>
      </c>
    </row>
    <row r="103" spans="1:23" ht="18" customHeight="1">
      <c r="A103" s="10" t="s">
        <v>23</v>
      </c>
      <c r="B103" s="10" t="s">
        <v>24</v>
      </c>
      <c r="C103" s="10" t="s">
        <v>25</v>
      </c>
      <c r="D103" s="12">
        <v>2019</v>
      </c>
      <c r="E103" s="10" t="s">
        <v>478</v>
      </c>
      <c r="F103" s="10" t="s">
        <v>479</v>
      </c>
      <c r="G103" s="10" t="s">
        <v>134</v>
      </c>
      <c r="H103" s="10" t="s">
        <v>48</v>
      </c>
      <c r="I103" s="13">
        <v>5549.8543700371993</v>
      </c>
      <c r="J103" s="13">
        <v>5439.5267056565999</v>
      </c>
      <c r="K103" s="13">
        <v>110.3276643806</v>
      </c>
      <c r="L103" s="13">
        <v>0</v>
      </c>
      <c r="M103" s="13">
        <v>5549.8543700371993</v>
      </c>
      <c r="N103" s="10" t="s">
        <v>480</v>
      </c>
      <c r="O103" s="14">
        <v>4.1500000000000004</v>
      </c>
      <c r="P103" s="10" t="s">
        <v>41</v>
      </c>
      <c r="Q103" s="14" t="s">
        <v>42</v>
      </c>
      <c r="R103" s="10" t="s">
        <v>33</v>
      </c>
      <c r="S103" s="10" t="s">
        <v>478</v>
      </c>
      <c r="T103" s="14">
        <f>IF(O103="","",(1/Metadata!$B$5)^(O103-1))</f>
        <v>1412.537544622757</v>
      </c>
      <c r="U103" s="13">
        <f t="shared" si="1"/>
        <v>7839377.664866223</v>
      </c>
      <c r="V103" s="19" t="s">
        <v>136</v>
      </c>
      <c r="W103" s="20" t="s">
        <v>481</v>
      </c>
    </row>
    <row r="104" spans="1:23" ht="18" customHeight="1">
      <c r="A104" s="10" t="s">
        <v>23</v>
      </c>
      <c r="B104" s="10" t="s">
        <v>24</v>
      </c>
      <c r="C104" s="10" t="s">
        <v>25</v>
      </c>
      <c r="D104" s="12">
        <v>2019</v>
      </c>
      <c r="E104" s="10" t="s">
        <v>482</v>
      </c>
      <c r="F104" s="10" t="s">
        <v>483</v>
      </c>
      <c r="G104" s="10" t="s">
        <v>123</v>
      </c>
      <c r="H104" s="10" t="s">
        <v>124</v>
      </c>
      <c r="I104" s="13">
        <v>5115.2690789386997</v>
      </c>
      <c r="J104" s="13">
        <v>5115.2690789386997</v>
      </c>
      <c r="K104" s="13">
        <v>0</v>
      </c>
      <c r="L104" s="13">
        <v>0</v>
      </c>
      <c r="M104" s="13">
        <v>5115.2690789386997</v>
      </c>
      <c r="N104" s="10" t="s">
        <v>484</v>
      </c>
      <c r="O104" s="14">
        <v>2</v>
      </c>
      <c r="P104" s="10" t="s">
        <v>41</v>
      </c>
      <c r="Q104" s="14" t="s">
        <v>42</v>
      </c>
      <c r="R104" s="10" t="s">
        <v>33</v>
      </c>
      <c r="S104" s="10" t="s">
        <v>482</v>
      </c>
      <c r="T104" s="14">
        <f>IF(O104="","",(1/Metadata!$B$5)^(O104-1))</f>
        <v>10</v>
      </c>
      <c r="U104" s="13">
        <f t="shared" si="1"/>
        <v>51152.690789386994</v>
      </c>
      <c r="V104" s="19" t="s">
        <v>126</v>
      </c>
      <c r="W104" s="20" t="s">
        <v>485</v>
      </c>
    </row>
    <row r="105" spans="1:23" ht="18" customHeight="1">
      <c r="A105" s="10" t="s">
        <v>23</v>
      </c>
      <c r="B105" s="10" t="s">
        <v>24</v>
      </c>
      <c r="C105" s="10" t="s">
        <v>25</v>
      </c>
      <c r="D105" s="12">
        <v>2019</v>
      </c>
      <c r="E105" s="10" t="s">
        <v>486</v>
      </c>
      <c r="F105" s="10" t="s">
        <v>487</v>
      </c>
      <c r="G105" s="10" t="s">
        <v>47</v>
      </c>
      <c r="H105" s="10" t="s">
        <v>48</v>
      </c>
      <c r="I105" s="13">
        <v>5048.1551044467997</v>
      </c>
      <c r="J105" s="13">
        <v>5048.1551044467997</v>
      </c>
      <c r="K105" s="13">
        <v>0</v>
      </c>
      <c r="L105" s="13">
        <v>4470.0662796614997</v>
      </c>
      <c r="M105" s="13">
        <v>578.08882478530006</v>
      </c>
      <c r="N105" s="10" t="s">
        <v>488</v>
      </c>
      <c r="O105" s="14">
        <v>4.24</v>
      </c>
      <c r="P105" s="10" t="s">
        <v>31</v>
      </c>
      <c r="Q105" s="14" t="s">
        <v>32</v>
      </c>
      <c r="R105" s="10" t="s">
        <v>33</v>
      </c>
      <c r="S105" s="10" t="s">
        <v>486</v>
      </c>
      <c r="T105" s="14">
        <f>IF(O105="","",(1/Metadata!$B$5)^(O105-1))</f>
        <v>1737.8008287493772</v>
      </c>
      <c r="U105" s="13">
        <f t="shared" si="1"/>
        <v>8772688.1241630465</v>
      </c>
      <c r="V105" s="19" t="s">
        <v>87</v>
      </c>
      <c r="W105" s="20" t="s">
        <v>489</v>
      </c>
    </row>
    <row r="106" spans="1:23" ht="18" customHeight="1">
      <c r="A106" s="10" t="s">
        <v>23</v>
      </c>
      <c r="B106" s="10" t="s">
        <v>24</v>
      </c>
      <c r="C106" s="10" t="s">
        <v>25</v>
      </c>
      <c r="D106" s="12">
        <v>2019</v>
      </c>
      <c r="E106" s="10" t="s">
        <v>490</v>
      </c>
      <c r="F106" s="10" t="s">
        <v>491</v>
      </c>
      <c r="G106" s="10" t="s">
        <v>38</v>
      </c>
      <c r="H106" s="10" t="s">
        <v>48</v>
      </c>
      <c r="I106" s="13">
        <v>4872.8396818932997</v>
      </c>
      <c r="J106" s="13">
        <v>4872.8396818932997</v>
      </c>
      <c r="K106" s="13">
        <v>0</v>
      </c>
      <c r="L106" s="13">
        <v>3715.5191766249</v>
      </c>
      <c r="M106" s="13">
        <v>1157.3205052684</v>
      </c>
      <c r="N106" s="10" t="s">
        <v>492</v>
      </c>
      <c r="O106" s="14">
        <v>4.49</v>
      </c>
      <c r="P106" s="10" t="s">
        <v>31</v>
      </c>
      <c r="Q106" s="14" t="s">
        <v>32</v>
      </c>
      <c r="R106" s="10" t="s">
        <v>33</v>
      </c>
      <c r="S106" s="10" t="s">
        <v>490</v>
      </c>
      <c r="T106" s="14">
        <f>IF(O106="","",(1/Metadata!$B$5)^(O106-1))</f>
        <v>3090.295432513592</v>
      </c>
      <c r="U106" s="13">
        <f t="shared" si="1"/>
        <v>15058514.212325849</v>
      </c>
      <c r="V106" s="22" t="s">
        <v>105</v>
      </c>
      <c r="W106" s="20" t="s">
        <v>493</v>
      </c>
    </row>
    <row r="107" spans="1:23" ht="18" customHeight="1">
      <c r="A107" s="10" t="s">
        <v>23</v>
      </c>
      <c r="B107" s="10" t="s">
        <v>24</v>
      </c>
      <c r="C107" s="10" t="s">
        <v>25</v>
      </c>
      <c r="D107" s="12">
        <v>2019</v>
      </c>
      <c r="E107" s="10" t="s">
        <v>494</v>
      </c>
      <c r="F107" s="10" t="s">
        <v>495</v>
      </c>
      <c r="G107" s="10" t="s">
        <v>155</v>
      </c>
      <c r="H107" s="10" t="s">
        <v>48</v>
      </c>
      <c r="I107" s="13">
        <v>4772.0980873941999</v>
      </c>
      <c r="J107" s="13">
        <v>4772.0980873941999</v>
      </c>
      <c r="K107" s="13">
        <v>0</v>
      </c>
      <c r="L107" s="13">
        <v>4149.1044244490004</v>
      </c>
      <c r="M107" s="13">
        <v>622.99366294519996</v>
      </c>
      <c r="N107" s="10" t="s">
        <v>496</v>
      </c>
      <c r="O107" s="14">
        <v>2.11</v>
      </c>
      <c r="P107" s="10" t="s">
        <v>41</v>
      </c>
      <c r="Q107" s="14" t="s">
        <v>42</v>
      </c>
      <c r="R107" s="10" t="s">
        <v>33</v>
      </c>
      <c r="S107" s="10" t="s">
        <v>494</v>
      </c>
      <c r="T107" s="14">
        <f>IF(O107="","",(1/Metadata!$B$5)^(O107-1))</f>
        <v>12.882495516931341</v>
      </c>
      <c r="U107" s="13">
        <f t="shared" si="1"/>
        <v>61476.532217212407</v>
      </c>
      <c r="V107" s="22" t="s">
        <v>181</v>
      </c>
      <c r="W107" s="20" t="s">
        <v>497</v>
      </c>
    </row>
    <row r="108" spans="1:23" ht="18" customHeight="1">
      <c r="A108" s="10" t="s">
        <v>23</v>
      </c>
      <c r="B108" s="10" t="s">
        <v>24</v>
      </c>
      <c r="C108" s="10" t="s">
        <v>25</v>
      </c>
      <c r="D108" s="12">
        <v>2019</v>
      </c>
      <c r="E108" s="10" t="s">
        <v>498</v>
      </c>
      <c r="F108" s="10" t="s">
        <v>499</v>
      </c>
      <c r="G108" s="10" t="s">
        <v>164</v>
      </c>
      <c r="H108" s="10" t="s">
        <v>48</v>
      </c>
      <c r="I108" s="13">
        <v>4676.9197993162998</v>
      </c>
      <c r="J108" s="13">
        <v>4676.9197993162998</v>
      </c>
      <c r="K108" s="13">
        <v>0</v>
      </c>
      <c r="L108" s="13">
        <v>1176.097750317</v>
      </c>
      <c r="M108" s="13">
        <v>3500.8220489993</v>
      </c>
      <c r="N108" s="10" t="s">
        <v>500</v>
      </c>
      <c r="O108" s="14">
        <v>3.58</v>
      </c>
      <c r="P108" s="10" t="s">
        <v>31</v>
      </c>
      <c r="Q108" s="14" t="s">
        <v>32</v>
      </c>
      <c r="R108" s="10" t="s">
        <v>33</v>
      </c>
      <c r="S108" s="10" t="s">
        <v>498</v>
      </c>
      <c r="T108" s="14">
        <f>IF(O108="","",(1/Metadata!$B$5)^(O108-1))</f>
        <v>380.18939632056163</v>
      </c>
      <c r="U108" s="13">
        <f t="shared" si="1"/>
        <v>1778115.3151417463</v>
      </c>
      <c r="V108" s="19" t="s">
        <v>105</v>
      </c>
      <c r="W108" s="20" t="s">
        <v>501</v>
      </c>
    </row>
    <row r="109" spans="1:23" ht="18" customHeight="1">
      <c r="A109" s="10" t="s">
        <v>23</v>
      </c>
      <c r="B109" s="10" t="s">
        <v>24</v>
      </c>
      <c r="C109" s="10" t="s">
        <v>25</v>
      </c>
      <c r="D109" s="12">
        <v>2019</v>
      </c>
      <c r="E109" s="10" t="s">
        <v>502</v>
      </c>
      <c r="F109" s="10" t="s">
        <v>503</v>
      </c>
      <c r="G109" s="10" t="s">
        <v>38</v>
      </c>
      <c r="H109" s="10" t="s">
        <v>504</v>
      </c>
      <c r="I109" s="13">
        <v>4639.2364700763001</v>
      </c>
      <c r="J109" s="13">
        <v>4639.2364700763001</v>
      </c>
      <c r="K109" s="13">
        <v>0</v>
      </c>
      <c r="L109" s="13">
        <v>3097.4367730395002</v>
      </c>
      <c r="M109" s="13">
        <v>1541.7996970367999</v>
      </c>
      <c r="N109" s="10" t="s">
        <v>505</v>
      </c>
      <c r="O109" s="14">
        <v>3.6</v>
      </c>
      <c r="P109" s="10" t="s">
        <v>31</v>
      </c>
      <c r="Q109" s="14" t="s">
        <v>32</v>
      </c>
      <c r="R109" s="10" t="s">
        <v>33</v>
      </c>
      <c r="S109" s="10" t="s">
        <v>502</v>
      </c>
      <c r="T109" s="14">
        <f>IF(O109="","",(1/Metadata!$B$5)^(O109-1))</f>
        <v>398.10717055349761</v>
      </c>
      <c r="U109" s="13">
        <f t="shared" si="1"/>
        <v>1846913.3046306719</v>
      </c>
      <c r="V109" s="19" t="s">
        <v>92</v>
      </c>
      <c r="W109" s="20" t="s">
        <v>506</v>
      </c>
    </row>
    <row r="110" spans="1:23" ht="18" customHeight="1">
      <c r="A110" s="10" t="s">
        <v>23</v>
      </c>
      <c r="B110" s="10" t="s">
        <v>24</v>
      </c>
      <c r="C110" s="10" t="s">
        <v>25</v>
      </c>
      <c r="D110" s="12">
        <v>2019</v>
      </c>
      <c r="E110" s="10" t="s">
        <v>507</v>
      </c>
      <c r="F110" s="10" t="s">
        <v>508</v>
      </c>
      <c r="G110" s="10" t="s">
        <v>155</v>
      </c>
      <c r="H110" s="10" t="s">
        <v>48</v>
      </c>
      <c r="I110" s="13">
        <v>4383.7471445650999</v>
      </c>
      <c r="J110" s="13">
        <v>4383.7471445650999</v>
      </c>
      <c r="K110" s="13">
        <v>0</v>
      </c>
      <c r="L110" s="13">
        <v>1976.9295560856999</v>
      </c>
      <c r="M110" s="13">
        <v>2406.8175884794</v>
      </c>
      <c r="N110" s="10" t="s">
        <v>509</v>
      </c>
      <c r="O110" s="14">
        <v>4.12</v>
      </c>
      <c r="P110" s="10" t="s">
        <v>41</v>
      </c>
      <c r="Q110" s="14" t="s">
        <v>42</v>
      </c>
      <c r="R110" s="10" t="s">
        <v>33</v>
      </c>
      <c r="S110" s="10" t="s">
        <v>507</v>
      </c>
      <c r="T110" s="14">
        <f>IF(O110="","",(1/Metadata!$B$5)^(O110-1))</f>
        <v>1318.2567385564089</v>
      </c>
      <c r="U110" s="13">
        <f t="shared" si="1"/>
        <v>5778904.2134503592</v>
      </c>
      <c r="V110" s="22" t="s">
        <v>105</v>
      </c>
      <c r="W110" s="20" t="s">
        <v>510</v>
      </c>
    </row>
    <row r="111" spans="1:23" ht="18" customHeight="1">
      <c r="A111" s="10" t="s">
        <v>23</v>
      </c>
      <c r="B111" s="10" t="s">
        <v>24</v>
      </c>
      <c r="C111" s="10" t="s">
        <v>25</v>
      </c>
      <c r="D111" s="12">
        <v>2019</v>
      </c>
      <c r="E111" s="10" t="s">
        <v>511</v>
      </c>
      <c r="F111" s="10" t="s">
        <v>512</v>
      </c>
      <c r="G111" s="10" t="s">
        <v>404</v>
      </c>
      <c r="H111" s="10" t="s">
        <v>48</v>
      </c>
      <c r="I111" s="13">
        <v>4201.7667470128999</v>
      </c>
      <c r="J111" s="13">
        <v>4201.7667470128999</v>
      </c>
      <c r="K111" s="13">
        <v>0</v>
      </c>
      <c r="L111" s="13">
        <v>4085.8311604279002</v>
      </c>
      <c r="M111" s="13">
        <v>115.935586585</v>
      </c>
      <c r="N111" s="10" t="s">
        <v>513</v>
      </c>
      <c r="O111" s="14">
        <v>2.76</v>
      </c>
      <c r="P111" s="10" t="s">
        <v>31</v>
      </c>
      <c r="Q111" s="14" t="s">
        <v>32</v>
      </c>
      <c r="R111" s="10" t="s">
        <v>33</v>
      </c>
      <c r="S111" s="10" t="s">
        <v>511</v>
      </c>
      <c r="T111" s="14">
        <f>IF(O111="","",(1/Metadata!$B$5)^(O111-1))</f>
        <v>57.543993733715695</v>
      </c>
      <c r="U111" s="13">
        <f t="shared" si="1"/>
        <v>241786.43936064528</v>
      </c>
      <c r="V111" s="22" t="s">
        <v>181</v>
      </c>
      <c r="W111" s="20" t="s">
        <v>514</v>
      </c>
    </row>
    <row r="112" spans="1:23" ht="18" customHeight="1">
      <c r="A112" s="10" t="s">
        <v>23</v>
      </c>
      <c r="B112" s="10" t="s">
        <v>24</v>
      </c>
      <c r="C112" s="10" t="s">
        <v>25</v>
      </c>
      <c r="D112" s="12">
        <v>2019</v>
      </c>
      <c r="E112" s="10" t="s">
        <v>515</v>
      </c>
      <c r="F112" s="10" t="s">
        <v>516</v>
      </c>
      <c r="G112" s="10" t="s">
        <v>118</v>
      </c>
      <c r="H112" s="10" t="s">
        <v>39</v>
      </c>
      <c r="I112" s="13">
        <v>4199.4823197653004</v>
      </c>
      <c r="J112" s="13">
        <v>4199.4823197653004</v>
      </c>
      <c r="K112" s="13">
        <v>0</v>
      </c>
      <c r="L112" s="13">
        <v>3679.6459507287</v>
      </c>
      <c r="M112" s="13">
        <v>519.83636903659999</v>
      </c>
      <c r="N112" s="10" t="s">
        <v>517</v>
      </c>
      <c r="O112" s="14">
        <v>3.9</v>
      </c>
      <c r="P112" s="10" t="s">
        <v>41</v>
      </c>
      <c r="Q112" s="14" t="s">
        <v>42</v>
      </c>
      <c r="R112" s="10" t="s">
        <v>33</v>
      </c>
      <c r="S112" s="10" t="s">
        <v>515</v>
      </c>
      <c r="T112" s="14">
        <f>IF(O112="","",(1/Metadata!$B$5)^(O112-1))</f>
        <v>794.32823472428208</v>
      </c>
      <c r="U112" s="13">
        <f t="shared" si="1"/>
        <v>3335767.377815004</v>
      </c>
      <c r="V112" s="19" t="s">
        <v>118</v>
      </c>
      <c r="W112" s="20" t="s">
        <v>518</v>
      </c>
    </row>
    <row r="113" spans="1:23" ht="18" customHeight="1">
      <c r="A113" s="10" t="s">
        <v>23</v>
      </c>
      <c r="B113" s="10" t="s">
        <v>24</v>
      </c>
      <c r="C113" s="10" t="s">
        <v>25</v>
      </c>
      <c r="D113" s="12">
        <v>2019</v>
      </c>
      <c r="E113" s="10" t="s">
        <v>519</v>
      </c>
      <c r="F113" s="10" t="s">
        <v>520</v>
      </c>
      <c r="G113" s="10" t="s">
        <v>81</v>
      </c>
      <c r="H113" s="10" t="s">
        <v>66</v>
      </c>
      <c r="I113" s="13">
        <v>4051.9818168503998</v>
      </c>
      <c r="J113" s="13">
        <v>4051.9818168503998</v>
      </c>
      <c r="K113" s="13">
        <v>0</v>
      </c>
      <c r="L113" s="13">
        <v>0</v>
      </c>
      <c r="M113" s="13">
        <v>4051.9818168503998</v>
      </c>
      <c r="N113" s="10" t="s">
        <v>521</v>
      </c>
      <c r="O113" s="14">
        <v>3.24</v>
      </c>
      <c r="P113" s="10" t="s">
        <v>41</v>
      </c>
      <c r="Q113" s="14" t="s">
        <v>42</v>
      </c>
      <c r="R113" s="10" t="s">
        <v>33</v>
      </c>
      <c r="S113" s="10" t="s">
        <v>519</v>
      </c>
      <c r="T113" s="14">
        <f>IF(O113="","",(1/Metadata!$B$5)^(O113-1))</f>
        <v>173.78008287493768</v>
      </c>
      <c r="U113" s="13">
        <f t="shared" si="1"/>
        <v>704153.73594000307</v>
      </c>
      <c r="V113" s="19" t="s">
        <v>81</v>
      </c>
      <c r="W113" s="20" t="s">
        <v>522</v>
      </c>
    </row>
    <row r="114" spans="1:23" ht="18" customHeight="1">
      <c r="A114" s="10" t="s">
        <v>23</v>
      </c>
      <c r="B114" s="10" t="s">
        <v>24</v>
      </c>
      <c r="C114" s="10" t="s">
        <v>25</v>
      </c>
      <c r="D114" s="12">
        <v>2019</v>
      </c>
      <c r="E114" s="10" t="s">
        <v>523</v>
      </c>
      <c r="F114" s="10" t="s">
        <v>524</v>
      </c>
      <c r="G114" s="10" t="s">
        <v>47</v>
      </c>
      <c r="H114" s="10" t="s">
        <v>48</v>
      </c>
      <c r="I114" s="13">
        <v>4024.8289387548002</v>
      </c>
      <c r="J114" s="13">
        <v>4015.3307925009999</v>
      </c>
      <c r="K114" s="13">
        <v>9.4981462537999999</v>
      </c>
      <c r="L114" s="13">
        <v>4015.3307925009999</v>
      </c>
      <c r="M114" s="13">
        <v>9.4981462537999999</v>
      </c>
      <c r="N114" s="10" t="s">
        <v>525</v>
      </c>
      <c r="O114" s="14">
        <v>4.1399999999999997</v>
      </c>
      <c r="P114" s="10" t="s">
        <v>41</v>
      </c>
      <c r="Q114" s="14" t="s">
        <v>42</v>
      </c>
      <c r="R114" s="10" t="s">
        <v>33</v>
      </c>
      <c r="S114" s="10" t="s">
        <v>523</v>
      </c>
      <c r="T114" s="14">
        <f>IF(O114="","",(1/Metadata!$B$5)^(O114-1))</f>
        <v>1380.3842646028852</v>
      </c>
      <c r="U114" s="13">
        <f t="shared" si="1"/>
        <v>5555810.5347754555</v>
      </c>
      <c r="V114" s="22" t="s">
        <v>136</v>
      </c>
      <c r="W114" s="20" t="s">
        <v>526</v>
      </c>
    </row>
    <row r="115" spans="1:23" ht="18" customHeight="1">
      <c r="A115" s="10" t="s">
        <v>23</v>
      </c>
      <c r="B115" s="10" t="s">
        <v>24</v>
      </c>
      <c r="C115" s="10" t="s">
        <v>25</v>
      </c>
      <c r="D115" s="12">
        <v>2019</v>
      </c>
      <c r="E115" s="10" t="s">
        <v>527</v>
      </c>
      <c r="F115" s="10" t="s">
        <v>528</v>
      </c>
      <c r="G115" s="10" t="s">
        <v>189</v>
      </c>
      <c r="H115" s="10" t="s">
        <v>39</v>
      </c>
      <c r="I115" s="13">
        <v>3930.2298300902999</v>
      </c>
      <c r="J115" s="13">
        <v>3930.2298300902999</v>
      </c>
      <c r="K115" s="13">
        <v>0</v>
      </c>
      <c r="L115" s="13">
        <v>361.6062889621</v>
      </c>
      <c r="M115" s="13">
        <v>3568.6235411282</v>
      </c>
      <c r="N115" s="10" t="s">
        <v>529</v>
      </c>
      <c r="O115" s="14">
        <v>4.38</v>
      </c>
      <c r="P115" s="10" t="s">
        <v>31</v>
      </c>
      <c r="Q115" s="14" t="s">
        <v>32</v>
      </c>
      <c r="R115" s="10" t="s">
        <v>33</v>
      </c>
      <c r="S115" s="10" t="s">
        <v>527</v>
      </c>
      <c r="T115" s="14">
        <f>IF(O115="","",(1/Metadata!$B$5)^(O115-1))</f>
        <v>2398.8329190194918</v>
      </c>
      <c r="U115" s="13">
        <f t="shared" si="1"/>
        <v>9427964.6957329959</v>
      </c>
      <c r="V115" s="22" t="s">
        <v>105</v>
      </c>
      <c r="W115" s="20" t="s">
        <v>530</v>
      </c>
    </row>
    <row r="116" spans="1:23" ht="18" customHeight="1">
      <c r="A116" s="10" t="s">
        <v>23</v>
      </c>
      <c r="B116" s="10" t="s">
        <v>24</v>
      </c>
      <c r="C116" s="10" t="s">
        <v>25</v>
      </c>
      <c r="D116" s="12">
        <v>2019</v>
      </c>
      <c r="E116" s="10" t="s">
        <v>531</v>
      </c>
      <c r="F116" s="10" t="s">
        <v>532</v>
      </c>
      <c r="G116" s="10" t="s">
        <v>38</v>
      </c>
      <c r="H116" s="10" t="s">
        <v>48</v>
      </c>
      <c r="I116" s="13">
        <v>3909.7686553738999</v>
      </c>
      <c r="J116" s="13">
        <v>3909.7686553738999</v>
      </c>
      <c r="K116" s="13">
        <v>0</v>
      </c>
      <c r="L116" s="13">
        <v>2962.3532759918999</v>
      </c>
      <c r="M116" s="13">
        <v>947.41537938199997</v>
      </c>
      <c r="N116" s="10" t="s">
        <v>533</v>
      </c>
      <c r="O116" s="14">
        <v>3.94</v>
      </c>
      <c r="P116" s="10" t="s">
        <v>31</v>
      </c>
      <c r="Q116" s="14" t="s">
        <v>32</v>
      </c>
      <c r="R116" s="10" t="s">
        <v>33</v>
      </c>
      <c r="S116" s="10" t="s">
        <v>531</v>
      </c>
      <c r="T116" s="14">
        <f>IF(O116="","",(1/Metadata!$B$5)^(O116-1))</f>
        <v>870.96358995608091</v>
      </c>
      <c r="U116" s="13">
        <f t="shared" si="1"/>
        <v>3405266.1439822111</v>
      </c>
      <c r="V116" s="22" t="s">
        <v>105</v>
      </c>
      <c r="W116" s="20" t="s">
        <v>534</v>
      </c>
    </row>
    <row r="117" spans="1:23" ht="18" customHeight="1">
      <c r="A117" s="10" t="s">
        <v>23</v>
      </c>
      <c r="B117" s="10" t="s">
        <v>24</v>
      </c>
      <c r="C117" s="10" t="s">
        <v>25</v>
      </c>
      <c r="D117" s="12">
        <v>2019</v>
      </c>
      <c r="E117" s="10" t="s">
        <v>535</v>
      </c>
      <c r="F117" s="10" t="s">
        <v>536</v>
      </c>
      <c r="G117" s="10" t="s">
        <v>134</v>
      </c>
      <c r="H117" s="10" t="s">
        <v>29</v>
      </c>
      <c r="I117" s="13">
        <v>3734.4738539783998</v>
      </c>
      <c r="J117" s="13">
        <v>3734.4738539783998</v>
      </c>
      <c r="K117" s="13">
        <v>0</v>
      </c>
      <c r="L117" s="13">
        <v>2834.5869343883001</v>
      </c>
      <c r="M117" s="13">
        <v>899.88691959010009</v>
      </c>
      <c r="N117" s="10" t="s">
        <v>537</v>
      </c>
      <c r="O117" s="14">
        <v>4.2</v>
      </c>
      <c r="P117" s="10" t="s">
        <v>31</v>
      </c>
      <c r="Q117" s="14" t="s">
        <v>32</v>
      </c>
      <c r="R117" s="10" t="s">
        <v>33</v>
      </c>
      <c r="S117" s="10" t="s">
        <v>535</v>
      </c>
      <c r="T117" s="14">
        <f>IF(O117="","",(1/Metadata!$B$5)^(O117-1))</f>
        <v>1584.8931924611156</v>
      </c>
      <c r="U117" s="13">
        <f t="shared" si="1"/>
        <v>5918742.1885943925</v>
      </c>
      <c r="V117" s="19" t="s">
        <v>136</v>
      </c>
      <c r="W117" s="20" t="s">
        <v>538</v>
      </c>
    </row>
    <row r="118" spans="1:23" ht="18" customHeight="1">
      <c r="A118" s="10" t="s">
        <v>23</v>
      </c>
      <c r="B118" s="10" t="s">
        <v>24</v>
      </c>
      <c r="C118" s="10" t="s">
        <v>25</v>
      </c>
      <c r="D118" s="12">
        <v>2019</v>
      </c>
      <c r="E118" s="10" t="s">
        <v>539</v>
      </c>
      <c r="F118" s="10" t="s">
        <v>540</v>
      </c>
      <c r="G118" s="10" t="s">
        <v>189</v>
      </c>
      <c r="H118" s="10" t="s">
        <v>39</v>
      </c>
      <c r="I118" s="13">
        <v>3723.9022587369</v>
      </c>
      <c r="J118" s="13">
        <v>3723.9022587369</v>
      </c>
      <c r="K118" s="13">
        <v>0</v>
      </c>
      <c r="L118" s="13">
        <v>280.4423327417</v>
      </c>
      <c r="M118" s="13">
        <v>3443.4599259952001</v>
      </c>
      <c r="N118" s="10" t="s">
        <v>541</v>
      </c>
      <c r="O118" s="14">
        <v>4.3</v>
      </c>
      <c r="P118" s="10" t="s">
        <v>31</v>
      </c>
      <c r="Q118" s="14" t="s">
        <v>32</v>
      </c>
      <c r="R118" s="10" t="s">
        <v>33</v>
      </c>
      <c r="S118" s="10" t="s">
        <v>539</v>
      </c>
      <c r="T118" s="14">
        <f>IF(O118="","",(1/Metadata!$B$5)^(O118-1))</f>
        <v>1995.2623149688804</v>
      </c>
      <c r="U118" s="13">
        <f t="shared" si="1"/>
        <v>7430161.8414852303</v>
      </c>
      <c r="V118" s="22" t="s">
        <v>105</v>
      </c>
      <c r="W118" s="20" t="s">
        <v>542</v>
      </c>
    </row>
    <row r="119" spans="1:23" ht="18" customHeight="1">
      <c r="A119" s="10" t="s">
        <v>23</v>
      </c>
      <c r="B119" s="10" t="s">
        <v>24</v>
      </c>
      <c r="C119" s="10" t="s">
        <v>25</v>
      </c>
      <c r="D119" s="12">
        <v>2019</v>
      </c>
      <c r="E119" s="10" t="s">
        <v>543</v>
      </c>
      <c r="F119" s="10" t="s">
        <v>544</v>
      </c>
      <c r="G119" s="10" t="s">
        <v>155</v>
      </c>
      <c r="H119" s="10" t="s">
        <v>48</v>
      </c>
      <c r="I119" s="13">
        <v>3711.7653841955998</v>
      </c>
      <c r="J119" s="13">
        <v>3601.2225417876002</v>
      </c>
      <c r="K119" s="13">
        <v>110.542842408</v>
      </c>
      <c r="L119" s="13">
        <v>2439.8981545124002</v>
      </c>
      <c r="M119" s="13">
        <v>1271.8672296832001</v>
      </c>
      <c r="N119" s="10" t="s">
        <v>545</v>
      </c>
      <c r="O119" s="14">
        <v>4.4000000000000004</v>
      </c>
      <c r="P119" s="10" t="s">
        <v>41</v>
      </c>
      <c r="Q119" s="14" t="s">
        <v>42</v>
      </c>
      <c r="R119" s="10" t="s">
        <v>33</v>
      </c>
      <c r="S119" s="10" t="s">
        <v>543</v>
      </c>
      <c r="T119" s="14">
        <f>IF(O119="","",(1/Metadata!$B$5)^(O119-1))</f>
        <v>2511.8864315095834</v>
      </c>
      <c r="U119" s="13">
        <f t="shared" si="1"/>
        <v>9323533.1055078823</v>
      </c>
      <c r="V119" s="19" t="s">
        <v>110</v>
      </c>
      <c r="W119" s="20" t="s">
        <v>546</v>
      </c>
    </row>
    <row r="120" spans="1:23" ht="18" customHeight="1">
      <c r="A120" s="10" t="s">
        <v>23</v>
      </c>
      <c r="B120" s="10" t="s">
        <v>24</v>
      </c>
      <c r="C120" s="10" t="s">
        <v>25</v>
      </c>
      <c r="D120" s="12">
        <v>2019</v>
      </c>
      <c r="E120" s="10" t="s">
        <v>547</v>
      </c>
      <c r="F120" s="10" t="s">
        <v>548</v>
      </c>
      <c r="G120" s="10" t="s">
        <v>148</v>
      </c>
      <c r="H120" s="10" t="s">
        <v>149</v>
      </c>
      <c r="I120" s="13">
        <v>3575.7513988515002</v>
      </c>
      <c r="J120" s="13">
        <v>1008.1900934465</v>
      </c>
      <c r="K120" s="13">
        <v>2567.561305405</v>
      </c>
      <c r="L120" s="13">
        <v>894.05605866050007</v>
      </c>
      <c r="M120" s="13">
        <v>2681.695340191</v>
      </c>
      <c r="N120" s="10" t="s">
        <v>549</v>
      </c>
      <c r="O120" s="14">
        <v>4</v>
      </c>
      <c r="P120" s="10" t="s">
        <v>41</v>
      </c>
      <c r="Q120" s="14" t="s">
        <v>42</v>
      </c>
      <c r="R120" s="10" t="s">
        <v>33</v>
      </c>
      <c r="S120" s="10" t="s">
        <v>547</v>
      </c>
      <c r="T120" s="14">
        <f>IF(O120="","",(1/Metadata!$B$5)^(O120-1))</f>
        <v>1000</v>
      </c>
      <c r="U120" s="13">
        <f t="shared" si="1"/>
        <v>3575751.3988515004</v>
      </c>
      <c r="V120" s="21" t="s">
        <v>43</v>
      </c>
      <c r="W120" s="20" t="s">
        <v>550</v>
      </c>
    </row>
    <row r="121" spans="1:23" ht="18" customHeight="1">
      <c r="A121" s="10" t="s">
        <v>23</v>
      </c>
      <c r="B121" s="10" t="s">
        <v>24</v>
      </c>
      <c r="C121" s="10" t="s">
        <v>25</v>
      </c>
      <c r="D121" s="12">
        <v>2019</v>
      </c>
      <c r="E121" s="10" t="s">
        <v>551</v>
      </c>
      <c r="F121" s="10" t="s">
        <v>552</v>
      </c>
      <c r="G121" s="10" t="s">
        <v>47</v>
      </c>
      <c r="H121" s="10" t="s">
        <v>39</v>
      </c>
      <c r="I121" s="13">
        <v>3439.2558298079002</v>
      </c>
      <c r="J121" s="13">
        <v>3074.0866887009001</v>
      </c>
      <c r="K121" s="13">
        <v>365.16914110699997</v>
      </c>
      <c r="L121" s="13">
        <v>3025.4642751433998</v>
      </c>
      <c r="M121" s="13">
        <v>413.79155466449998</v>
      </c>
      <c r="N121" s="10" t="s">
        <v>553</v>
      </c>
      <c r="O121" s="14">
        <v>3.05</v>
      </c>
      <c r="P121" s="10" t="s">
        <v>41</v>
      </c>
      <c r="Q121" s="14" t="s">
        <v>42</v>
      </c>
      <c r="R121" s="10" t="s">
        <v>33</v>
      </c>
      <c r="S121" s="10" t="s">
        <v>551</v>
      </c>
      <c r="T121" s="14">
        <f>IF(O121="","",(1/Metadata!$B$5)^(O121-1))</f>
        <v>112.20184543019634</v>
      </c>
      <c r="U121" s="13">
        <f t="shared" si="1"/>
        <v>385890.85101100767</v>
      </c>
      <c r="V121" s="22" t="s">
        <v>87</v>
      </c>
      <c r="W121" s="20" t="s">
        <v>554</v>
      </c>
    </row>
    <row r="122" spans="1:23" ht="18" customHeight="1">
      <c r="A122" s="10" t="s">
        <v>23</v>
      </c>
      <c r="B122" s="10" t="s">
        <v>24</v>
      </c>
      <c r="C122" s="10" t="s">
        <v>25</v>
      </c>
      <c r="D122" s="12">
        <v>2019</v>
      </c>
      <c r="E122" s="10" t="s">
        <v>555</v>
      </c>
      <c r="F122" s="10" t="s">
        <v>556</v>
      </c>
      <c r="G122" s="10" t="s">
        <v>38</v>
      </c>
      <c r="H122" s="10" t="s">
        <v>48</v>
      </c>
      <c r="I122" s="13">
        <v>3395.1807591502002</v>
      </c>
      <c r="J122" s="13">
        <v>3395.1807591502002</v>
      </c>
      <c r="K122" s="13">
        <v>0</v>
      </c>
      <c r="L122" s="13">
        <v>3276.1232577956998</v>
      </c>
      <c r="M122" s="13">
        <v>119.0575013545</v>
      </c>
      <c r="N122" s="10" t="s">
        <v>557</v>
      </c>
      <c r="O122" s="14">
        <v>3.59</v>
      </c>
      <c r="P122" s="10" t="s">
        <v>41</v>
      </c>
      <c r="Q122" s="14" t="s">
        <v>42</v>
      </c>
      <c r="R122" s="10" t="s">
        <v>33</v>
      </c>
      <c r="S122" s="10" t="s">
        <v>555</v>
      </c>
      <c r="T122" s="14">
        <f>IF(O122="","",(1/Metadata!$B$5)^(O122-1))</f>
        <v>389.04514499428063</v>
      </c>
      <c r="U122" s="13">
        <f t="shared" si="1"/>
        <v>1320878.5907253814</v>
      </c>
      <c r="V122" s="22" t="s">
        <v>92</v>
      </c>
      <c r="W122" s="20" t="s">
        <v>558</v>
      </c>
    </row>
    <row r="123" spans="1:23" ht="18" customHeight="1">
      <c r="A123" s="10" t="s">
        <v>23</v>
      </c>
      <c r="B123" s="10" t="s">
        <v>24</v>
      </c>
      <c r="C123" s="10" t="s">
        <v>25</v>
      </c>
      <c r="D123" s="12">
        <v>2019</v>
      </c>
      <c r="E123" s="10" t="s">
        <v>559</v>
      </c>
      <c r="F123" s="10" t="s">
        <v>560</v>
      </c>
      <c r="G123" s="10" t="s">
        <v>103</v>
      </c>
      <c r="H123" s="10" t="s">
        <v>48</v>
      </c>
      <c r="I123" s="13">
        <v>3387.4003448364001</v>
      </c>
      <c r="J123" s="13">
        <v>3387.4003448364001</v>
      </c>
      <c r="K123" s="13">
        <v>0</v>
      </c>
      <c r="L123" s="13">
        <v>1274.0748450821</v>
      </c>
      <c r="M123" s="13">
        <v>2113.3254997542999</v>
      </c>
      <c r="N123" s="10" t="s">
        <v>561</v>
      </c>
      <c r="O123" s="14">
        <v>3.6</v>
      </c>
      <c r="P123" s="10" t="s">
        <v>31</v>
      </c>
      <c r="Q123" s="14" t="s">
        <v>32</v>
      </c>
      <c r="R123" s="10" t="s">
        <v>33</v>
      </c>
      <c r="S123" s="10" t="s">
        <v>559</v>
      </c>
      <c r="T123" s="14">
        <f>IF(O123="","",(1/Metadata!$B$5)^(O123-1))</f>
        <v>398.10717055349761</v>
      </c>
      <c r="U123" s="13">
        <f t="shared" si="1"/>
        <v>1348548.3668147614</v>
      </c>
      <c r="V123" s="19" t="s">
        <v>92</v>
      </c>
      <c r="W123" s="20" t="s">
        <v>562</v>
      </c>
    </row>
    <row r="124" spans="1:23" ht="18" customHeight="1">
      <c r="A124" s="10" t="s">
        <v>23</v>
      </c>
      <c r="B124" s="10" t="s">
        <v>24</v>
      </c>
      <c r="C124" s="10" t="s">
        <v>25</v>
      </c>
      <c r="D124" s="12">
        <v>2019</v>
      </c>
      <c r="E124" s="10" t="s">
        <v>563</v>
      </c>
      <c r="F124" s="10" t="s">
        <v>564</v>
      </c>
      <c r="G124" s="10" t="s">
        <v>155</v>
      </c>
      <c r="H124" s="10" t="s">
        <v>48</v>
      </c>
      <c r="I124" s="13">
        <v>2798.7202289907</v>
      </c>
      <c r="J124" s="13">
        <v>2798.7202289907</v>
      </c>
      <c r="K124" s="13">
        <v>0</v>
      </c>
      <c r="L124" s="13">
        <v>2463.0816468050002</v>
      </c>
      <c r="M124" s="13">
        <v>335.63858218569999</v>
      </c>
      <c r="N124" s="10" t="s">
        <v>565</v>
      </c>
      <c r="O124" s="14">
        <v>3.5</v>
      </c>
      <c r="P124" s="10" t="s">
        <v>31</v>
      </c>
      <c r="Q124" s="14" t="s">
        <v>32</v>
      </c>
      <c r="R124" s="10" t="s">
        <v>33</v>
      </c>
      <c r="S124" s="10" t="s">
        <v>563</v>
      </c>
      <c r="T124" s="14">
        <f>IF(O124="","",(1/Metadata!$B$5)^(O124-1))</f>
        <v>316.22776601683825</v>
      </c>
      <c r="U124" s="13">
        <f t="shared" si="1"/>
        <v>885033.04571986303</v>
      </c>
      <c r="V124" s="22" t="s">
        <v>92</v>
      </c>
      <c r="W124" s="20" t="s">
        <v>566</v>
      </c>
    </row>
    <row r="125" spans="1:23" ht="18" customHeight="1">
      <c r="A125" s="10" t="s">
        <v>23</v>
      </c>
      <c r="B125" s="10" t="s">
        <v>24</v>
      </c>
      <c r="C125" s="10" t="s">
        <v>25</v>
      </c>
      <c r="D125" s="12">
        <v>2019</v>
      </c>
      <c r="E125" s="10" t="s">
        <v>567</v>
      </c>
      <c r="F125" s="10" t="s">
        <v>568</v>
      </c>
      <c r="G125" s="10" t="s">
        <v>54</v>
      </c>
      <c r="H125" s="10" t="s">
        <v>55</v>
      </c>
      <c r="I125" s="13">
        <v>2773.8432474309998</v>
      </c>
      <c r="J125" s="13">
        <v>2755.9429366725999</v>
      </c>
      <c r="K125" s="13">
        <v>17.9003107584</v>
      </c>
      <c r="L125" s="13">
        <v>2251.8021377529999</v>
      </c>
      <c r="M125" s="13">
        <v>522.041109678</v>
      </c>
      <c r="N125" s="10" t="s">
        <v>569</v>
      </c>
      <c r="O125" s="14">
        <v>4.4800000000000004</v>
      </c>
      <c r="P125" s="10" t="s">
        <v>41</v>
      </c>
      <c r="Q125" s="14" t="s">
        <v>42</v>
      </c>
      <c r="R125" s="10" t="s">
        <v>33</v>
      </c>
      <c r="S125" s="10" t="s">
        <v>567</v>
      </c>
      <c r="T125" s="14">
        <f>IF(O125="","",(1/Metadata!$B$5)^(O125-1))</f>
        <v>3019.9517204020231</v>
      </c>
      <c r="U125" s="13">
        <f t="shared" si="1"/>
        <v>8376872.6872047819</v>
      </c>
      <c r="V125" s="22" t="s">
        <v>110</v>
      </c>
      <c r="W125" s="20" t="s">
        <v>570</v>
      </c>
    </row>
    <row r="126" spans="1:23" ht="18" customHeight="1">
      <c r="A126" s="10" t="s">
        <v>23</v>
      </c>
      <c r="B126" s="10" t="s">
        <v>24</v>
      </c>
      <c r="C126" s="10" t="s">
        <v>25</v>
      </c>
      <c r="D126" s="12">
        <v>2019</v>
      </c>
      <c r="E126" s="10" t="s">
        <v>571</v>
      </c>
      <c r="F126" s="10" t="s">
        <v>572</v>
      </c>
      <c r="G126" s="10" t="s">
        <v>38</v>
      </c>
      <c r="H126" s="10" t="s">
        <v>39</v>
      </c>
      <c r="I126" s="13">
        <v>2762.4461922143</v>
      </c>
      <c r="J126" s="13">
        <v>2762.4461922143</v>
      </c>
      <c r="K126" s="13">
        <v>0</v>
      </c>
      <c r="L126" s="13">
        <v>1276.8475306231001</v>
      </c>
      <c r="M126" s="13">
        <v>1485.5986615912</v>
      </c>
      <c r="N126" s="10" t="s">
        <v>573</v>
      </c>
      <c r="O126" s="14">
        <v>4.3499999999999996</v>
      </c>
      <c r="P126" s="10" t="s">
        <v>41</v>
      </c>
      <c r="Q126" s="14" t="s">
        <v>42</v>
      </c>
      <c r="R126" s="10" t="s">
        <v>33</v>
      </c>
      <c r="S126" s="10" t="s">
        <v>571</v>
      </c>
      <c r="T126" s="14">
        <f>IF(O126="","",(1/Metadata!$B$5)^(O126-1))</f>
        <v>2238.7211385683395</v>
      </c>
      <c r="U126" s="13">
        <f t="shared" si="1"/>
        <v>6184346.6846677717</v>
      </c>
      <c r="V126" s="19" t="s">
        <v>105</v>
      </c>
      <c r="W126" s="20" t="s">
        <v>574</v>
      </c>
    </row>
    <row r="127" spans="1:23" ht="18" customHeight="1">
      <c r="A127" s="10" t="s">
        <v>23</v>
      </c>
      <c r="B127" s="10" t="s">
        <v>24</v>
      </c>
      <c r="C127" s="10" t="s">
        <v>25</v>
      </c>
      <c r="D127" s="12">
        <v>2019</v>
      </c>
      <c r="E127" s="10" t="s">
        <v>575</v>
      </c>
      <c r="F127" s="10" t="s">
        <v>576</v>
      </c>
      <c r="G127" s="10" t="s">
        <v>134</v>
      </c>
      <c r="H127" s="10" t="s">
        <v>48</v>
      </c>
      <c r="I127" s="13">
        <v>2731.5674429419</v>
      </c>
      <c r="J127" s="13">
        <v>2491.5239236417001</v>
      </c>
      <c r="K127" s="13">
        <v>240.04351930019999</v>
      </c>
      <c r="L127" s="13">
        <v>0</v>
      </c>
      <c r="M127" s="13">
        <v>2731.5674429419</v>
      </c>
      <c r="N127" s="10" t="s">
        <v>577</v>
      </c>
      <c r="O127" s="14">
        <v>2.14</v>
      </c>
      <c r="P127" s="10" t="s">
        <v>31</v>
      </c>
      <c r="Q127" s="14" t="s">
        <v>32</v>
      </c>
      <c r="R127" s="10" t="s">
        <v>33</v>
      </c>
      <c r="S127" s="10" t="s">
        <v>575</v>
      </c>
      <c r="T127" s="14">
        <f>IF(O127="","",(1/Metadata!$B$5)^(O127-1))</f>
        <v>13.803842646028857</v>
      </c>
      <c r="U127" s="13">
        <f t="shared" si="1"/>
        <v>37706.127159385396</v>
      </c>
      <c r="V127" s="22" t="s">
        <v>181</v>
      </c>
      <c r="W127" s="20" t="s">
        <v>578</v>
      </c>
    </row>
    <row r="128" spans="1:23" ht="18" customHeight="1">
      <c r="A128" s="10" t="s">
        <v>23</v>
      </c>
      <c r="B128" s="10" t="s">
        <v>24</v>
      </c>
      <c r="C128" s="10" t="s">
        <v>25</v>
      </c>
      <c r="D128" s="12">
        <v>2019</v>
      </c>
      <c r="E128" s="10" t="s">
        <v>579</v>
      </c>
      <c r="F128" s="10" t="s">
        <v>580</v>
      </c>
      <c r="G128" s="10" t="s">
        <v>164</v>
      </c>
      <c r="H128" s="10" t="s">
        <v>48</v>
      </c>
      <c r="I128" s="13">
        <v>2583.9714599017002</v>
      </c>
      <c r="J128" s="13">
        <v>2583.9714599017002</v>
      </c>
      <c r="K128" s="13">
        <v>0</v>
      </c>
      <c r="L128" s="13">
        <v>0</v>
      </c>
      <c r="M128" s="13">
        <v>2583.9714599017002</v>
      </c>
      <c r="N128" s="10" t="s">
        <v>581</v>
      </c>
      <c r="O128" s="14">
        <v>4.16</v>
      </c>
      <c r="P128" s="10" t="s">
        <v>31</v>
      </c>
      <c r="Q128" s="14" t="s">
        <v>32</v>
      </c>
      <c r="R128" s="10" t="s">
        <v>33</v>
      </c>
      <c r="S128" s="10" t="s">
        <v>579</v>
      </c>
      <c r="T128" s="14">
        <f>IF(O128="","",(1/Metadata!$B$5)^(O128-1))</f>
        <v>1445.4397707459289</v>
      </c>
      <c r="U128" s="13">
        <f t="shared" si="1"/>
        <v>3734975.1146143368</v>
      </c>
      <c r="V128" s="19" t="s">
        <v>105</v>
      </c>
      <c r="W128" s="20" t="s">
        <v>582</v>
      </c>
    </row>
    <row r="129" spans="1:23" ht="18" customHeight="1">
      <c r="A129" s="10" t="s">
        <v>23</v>
      </c>
      <c r="B129" s="10" t="s">
        <v>24</v>
      </c>
      <c r="C129" s="10" t="s">
        <v>25</v>
      </c>
      <c r="D129" s="12">
        <v>2019</v>
      </c>
      <c r="E129" s="10" t="s">
        <v>583</v>
      </c>
      <c r="F129" s="10" t="s">
        <v>584</v>
      </c>
      <c r="G129" s="10" t="s">
        <v>294</v>
      </c>
      <c r="H129" s="10" t="s">
        <v>39</v>
      </c>
      <c r="I129" s="13">
        <v>2478.4931027480002</v>
      </c>
      <c r="J129" s="13">
        <v>2478.4931027480002</v>
      </c>
      <c r="K129" s="13">
        <v>0</v>
      </c>
      <c r="L129" s="13">
        <v>2478.4931027480002</v>
      </c>
      <c r="M129" s="13">
        <v>0</v>
      </c>
      <c r="N129" s="10" t="s">
        <v>585</v>
      </c>
      <c r="O129" s="14">
        <v>2.5</v>
      </c>
      <c r="P129" s="10" t="s">
        <v>41</v>
      </c>
      <c r="Q129" s="14" t="s">
        <v>42</v>
      </c>
      <c r="R129" s="10" t="s">
        <v>33</v>
      </c>
      <c r="S129" s="10" t="s">
        <v>583</v>
      </c>
      <c r="T129" s="14">
        <f>IF(O129="","",(1/Metadata!$B$5)^(O129-1))</f>
        <v>31.622776601683803</v>
      </c>
      <c r="U129" s="13">
        <f t="shared" si="1"/>
        <v>78376.833697014154</v>
      </c>
      <c r="V129" s="22" t="s">
        <v>296</v>
      </c>
      <c r="W129" s="20" t="s">
        <v>586</v>
      </c>
    </row>
    <row r="130" spans="1:23" ht="18" customHeight="1">
      <c r="A130" s="10" t="s">
        <v>23</v>
      </c>
      <c r="B130" s="10" t="s">
        <v>24</v>
      </c>
      <c r="C130" s="10" t="s">
        <v>25</v>
      </c>
      <c r="D130" s="12">
        <v>2019</v>
      </c>
      <c r="E130" s="10" t="s">
        <v>587</v>
      </c>
      <c r="F130" s="10" t="s">
        <v>588</v>
      </c>
      <c r="G130" s="10" t="s">
        <v>38</v>
      </c>
      <c r="H130" s="10" t="s">
        <v>48</v>
      </c>
      <c r="I130" s="13">
        <v>2475.2296393186998</v>
      </c>
      <c r="J130" s="13">
        <v>2337.1472865438</v>
      </c>
      <c r="K130" s="13">
        <v>138.08235277489999</v>
      </c>
      <c r="L130" s="13">
        <v>545.52523726890001</v>
      </c>
      <c r="M130" s="13">
        <v>1929.7044020497999</v>
      </c>
      <c r="N130" s="10" t="s">
        <v>589</v>
      </c>
      <c r="O130" s="14">
        <v>3.33</v>
      </c>
      <c r="P130" s="10" t="s">
        <v>31</v>
      </c>
      <c r="Q130" s="14" t="s">
        <v>32</v>
      </c>
      <c r="R130" s="10" t="s">
        <v>33</v>
      </c>
      <c r="S130" s="10" t="s">
        <v>587</v>
      </c>
      <c r="T130" s="14">
        <f>IF(O130="","",(1/Metadata!$B$5)^(O130-1))</f>
        <v>213.79620895022339</v>
      </c>
      <c r="U130" s="13">
        <f t="shared" ref="U130:U193" si="2">IF(T130="","",I130*T130)</f>
        <v>529194.71316756681</v>
      </c>
      <c r="V130" s="22" t="s">
        <v>92</v>
      </c>
      <c r="W130" s="20" t="s">
        <v>590</v>
      </c>
    </row>
    <row r="131" spans="1:23" ht="18" customHeight="1">
      <c r="A131" s="10" t="s">
        <v>23</v>
      </c>
      <c r="B131" s="10" t="s">
        <v>24</v>
      </c>
      <c r="C131" s="10" t="s">
        <v>25</v>
      </c>
      <c r="D131" s="12">
        <v>2019</v>
      </c>
      <c r="E131" s="10" t="s">
        <v>591</v>
      </c>
      <c r="F131" s="10" t="s">
        <v>592</v>
      </c>
      <c r="G131" s="10" t="s">
        <v>189</v>
      </c>
      <c r="H131" s="10" t="s">
        <v>48</v>
      </c>
      <c r="I131" s="13">
        <v>2475.0197521759001</v>
      </c>
      <c r="J131" s="13">
        <v>2475.0197521759001</v>
      </c>
      <c r="K131" s="13">
        <v>0</v>
      </c>
      <c r="L131" s="13">
        <v>2344.5548565355998</v>
      </c>
      <c r="M131" s="13">
        <v>130.4648956403</v>
      </c>
      <c r="N131" s="10" t="s">
        <v>593</v>
      </c>
      <c r="O131" s="14">
        <v>4.0599999999999996</v>
      </c>
      <c r="P131" s="10" t="s">
        <v>31</v>
      </c>
      <c r="Q131" s="14" t="s">
        <v>32</v>
      </c>
      <c r="R131" s="10" t="s">
        <v>33</v>
      </c>
      <c r="S131" s="10" t="s">
        <v>591</v>
      </c>
      <c r="T131" s="14">
        <f>IF(O131="","",(1/Metadata!$B$5)^(O131-1))</f>
        <v>1148.1536214968828</v>
      </c>
      <c r="U131" s="13">
        <f t="shared" si="2"/>
        <v>2841702.8917370769</v>
      </c>
      <c r="V131" s="22" t="s">
        <v>105</v>
      </c>
      <c r="W131" s="20" t="s">
        <v>594</v>
      </c>
    </row>
    <row r="132" spans="1:23" ht="18" customHeight="1">
      <c r="A132" s="10" t="s">
        <v>23</v>
      </c>
      <c r="B132" s="10" t="s">
        <v>24</v>
      </c>
      <c r="C132" s="10" t="s">
        <v>25</v>
      </c>
      <c r="D132" s="12">
        <v>2019</v>
      </c>
      <c r="E132" s="10" t="s">
        <v>595</v>
      </c>
      <c r="F132" s="10" t="s">
        <v>596</v>
      </c>
      <c r="G132" s="10" t="s">
        <v>54</v>
      </c>
      <c r="H132" s="10" t="s">
        <v>55</v>
      </c>
      <c r="I132" s="13">
        <v>2469.6889917811</v>
      </c>
      <c r="J132" s="13">
        <v>2469.6889917811</v>
      </c>
      <c r="K132" s="13">
        <v>0</v>
      </c>
      <c r="L132" s="13">
        <v>2464.3728937664</v>
      </c>
      <c r="M132" s="13">
        <v>5.3160980147000014</v>
      </c>
      <c r="N132" s="10" t="s">
        <v>597</v>
      </c>
      <c r="O132" s="14">
        <v>4.53</v>
      </c>
      <c r="P132" s="10" t="s">
        <v>31</v>
      </c>
      <c r="Q132" s="14" t="s">
        <v>32</v>
      </c>
      <c r="R132" s="10" t="s">
        <v>33</v>
      </c>
      <c r="S132" s="10" t="s">
        <v>595</v>
      </c>
      <c r="T132" s="14">
        <f>IF(O132="","",(1/Metadata!$B$5)^(O132-1))</f>
        <v>3388.4415613920314</v>
      </c>
      <c r="U132" s="13">
        <f t="shared" si="2"/>
        <v>8368396.8234634623</v>
      </c>
      <c r="V132" s="22" t="s">
        <v>110</v>
      </c>
      <c r="W132" s="20" t="s">
        <v>598</v>
      </c>
    </row>
    <row r="133" spans="1:23" ht="18" customHeight="1">
      <c r="A133" s="10" t="s">
        <v>23</v>
      </c>
      <c r="B133" s="10" t="s">
        <v>24</v>
      </c>
      <c r="C133" s="10" t="s">
        <v>25</v>
      </c>
      <c r="D133" s="12">
        <v>2019</v>
      </c>
      <c r="E133" s="10" t="s">
        <v>599</v>
      </c>
      <c r="F133" s="10" t="s">
        <v>600</v>
      </c>
      <c r="G133" s="10" t="s">
        <v>134</v>
      </c>
      <c r="H133" s="10" t="s">
        <v>39</v>
      </c>
      <c r="I133" s="13">
        <v>2439.8292221102001</v>
      </c>
      <c r="J133" s="13">
        <v>2439.8292221102001</v>
      </c>
      <c r="K133" s="13">
        <v>0</v>
      </c>
      <c r="L133" s="13">
        <v>45.786317286699997</v>
      </c>
      <c r="M133" s="13">
        <v>2394.0429048235001</v>
      </c>
      <c r="N133" s="10" t="s">
        <v>601</v>
      </c>
      <c r="O133" s="14">
        <v>2.0299999999999998</v>
      </c>
      <c r="P133" s="10" t="s">
        <v>31</v>
      </c>
      <c r="Q133" s="14" t="s">
        <v>32</v>
      </c>
      <c r="R133" s="10" t="s">
        <v>33</v>
      </c>
      <c r="S133" s="10" t="s">
        <v>599</v>
      </c>
      <c r="T133" s="14">
        <f>IF(O133="","",(1/Metadata!$B$5)^(O133-1))</f>
        <v>10.715193052376064</v>
      </c>
      <c r="U133" s="13">
        <f t="shared" si="2"/>
        <v>26143.241129739312</v>
      </c>
      <c r="V133" s="22" t="s">
        <v>181</v>
      </c>
      <c r="W133" s="20" t="s">
        <v>602</v>
      </c>
    </row>
    <row r="134" spans="1:23" ht="18" customHeight="1">
      <c r="A134" s="10" t="s">
        <v>23</v>
      </c>
      <c r="B134" s="10" t="s">
        <v>24</v>
      </c>
      <c r="C134" s="10" t="s">
        <v>25</v>
      </c>
      <c r="D134" s="12">
        <v>2019</v>
      </c>
      <c r="E134" s="10" t="s">
        <v>603</v>
      </c>
      <c r="F134" s="10" t="s">
        <v>604</v>
      </c>
      <c r="G134" s="10" t="s">
        <v>155</v>
      </c>
      <c r="H134" s="10" t="s">
        <v>48</v>
      </c>
      <c r="I134" s="13">
        <v>2423.2547331238002</v>
      </c>
      <c r="J134" s="13">
        <v>2423.2547331238002</v>
      </c>
      <c r="K134" s="13">
        <v>0</v>
      </c>
      <c r="L134" s="13">
        <v>2249.7740430936001</v>
      </c>
      <c r="M134" s="13">
        <v>173.48069003020001</v>
      </c>
      <c r="N134" s="10" t="s">
        <v>605</v>
      </c>
      <c r="O134" s="14">
        <v>4.3</v>
      </c>
      <c r="P134" s="10" t="s">
        <v>41</v>
      </c>
      <c r="Q134" s="14" t="s">
        <v>42</v>
      </c>
      <c r="R134" s="10" t="s">
        <v>33</v>
      </c>
      <c r="S134" s="10" t="s">
        <v>603</v>
      </c>
      <c r="T134" s="14">
        <f>IF(O134="","",(1/Metadata!$B$5)^(O134-1))</f>
        <v>1995.2623149688804</v>
      </c>
      <c r="U134" s="13">
        <f t="shared" si="2"/>
        <v>4835028.84857189</v>
      </c>
      <c r="V134" s="22" t="s">
        <v>105</v>
      </c>
      <c r="W134" s="20" t="s">
        <v>606</v>
      </c>
    </row>
    <row r="135" spans="1:23" ht="18" customHeight="1">
      <c r="A135" s="10" t="s">
        <v>23</v>
      </c>
      <c r="B135" s="10" t="s">
        <v>24</v>
      </c>
      <c r="C135" s="10" t="s">
        <v>25</v>
      </c>
      <c r="D135" s="12">
        <v>2019</v>
      </c>
      <c r="E135" s="10" t="s">
        <v>607</v>
      </c>
      <c r="F135" s="10" t="s">
        <v>608</v>
      </c>
      <c r="G135" s="10" t="s">
        <v>404</v>
      </c>
      <c r="H135" s="10" t="s">
        <v>48</v>
      </c>
      <c r="I135" s="13">
        <v>2417.8441190658</v>
      </c>
      <c r="J135" s="13">
        <v>780.83754266400001</v>
      </c>
      <c r="K135" s="13">
        <v>1637.0065764018</v>
      </c>
      <c r="L135" s="13">
        <v>623.30735960909999</v>
      </c>
      <c r="M135" s="13">
        <v>1794.5367594567001</v>
      </c>
      <c r="N135" s="10" t="s">
        <v>609</v>
      </c>
      <c r="O135" s="14">
        <v>3.51</v>
      </c>
      <c r="P135" s="10" t="s">
        <v>41</v>
      </c>
      <c r="Q135" s="14" t="s">
        <v>42</v>
      </c>
      <c r="R135" s="10" t="s">
        <v>33</v>
      </c>
      <c r="S135" s="10" t="s">
        <v>607</v>
      </c>
      <c r="T135" s="14">
        <f>IF(O135="","",(1/Metadata!$B$5)^(O135-1))</f>
        <v>323.59365692962825</v>
      </c>
      <c r="U135" s="13">
        <f t="shared" si="2"/>
        <v>782399.02037429775</v>
      </c>
      <c r="V135" s="19" t="s">
        <v>73</v>
      </c>
      <c r="W135" s="20" t="s">
        <v>610</v>
      </c>
    </row>
    <row r="136" spans="1:23" ht="18" customHeight="1">
      <c r="A136" s="10" t="s">
        <v>23</v>
      </c>
      <c r="B136" s="10" t="s">
        <v>24</v>
      </c>
      <c r="C136" s="10" t="s">
        <v>25</v>
      </c>
      <c r="D136" s="12">
        <v>2019</v>
      </c>
      <c r="E136" s="10" t="s">
        <v>611</v>
      </c>
      <c r="F136" s="10" t="s">
        <v>612</v>
      </c>
      <c r="G136" s="10" t="s">
        <v>65</v>
      </c>
      <c r="H136" s="10" t="s">
        <v>66</v>
      </c>
      <c r="I136" s="13">
        <v>2233.7367145965</v>
      </c>
      <c r="J136" s="13">
        <v>2227.1976792536002</v>
      </c>
      <c r="K136" s="13">
        <v>6.5390353429000001</v>
      </c>
      <c r="L136" s="13">
        <v>316.13619269169999</v>
      </c>
      <c r="M136" s="13">
        <v>1917.6005219048</v>
      </c>
      <c r="N136" s="10" t="s">
        <v>613</v>
      </c>
      <c r="O136" s="14">
        <v>3.14</v>
      </c>
      <c r="P136" s="10" t="s">
        <v>41</v>
      </c>
      <c r="Q136" s="14" t="s">
        <v>42</v>
      </c>
      <c r="R136" s="10" t="s">
        <v>33</v>
      </c>
      <c r="S136" s="10" t="s">
        <v>611</v>
      </c>
      <c r="T136" s="14">
        <f>IF(O136="","",(1/Metadata!$B$5)^(O136-1))</f>
        <v>138.0384264602886</v>
      </c>
      <c r="U136" s="13">
        <f t="shared" si="2"/>
        <v>308341.50120947562</v>
      </c>
      <c r="V136" s="19" t="s">
        <v>322</v>
      </c>
      <c r="W136" s="20" t="s">
        <v>614</v>
      </c>
    </row>
    <row r="137" spans="1:23" ht="18" customHeight="1">
      <c r="A137" s="10" t="s">
        <v>23</v>
      </c>
      <c r="B137" s="10" t="s">
        <v>24</v>
      </c>
      <c r="C137" s="10" t="s">
        <v>25</v>
      </c>
      <c r="D137" s="12">
        <v>2019</v>
      </c>
      <c r="E137" s="10" t="s">
        <v>615</v>
      </c>
      <c r="F137" s="10" t="s">
        <v>616</v>
      </c>
      <c r="G137" s="10" t="s">
        <v>404</v>
      </c>
      <c r="H137" s="10" t="s">
        <v>48</v>
      </c>
      <c r="I137" s="13">
        <v>2187.3890291051998</v>
      </c>
      <c r="J137" s="13">
        <v>2003.581349352</v>
      </c>
      <c r="K137" s="13">
        <v>183.80767975320001</v>
      </c>
      <c r="L137" s="13">
        <v>0</v>
      </c>
      <c r="M137" s="13">
        <v>2187.3890291051998</v>
      </c>
      <c r="N137" s="10" t="s">
        <v>617</v>
      </c>
      <c r="O137" s="14">
        <v>3.62</v>
      </c>
      <c r="P137" s="10" t="s">
        <v>31</v>
      </c>
      <c r="Q137" s="14" t="s">
        <v>32</v>
      </c>
      <c r="R137" s="10" t="s">
        <v>33</v>
      </c>
      <c r="S137" s="10" t="s">
        <v>615</v>
      </c>
      <c r="T137" s="14">
        <f>IF(O137="","",(1/Metadata!$B$5)^(O137-1))</f>
        <v>416.86938347033572</v>
      </c>
      <c r="U137" s="13">
        <f t="shared" si="2"/>
        <v>911855.51597286086</v>
      </c>
      <c r="V137" s="19" t="s">
        <v>73</v>
      </c>
      <c r="W137" s="20" t="s">
        <v>618</v>
      </c>
    </row>
    <row r="138" spans="1:23" ht="18" customHeight="1">
      <c r="A138" s="10" t="s">
        <v>23</v>
      </c>
      <c r="B138" s="10" t="s">
        <v>24</v>
      </c>
      <c r="C138" s="10" t="s">
        <v>25</v>
      </c>
      <c r="D138" s="12">
        <v>2019</v>
      </c>
      <c r="E138" s="10" t="s">
        <v>619</v>
      </c>
      <c r="F138" s="10" t="s">
        <v>620</v>
      </c>
      <c r="G138" s="10" t="s">
        <v>155</v>
      </c>
      <c r="H138" s="10" t="s">
        <v>48</v>
      </c>
      <c r="I138" s="13">
        <v>2177.3396951190002</v>
      </c>
      <c r="J138" s="13">
        <v>2177.3396951190002</v>
      </c>
      <c r="K138" s="13">
        <v>0</v>
      </c>
      <c r="L138" s="13">
        <v>2120.6773812091001</v>
      </c>
      <c r="M138" s="13">
        <v>56.6623139099</v>
      </c>
      <c r="N138" s="10" t="s">
        <v>621</v>
      </c>
      <c r="O138" s="14">
        <v>2.3199999999999998</v>
      </c>
      <c r="P138" s="10" t="s">
        <v>31</v>
      </c>
      <c r="Q138" s="14" t="s">
        <v>32</v>
      </c>
      <c r="R138" s="10" t="s">
        <v>33</v>
      </c>
      <c r="S138" s="10" t="s">
        <v>619</v>
      </c>
      <c r="T138" s="14">
        <f>IF(O138="","",(1/Metadata!$B$5)^(O138-1))</f>
        <v>20.892961308540393</v>
      </c>
      <c r="U138" s="13">
        <f t="shared" si="2"/>
        <v>45491.074005670409</v>
      </c>
      <c r="V138" s="22" t="s">
        <v>181</v>
      </c>
      <c r="W138" s="20" t="s">
        <v>622</v>
      </c>
    </row>
    <row r="139" spans="1:23" ht="18" customHeight="1">
      <c r="A139" s="10" t="s">
        <v>23</v>
      </c>
      <c r="B139" s="10" t="s">
        <v>24</v>
      </c>
      <c r="C139" s="10" t="s">
        <v>25</v>
      </c>
      <c r="D139" s="12">
        <v>2019</v>
      </c>
      <c r="E139" s="10" t="s">
        <v>623</v>
      </c>
      <c r="F139" s="10" t="s">
        <v>624</v>
      </c>
      <c r="G139" s="10" t="s">
        <v>123</v>
      </c>
      <c r="H139" s="10" t="s">
        <v>124</v>
      </c>
      <c r="I139" s="13">
        <v>2170.9643539956</v>
      </c>
      <c r="J139" s="13">
        <v>2069.105188128</v>
      </c>
      <c r="K139" s="13">
        <v>101.8591658676</v>
      </c>
      <c r="L139" s="13">
        <v>1099.7189654481999</v>
      </c>
      <c r="M139" s="13">
        <v>1071.2453885473999</v>
      </c>
      <c r="N139" s="10" t="s">
        <v>625</v>
      </c>
      <c r="O139" s="14">
        <v>3.06</v>
      </c>
      <c r="P139" s="10" t="s">
        <v>41</v>
      </c>
      <c r="Q139" s="14" t="s">
        <v>42</v>
      </c>
      <c r="R139" s="10" t="s">
        <v>33</v>
      </c>
      <c r="S139" s="10" t="s">
        <v>623</v>
      </c>
      <c r="T139" s="14">
        <f>IF(O139="","",(1/Metadata!$B$5)^(O139-1))</f>
        <v>114.81536214968835</v>
      </c>
      <c r="U139" s="13">
        <f t="shared" si="2"/>
        <v>249260.05851806904</v>
      </c>
      <c r="V139" s="19" t="s">
        <v>126</v>
      </c>
      <c r="W139" s="20" t="s">
        <v>626</v>
      </c>
    </row>
    <row r="140" spans="1:23" ht="18" customHeight="1">
      <c r="A140" s="10" t="s">
        <v>23</v>
      </c>
      <c r="B140" s="10" t="s">
        <v>24</v>
      </c>
      <c r="C140" s="10" t="s">
        <v>25</v>
      </c>
      <c r="D140" s="12">
        <v>2019</v>
      </c>
      <c r="E140" s="10" t="s">
        <v>627</v>
      </c>
      <c r="F140" s="10" t="s">
        <v>628</v>
      </c>
      <c r="G140" s="10" t="s">
        <v>189</v>
      </c>
      <c r="H140" s="10" t="s">
        <v>39</v>
      </c>
      <c r="I140" s="13">
        <v>2108.3479438240001</v>
      </c>
      <c r="J140" s="13">
        <v>2108.3479438240001</v>
      </c>
      <c r="K140" s="13">
        <v>0</v>
      </c>
      <c r="L140" s="13">
        <v>2009.8711039231</v>
      </c>
      <c r="M140" s="13">
        <v>98.476839900900003</v>
      </c>
      <c r="N140" s="10" t="s">
        <v>629</v>
      </c>
      <c r="O140" s="14">
        <v>3.9</v>
      </c>
      <c r="P140" s="10" t="s">
        <v>41</v>
      </c>
      <c r="Q140" s="14" t="s">
        <v>42</v>
      </c>
      <c r="R140" s="10" t="s">
        <v>33</v>
      </c>
      <c r="S140" s="10" t="s">
        <v>627</v>
      </c>
      <c r="T140" s="14">
        <f>IF(O140="","",(1/Metadata!$B$5)^(O140-1))</f>
        <v>794.32823472428208</v>
      </c>
      <c r="U140" s="13">
        <f t="shared" si="2"/>
        <v>1674720.3004022879</v>
      </c>
      <c r="V140" s="22" t="s">
        <v>105</v>
      </c>
      <c r="W140" s="20" t="s">
        <v>630</v>
      </c>
    </row>
    <row r="141" spans="1:23" ht="18" customHeight="1">
      <c r="A141" s="10" t="s">
        <v>23</v>
      </c>
      <c r="B141" s="10" t="s">
        <v>24</v>
      </c>
      <c r="C141" s="10" t="s">
        <v>25</v>
      </c>
      <c r="D141" s="12">
        <v>2019</v>
      </c>
      <c r="E141" s="10" t="s">
        <v>631</v>
      </c>
      <c r="F141" s="10" t="s">
        <v>632</v>
      </c>
      <c r="G141" s="10" t="s">
        <v>164</v>
      </c>
      <c r="H141" s="10" t="s">
        <v>48</v>
      </c>
      <c r="I141" s="13">
        <v>2052.2733153997001</v>
      </c>
      <c r="J141" s="13">
        <v>2052.2733153997001</v>
      </c>
      <c r="K141" s="13">
        <v>0</v>
      </c>
      <c r="L141" s="13">
        <v>1887.7495365402999</v>
      </c>
      <c r="M141" s="13">
        <v>164.52377885940001</v>
      </c>
      <c r="N141" s="10" t="s">
        <v>633</v>
      </c>
      <c r="O141" s="14">
        <v>3.84</v>
      </c>
      <c r="P141" s="10" t="s">
        <v>31</v>
      </c>
      <c r="Q141" s="14" t="s">
        <v>32</v>
      </c>
      <c r="R141" s="10" t="s">
        <v>33</v>
      </c>
      <c r="S141" s="10" t="s">
        <v>631</v>
      </c>
      <c r="T141" s="14">
        <f>IF(O141="","",(1/Metadata!$B$5)^(O141-1))</f>
        <v>691.83097091893671</v>
      </c>
      <c r="U141" s="13">
        <f t="shared" si="2"/>
        <v>1419826.2403839997</v>
      </c>
      <c r="V141" s="22" t="s">
        <v>105</v>
      </c>
      <c r="W141" s="20" t="s">
        <v>634</v>
      </c>
    </row>
    <row r="142" spans="1:23" ht="18" customHeight="1">
      <c r="A142" s="10" t="s">
        <v>23</v>
      </c>
      <c r="B142" s="10" t="s">
        <v>24</v>
      </c>
      <c r="C142" s="10" t="s">
        <v>25</v>
      </c>
      <c r="D142" s="12">
        <v>2019</v>
      </c>
      <c r="E142" s="10" t="s">
        <v>635</v>
      </c>
      <c r="F142" s="10" t="s">
        <v>636</v>
      </c>
      <c r="G142" s="10" t="s">
        <v>123</v>
      </c>
      <c r="H142" s="10" t="s">
        <v>124</v>
      </c>
      <c r="I142" s="13">
        <v>2045.9840194216999</v>
      </c>
      <c r="J142" s="13">
        <v>2045.9840194216999</v>
      </c>
      <c r="K142" s="13">
        <v>0</v>
      </c>
      <c r="L142" s="13">
        <v>0</v>
      </c>
      <c r="M142" s="13">
        <v>2045.9840194216999</v>
      </c>
      <c r="N142" s="10" t="s">
        <v>637</v>
      </c>
      <c r="O142" s="14">
        <v>2</v>
      </c>
      <c r="P142" s="10" t="s">
        <v>41</v>
      </c>
      <c r="Q142" s="14" t="s">
        <v>42</v>
      </c>
      <c r="R142" s="10" t="s">
        <v>33</v>
      </c>
      <c r="S142" s="10" t="s">
        <v>635</v>
      </c>
      <c r="T142" s="14">
        <f>IF(O142="","",(1/Metadata!$B$5)^(O142-1))</f>
        <v>10</v>
      </c>
      <c r="U142" s="13">
        <f t="shared" si="2"/>
        <v>20459.840194216998</v>
      </c>
      <c r="V142" s="19" t="s">
        <v>126</v>
      </c>
      <c r="W142" s="20" t="s">
        <v>638</v>
      </c>
    </row>
    <row r="143" spans="1:23" ht="18" customHeight="1">
      <c r="A143" s="10" t="s">
        <v>23</v>
      </c>
      <c r="B143" s="10" t="s">
        <v>24</v>
      </c>
      <c r="C143" s="10" t="s">
        <v>25</v>
      </c>
      <c r="D143" s="12">
        <v>2019</v>
      </c>
      <c r="E143" s="10" t="s">
        <v>639</v>
      </c>
      <c r="F143" s="10" t="s">
        <v>640</v>
      </c>
      <c r="G143" s="10" t="s">
        <v>155</v>
      </c>
      <c r="H143" s="10" t="s">
        <v>48</v>
      </c>
      <c r="I143" s="13">
        <v>2023.9569672398</v>
      </c>
      <c r="J143" s="13">
        <v>2023.9569672398</v>
      </c>
      <c r="K143" s="13">
        <v>0</v>
      </c>
      <c r="L143" s="13">
        <v>1896.2349240166</v>
      </c>
      <c r="M143" s="13">
        <v>127.7220432232</v>
      </c>
      <c r="N143" s="10" t="s">
        <v>641</v>
      </c>
      <c r="O143" s="14">
        <v>3.32</v>
      </c>
      <c r="P143" s="10" t="s">
        <v>31</v>
      </c>
      <c r="Q143" s="14" t="s">
        <v>32</v>
      </c>
      <c r="R143" s="10" t="s">
        <v>33</v>
      </c>
      <c r="S143" s="10" t="s">
        <v>639</v>
      </c>
      <c r="T143" s="14">
        <f>IF(O143="","",(1/Metadata!$B$5)^(O143-1))</f>
        <v>208.92961308540396</v>
      </c>
      <c r="U143" s="13">
        <f t="shared" si="2"/>
        <v>422864.54606691899</v>
      </c>
      <c r="V143" s="22" t="s">
        <v>92</v>
      </c>
      <c r="W143" s="20" t="s">
        <v>642</v>
      </c>
    </row>
    <row r="144" spans="1:23" ht="18" customHeight="1">
      <c r="A144" s="10" t="s">
        <v>23</v>
      </c>
      <c r="B144" s="10" t="s">
        <v>24</v>
      </c>
      <c r="C144" s="10" t="s">
        <v>25</v>
      </c>
      <c r="D144" s="12">
        <v>2019</v>
      </c>
      <c r="E144" s="10" t="s">
        <v>643</v>
      </c>
      <c r="F144" s="10" t="s">
        <v>644</v>
      </c>
      <c r="G144" s="10" t="s">
        <v>155</v>
      </c>
      <c r="H144" s="10" t="s">
        <v>48</v>
      </c>
      <c r="I144" s="13">
        <v>2001.7966682486999</v>
      </c>
      <c r="J144" s="13">
        <v>2001.7966682486999</v>
      </c>
      <c r="K144" s="13">
        <v>0</v>
      </c>
      <c r="L144" s="13">
        <v>1786.2571724497</v>
      </c>
      <c r="M144" s="13">
        <v>215.53949579900001</v>
      </c>
      <c r="N144" s="10" t="s">
        <v>645</v>
      </c>
      <c r="O144" s="14">
        <v>3.43</v>
      </c>
      <c r="P144" s="10" t="s">
        <v>41</v>
      </c>
      <c r="Q144" s="14" t="s">
        <v>42</v>
      </c>
      <c r="R144" s="10" t="s">
        <v>33</v>
      </c>
      <c r="S144" s="10" t="s">
        <v>643</v>
      </c>
      <c r="T144" s="14">
        <f>IF(O144="","",(1/Metadata!$B$5)^(O144-1))</f>
        <v>269.15348039269179</v>
      </c>
      <c r="U144" s="13">
        <f t="shared" si="2"/>
        <v>538790.54029763222</v>
      </c>
      <c r="V144" s="22" t="s">
        <v>92</v>
      </c>
      <c r="W144" s="20" t="s">
        <v>646</v>
      </c>
    </row>
    <row r="145" spans="1:23" ht="18" customHeight="1">
      <c r="A145" s="10" t="s">
        <v>23</v>
      </c>
      <c r="B145" s="10" t="s">
        <v>24</v>
      </c>
      <c r="C145" s="10" t="s">
        <v>25</v>
      </c>
      <c r="D145" s="12">
        <v>2019</v>
      </c>
      <c r="E145" s="10" t="s">
        <v>647</v>
      </c>
      <c r="F145" s="10" t="s">
        <v>648</v>
      </c>
      <c r="G145" s="10" t="s">
        <v>38</v>
      </c>
      <c r="H145" s="10" t="s">
        <v>48</v>
      </c>
      <c r="I145" s="13">
        <v>1998.6201842592</v>
      </c>
      <c r="J145" s="13">
        <v>1998.6201842592</v>
      </c>
      <c r="K145" s="13">
        <v>0</v>
      </c>
      <c r="L145" s="13">
        <v>146.11095834849999</v>
      </c>
      <c r="M145" s="13">
        <v>1852.5092259107</v>
      </c>
      <c r="N145" s="10" t="s">
        <v>649</v>
      </c>
      <c r="O145" s="14">
        <v>3.38</v>
      </c>
      <c r="P145" s="10" t="s">
        <v>41</v>
      </c>
      <c r="Q145" s="14" t="s">
        <v>42</v>
      </c>
      <c r="R145" s="10" t="s">
        <v>33</v>
      </c>
      <c r="S145" s="10" t="s">
        <v>647</v>
      </c>
      <c r="T145" s="14">
        <f>IF(O145="","",(1/Metadata!$B$5)^(O145-1))</f>
        <v>239.88329190194912</v>
      </c>
      <c r="U145" s="13">
        <f t="shared" si="2"/>
        <v>479435.58906177699</v>
      </c>
      <c r="V145" s="22" t="s">
        <v>92</v>
      </c>
      <c r="W145" s="20" t="s">
        <v>650</v>
      </c>
    </row>
    <row r="146" spans="1:23" ht="18" customHeight="1">
      <c r="A146" s="10" t="s">
        <v>23</v>
      </c>
      <c r="B146" s="10" t="s">
        <v>24</v>
      </c>
      <c r="C146" s="10" t="s">
        <v>25</v>
      </c>
      <c r="D146" s="12">
        <v>2019</v>
      </c>
      <c r="E146" s="10" t="s">
        <v>651</v>
      </c>
      <c r="F146" s="10" t="s">
        <v>652</v>
      </c>
      <c r="G146" s="10" t="s">
        <v>71</v>
      </c>
      <c r="H146" s="10" t="s">
        <v>48</v>
      </c>
      <c r="I146" s="13">
        <v>1986.5260824141999</v>
      </c>
      <c r="J146" s="13">
        <v>374.83691351300001</v>
      </c>
      <c r="K146" s="13">
        <v>1611.6891689012</v>
      </c>
      <c r="L146" s="13">
        <v>288.05588445849997</v>
      </c>
      <c r="M146" s="13">
        <v>1698.4701979557001</v>
      </c>
      <c r="N146" s="10" t="s">
        <v>653</v>
      </c>
      <c r="O146" s="14">
        <v>3.07</v>
      </c>
      <c r="P146" s="10" t="s">
        <v>31</v>
      </c>
      <c r="Q146" s="14" t="s">
        <v>32</v>
      </c>
      <c r="R146" s="10" t="s">
        <v>33</v>
      </c>
      <c r="S146" s="10" t="s">
        <v>651</v>
      </c>
      <c r="T146" s="14">
        <f>IF(O146="","",(1/Metadata!$B$5)^(O146-1))</f>
        <v>117.48975549395293</v>
      </c>
      <c r="U146" s="13">
        <f t="shared" si="2"/>
        <v>233396.46370520451</v>
      </c>
      <c r="V146" s="19" t="s">
        <v>73</v>
      </c>
      <c r="W146" s="20" t="s">
        <v>654</v>
      </c>
    </row>
    <row r="147" spans="1:23" ht="18" customHeight="1">
      <c r="A147" s="10" t="s">
        <v>23</v>
      </c>
      <c r="B147" s="10" t="s">
        <v>24</v>
      </c>
      <c r="C147" s="10" t="s">
        <v>25</v>
      </c>
      <c r="D147" s="12">
        <v>2019</v>
      </c>
      <c r="E147" s="10" t="s">
        <v>655</v>
      </c>
      <c r="F147" s="10" t="s">
        <v>656</v>
      </c>
      <c r="G147" s="10" t="s">
        <v>334</v>
      </c>
      <c r="H147" s="10" t="s">
        <v>149</v>
      </c>
      <c r="I147" s="13">
        <v>1982.3415432924</v>
      </c>
      <c r="J147" s="13">
        <v>1076.2764648199</v>
      </c>
      <c r="K147" s="13">
        <v>906.06507847249998</v>
      </c>
      <c r="L147" s="13">
        <v>3.1439919556999998</v>
      </c>
      <c r="M147" s="13">
        <v>1979.1975513366999</v>
      </c>
      <c r="N147" s="10" t="s">
        <v>657</v>
      </c>
      <c r="O147" s="14">
        <v>3.7</v>
      </c>
      <c r="P147" s="10" t="s">
        <v>41</v>
      </c>
      <c r="Q147" s="14" t="s">
        <v>42</v>
      </c>
      <c r="R147" s="10" t="s">
        <v>33</v>
      </c>
      <c r="S147" s="10" t="s">
        <v>655</v>
      </c>
      <c r="T147" s="14">
        <f>IF(O147="","",(1/Metadata!$B$5)^(O147-1))</f>
        <v>501.18723362727269</v>
      </c>
      <c r="U147" s="13">
        <f t="shared" si="2"/>
        <v>993524.27418713644</v>
      </c>
      <c r="V147" s="19" t="s">
        <v>336</v>
      </c>
      <c r="W147" s="20" t="s">
        <v>658</v>
      </c>
    </row>
    <row r="148" spans="1:23" ht="18" customHeight="1">
      <c r="A148" s="10" t="s">
        <v>23</v>
      </c>
      <c r="B148" s="10" t="s">
        <v>24</v>
      </c>
      <c r="C148" s="10" t="s">
        <v>25</v>
      </c>
      <c r="D148" s="12">
        <v>2019</v>
      </c>
      <c r="E148" s="10" t="s">
        <v>659</v>
      </c>
      <c r="F148" s="10" t="s">
        <v>660</v>
      </c>
      <c r="G148" s="10" t="s">
        <v>38</v>
      </c>
      <c r="H148" s="10" t="s">
        <v>48</v>
      </c>
      <c r="I148" s="13">
        <v>1974.4260445126999</v>
      </c>
      <c r="J148" s="13">
        <v>1806.8973232282001</v>
      </c>
      <c r="K148" s="13">
        <v>167.52872128449999</v>
      </c>
      <c r="L148" s="13">
        <v>23.5912968385</v>
      </c>
      <c r="M148" s="13">
        <v>1950.8347476741999</v>
      </c>
      <c r="N148" s="10" t="s">
        <v>661</v>
      </c>
      <c r="O148" s="14">
        <v>3.93</v>
      </c>
      <c r="P148" s="10" t="s">
        <v>31</v>
      </c>
      <c r="Q148" s="14" t="s">
        <v>32</v>
      </c>
      <c r="R148" s="10" t="s">
        <v>33</v>
      </c>
      <c r="S148" s="10" t="s">
        <v>659</v>
      </c>
      <c r="T148" s="14">
        <f>IF(O148="","",(1/Metadata!$B$5)^(O148-1))</f>
        <v>851.13803820237763</v>
      </c>
      <c r="U148" s="13">
        <f t="shared" si="2"/>
        <v>1680509.1101022197</v>
      </c>
      <c r="V148" s="19" t="s">
        <v>73</v>
      </c>
      <c r="W148" s="20" t="s">
        <v>662</v>
      </c>
    </row>
    <row r="149" spans="1:23" ht="18" customHeight="1">
      <c r="A149" s="10" t="s">
        <v>23</v>
      </c>
      <c r="B149" s="10" t="s">
        <v>24</v>
      </c>
      <c r="C149" s="10" t="s">
        <v>25</v>
      </c>
      <c r="D149" s="12">
        <v>2019</v>
      </c>
      <c r="E149" s="10" t="s">
        <v>663</v>
      </c>
      <c r="F149" s="10" t="s">
        <v>664</v>
      </c>
      <c r="G149" s="10" t="s">
        <v>294</v>
      </c>
      <c r="H149" s="10" t="s">
        <v>39</v>
      </c>
      <c r="I149" s="13">
        <v>1971.0150273633999</v>
      </c>
      <c r="J149" s="13">
        <v>1971.0150273633999</v>
      </c>
      <c r="K149" s="13">
        <v>0</v>
      </c>
      <c r="L149" s="13">
        <v>0</v>
      </c>
      <c r="M149" s="13">
        <v>1971.0150273633999</v>
      </c>
      <c r="N149" s="10" t="s">
        <v>665</v>
      </c>
      <c r="O149" s="14">
        <v>3.46</v>
      </c>
      <c r="P149" s="10" t="s">
        <v>41</v>
      </c>
      <c r="Q149" s="14" t="s">
        <v>42</v>
      </c>
      <c r="R149" s="10" t="s">
        <v>33</v>
      </c>
      <c r="S149" s="10" t="s">
        <v>663</v>
      </c>
      <c r="T149" s="14">
        <f>IF(O149="","",(1/Metadata!$B$5)^(O149-1))</f>
        <v>288.40315031266073</v>
      </c>
      <c r="U149" s="13">
        <f t="shared" si="2"/>
        <v>568446.94320519967</v>
      </c>
      <c r="V149" s="19" t="s">
        <v>296</v>
      </c>
      <c r="W149" s="20" t="s">
        <v>666</v>
      </c>
    </row>
    <row r="150" spans="1:23" ht="18" customHeight="1">
      <c r="A150" s="10" t="s">
        <v>23</v>
      </c>
      <c r="B150" s="10" t="s">
        <v>24</v>
      </c>
      <c r="C150" s="10" t="s">
        <v>25</v>
      </c>
      <c r="D150" s="12">
        <v>2019</v>
      </c>
      <c r="E150" s="10" t="s">
        <v>667</v>
      </c>
      <c r="F150" s="10" t="s">
        <v>668</v>
      </c>
      <c r="G150" s="10" t="s">
        <v>148</v>
      </c>
      <c r="H150" s="10" t="s">
        <v>149</v>
      </c>
      <c r="I150" s="13">
        <v>1933.5402343679</v>
      </c>
      <c r="J150" s="13">
        <v>1933.5402343679</v>
      </c>
      <c r="K150" s="13">
        <v>0</v>
      </c>
      <c r="L150" s="13">
        <v>1933.5402343679</v>
      </c>
      <c r="M150" s="13">
        <v>0</v>
      </c>
      <c r="N150" s="10" t="s">
        <v>669</v>
      </c>
      <c r="O150" s="14">
        <v>4.25</v>
      </c>
      <c r="P150" s="10" t="s">
        <v>31</v>
      </c>
      <c r="Q150" s="14" t="s">
        <v>32</v>
      </c>
      <c r="R150" s="10" t="s">
        <v>33</v>
      </c>
      <c r="S150" s="10" t="s">
        <v>667</v>
      </c>
      <c r="T150" s="14">
        <f>IF(O150="","",(1/Metadata!$B$5)^(O150-1))</f>
        <v>1778.2794100389244</v>
      </c>
      <c r="U150" s="13">
        <f t="shared" si="2"/>
        <v>3438374.787258273</v>
      </c>
      <c r="V150" s="19" t="s">
        <v>151</v>
      </c>
      <c r="W150" s="20" t="s">
        <v>670</v>
      </c>
    </row>
    <row r="151" spans="1:23" ht="18" customHeight="1">
      <c r="A151" s="10" t="s">
        <v>23</v>
      </c>
      <c r="B151" s="10" t="s">
        <v>24</v>
      </c>
      <c r="C151" s="10" t="s">
        <v>25</v>
      </c>
      <c r="D151" s="12">
        <v>2019</v>
      </c>
      <c r="E151" s="10" t="s">
        <v>671</v>
      </c>
      <c r="F151" s="10" t="s">
        <v>672</v>
      </c>
      <c r="G151" s="10" t="s">
        <v>71</v>
      </c>
      <c r="H151" s="10" t="s">
        <v>48</v>
      </c>
      <c r="I151" s="13">
        <v>1893.5825289490999</v>
      </c>
      <c r="J151" s="13">
        <v>273.46886938239999</v>
      </c>
      <c r="K151" s="13">
        <v>1620.1136595667001</v>
      </c>
      <c r="L151" s="13">
        <v>79.378157685099993</v>
      </c>
      <c r="M151" s="13">
        <v>1814.204371264</v>
      </c>
      <c r="N151" s="10" t="s">
        <v>673</v>
      </c>
      <c r="O151" s="14">
        <v>3.08</v>
      </c>
      <c r="P151" s="10" t="s">
        <v>31</v>
      </c>
      <c r="Q151" s="14" t="s">
        <v>32</v>
      </c>
      <c r="R151" s="10" t="s">
        <v>33</v>
      </c>
      <c r="S151" s="10" t="s">
        <v>671</v>
      </c>
      <c r="T151" s="14">
        <f>IF(O151="","",(1/Metadata!$B$5)^(O151-1))</f>
        <v>120.22644346174135</v>
      </c>
      <c r="U151" s="13">
        <f t="shared" si="2"/>
        <v>227658.69285684018</v>
      </c>
      <c r="V151" s="19" t="s">
        <v>73</v>
      </c>
      <c r="W151" s="20" t="s">
        <v>674</v>
      </c>
    </row>
    <row r="152" spans="1:23" ht="18" customHeight="1">
      <c r="A152" s="10" t="s">
        <v>23</v>
      </c>
      <c r="B152" s="10" t="s">
        <v>24</v>
      </c>
      <c r="C152" s="10" t="s">
        <v>25</v>
      </c>
      <c r="D152" s="12">
        <v>2019</v>
      </c>
      <c r="E152" s="10" t="s">
        <v>675</v>
      </c>
      <c r="F152" s="10" t="s">
        <v>676</v>
      </c>
      <c r="G152" s="10" t="s">
        <v>148</v>
      </c>
      <c r="H152" s="10" t="s">
        <v>149</v>
      </c>
      <c r="I152" s="13">
        <v>1855.8969450483</v>
      </c>
      <c r="J152" s="13">
        <v>1202.2918157525</v>
      </c>
      <c r="K152" s="13">
        <v>653.6051292958</v>
      </c>
      <c r="L152" s="13">
        <v>882.18427075530008</v>
      </c>
      <c r="M152" s="13">
        <v>973.71267429300008</v>
      </c>
      <c r="N152" s="10" t="s">
        <v>677</v>
      </c>
      <c r="O152" s="14">
        <v>3.94</v>
      </c>
      <c r="P152" s="10" t="s">
        <v>31</v>
      </c>
      <c r="Q152" s="14" t="s">
        <v>32</v>
      </c>
      <c r="R152" s="10" t="s">
        <v>33</v>
      </c>
      <c r="S152" s="10" t="s">
        <v>675</v>
      </c>
      <c r="T152" s="14">
        <f>IF(O152="","",(1/Metadata!$B$5)^(O152-1))</f>
        <v>870.96358995608091</v>
      </c>
      <c r="U152" s="13">
        <f t="shared" si="2"/>
        <v>1616418.6658477909</v>
      </c>
      <c r="V152" s="19" t="s">
        <v>151</v>
      </c>
      <c r="W152" s="20" t="s">
        <v>678</v>
      </c>
    </row>
    <row r="153" spans="1:23" ht="18" customHeight="1">
      <c r="A153" s="10" t="s">
        <v>23</v>
      </c>
      <c r="B153" s="10" t="s">
        <v>24</v>
      </c>
      <c r="C153" s="10" t="s">
        <v>25</v>
      </c>
      <c r="D153" s="12">
        <v>2019</v>
      </c>
      <c r="E153" s="10" t="s">
        <v>679</v>
      </c>
      <c r="F153" s="10" t="s">
        <v>680</v>
      </c>
      <c r="G153" s="10" t="s">
        <v>334</v>
      </c>
      <c r="H153" s="10" t="s">
        <v>149</v>
      </c>
      <c r="I153" s="13">
        <v>1636.6609596527001</v>
      </c>
      <c r="J153" s="13">
        <v>1492.3706907559999</v>
      </c>
      <c r="K153" s="13">
        <v>144.29026889670001</v>
      </c>
      <c r="L153" s="13">
        <v>0</v>
      </c>
      <c r="M153" s="13">
        <v>1636.6609596527001</v>
      </c>
      <c r="N153" s="10" t="s">
        <v>681</v>
      </c>
      <c r="O153" s="14">
        <v>3.5</v>
      </c>
      <c r="P153" s="10" t="s">
        <v>31</v>
      </c>
      <c r="Q153" s="14" t="s">
        <v>32</v>
      </c>
      <c r="R153" s="10" t="s">
        <v>33</v>
      </c>
      <c r="S153" s="10" t="s">
        <v>679</v>
      </c>
      <c r="T153" s="14">
        <f>IF(O153="","",(1/Metadata!$B$5)^(O153-1))</f>
        <v>316.22776601683825</v>
      </c>
      <c r="U153" s="13">
        <f t="shared" si="2"/>
        <v>517557.63899794797</v>
      </c>
      <c r="V153" s="19" t="s">
        <v>336</v>
      </c>
      <c r="W153" s="20" t="s">
        <v>682</v>
      </c>
    </row>
    <row r="154" spans="1:23" ht="18" customHeight="1">
      <c r="A154" s="10" t="s">
        <v>23</v>
      </c>
      <c r="B154" s="10" t="s">
        <v>24</v>
      </c>
      <c r="C154" s="10" t="s">
        <v>25</v>
      </c>
      <c r="D154" s="12">
        <v>2019</v>
      </c>
      <c r="E154" s="10" t="s">
        <v>683</v>
      </c>
      <c r="F154" s="10" t="s">
        <v>684</v>
      </c>
      <c r="G154" s="10" t="s">
        <v>312</v>
      </c>
      <c r="H154" s="10" t="s">
        <v>48</v>
      </c>
      <c r="I154" s="13">
        <v>1635.3764661877001</v>
      </c>
      <c r="J154" s="13">
        <v>1635.3764661877001</v>
      </c>
      <c r="K154" s="13">
        <v>0</v>
      </c>
      <c r="L154" s="13">
        <v>832.21900683399997</v>
      </c>
      <c r="M154" s="13">
        <v>803.15745935370001</v>
      </c>
      <c r="N154" s="10" t="s">
        <v>685</v>
      </c>
      <c r="O154" s="14">
        <v>3.22</v>
      </c>
      <c r="P154" s="10" t="s">
        <v>41</v>
      </c>
      <c r="Q154" s="14" t="s">
        <v>42</v>
      </c>
      <c r="R154" s="10" t="s">
        <v>33</v>
      </c>
      <c r="S154" s="10" t="s">
        <v>683</v>
      </c>
      <c r="T154" s="14">
        <f>IF(O154="","",(1/Metadata!$B$5)^(O154-1))</f>
        <v>165.95869074375622</v>
      </c>
      <c r="U154" s="13">
        <f t="shared" si="2"/>
        <v>271404.93720166141</v>
      </c>
      <c r="V154" s="22" t="s">
        <v>87</v>
      </c>
      <c r="W154" s="20" t="s">
        <v>686</v>
      </c>
    </row>
    <row r="155" spans="1:23" ht="18" customHeight="1">
      <c r="A155" s="10" t="s">
        <v>23</v>
      </c>
      <c r="B155" s="10" t="s">
        <v>24</v>
      </c>
      <c r="C155" s="10" t="s">
        <v>25</v>
      </c>
      <c r="D155" s="12">
        <v>2019</v>
      </c>
      <c r="E155" s="10" t="s">
        <v>687</v>
      </c>
      <c r="F155" s="10" t="s">
        <v>688</v>
      </c>
      <c r="G155" s="10" t="s">
        <v>28</v>
      </c>
      <c r="H155" s="10" t="s">
        <v>48</v>
      </c>
      <c r="I155" s="13">
        <v>1617.5906172818</v>
      </c>
      <c r="J155" s="13">
        <v>5.5553012847999996</v>
      </c>
      <c r="K155" s="13">
        <v>1612.035315997</v>
      </c>
      <c r="L155" s="13">
        <v>2.9627316337999998</v>
      </c>
      <c r="M155" s="13">
        <v>1614.6278856480001</v>
      </c>
      <c r="N155" s="10" t="s">
        <v>689</v>
      </c>
      <c r="O155" s="14">
        <v>3.5</v>
      </c>
      <c r="P155" s="10" t="s">
        <v>31</v>
      </c>
      <c r="Q155" s="14" t="s">
        <v>32</v>
      </c>
      <c r="R155" s="10" t="s">
        <v>33</v>
      </c>
      <c r="S155" s="10" t="s">
        <v>687</v>
      </c>
      <c r="T155" s="14">
        <f>IF(O155="","",(1/Metadata!$B$5)^(O155-1))</f>
        <v>316.22776601683825</v>
      </c>
      <c r="U155" s="13">
        <f t="shared" si="2"/>
        <v>511527.06723282195</v>
      </c>
      <c r="V155" s="19" t="s">
        <v>73</v>
      </c>
      <c r="W155" s="20" t="s">
        <v>690</v>
      </c>
    </row>
    <row r="156" spans="1:23" ht="18" customHeight="1">
      <c r="A156" s="10" t="s">
        <v>23</v>
      </c>
      <c r="B156" s="10" t="s">
        <v>24</v>
      </c>
      <c r="C156" s="10" t="s">
        <v>25</v>
      </c>
      <c r="D156" s="12">
        <v>2019</v>
      </c>
      <c r="E156" s="10" t="s">
        <v>691</v>
      </c>
      <c r="F156" s="10" t="s">
        <v>692</v>
      </c>
      <c r="G156" s="10" t="s">
        <v>294</v>
      </c>
      <c r="H156" s="10" t="s">
        <v>39</v>
      </c>
      <c r="I156" s="13">
        <v>1609.5114857665999</v>
      </c>
      <c r="J156" s="13">
        <v>1609.5114857665999</v>
      </c>
      <c r="K156" s="13">
        <v>0</v>
      </c>
      <c r="L156" s="13">
        <v>0</v>
      </c>
      <c r="M156" s="13">
        <v>1609.5114857665999</v>
      </c>
      <c r="N156" s="10" t="s">
        <v>693</v>
      </c>
      <c r="O156" s="14">
        <v>3.46</v>
      </c>
      <c r="P156" s="10" t="s">
        <v>41</v>
      </c>
      <c r="Q156" s="14" t="s">
        <v>42</v>
      </c>
      <c r="R156" s="10" t="s">
        <v>33</v>
      </c>
      <c r="S156" s="10" t="s">
        <v>691</v>
      </c>
      <c r="T156" s="14">
        <f>IF(O156="","",(1/Metadata!$B$5)^(O156-1))</f>
        <v>288.40315031266073</v>
      </c>
      <c r="U156" s="13">
        <f t="shared" si="2"/>
        <v>464188.1829594986</v>
      </c>
      <c r="V156" s="19" t="s">
        <v>296</v>
      </c>
      <c r="W156" s="20" t="s">
        <v>694</v>
      </c>
    </row>
    <row r="157" spans="1:23" ht="18" customHeight="1">
      <c r="A157" s="10" t="s">
        <v>23</v>
      </c>
      <c r="B157" s="10" t="s">
        <v>24</v>
      </c>
      <c r="C157" s="10" t="s">
        <v>25</v>
      </c>
      <c r="D157" s="12">
        <v>2019</v>
      </c>
      <c r="E157" s="10" t="s">
        <v>695</v>
      </c>
      <c r="F157" s="10" t="s">
        <v>696</v>
      </c>
      <c r="G157" s="10" t="s">
        <v>164</v>
      </c>
      <c r="H157" s="10" t="s">
        <v>48</v>
      </c>
      <c r="I157" s="13">
        <v>1563.7980307215</v>
      </c>
      <c r="J157" s="13">
        <v>1563.7980307215</v>
      </c>
      <c r="K157" s="13">
        <v>0</v>
      </c>
      <c r="L157" s="13">
        <v>0</v>
      </c>
      <c r="M157" s="13">
        <v>1563.7980307215</v>
      </c>
      <c r="N157" s="10" t="s">
        <v>697</v>
      </c>
      <c r="O157" s="14">
        <v>2.93</v>
      </c>
      <c r="P157" s="10" t="s">
        <v>31</v>
      </c>
      <c r="Q157" s="14" t="s">
        <v>32</v>
      </c>
      <c r="R157" s="10" t="s">
        <v>33</v>
      </c>
      <c r="S157" s="10" t="s">
        <v>695</v>
      </c>
      <c r="T157" s="14">
        <f>IF(O157="","",(1/Metadata!$B$5)^(O157-1))</f>
        <v>85.113803820237734</v>
      </c>
      <c r="U157" s="13">
        <f t="shared" si="2"/>
        <v>133100.79880130384</v>
      </c>
      <c r="V157" s="22" t="s">
        <v>87</v>
      </c>
      <c r="W157" s="20" t="s">
        <v>698</v>
      </c>
    </row>
    <row r="158" spans="1:23" ht="18" customHeight="1">
      <c r="A158" s="10" t="s">
        <v>23</v>
      </c>
      <c r="B158" s="10" t="s">
        <v>24</v>
      </c>
      <c r="C158" s="10" t="s">
        <v>25</v>
      </c>
      <c r="D158" s="12">
        <v>2019</v>
      </c>
      <c r="E158" s="10" t="s">
        <v>699</v>
      </c>
      <c r="F158" s="10" t="s">
        <v>700</v>
      </c>
      <c r="G158" s="10" t="s">
        <v>38</v>
      </c>
      <c r="H158" s="10" t="s">
        <v>48</v>
      </c>
      <c r="I158" s="13">
        <v>1557.2435629439999</v>
      </c>
      <c r="J158" s="13">
        <v>1557.2435629439999</v>
      </c>
      <c r="K158" s="13">
        <v>0</v>
      </c>
      <c r="L158" s="13">
        <v>0</v>
      </c>
      <c r="M158" s="13">
        <v>1557.2435629439999</v>
      </c>
      <c r="N158" s="10" t="s">
        <v>701</v>
      </c>
      <c r="O158" s="14">
        <v>3.37</v>
      </c>
      <c r="P158" s="10" t="s">
        <v>31</v>
      </c>
      <c r="Q158" s="14" t="s">
        <v>32</v>
      </c>
      <c r="R158" s="10" t="s">
        <v>33</v>
      </c>
      <c r="S158" s="10" t="s">
        <v>699</v>
      </c>
      <c r="T158" s="14">
        <f>IF(O158="","",(1/Metadata!$B$5)^(O158-1))</f>
        <v>234.42288153199232</v>
      </c>
      <c r="U158" s="13">
        <f t="shared" si="2"/>
        <v>365053.52327247889</v>
      </c>
      <c r="V158" s="22" t="s">
        <v>92</v>
      </c>
      <c r="W158" s="20" t="s">
        <v>702</v>
      </c>
    </row>
    <row r="159" spans="1:23" ht="18" customHeight="1">
      <c r="A159" s="10" t="s">
        <v>23</v>
      </c>
      <c r="B159" s="10" t="s">
        <v>24</v>
      </c>
      <c r="C159" s="10" t="s">
        <v>25</v>
      </c>
      <c r="D159" s="12">
        <v>2019</v>
      </c>
      <c r="E159" s="10" t="s">
        <v>703</v>
      </c>
      <c r="F159" s="10" t="s">
        <v>704</v>
      </c>
      <c r="G159" s="10" t="s">
        <v>47</v>
      </c>
      <c r="H159" s="10" t="s">
        <v>48</v>
      </c>
      <c r="I159" s="13">
        <v>1513.8665326560999</v>
      </c>
      <c r="J159" s="13">
        <v>1513.8665326560999</v>
      </c>
      <c r="K159" s="13">
        <v>0</v>
      </c>
      <c r="L159" s="13">
        <v>0</v>
      </c>
      <c r="M159" s="13">
        <v>1513.8665326560999</v>
      </c>
      <c r="N159" s="10" t="s">
        <v>705</v>
      </c>
      <c r="O159" s="14">
        <v>3.68</v>
      </c>
      <c r="P159" s="10" t="s">
        <v>31</v>
      </c>
      <c r="Q159" s="14" t="s">
        <v>32</v>
      </c>
      <c r="R159" s="10" t="s">
        <v>33</v>
      </c>
      <c r="S159" s="10" t="s">
        <v>703</v>
      </c>
      <c r="T159" s="14">
        <f>IF(O159="","",(1/Metadata!$B$5)^(O159-1))</f>
        <v>478.63009232263886</v>
      </c>
      <c r="U159" s="13">
        <f t="shared" si="2"/>
        <v>724582.07828934223</v>
      </c>
      <c r="V159" s="19" t="s">
        <v>87</v>
      </c>
      <c r="W159" s="20" t="s">
        <v>706</v>
      </c>
    </row>
    <row r="160" spans="1:23" ht="18" customHeight="1">
      <c r="A160" s="10" t="s">
        <v>23</v>
      </c>
      <c r="B160" s="10" t="s">
        <v>24</v>
      </c>
      <c r="C160" s="10" t="s">
        <v>25</v>
      </c>
      <c r="D160" s="12">
        <v>2019</v>
      </c>
      <c r="E160" s="10" t="s">
        <v>707</v>
      </c>
      <c r="F160" s="10" t="s">
        <v>708</v>
      </c>
      <c r="G160" s="10" t="s">
        <v>148</v>
      </c>
      <c r="H160" s="10" t="s">
        <v>149</v>
      </c>
      <c r="I160" s="13">
        <v>1487.1942433602001</v>
      </c>
      <c r="J160" s="13">
        <v>982.57860963960002</v>
      </c>
      <c r="K160" s="13">
        <v>504.61563372059999</v>
      </c>
      <c r="L160" s="13">
        <v>744.40419741840003</v>
      </c>
      <c r="M160" s="13">
        <v>742.79004594180003</v>
      </c>
      <c r="N160" s="10" t="s">
        <v>709</v>
      </c>
      <c r="O160" s="14">
        <v>4.5</v>
      </c>
      <c r="P160" s="10" t="s">
        <v>41</v>
      </c>
      <c r="Q160" s="14" t="s">
        <v>42</v>
      </c>
      <c r="R160" s="10" t="s">
        <v>33</v>
      </c>
      <c r="S160" s="10" t="s">
        <v>707</v>
      </c>
      <c r="T160" s="14">
        <f>IF(O160="","",(1/Metadata!$B$5)^(O160-1))</f>
        <v>3162.2776601683804</v>
      </c>
      <c r="U160" s="13">
        <f t="shared" si="2"/>
        <v>4702921.132108978</v>
      </c>
      <c r="V160" s="19" t="s">
        <v>151</v>
      </c>
      <c r="W160" s="20" t="s">
        <v>710</v>
      </c>
    </row>
    <row r="161" spans="1:23" ht="18" customHeight="1">
      <c r="A161" s="10" t="s">
        <v>23</v>
      </c>
      <c r="B161" s="10" t="s">
        <v>24</v>
      </c>
      <c r="C161" s="10" t="s">
        <v>25</v>
      </c>
      <c r="D161" s="12">
        <v>2019</v>
      </c>
      <c r="E161" s="10" t="s">
        <v>711</v>
      </c>
      <c r="F161" s="10" t="s">
        <v>712</v>
      </c>
      <c r="G161" s="10" t="s">
        <v>148</v>
      </c>
      <c r="H161" s="10" t="s">
        <v>149</v>
      </c>
      <c r="I161" s="13">
        <v>1471.0688963803</v>
      </c>
      <c r="J161" s="13">
        <v>971.05863473379998</v>
      </c>
      <c r="K161" s="13">
        <v>500.0102616465</v>
      </c>
      <c r="L161" s="13">
        <v>735.67663348449992</v>
      </c>
      <c r="M161" s="13">
        <v>735.39226289579994</v>
      </c>
      <c r="N161" s="10" t="s">
        <v>713</v>
      </c>
      <c r="O161" s="14">
        <v>4.1900000000000004</v>
      </c>
      <c r="P161" s="10" t="s">
        <v>41</v>
      </c>
      <c r="Q161" s="14" t="s">
        <v>42</v>
      </c>
      <c r="R161" s="10" t="s">
        <v>33</v>
      </c>
      <c r="S161" s="10" t="s">
        <v>711</v>
      </c>
      <c r="T161" s="14">
        <f>IF(O161="","",(1/Metadata!$B$5)^(O161-1))</f>
        <v>1548.8166189124836</v>
      </c>
      <c r="U161" s="13">
        <f t="shared" si="2"/>
        <v>2278415.9542790549</v>
      </c>
      <c r="V161" s="19" t="s">
        <v>151</v>
      </c>
      <c r="W161" s="20" t="s">
        <v>714</v>
      </c>
    </row>
    <row r="162" spans="1:23" ht="18" customHeight="1">
      <c r="A162" s="10" t="s">
        <v>23</v>
      </c>
      <c r="B162" s="10" t="s">
        <v>24</v>
      </c>
      <c r="C162" s="10" t="s">
        <v>25</v>
      </c>
      <c r="D162" s="12">
        <v>2019</v>
      </c>
      <c r="E162" s="10" t="s">
        <v>715</v>
      </c>
      <c r="F162" s="10" t="s">
        <v>716</v>
      </c>
      <c r="G162" s="10" t="s">
        <v>28</v>
      </c>
      <c r="H162" s="10" t="s">
        <v>48</v>
      </c>
      <c r="I162" s="13">
        <v>1446.7094801549999</v>
      </c>
      <c r="J162" s="13">
        <v>1446.7094801549999</v>
      </c>
      <c r="K162" s="13">
        <v>0</v>
      </c>
      <c r="L162" s="13">
        <v>1289.0237710116</v>
      </c>
      <c r="M162" s="13">
        <v>157.6857091434</v>
      </c>
      <c r="N162" s="10" t="s">
        <v>717</v>
      </c>
      <c r="O162" s="14">
        <v>4.22</v>
      </c>
      <c r="P162" s="10" t="s">
        <v>31</v>
      </c>
      <c r="Q162" s="14" t="s">
        <v>32</v>
      </c>
      <c r="R162" s="10" t="s">
        <v>33</v>
      </c>
      <c r="S162" s="10" t="s">
        <v>715</v>
      </c>
      <c r="T162" s="14">
        <f>IF(O162="","",(1/Metadata!$B$5)^(O162-1))</f>
        <v>1659.5869074375612</v>
      </c>
      <c r="U162" s="13">
        <f t="shared" si="2"/>
        <v>2400940.1121310382</v>
      </c>
      <c r="V162" s="19" t="s">
        <v>87</v>
      </c>
      <c r="W162" s="20" t="s">
        <v>718</v>
      </c>
    </row>
    <row r="163" spans="1:23" ht="18" customHeight="1">
      <c r="A163" s="10" t="s">
        <v>23</v>
      </c>
      <c r="B163" s="10" t="s">
        <v>24</v>
      </c>
      <c r="C163" s="10" t="s">
        <v>25</v>
      </c>
      <c r="D163" s="12">
        <v>2019</v>
      </c>
      <c r="E163" s="10" t="s">
        <v>719</v>
      </c>
      <c r="F163" s="10" t="s">
        <v>612</v>
      </c>
      <c r="G163" s="10" t="s">
        <v>65</v>
      </c>
      <c r="H163" s="10" t="s">
        <v>66</v>
      </c>
      <c r="I163" s="13">
        <v>1433.8668301253999</v>
      </c>
      <c r="J163" s="13">
        <v>1433.8668301253999</v>
      </c>
      <c r="K163" s="13">
        <v>0</v>
      </c>
      <c r="L163" s="13">
        <v>1433.2979757160999</v>
      </c>
      <c r="M163" s="13">
        <v>0.56885440929999997</v>
      </c>
      <c r="N163" s="10" t="s">
        <v>720</v>
      </c>
      <c r="O163" s="14">
        <v>2.6</v>
      </c>
      <c r="P163" s="10" t="s">
        <v>41</v>
      </c>
      <c r="Q163" s="14" t="s">
        <v>42</v>
      </c>
      <c r="R163" s="10" t="s">
        <v>33</v>
      </c>
      <c r="S163" s="10" t="s">
        <v>719</v>
      </c>
      <c r="T163" s="14">
        <f>IF(O163="","",(1/Metadata!$B$5)^(O163-1))</f>
        <v>39.810717055349755</v>
      </c>
      <c r="U163" s="13">
        <f t="shared" si="2"/>
        <v>57083.26666917355</v>
      </c>
      <c r="V163" s="19" t="s">
        <v>322</v>
      </c>
      <c r="W163" s="20" t="s">
        <v>721</v>
      </c>
    </row>
    <row r="164" spans="1:23" ht="18" customHeight="1">
      <c r="A164" s="10" t="s">
        <v>23</v>
      </c>
      <c r="B164" s="10" t="s">
        <v>24</v>
      </c>
      <c r="C164" s="10" t="s">
        <v>25</v>
      </c>
      <c r="D164" s="12">
        <v>2019</v>
      </c>
      <c r="E164" s="10" t="s">
        <v>722</v>
      </c>
      <c r="F164" s="10" t="s">
        <v>723</v>
      </c>
      <c r="G164" s="10" t="s">
        <v>334</v>
      </c>
      <c r="H164" s="10" t="s">
        <v>149</v>
      </c>
      <c r="I164" s="13">
        <v>1411.4952328987999</v>
      </c>
      <c r="J164" s="13">
        <v>1411.4952328987999</v>
      </c>
      <c r="K164" s="13">
        <v>0</v>
      </c>
      <c r="L164" s="13">
        <v>413.94641988209997</v>
      </c>
      <c r="M164" s="13">
        <v>997.54881301670002</v>
      </c>
      <c r="N164" s="10" t="s">
        <v>724</v>
      </c>
      <c r="O164" s="14">
        <v>4.17</v>
      </c>
      <c r="P164" s="10" t="s">
        <v>31</v>
      </c>
      <c r="Q164" s="14" t="s">
        <v>32</v>
      </c>
      <c r="R164" s="10" t="s">
        <v>33</v>
      </c>
      <c r="S164" s="10" t="s">
        <v>722</v>
      </c>
      <c r="T164" s="14">
        <f>IF(O164="","",(1/Metadata!$B$5)^(O164-1))</f>
        <v>1479.1083881682086</v>
      </c>
      <c r="U164" s="13">
        <f t="shared" si="2"/>
        <v>2087754.4388400542</v>
      </c>
      <c r="V164" s="19" t="s">
        <v>336</v>
      </c>
      <c r="W164" s="20" t="s">
        <v>725</v>
      </c>
    </row>
    <row r="165" spans="1:23" ht="18" customHeight="1">
      <c r="A165" s="10" t="s">
        <v>23</v>
      </c>
      <c r="B165" s="10" t="s">
        <v>24</v>
      </c>
      <c r="C165" s="10" t="s">
        <v>25</v>
      </c>
      <c r="D165" s="12">
        <v>2019</v>
      </c>
      <c r="E165" s="10" t="s">
        <v>726</v>
      </c>
      <c r="F165" s="10" t="s">
        <v>727</v>
      </c>
      <c r="G165" s="10" t="s">
        <v>65</v>
      </c>
      <c r="H165" s="10" t="s">
        <v>66</v>
      </c>
      <c r="I165" s="13">
        <v>1406.8263113102</v>
      </c>
      <c r="J165" s="13">
        <v>1406.8263113102</v>
      </c>
      <c r="K165" s="13">
        <v>0</v>
      </c>
      <c r="L165" s="13">
        <v>268.52168327099997</v>
      </c>
      <c r="M165" s="13">
        <v>1138.3046280392</v>
      </c>
      <c r="N165" s="10" t="s">
        <v>728</v>
      </c>
      <c r="O165" s="14">
        <v>2.94</v>
      </c>
      <c r="P165" s="10" t="s">
        <v>41</v>
      </c>
      <c r="Q165" s="14" t="s">
        <v>42</v>
      </c>
      <c r="R165" s="10" t="s">
        <v>33</v>
      </c>
      <c r="S165" s="10" t="s">
        <v>726</v>
      </c>
      <c r="T165" s="14">
        <f>IF(O165="","",(1/Metadata!$B$5)^(O165-1))</f>
        <v>87.096358995608071</v>
      </c>
      <c r="U165" s="13">
        <f t="shared" si="2"/>
        <v>122529.44945434025</v>
      </c>
      <c r="V165" s="19" t="s">
        <v>322</v>
      </c>
      <c r="W165" s="20" t="s">
        <v>729</v>
      </c>
    </row>
    <row r="166" spans="1:23" ht="18" customHeight="1">
      <c r="A166" s="10" t="s">
        <v>23</v>
      </c>
      <c r="B166" s="10" t="s">
        <v>24</v>
      </c>
      <c r="C166" s="10" t="s">
        <v>25</v>
      </c>
      <c r="D166" s="12">
        <v>2019</v>
      </c>
      <c r="E166" s="10" t="s">
        <v>730</v>
      </c>
      <c r="F166" s="10" t="s">
        <v>731</v>
      </c>
      <c r="G166" s="10" t="s">
        <v>38</v>
      </c>
      <c r="H166" s="10" t="s">
        <v>48</v>
      </c>
      <c r="I166" s="13">
        <v>1353.2728457390999</v>
      </c>
      <c r="J166" s="13">
        <v>1353.2728457390999</v>
      </c>
      <c r="K166" s="13">
        <v>0</v>
      </c>
      <c r="L166" s="13">
        <v>1347.4659054307999</v>
      </c>
      <c r="M166" s="13">
        <v>5.8069403082999997</v>
      </c>
      <c r="N166" s="10" t="s">
        <v>732</v>
      </c>
      <c r="O166" s="14">
        <v>4.1900000000000004</v>
      </c>
      <c r="P166" s="10" t="s">
        <v>31</v>
      </c>
      <c r="Q166" s="14" t="s">
        <v>32</v>
      </c>
      <c r="R166" s="10" t="s">
        <v>33</v>
      </c>
      <c r="S166" s="10" t="s">
        <v>730</v>
      </c>
      <c r="T166" s="14">
        <f>IF(O166="","",(1/Metadata!$B$5)^(O166-1))</f>
        <v>1548.8166189124836</v>
      </c>
      <c r="U166" s="13">
        <f t="shared" si="2"/>
        <v>2095971.4734037076</v>
      </c>
      <c r="V166" s="19" t="s">
        <v>105</v>
      </c>
      <c r="W166" s="20" t="s">
        <v>733</v>
      </c>
    </row>
    <row r="167" spans="1:23" ht="18" customHeight="1">
      <c r="A167" s="10" t="s">
        <v>23</v>
      </c>
      <c r="B167" s="10" t="s">
        <v>24</v>
      </c>
      <c r="C167" s="10" t="s">
        <v>25</v>
      </c>
      <c r="D167" s="12">
        <v>2019</v>
      </c>
      <c r="E167" s="10" t="s">
        <v>734</v>
      </c>
      <c r="F167" s="10" t="s">
        <v>735</v>
      </c>
      <c r="G167" s="10" t="s">
        <v>71</v>
      </c>
      <c r="H167" s="10" t="s">
        <v>504</v>
      </c>
      <c r="I167" s="13">
        <v>1258.6623290166001</v>
      </c>
      <c r="J167" s="13">
        <v>1258.6623290166001</v>
      </c>
      <c r="K167" s="13">
        <v>0</v>
      </c>
      <c r="L167" s="13">
        <v>395.17637792519997</v>
      </c>
      <c r="M167" s="13">
        <v>863.48595109140001</v>
      </c>
      <c r="N167" s="10" t="s">
        <v>736</v>
      </c>
      <c r="O167" s="14">
        <v>3.84</v>
      </c>
      <c r="P167" s="10" t="s">
        <v>31</v>
      </c>
      <c r="Q167" s="14" t="s">
        <v>32</v>
      </c>
      <c r="R167" s="10" t="s">
        <v>33</v>
      </c>
      <c r="S167" s="10" t="s">
        <v>734</v>
      </c>
      <c r="T167" s="14">
        <f>IF(O167="","",(1/Metadata!$B$5)^(O167-1))</f>
        <v>691.83097091893671</v>
      </c>
      <c r="U167" s="13">
        <f t="shared" si="2"/>
        <v>870781.58114264463</v>
      </c>
      <c r="V167" s="19" t="s">
        <v>92</v>
      </c>
      <c r="W167" s="20" t="s">
        <v>737</v>
      </c>
    </row>
    <row r="168" spans="1:23" ht="18" customHeight="1">
      <c r="A168" s="10" t="s">
        <v>23</v>
      </c>
      <c r="B168" s="10" t="s">
        <v>24</v>
      </c>
      <c r="C168" s="10" t="s">
        <v>25</v>
      </c>
      <c r="D168" s="12">
        <v>2019</v>
      </c>
      <c r="E168" s="10" t="s">
        <v>738</v>
      </c>
      <c r="F168" s="10" t="s">
        <v>739</v>
      </c>
      <c r="G168" s="10" t="s">
        <v>71</v>
      </c>
      <c r="H168" s="10" t="s">
        <v>48</v>
      </c>
      <c r="I168" s="13">
        <v>1225.1280950144001</v>
      </c>
      <c r="J168" s="13">
        <v>1225.1280950144001</v>
      </c>
      <c r="K168" s="13">
        <v>0</v>
      </c>
      <c r="L168" s="13">
        <v>0</v>
      </c>
      <c r="M168" s="13">
        <v>1225.1280950144001</v>
      </c>
      <c r="N168" s="10" t="s">
        <v>740</v>
      </c>
      <c r="O168" s="14">
        <v>3.5</v>
      </c>
      <c r="P168" s="10" t="s">
        <v>31</v>
      </c>
      <c r="Q168" s="14" t="s">
        <v>32</v>
      </c>
      <c r="R168" s="10" t="s">
        <v>33</v>
      </c>
      <c r="S168" s="10" t="s">
        <v>738</v>
      </c>
      <c r="T168" s="14">
        <f>IF(O168="","",(1/Metadata!$B$5)^(O168-1))</f>
        <v>316.22776601683825</v>
      </c>
      <c r="U168" s="13">
        <f t="shared" si="2"/>
        <v>387419.52057086845</v>
      </c>
      <c r="V168" s="22" t="s">
        <v>87</v>
      </c>
      <c r="W168" s="20" t="s">
        <v>741</v>
      </c>
    </row>
    <row r="169" spans="1:23" ht="18" customHeight="1">
      <c r="A169" s="10" t="s">
        <v>23</v>
      </c>
      <c r="B169" s="10" t="s">
        <v>24</v>
      </c>
      <c r="C169" s="10" t="s">
        <v>25</v>
      </c>
      <c r="D169" s="12">
        <v>2019</v>
      </c>
      <c r="E169" s="10" t="s">
        <v>742</v>
      </c>
      <c r="F169" s="10" t="s">
        <v>743</v>
      </c>
      <c r="G169" s="10" t="s">
        <v>148</v>
      </c>
      <c r="H169" s="10" t="s">
        <v>149</v>
      </c>
      <c r="I169" s="13">
        <v>1135.6186159462</v>
      </c>
      <c r="J169" s="13">
        <v>1135.6186159462</v>
      </c>
      <c r="K169" s="13">
        <v>0</v>
      </c>
      <c r="L169" s="13">
        <v>1135.6186159462</v>
      </c>
      <c r="M169" s="13">
        <v>0</v>
      </c>
      <c r="N169" s="10" t="s">
        <v>744</v>
      </c>
      <c r="O169" s="14">
        <v>4.51</v>
      </c>
      <c r="P169" s="10" t="s">
        <v>31</v>
      </c>
      <c r="Q169" s="14" t="s">
        <v>32</v>
      </c>
      <c r="R169" s="10" t="s">
        <v>33</v>
      </c>
      <c r="S169" s="10" t="s">
        <v>742</v>
      </c>
      <c r="T169" s="14">
        <f>IF(O169="","",(1/Metadata!$B$5)^(O169-1))</f>
        <v>3235.9365692962833</v>
      </c>
      <c r="U169" s="13">
        <f t="shared" si="2"/>
        <v>3674789.8081139396</v>
      </c>
      <c r="V169" s="19" t="s">
        <v>151</v>
      </c>
      <c r="W169" s="20" t="s">
        <v>745</v>
      </c>
    </row>
    <row r="170" spans="1:23" ht="18" customHeight="1">
      <c r="A170" s="10" t="s">
        <v>23</v>
      </c>
      <c r="B170" s="10" t="s">
        <v>24</v>
      </c>
      <c r="C170" s="10" t="s">
        <v>25</v>
      </c>
      <c r="D170" s="12">
        <v>2019</v>
      </c>
      <c r="E170" s="10" t="s">
        <v>746</v>
      </c>
      <c r="F170" s="10" t="s">
        <v>747</v>
      </c>
      <c r="G170" s="10" t="s">
        <v>148</v>
      </c>
      <c r="H170" s="10" t="s">
        <v>149</v>
      </c>
      <c r="I170" s="13">
        <v>1128.0907839964</v>
      </c>
      <c r="J170" s="13">
        <v>743.28707553300001</v>
      </c>
      <c r="K170" s="13">
        <v>384.80370846340003</v>
      </c>
      <c r="L170" s="13">
        <v>563.11628757779999</v>
      </c>
      <c r="M170" s="13">
        <v>564.97449641859998</v>
      </c>
      <c r="N170" s="10" t="s">
        <v>748</v>
      </c>
      <c r="O170" s="14">
        <v>4.5</v>
      </c>
      <c r="P170" s="10" t="s">
        <v>31</v>
      </c>
      <c r="Q170" s="14" t="s">
        <v>32</v>
      </c>
      <c r="R170" s="10" t="s">
        <v>33</v>
      </c>
      <c r="S170" s="10" t="s">
        <v>746</v>
      </c>
      <c r="T170" s="14">
        <f>IF(O170="","",(1/Metadata!$B$5)^(O170-1))</f>
        <v>3162.2776601683804</v>
      </c>
      <c r="U170" s="13">
        <f t="shared" si="2"/>
        <v>3567336.2848736495</v>
      </c>
      <c r="V170" s="19" t="s">
        <v>151</v>
      </c>
      <c r="W170" s="20" t="s">
        <v>749</v>
      </c>
    </row>
    <row r="171" spans="1:23" ht="18" customHeight="1">
      <c r="A171" s="10" t="s">
        <v>23</v>
      </c>
      <c r="B171" s="10" t="s">
        <v>24</v>
      </c>
      <c r="C171" s="10" t="s">
        <v>25</v>
      </c>
      <c r="D171" s="12">
        <v>2019</v>
      </c>
      <c r="E171" s="10" t="s">
        <v>750</v>
      </c>
      <c r="F171" s="10" t="s">
        <v>751</v>
      </c>
      <c r="G171" s="10" t="s">
        <v>752</v>
      </c>
      <c r="H171" s="10" t="s">
        <v>48</v>
      </c>
      <c r="I171" s="13">
        <v>1115.9424193269999</v>
      </c>
      <c r="J171" s="13">
        <v>0</v>
      </c>
      <c r="K171" s="13">
        <v>1115.9424193269999</v>
      </c>
      <c r="L171" s="13">
        <v>0</v>
      </c>
      <c r="M171" s="13">
        <v>1115.9424193269999</v>
      </c>
      <c r="N171" s="10" t="s">
        <v>753</v>
      </c>
      <c r="O171" s="14">
        <v>4.08</v>
      </c>
      <c r="P171" s="10" t="s">
        <v>31</v>
      </c>
      <c r="Q171" s="14" t="s">
        <v>32</v>
      </c>
      <c r="R171" s="10" t="s">
        <v>33</v>
      </c>
      <c r="S171" s="10" t="s">
        <v>750</v>
      </c>
      <c r="T171" s="14">
        <f>IF(O171="","",(1/Metadata!$B$5)^(O171-1))</f>
        <v>1202.2644346174138</v>
      </c>
      <c r="U171" s="13">
        <f t="shared" si="2"/>
        <v>1341657.8818377645</v>
      </c>
      <c r="V171" s="22" t="s">
        <v>136</v>
      </c>
      <c r="W171" s="20" t="s">
        <v>754</v>
      </c>
    </row>
    <row r="172" spans="1:23" ht="18" customHeight="1">
      <c r="A172" s="10" t="s">
        <v>23</v>
      </c>
      <c r="B172" s="10" t="s">
        <v>24</v>
      </c>
      <c r="C172" s="10" t="s">
        <v>25</v>
      </c>
      <c r="D172" s="12">
        <v>2019</v>
      </c>
      <c r="E172" s="10" t="s">
        <v>755</v>
      </c>
      <c r="F172" s="10" t="s">
        <v>756</v>
      </c>
      <c r="G172" s="10" t="s">
        <v>38</v>
      </c>
      <c r="H172" s="10" t="s">
        <v>48</v>
      </c>
      <c r="I172" s="13">
        <v>1031.4214949556999</v>
      </c>
      <c r="J172" s="13">
        <v>1031.4214949556999</v>
      </c>
      <c r="K172" s="13">
        <v>0</v>
      </c>
      <c r="L172" s="13">
        <v>347.72238629719999</v>
      </c>
      <c r="M172" s="13">
        <v>683.69910865849999</v>
      </c>
      <c r="N172" s="10" t="s">
        <v>757</v>
      </c>
      <c r="O172" s="14">
        <v>3.8</v>
      </c>
      <c r="P172" s="10" t="s">
        <v>41</v>
      </c>
      <c r="Q172" s="14" t="s">
        <v>42</v>
      </c>
      <c r="R172" s="10" t="s">
        <v>33</v>
      </c>
      <c r="S172" s="10" t="s">
        <v>755</v>
      </c>
      <c r="T172" s="14">
        <f>IF(O172="","",(1/Metadata!$B$5)^(O172-1))</f>
        <v>630.95734448019323</v>
      </c>
      <c r="U172" s="13">
        <f t="shared" si="2"/>
        <v>650782.96749703947</v>
      </c>
      <c r="V172" s="19" t="s">
        <v>105</v>
      </c>
      <c r="W172" s="20" t="s">
        <v>758</v>
      </c>
    </row>
    <row r="173" spans="1:23" ht="18" customHeight="1">
      <c r="A173" s="10" t="s">
        <v>23</v>
      </c>
      <c r="B173" s="10" t="s">
        <v>24</v>
      </c>
      <c r="C173" s="10" t="s">
        <v>25</v>
      </c>
      <c r="D173" s="12">
        <v>2019</v>
      </c>
      <c r="E173" s="10" t="s">
        <v>759</v>
      </c>
      <c r="F173" s="10" t="s">
        <v>760</v>
      </c>
      <c r="G173" s="10" t="s">
        <v>71</v>
      </c>
      <c r="H173" s="10" t="s">
        <v>48</v>
      </c>
      <c r="I173" s="13">
        <v>973.85216711459998</v>
      </c>
      <c r="J173" s="13">
        <v>973.85216711459998</v>
      </c>
      <c r="K173" s="13">
        <v>0</v>
      </c>
      <c r="L173" s="13">
        <v>973.85216711459998</v>
      </c>
      <c r="M173" s="13">
        <v>0</v>
      </c>
      <c r="N173" s="10" t="s">
        <v>761</v>
      </c>
      <c r="O173" s="14">
        <v>2.63</v>
      </c>
      <c r="P173" s="10" t="s">
        <v>41</v>
      </c>
      <c r="Q173" s="14" t="s">
        <v>42</v>
      </c>
      <c r="R173" s="10" t="s">
        <v>33</v>
      </c>
      <c r="S173" s="10" t="s">
        <v>759</v>
      </c>
      <c r="T173" s="14">
        <f>IF(O173="","",(1/Metadata!$B$5)^(O173-1))</f>
        <v>42.657951880159267</v>
      </c>
      <c r="U173" s="13">
        <f t="shared" si="2"/>
        <v>41542.538883163426</v>
      </c>
      <c r="V173" s="22" t="s">
        <v>181</v>
      </c>
      <c r="W173" s="20" t="s">
        <v>762</v>
      </c>
    </row>
    <row r="174" spans="1:23" ht="18" customHeight="1">
      <c r="A174" s="10" t="s">
        <v>23</v>
      </c>
      <c r="B174" s="10" t="s">
        <v>24</v>
      </c>
      <c r="C174" s="10" t="s">
        <v>25</v>
      </c>
      <c r="D174" s="12">
        <v>2019</v>
      </c>
      <c r="E174" s="10" t="s">
        <v>763</v>
      </c>
      <c r="F174" s="10" t="s">
        <v>764</v>
      </c>
      <c r="G174" s="10" t="s">
        <v>312</v>
      </c>
      <c r="H174" s="10" t="s">
        <v>48</v>
      </c>
      <c r="I174" s="13">
        <v>964.96278515879999</v>
      </c>
      <c r="J174" s="13">
        <v>861.15879983859998</v>
      </c>
      <c r="K174" s="13">
        <v>103.8039853202</v>
      </c>
      <c r="L174" s="13">
        <v>717.80840146989999</v>
      </c>
      <c r="M174" s="13">
        <v>247.1543836889</v>
      </c>
      <c r="N174" s="10" t="s">
        <v>765</v>
      </c>
      <c r="O174" s="14">
        <v>3.03</v>
      </c>
      <c r="P174" s="10" t="s">
        <v>41</v>
      </c>
      <c r="Q174" s="14" t="s">
        <v>42</v>
      </c>
      <c r="R174" s="10" t="s">
        <v>33</v>
      </c>
      <c r="S174" s="10" t="s">
        <v>763</v>
      </c>
      <c r="T174" s="14">
        <f>IF(O174="","",(1/Metadata!$B$5)^(O174-1))</f>
        <v>107.15193052376065</v>
      </c>
      <c r="U174" s="13">
        <f t="shared" si="2"/>
        <v>103397.62531335032</v>
      </c>
      <c r="V174" s="19" t="s">
        <v>73</v>
      </c>
      <c r="W174" s="20" t="s">
        <v>766</v>
      </c>
    </row>
    <row r="175" spans="1:23" ht="18" customHeight="1">
      <c r="A175" s="10" t="s">
        <v>23</v>
      </c>
      <c r="B175" s="10" t="s">
        <v>24</v>
      </c>
      <c r="C175" s="10" t="s">
        <v>25</v>
      </c>
      <c r="D175" s="12">
        <v>2019</v>
      </c>
      <c r="E175" s="10" t="s">
        <v>767</v>
      </c>
      <c r="F175" s="10" t="s">
        <v>768</v>
      </c>
      <c r="G175" s="10" t="s">
        <v>155</v>
      </c>
      <c r="H175" s="10" t="s">
        <v>48</v>
      </c>
      <c r="I175" s="13">
        <v>964.6619904442</v>
      </c>
      <c r="J175" s="13">
        <v>964.6619904442</v>
      </c>
      <c r="K175" s="13">
        <v>0</v>
      </c>
      <c r="L175" s="13">
        <v>452.60342800030003</v>
      </c>
      <c r="M175" s="13">
        <v>512.05856244389997</v>
      </c>
      <c r="N175" s="10" t="s">
        <v>769</v>
      </c>
      <c r="O175" s="14">
        <v>4.13</v>
      </c>
      <c r="P175" s="10" t="s">
        <v>31</v>
      </c>
      <c r="Q175" s="14" t="s">
        <v>32</v>
      </c>
      <c r="R175" s="10" t="s">
        <v>33</v>
      </c>
      <c r="S175" s="10" t="s">
        <v>767</v>
      </c>
      <c r="T175" s="14">
        <f>IF(O175="","",(1/Metadata!$B$5)^(O175-1))</f>
        <v>1348.9628825916541</v>
      </c>
      <c r="U175" s="13">
        <f t="shared" si="2"/>
        <v>1301293.2193562107</v>
      </c>
      <c r="V175" s="19" t="s">
        <v>105</v>
      </c>
      <c r="W175" s="20" t="s">
        <v>770</v>
      </c>
    </row>
    <row r="176" spans="1:23" ht="18" customHeight="1">
      <c r="A176" s="10" t="s">
        <v>23</v>
      </c>
      <c r="B176" s="10" t="s">
        <v>24</v>
      </c>
      <c r="C176" s="10" t="s">
        <v>25</v>
      </c>
      <c r="D176" s="12">
        <v>2019</v>
      </c>
      <c r="E176" s="10" t="s">
        <v>771</v>
      </c>
      <c r="F176" s="10" t="s">
        <v>772</v>
      </c>
      <c r="G176" s="10" t="s">
        <v>189</v>
      </c>
      <c r="H176" s="10" t="s">
        <v>48</v>
      </c>
      <c r="I176" s="13">
        <v>959.41947242929996</v>
      </c>
      <c r="J176" s="13">
        <v>959.41947242929996</v>
      </c>
      <c r="K176" s="13">
        <v>0</v>
      </c>
      <c r="L176" s="13">
        <v>0</v>
      </c>
      <c r="M176" s="13">
        <v>959.41947242929996</v>
      </c>
      <c r="N176" s="10" t="s">
        <v>773</v>
      </c>
      <c r="O176" s="14">
        <v>4.3499999999999996</v>
      </c>
      <c r="P176" s="10" t="s">
        <v>31</v>
      </c>
      <c r="Q176" s="14" t="s">
        <v>32</v>
      </c>
      <c r="R176" s="10" t="s">
        <v>33</v>
      </c>
      <c r="S176" s="10" t="s">
        <v>771</v>
      </c>
      <c r="T176" s="14">
        <f>IF(O176="","",(1/Metadata!$B$5)^(O176-1))</f>
        <v>2238.7211385683395</v>
      </c>
      <c r="U176" s="13">
        <f t="shared" si="2"/>
        <v>2147872.6536815581</v>
      </c>
      <c r="V176" s="22" t="s">
        <v>105</v>
      </c>
      <c r="W176" s="20" t="s">
        <v>774</v>
      </c>
    </row>
    <row r="177" spans="1:23" ht="18" customHeight="1">
      <c r="A177" s="10" t="s">
        <v>23</v>
      </c>
      <c r="B177" s="10" t="s">
        <v>24</v>
      </c>
      <c r="C177" s="10" t="s">
        <v>25</v>
      </c>
      <c r="D177" s="12">
        <v>2019</v>
      </c>
      <c r="E177" s="10" t="s">
        <v>775</v>
      </c>
      <c r="F177" s="10" t="s">
        <v>776</v>
      </c>
      <c r="G177" s="10" t="s">
        <v>28</v>
      </c>
      <c r="H177" s="10" t="s">
        <v>169</v>
      </c>
      <c r="I177" s="13">
        <v>945.57508390890007</v>
      </c>
      <c r="J177" s="13">
        <v>945.57508390890007</v>
      </c>
      <c r="K177" s="13">
        <v>0</v>
      </c>
      <c r="L177" s="13">
        <v>0</v>
      </c>
      <c r="M177" s="13">
        <v>945.57508390890007</v>
      </c>
      <c r="N177" s="10" t="s">
        <v>777</v>
      </c>
      <c r="O177" s="14">
        <v>2.82</v>
      </c>
      <c r="P177" s="10" t="s">
        <v>31</v>
      </c>
      <c r="Q177" s="14" t="s">
        <v>32</v>
      </c>
      <c r="R177" s="10" t="s">
        <v>33</v>
      </c>
      <c r="S177" s="10" t="s">
        <v>775</v>
      </c>
      <c r="T177" s="14">
        <f>IF(O177="","",(1/Metadata!$B$5)^(O177-1))</f>
        <v>66.069344800759623</v>
      </c>
      <c r="U177" s="13">
        <f t="shared" si="2"/>
        <v>62473.52625378433</v>
      </c>
      <c r="V177" s="19" t="s">
        <v>34</v>
      </c>
      <c r="W177" s="20" t="s">
        <v>778</v>
      </c>
    </row>
    <row r="178" spans="1:23" ht="18" customHeight="1">
      <c r="A178" s="10" t="s">
        <v>23</v>
      </c>
      <c r="B178" s="10" t="s">
        <v>24</v>
      </c>
      <c r="C178" s="10" t="s">
        <v>25</v>
      </c>
      <c r="D178" s="12">
        <v>2019</v>
      </c>
      <c r="E178" s="10" t="s">
        <v>779</v>
      </c>
      <c r="F178" s="10" t="s">
        <v>780</v>
      </c>
      <c r="G178" s="10" t="s">
        <v>47</v>
      </c>
      <c r="H178" s="10" t="s">
        <v>48</v>
      </c>
      <c r="I178" s="13">
        <v>886.68810887210009</v>
      </c>
      <c r="J178" s="13">
        <v>886.68810887210009</v>
      </c>
      <c r="K178" s="13">
        <v>0</v>
      </c>
      <c r="L178" s="13">
        <v>108.6128474527</v>
      </c>
      <c r="M178" s="13">
        <v>778.07526141940002</v>
      </c>
      <c r="N178" s="10" t="s">
        <v>781</v>
      </c>
      <c r="O178" s="14">
        <v>3.81</v>
      </c>
      <c r="P178" s="10" t="s">
        <v>31</v>
      </c>
      <c r="Q178" s="14" t="s">
        <v>32</v>
      </c>
      <c r="R178" s="10" t="s">
        <v>33</v>
      </c>
      <c r="S178" s="10" t="s">
        <v>779</v>
      </c>
      <c r="T178" s="14">
        <f>IF(O178="","",(1/Metadata!$B$5)^(O178-1))</f>
        <v>645.65422903465594</v>
      </c>
      <c r="U178" s="13">
        <f t="shared" si="2"/>
        <v>572493.92732801288</v>
      </c>
      <c r="V178" s="19" t="s">
        <v>87</v>
      </c>
      <c r="W178" s="20" t="s">
        <v>782</v>
      </c>
    </row>
    <row r="179" spans="1:23" ht="18" customHeight="1">
      <c r="A179" s="10" t="s">
        <v>23</v>
      </c>
      <c r="B179" s="10" t="s">
        <v>24</v>
      </c>
      <c r="C179" s="10" t="s">
        <v>25</v>
      </c>
      <c r="D179" s="12">
        <v>2019</v>
      </c>
      <c r="E179" s="10" t="s">
        <v>783</v>
      </c>
      <c r="F179" s="10" t="s">
        <v>784</v>
      </c>
      <c r="G179" s="10" t="s">
        <v>155</v>
      </c>
      <c r="H179" s="10" t="s">
        <v>48</v>
      </c>
      <c r="I179" s="13">
        <v>863.17355038410005</v>
      </c>
      <c r="J179" s="13">
        <v>863.17355038410005</v>
      </c>
      <c r="K179" s="13">
        <v>0</v>
      </c>
      <c r="L179" s="13">
        <v>472.42231961229999</v>
      </c>
      <c r="M179" s="13">
        <v>390.75123077180001</v>
      </c>
      <c r="N179" s="10" t="s">
        <v>785</v>
      </c>
      <c r="O179" s="14">
        <v>3.74</v>
      </c>
      <c r="P179" s="10" t="s">
        <v>31</v>
      </c>
      <c r="Q179" s="14" t="s">
        <v>32</v>
      </c>
      <c r="R179" s="10" t="s">
        <v>33</v>
      </c>
      <c r="S179" s="10" t="s">
        <v>783</v>
      </c>
      <c r="T179" s="14">
        <f>IF(O179="","",(1/Metadata!$B$5)^(O179-1))</f>
        <v>549.54087385762534</v>
      </c>
      <c r="U179" s="13">
        <f t="shared" si="2"/>
        <v>474349.14716886735</v>
      </c>
      <c r="V179" s="19" t="s">
        <v>105</v>
      </c>
      <c r="W179" s="20" t="s">
        <v>786</v>
      </c>
    </row>
    <row r="180" spans="1:23" ht="18" customHeight="1">
      <c r="A180" s="10" t="s">
        <v>23</v>
      </c>
      <c r="B180" s="10" t="s">
        <v>24</v>
      </c>
      <c r="C180" s="10" t="s">
        <v>25</v>
      </c>
      <c r="D180" s="12">
        <v>2019</v>
      </c>
      <c r="E180" s="10" t="s">
        <v>787</v>
      </c>
      <c r="F180" s="10" t="s">
        <v>788</v>
      </c>
      <c r="G180" s="10" t="s">
        <v>155</v>
      </c>
      <c r="H180" s="10" t="s">
        <v>48</v>
      </c>
      <c r="I180" s="13">
        <v>836.99513967120004</v>
      </c>
      <c r="J180" s="13">
        <v>836.99513967120004</v>
      </c>
      <c r="K180" s="13">
        <v>0</v>
      </c>
      <c r="L180" s="13">
        <v>836.99513967120004</v>
      </c>
      <c r="M180" s="13">
        <v>0</v>
      </c>
      <c r="N180" s="10" t="s">
        <v>789</v>
      </c>
      <c r="O180" s="14">
        <v>3.39</v>
      </c>
      <c r="P180" s="10" t="s">
        <v>41</v>
      </c>
      <c r="Q180" s="14" t="s">
        <v>42</v>
      </c>
      <c r="R180" s="10" t="s">
        <v>33</v>
      </c>
      <c r="S180" s="10" t="s">
        <v>787</v>
      </c>
      <c r="T180" s="14">
        <f>IF(O180="","",(1/Metadata!$B$5)^(O180-1))</f>
        <v>245.4708915685033</v>
      </c>
      <c r="U180" s="13">
        <f t="shared" si="2"/>
        <v>205457.94317359343</v>
      </c>
      <c r="V180" s="22" t="s">
        <v>87</v>
      </c>
      <c r="W180" s="20" t="s">
        <v>790</v>
      </c>
    </row>
    <row r="181" spans="1:23" ht="18" customHeight="1">
      <c r="A181" s="10" t="s">
        <v>23</v>
      </c>
      <c r="B181" s="10" t="s">
        <v>24</v>
      </c>
      <c r="C181" s="10" t="s">
        <v>25</v>
      </c>
      <c r="D181" s="12">
        <v>2019</v>
      </c>
      <c r="E181" s="10" t="s">
        <v>791</v>
      </c>
      <c r="F181" s="10" t="s">
        <v>792</v>
      </c>
      <c r="G181" s="10" t="s">
        <v>54</v>
      </c>
      <c r="H181" s="10" t="s">
        <v>48</v>
      </c>
      <c r="I181" s="13">
        <v>829.24420799509994</v>
      </c>
      <c r="J181" s="13">
        <v>829.24420799509994</v>
      </c>
      <c r="K181" s="13">
        <v>0</v>
      </c>
      <c r="L181" s="13">
        <v>829.24420799509994</v>
      </c>
      <c r="M181" s="13">
        <v>0</v>
      </c>
      <c r="N181" s="10" t="s">
        <v>793</v>
      </c>
      <c r="O181" s="14">
        <v>4.26</v>
      </c>
      <c r="P181" s="10" t="s">
        <v>31</v>
      </c>
      <c r="Q181" s="14" t="s">
        <v>32</v>
      </c>
      <c r="R181" s="10" t="s">
        <v>33</v>
      </c>
      <c r="S181" s="10" t="s">
        <v>791</v>
      </c>
      <c r="T181" s="14">
        <f>IF(O181="","",(1/Metadata!$B$5)^(O181-1))</f>
        <v>1819.7008586099832</v>
      </c>
      <c r="U181" s="13">
        <f t="shared" si="2"/>
        <v>1508976.3972860388</v>
      </c>
      <c r="V181" s="22" t="s">
        <v>110</v>
      </c>
      <c r="W181" s="20" t="s">
        <v>794</v>
      </c>
    </row>
    <row r="182" spans="1:23" ht="18" customHeight="1">
      <c r="A182" s="10" t="s">
        <v>23</v>
      </c>
      <c r="B182" s="10" t="s">
        <v>24</v>
      </c>
      <c r="C182" s="10" t="s">
        <v>25</v>
      </c>
      <c r="D182" s="12">
        <v>2019</v>
      </c>
      <c r="E182" s="10" t="s">
        <v>795</v>
      </c>
      <c r="F182" s="10" t="s">
        <v>796</v>
      </c>
      <c r="G182" s="10" t="s">
        <v>312</v>
      </c>
      <c r="H182" s="10" t="s">
        <v>48</v>
      </c>
      <c r="I182" s="13">
        <v>817.68823282389997</v>
      </c>
      <c r="J182" s="13">
        <v>817.68823282389997</v>
      </c>
      <c r="K182" s="13">
        <v>0</v>
      </c>
      <c r="L182" s="13">
        <v>416.1095034169</v>
      </c>
      <c r="M182" s="13">
        <v>401.57872940700003</v>
      </c>
      <c r="N182" s="10" t="s">
        <v>797</v>
      </c>
      <c r="O182" s="14">
        <v>2.95</v>
      </c>
      <c r="P182" s="10" t="s">
        <v>41</v>
      </c>
      <c r="Q182" s="14" t="s">
        <v>42</v>
      </c>
      <c r="R182" s="10" t="s">
        <v>33</v>
      </c>
      <c r="S182" s="10" t="s">
        <v>795</v>
      </c>
      <c r="T182" s="14">
        <f>IF(O182="","",(1/Metadata!$B$5)^(O182-1))</f>
        <v>89.125093813374633</v>
      </c>
      <c r="U182" s="13">
        <f t="shared" si="2"/>
        <v>72876.540460522607</v>
      </c>
      <c r="V182" s="22" t="s">
        <v>87</v>
      </c>
      <c r="W182" s="20" t="s">
        <v>798</v>
      </c>
    </row>
    <row r="183" spans="1:23" ht="18" customHeight="1">
      <c r="A183" s="10" t="s">
        <v>23</v>
      </c>
      <c r="B183" s="10" t="s">
        <v>24</v>
      </c>
      <c r="C183" s="10" t="s">
        <v>25</v>
      </c>
      <c r="D183" s="12">
        <v>2019</v>
      </c>
      <c r="E183" s="10" t="s">
        <v>799</v>
      </c>
      <c r="F183" s="10" t="s">
        <v>800</v>
      </c>
      <c r="G183" s="10" t="s">
        <v>81</v>
      </c>
      <c r="H183" s="10" t="s">
        <v>66</v>
      </c>
      <c r="I183" s="13">
        <v>807.21227700480006</v>
      </c>
      <c r="J183" s="13">
        <v>807.21227700480006</v>
      </c>
      <c r="K183" s="13">
        <v>0</v>
      </c>
      <c r="L183" s="13">
        <v>0</v>
      </c>
      <c r="M183" s="13">
        <v>807.21227700480006</v>
      </c>
      <c r="N183" s="10" t="s">
        <v>801</v>
      </c>
      <c r="O183" s="14">
        <v>3.44</v>
      </c>
      <c r="P183" s="10" t="s">
        <v>41</v>
      </c>
      <c r="Q183" s="14" t="s">
        <v>42</v>
      </c>
      <c r="R183" s="10" t="s">
        <v>33</v>
      </c>
      <c r="S183" s="10" t="s">
        <v>799</v>
      </c>
      <c r="T183" s="14">
        <f>IF(O183="","",(1/Metadata!$B$5)^(O183-1))</f>
        <v>275.42287033381683</v>
      </c>
      <c r="U183" s="13">
        <f t="shared" si="2"/>
        <v>222324.72230135807</v>
      </c>
      <c r="V183" s="19" t="s">
        <v>81</v>
      </c>
      <c r="W183" s="20" t="s">
        <v>802</v>
      </c>
    </row>
    <row r="184" spans="1:23" ht="18" customHeight="1">
      <c r="A184" s="10" t="s">
        <v>23</v>
      </c>
      <c r="B184" s="10" t="s">
        <v>24</v>
      </c>
      <c r="C184" s="10" t="s">
        <v>25</v>
      </c>
      <c r="D184" s="12">
        <v>2019</v>
      </c>
      <c r="E184" s="10" t="s">
        <v>803</v>
      </c>
      <c r="F184" s="10" t="s">
        <v>804</v>
      </c>
      <c r="G184" s="10" t="s">
        <v>148</v>
      </c>
      <c r="H184" s="10" t="s">
        <v>149</v>
      </c>
      <c r="I184" s="13">
        <v>773.12761156839997</v>
      </c>
      <c r="J184" s="13">
        <v>773.12761156839997</v>
      </c>
      <c r="K184" s="13">
        <v>0</v>
      </c>
      <c r="L184" s="13">
        <v>451.5630171263</v>
      </c>
      <c r="M184" s="13">
        <v>321.56459444209997</v>
      </c>
      <c r="N184" s="10" t="s">
        <v>805</v>
      </c>
      <c r="O184" s="14">
        <v>4.1500000000000004</v>
      </c>
      <c r="P184" s="10" t="s">
        <v>31</v>
      </c>
      <c r="Q184" s="14" t="s">
        <v>32</v>
      </c>
      <c r="R184" s="10" t="s">
        <v>33</v>
      </c>
      <c r="S184" s="10" t="s">
        <v>803</v>
      </c>
      <c r="T184" s="14">
        <f>IF(O184="","",(1/Metadata!$B$5)^(O184-1))</f>
        <v>1412.537544622757</v>
      </c>
      <c r="U184" s="13">
        <f t="shared" si="2"/>
        <v>1092071.7781248842</v>
      </c>
      <c r="V184" s="19" t="s">
        <v>151</v>
      </c>
      <c r="W184" s="20" t="s">
        <v>806</v>
      </c>
    </row>
    <row r="185" spans="1:23" ht="18" customHeight="1">
      <c r="A185" s="10" t="s">
        <v>23</v>
      </c>
      <c r="B185" s="10" t="s">
        <v>24</v>
      </c>
      <c r="C185" s="10" t="s">
        <v>25</v>
      </c>
      <c r="D185" s="12">
        <v>2019</v>
      </c>
      <c r="E185" s="10" t="s">
        <v>807</v>
      </c>
      <c r="F185" s="10" t="s">
        <v>808</v>
      </c>
      <c r="G185" s="10" t="s">
        <v>809</v>
      </c>
      <c r="H185" s="10" t="s">
        <v>149</v>
      </c>
      <c r="I185" s="13">
        <v>760.9965256232</v>
      </c>
      <c r="J185" s="13">
        <v>760.9965256232</v>
      </c>
      <c r="K185" s="13">
        <v>0</v>
      </c>
      <c r="L185" s="13">
        <v>0</v>
      </c>
      <c r="M185" s="13">
        <v>760.9965256232</v>
      </c>
      <c r="N185" s="10" t="s">
        <v>810</v>
      </c>
      <c r="O185" s="14">
        <v>4.0599999999999996</v>
      </c>
      <c r="P185" s="10" t="s">
        <v>31</v>
      </c>
      <c r="Q185" s="14" t="s">
        <v>32</v>
      </c>
      <c r="R185" s="10" t="s">
        <v>33</v>
      </c>
      <c r="S185" s="10" t="s">
        <v>807</v>
      </c>
      <c r="T185" s="14">
        <f>IF(O185="","",(1/Metadata!$B$5)^(O185-1))</f>
        <v>1148.1536214968828</v>
      </c>
      <c r="U185" s="13">
        <f t="shared" si="2"/>
        <v>873740.91684082244</v>
      </c>
      <c r="V185" s="19" t="s">
        <v>151</v>
      </c>
      <c r="W185" s="20" t="s">
        <v>811</v>
      </c>
    </row>
    <row r="186" spans="1:23" ht="18" customHeight="1">
      <c r="A186" s="10" t="s">
        <v>23</v>
      </c>
      <c r="B186" s="10" t="s">
        <v>24</v>
      </c>
      <c r="C186" s="10" t="s">
        <v>25</v>
      </c>
      <c r="D186" s="12">
        <v>2019</v>
      </c>
      <c r="E186" s="10" t="s">
        <v>812</v>
      </c>
      <c r="F186" s="10" t="s">
        <v>813</v>
      </c>
      <c r="G186" s="10" t="s">
        <v>334</v>
      </c>
      <c r="H186" s="10" t="s">
        <v>149</v>
      </c>
      <c r="I186" s="13">
        <v>733.86598945859998</v>
      </c>
      <c r="J186" s="13">
        <v>550.63552953659996</v>
      </c>
      <c r="K186" s="13">
        <v>183.23045992199999</v>
      </c>
      <c r="L186" s="13">
        <v>0</v>
      </c>
      <c r="M186" s="13">
        <v>733.86598945859998</v>
      </c>
      <c r="N186" s="10" t="s">
        <v>814</v>
      </c>
      <c r="O186" s="14">
        <v>3.6</v>
      </c>
      <c r="P186" s="10" t="s">
        <v>31</v>
      </c>
      <c r="Q186" s="14" t="s">
        <v>32</v>
      </c>
      <c r="R186" s="10" t="s">
        <v>33</v>
      </c>
      <c r="S186" s="10" t="s">
        <v>812</v>
      </c>
      <c r="T186" s="14">
        <f>IF(O186="","",(1/Metadata!$B$5)^(O186-1))</f>
        <v>398.10717055349761</v>
      </c>
      <c r="U186" s="13">
        <f t="shared" si="2"/>
        <v>292157.31262880616</v>
      </c>
      <c r="V186" s="19" t="s">
        <v>336</v>
      </c>
      <c r="W186" s="20" t="s">
        <v>815</v>
      </c>
    </row>
    <row r="187" spans="1:23" ht="18" customHeight="1">
      <c r="A187" s="10" t="s">
        <v>23</v>
      </c>
      <c r="B187" s="10" t="s">
        <v>24</v>
      </c>
      <c r="C187" s="10" t="s">
        <v>25</v>
      </c>
      <c r="D187" s="12">
        <v>2019</v>
      </c>
      <c r="E187" s="10" t="s">
        <v>816</v>
      </c>
      <c r="F187" s="10" t="s">
        <v>817</v>
      </c>
      <c r="G187" s="10" t="s">
        <v>148</v>
      </c>
      <c r="H187" s="10" t="s">
        <v>149</v>
      </c>
      <c r="I187" s="13">
        <v>717.96612360689994</v>
      </c>
      <c r="J187" s="13">
        <v>461.31205117590002</v>
      </c>
      <c r="K187" s="13">
        <v>256.65407243099997</v>
      </c>
      <c r="L187" s="13">
        <v>349.36730802450001</v>
      </c>
      <c r="M187" s="13">
        <v>368.59881558239999</v>
      </c>
      <c r="N187" s="10" t="s">
        <v>818</v>
      </c>
      <c r="O187" s="14">
        <v>4.1100000000000003</v>
      </c>
      <c r="P187" s="10" t="s">
        <v>31</v>
      </c>
      <c r="Q187" s="14" t="s">
        <v>32</v>
      </c>
      <c r="R187" s="10" t="s">
        <v>33</v>
      </c>
      <c r="S187" s="10" t="s">
        <v>816</v>
      </c>
      <c r="T187" s="14">
        <f>IF(O187="","",(1/Metadata!$B$5)^(O187-1))</f>
        <v>1288.2495516931358</v>
      </c>
      <c r="U187" s="13">
        <f t="shared" si="2"/>
        <v>924919.53686744743</v>
      </c>
      <c r="V187" s="19" t="s">
        <v>151</v>
      </c>
      <c r="W187" s="20" t="s">
        <v>819</v>
      </c>
    </row>
    <row r="188" spans="1:23" ht="18" customHeight="1">
      <c r="A188" s="10" t="s">
        <v>23</v>
      </c>
      <c r="B188" s="10" t="s">
        <v>24</v>
      </c>
      <c r="C188" s="10" t="s">
        <v>25</v>
      </c>
      <c r="D188" s="12">
        <v>2019</v>
      </c>
      <c r="E188" s="10" t="s">
        <v>820</v>
      </c>
      <c r="F188" s="10" t="s">
        <v>821</v>
      </c>
      <c r="G188" s="10" t="s">
        <v>65</v>
      </c>
      <c r="H188" s="10" t="s">
        <v>66</v>
      </c>
      <c r="I188" s="13">
        <v>686.18162290610007</v>
      </c>
      <c r="J188" s="13">
        <v>686.18162290610007</v>
      </c>
      <c r="K188" s="13">
        <v>0</v>
      </c>
      <c r="L188" s="13">
        <v>645.81089120050001</v>
      </c>
      <c r="M188" s="13">
        <v>40.370731705600001</v>
      </c>
      <c r="N188" s="10" t="s">
        <v>822</v>
      </c>
      <c r="O188" s="14">
        <v>3.33</v>
      </c>
      <c r="P188" s="10" t="s">
        <v>31</v>
      </c>
      <c r="Q188" s="14" t="s">
        <v>32</v>
      </c>
      <c r="R188" s="10" t="s">
        <v>33</v>
      </c>
      <c r="S188" s="10" t="s">
        <v>820</v>
      </c>
      <c r="T188" s="14">
        <f>IF(O188="","",(1/Metadata!$B$5)^(O188-1))</f>
        <v>213.79620895022339</v>
      </c>
      <c r="U188" s="13">
        <f t="shared" si="2"/>
        <v>146703.02962863597</v>
      </c>
      <c r="V188" s="19" t="s">
        <v>322</v>
      </c>
      <c r="W188" s="20" t="s">
        <v>823</v>
      </c>
    </row>
    <row r="189" spans="1:23" ht="18" customHeight="1">
      <c r="A189" s="10" t="s">
        <v>23</v>
      </c>
      <c r="B189" s="10" t="s">
        <v>24</v>
      </c>
      <c r="C189" s="10" t="s">
        <v>25</v>
      </c>
      <c r="D189" s="12">
        <v>2019</v>
      </c>
      <c r="E189" s="10" t="s">
        <v>824</v>
      </c>
      <c r="F189" s="10" t="s">
        <v>825</v>
      </c>
      <c r="G189" s="10" t="s">
        <v>81</v>
      </c>
      <c r="H189" s="10" t="s">
        <v>66</v>
      </c>
      <c r="I189" s="13">
        <v>663.45400860320001</v>
      </c>
      <c r="J189" s="13">
        <v>663.45400860320001</v>
      </c>
      <c r="K189" s="13">
        <v>0</v>
      </c>
      <c r="L189" s="13">
        <v>0</v>
      </c>
      <c r="M189" s="13">
        <v>663.45400860320001</v>
      </c>
      <c r="N189" s="10" t="s">
        <v>826</v>
      </c>
      <c r="O189" s="14">
        <v>2.66</v>
      </c>
      <c r="P189" s="10" t="s">
        <v>41</v>
      </c>
      <c r="Q189" s="14" t="s">
        <v>42</v>
      </c>
      <c r="R189" s="10" t="s">
        <v>33</v>
      </c>
      <c r="S189" s="10" t="s">
        <v>824</v>
      </c>
      <c r="T189" s="14">
        <f>IF(O189="","",(1/Metadata!$B$5)^(O189-1))</f>
        <v>45.70881896148753</v>
      </c>
      <c r="U189" s="13">
        <f t="shared" si="2"/>
        <v>30325.699168516861</v>
      </c>
      <c r="V189" s="19" t="s">
        <v>81</v>
      </c>
      <c r="W189" s="20" t="s">
        <v>827</v>
      </c>
    </row>
    <row r="190" spans="1:23" ht="18" customHeight="1">
      <c r="A190" s="10" t="s">
        <v>23</v>
      </c>
      <c r="B190" s="10" t="s">
        <v>24</v>
      </c>
      <c r="C190" s="10" t="s">
        <v>25</v>
      </c>
      <c r="D190" s="12">
        <v>2019</v>
      </c>
      <c r="E190" s="10" t="s">
        <v>828</v>
      </c>
      <c r="F190" s="10" t="s">
        <v>829</v>
      </c>
      <c r="G190" s="10" t="s">
        <v>81</v>
      </c>
      <c r="H190" s="10" t="s">
        <v>66</v>
      </c>
      <c r="I190" s="13">
        <v>658.9165637525</v>
      </c>
      <c r="J190" s="13">
        <v>658.9165637525</v>
      </c>
      <c r="K190" s="13">
        <v>0</v>
      </c>
      <c r="L190" s="13">
        <v>0</v>
      </c>
      <c r="M190" s="13">
        <v>658.9165637525</v>
      </c>
      <c r="N190" s="10" t="s">
        <v>830</v>
      </c>
      <c r="O190" s="14">
        <v>2.7</v>
      </c>
      <c r="P190" s="10" t="s">
        <v>41</v>
      </c>
      <c r="Q190" s="14" t="s">
        <v>42</v>
      </c>
      <c r="R190" s="10" t="s">
        <v>33</v>
      </c>
      <c r="S190" s="10" t="s">
        <v>828</v>
      </c>
      <c r="T190" s="14">
        <f>IF(O190="","",(1/Metadata!$B$5)^(O190-1))</f>
        <v>50.118723362727259</v>
      </c>
      <c r="U190" s="13">
        <f t="shared" si="2"/>
        <v>33024.056977830383</v>
      </c>
      <c r="V190" s="19" t="s">
        <v>81</v>
      </c>
      <c r="W190" s="20" t="s">
        <v>831</v>
      </c>
    </row>
    <row r="191" spans="1:23" ht="18" customHeight="1">
      <c r="A191" s="10" t="s">
        <v>23</v>
      </c>
      <c r="B191" s="10" t="s">
        <v>24</v>
      </c>
      <c r="C191" s="10" t="s">
        <v>25</v>
      </c>
      <c r="D191" s="12">
        <v>2019</v>
      </c>
      <c r="E191" s="10" t="s">
        <v>832</v>
      </c>
      <c r="F191" s="10" t="s">
        <v>833</v>
      </c>
      <c r="G191" s="10" t="s">
        <v>134</v>
      </c>
      <c r="H191" s="10" t="s">
        <v>48</v>
      </c>
      <c r="I191" s="13">
        <v>641.57079687019996</v>
      </c>
      <c r="J191" s="13">
        <v>641.57079687019996</v>
      </c>
      <c r="K191" s="13">
        <v>0</v>
      </c>
      <c r="L191" s="13">
        <v>0</v>
      </c>
      <c r="M191" s="13">
        <v>641.57079687019996</v>
      </c>
      <c r="N191" s="10" t="s">
        <v>834</v>
      </c>
      <c r="O191" s="14">
        <v>4.4800000000000004</v>
      </c>
      <c r="P191" s="10" t="s">
        <v>31</v>
      </c>
      <c r="Q191" s="14" t="s">
        <v>32</v>
      </c>
      <c r="R191" s="10" t="s">
        <v>33</v>
      </c>
      <c r="S191" s="10" t="s">
        <v>832</v>
      </c>
      <c r="T191" s="14">
        <f>IF(O191="","",(1/Metadata!$B$5)^(O191-1))</f>
        <v>3019.9517204020231</v>
      </c>
      <c r="U191" s="13">
        <f t="shared" si="2"/>
        <v>1937512.8317678573</v>
      </c>
      <c r="V191" s="19" t="s">
        <v>92</v>
      </c>
      <c r="W191" s="20" t="s">
        <v>835</v>
      </c>
    </row>
    <row r="192" spans="1:23" ht="18" customHeight="1">
      <c r="A192" s="10" t="s">
        <v>23</v>
      </c>
      <c r="B192" s="10" t="s">
        <v>24</v>
      </c>
      <c r="C192" s="10" t="s">
        <v>25</v>
      </c>
      <c r="D192" s="12">
        <v>2019</v>
      </c>
      <c r="E192" s="10" t="s">
        <v>836</v>
      </c>
      <c r="F192" s="10" t="s">
        <v>837</v>
      </c>
      <c r="G192" s="10" t="s">
        <v>155</v>
      </c>
      <c r="H192" s="10" t="s">
        <v>48</v>
      </c>
      <c r="I192" s="13">
        <v>641.21990254570005</v>
      </c>
      <c r="J192" s="13">
        <v>641.21990254570005</v>
      </c>
      <c r="K192" s="13">
        <v>0</v>
      </c>
      <c r="L192" s="13">
        <v>188.18106202120001</v>
      </c>
      <c r="M192" s="13">
        <v>453.03884052450002</v>
      </c>
      <c r="N192" s="10" t="s">
        <v>838</v>
      </c>
      <c r="O192" s="14">
        <v>3.32</v>
      </c>
      <c r="P192" s="10" t="s">
        <v>41</v>
      </c>
      <c r="Q192" s="14" t="s">
        <v>42</v>
      </c>
      <c r="R192" s="10" t="s">
        <v>33</v>
      </c>
      <c r="S192" s="10" t="s">
        <v>836</v>
      </c>
      <c r="T192" s="14">
        <f>IF(O192="","",(1/Metadata!$B$5)^(O192-1))</f>
        <v>208.92961308540396</v>
      </c>
      <c r="U192" s="13">
        <f t="shared" si="2"/>
        <v>133969.82614153356</v>
      </c>
      <c r="V192" s="19" t="s">
        <v>87</v>
      </c>
      <c r="W192" s="20" t="s">
        <v>115</v>
      </c>
    </row>
    <row r="193" spans="1:23" ht="18" customHeight="1">
      <c r="A193" s="10" t="s">
        <v>23</v>
      </c>
      <c r="B193" s="10" t="s">
        <v>24</v>
      </c>
      <c r="C193" s="10" t="s">
        <v>25</v>
      </c>
      <c r="D193" s="12">
        <v>2019</v>
      </c>
      <c r="E193" s="10" t="s">
        <v>839</v>
      </c>
      <c r="F193" s="10" t="s">
        <v>840</v>
      </c>
      <c r="G193" s="10" t="s">
        <v>155</v>
      </c>
      <c r="H193" s="10" t="s">
        <v>48</v>
      </c>
      <c r="I193" s="13">
        <v>622.92001350969997</v>
      </c>
      <c r="J193" s="13">
        <v>598.37358186990002</v>
      </c>
      <c r="K193" s="13">
        <v>24.546431639800002</v>
      </c>
      <c r="L193" s="13">
        <v>449.03948499889998</v>
      </c>
      <c r="M193" s="13">
        <v>173.88052851079999</v>
      </c>
      <c r="N193" s="10" t="s">
        <v>841</v>
      </c>
      <c r="O193" s="14">
        <v>3.47</v>
      </c>
      <c r="P193" s="10" t="s">
        <v>31</v>
      </c>
      <c r="Q193" s="14" t="s">
        <v>32</v>
      </c>
      <c r="R193" s="10" t="s">
        <v>33</v>
      </c>
      <c r="S193" s="10" t="s">
        <v>839</v>
      </c>
      <c r="T193" s="14">
        <f>IF(O193="","",(1/Metadata!$B$5)^(O193-1))</f>
        <v>295.12092266663893</v>
      </c>
      <c r="U193" s="13">
        <f t="shared" si="2"/>
        <v>183836.72913449784</v>
      </c>
      <c r="V193" s="22" t="s">
        <v>105</v>
      </c>
      <c r="W193" s="20" t="s">
        <v>842</v>
      </c>
    </row>
    <row r="194" spans="1:23" ht="18" customHeight="1">
      <c r="A194" s="10" t="s">
        <v>23</v>
      </c>
      <c r="B194" s="10" t="s">
        <v>24</v>
      </c>
      <c r="C194" s="10" t="s">
        <v>25</v>
      </c>
      <c r="D194" s="12">
        <v>2019</v>
      </c>
      <c r="E194" s="10" t="s">
        <v>843</v>
      </c>
      <c r="F194" s="10" t="s">
        <v>844</v>
      </c>
      <c r="G194" s="10" t="s">
        <v>164</v>
      </c>
      <c r="H194" s="10" t="s">
        <v>48</v>
      </c>
      <c r="I194" s="13">
        <v>611.43995995599994</v>
      </c>
      <c r="J194" s="13">
        <v>611.43995995599994</v>
      </c>
      <c r="K194" s="13">
        <v>0</v>
      </c>
      <c r="L194" s="13">
        <v>0</v>
      </c>
      <c r="M194" s="13">
        <v>611.43995995599994</v>
      </c>
      <c r="N194" s="10" t="s">
        <v>845</v>
      </c>
      <c r="O194" s="14">
        <v>3.8</v>
      </c>
      <c r="P194" s="10" t="s">
        <v>41</v>
      </c>
      <c r="Q194" s="14" t="s">
        <v>42</v>
      </c>
      <c r="R194" s="10" t="s">
        <v>33</v>
      </c>
      <c r="S194" s="10" t="s">
        <v>843</v>
      </c>
      <c r="T194" s="14">
        <f>IF(O194="","",(1/Metadata!$B$5)^(O194-1))</f>
        <v>630.95734448019323</v>
      </c>
      <c r="U194" s="13">
        <f t="shared" ref="U194:U257" si="3">IF(T194="","",I194*T194)</f>
        <v>385792.53344291338</v>
      </c>
      <c r="V194" s="19" t="s">
        <v>105</v>
      </c>
      <c r="W194" s="20" t="s">
        <v>846</v>
      </c>
    </row>
    <row r="195" spans="1:23" ht="18" customHeight="1">
      <c r="A195" s="10" t="s">
        <v>23</v>
      </c>
      <c r="B195" s="10" t="s">
        <v>24</v>
      </c>
      <c r="C195" s="10" t="s">
        <v>25</v>
      </c>
      <c r="D195" s="12">
        <v>2019</v>
      </c>
      <c r="E195" s="10" t="s">
        <v>847</v>
      </c>
      <c r="F195" s="10" t="s">
        <v>848</v>
      </c>
      <c r="G195" s="10" t="s">
        <v>28</v>
      </c>
      <c r="H195" s="10" t="s">
        <v>29</v>
      </c>
      <c r="I195" s="13">
        <v>598.5057446582</v>
      </c>
      <c r="J195" s="13">
        <v>598.5057446582</v>
      </c>
      <c r="K195" s="13">
        <v>0</v>
      </c>
      <c r="L195" s="13">
        <v>126.8560371861</v>
      </c>
      <c r="M195" s="13">
        <v>471.64970747209998</v>
      </c>
      <c r="N195" s="10" t="s">
        <v>849</v>
      </c>
      <c r="O195" s="14">
        <v>2.77</v>
      </c>
      <c r="P195" s="10" t="s">
        <v>41</v>
      </c>
      <c r="Q195" s="14" t="s">
        <v>42</v>
      </c>
      <c r="R195" s="10" t="s">
        <v>33</v>
      </c>
      <c r="S195" s="10" t="s">
        <v>847</v>
      </c>
      <c r="T195" s="14">
        <f>IF(O195="","",(1/Metadata!$B$5)^(O195-1))</f>
        <v>58.884365535558949</v>
      </c>
      <c r="U195" s="13">
        <f t="shared" si="3"/>
        <v>35242.631043585359</v>
      </c>
      <c r="V195" s="19" t="s">
        <v>34</v>
      </c>
      <c r="W195" s="20" t="s">
        <v>850</v>
      </c>
    </row>
    <row r="196" spans="1:23" ht="18" customHeight="1">
      <c r="A196" s="10" t="s">
        <v>23</v>
      </c>
      <c r="B196" s="10" t="s">
        <v>24</v>
      </c>
      <c r="C196" s="10" t="s">
        <v>25</v>
      </c>
      <c r="D196" s="12">
        <v>2019</v>
      </c>
      <c r="E196" s="10" t="s">
        <v>851</v>
      </c>
      <c r="F196" s="10" t="s">
        <v>852</v>
      </c>
      <c r="G196" s="10" t="s">
        <v>54</v>
      </c>
      <c r="H196" s="10" t="s">
        <v>48</v>
      </c>
      <c r="I196" s="13">
        <v>580.50017428130002</v>
      </c>
      <c r="J196" s="13">
        <v>580.50017428130002</v>
      </c>
      <c r="K196" s="13">
        <v>0</v>
      </c>
      <c r="L196" s="13">
        <v>580.50017428130002</v>
      </c>
      <c r="M196" s="13">
        <v>0</v>
      </c>
      <c r="N196" s="10" t="s">
        <v>853</v>
      </c>
      <c r="O196" s="14">
        <v>3.95</v>
      </c>
      <c r="P196" s="10" t="s">
        <v>31</v>
      </c>
      <c r="Q196" s="14" t="s">
        <v>32</v>
      </c>
      <c r="R196" s="10" t="s">
        <v>33</v>
      </c>
      <c r="S196" s="10" t="s">
        <v>851</v>
      </c>
      <c r="T196" s="14">
        <f>IF(O196="","",(1/Metadata!$B$5)^(O196-1))</f>
        <v>891.25093813374656</v>
      </c>
      <c r="U196" s="13">
        <f t="shared" si="3"/>
        <v>517371.324915012</v>
      </c>
      <c r="V196" s="22" t="s">
        <v>105</v>
      </c>
      <c r="W196" s="20" t="s">
        <v>854</v>
      </c>
    </row>
    <row r="197" spans="1:23" ht="18" customHeight="1">
      <c r="A197" s="10" t="s">
        <v>23</v>
      </c>
      <c r="B197" s="10" t="s">
        <v>24</v>
      </c>
      <c r="C197" s="10" t="s">
        <v>25</v>
      </c>
      <c r="D197" s="12">
        <v>2019</v>
      </c>
      <c r="E197" s="10" t="s">
        <v>855</v>
      </c>
      <c r="F197" s="10" t="s">
        <v>856</v>
      </c>
      <c r="G197" s="10" t="s">
        <v>38</v>
      </c>
      <c r="H197" s="10" t="s">
        <v>48</v>
      </c>
      <c r="I197" s="13">
        <v>566.94374739659997</v>
      </c>
      <c r="J197" s="13">
        <v>566.94374739659997</v>
      </c>
      <c r="K197" s="13">
        <v>0</v>
      </c>
      <c r="L197" s="13">
        <v>222.6854635361</v>
      </c>
      <c r="M197" s="13">
        <v>344.2582838605</v>
      </c>
      <c r="N197" s="10" t="s">
        <v>857</v>
      </c>
      <c r="O197" s="14">
        <v>3.95</v>
      </c>
      <c r="P197" s="10" t="s">
        <v>31</v>
      </c>
      <c r="Q197" s="14" t="s">
        <v>32</v>
      </c>
      <c r="R197" s="10" t="s">
        <v>33</v>
      </c>
      <c r="S197" s="10" t="s">
        <v>855</v>
      </c>
      <c r="T197" s="14">
        <f>IF(O197="","",(1/Metadata!$B$5)^(O197-1))</f>
        <v>891.25093813374656</v>
      </c>
      <c r="U197" s="13">
        <f t="shared" si="3"/>
        <v>505289.14673628157</v>
      </c>
      <c r="V197" s="22" t="s">
        <v>105</v>
      </c>
      <c r="W197" s="20" t="s">
        <v>858</v>
      </c>
    </row>
    <row r="198" spans="1:23" ht="18" customHeight="1">
      <c r="A198" s="10" t="s">
        <v>23</v>
      </c>
      <c r="B198" s="10" t="s">
        <v>24</v>
      </c>
      <c r="C198" s="10" t="s">
        <v>25</v>
      </c>
      <c r="D198" s="12">
        <v>2019</v>
      </c>
      <c r="E198" s="10" t="s">
        <v>859</v>
      </c>
      <c r="F198" s="10" t="s">
        <v>860</v>
      </c>
      <c r="G198" s="10" t="s">
        <v>28</v>
      </c>
      <c r="H198" s="10" t="s">
        <v>48</v>
      </c>
      <c r="I198" s="13">
        <v>554.01415281849995</v>
      </c>
      <c r="J198" s="13">
        <v>554.01415281849995</v>
      </c>
      <c r="K198" s="13">
        <v>0</v>
      </c>
      <c r="L198" s="13">
        <v>0</v>
      </c>
      <c r="M198" s="13">
        <v>554.01415281849995</v>
      </c>
      <c r="N198" s="10" t="s">
        <v>861</v>
      </c>
      <c r="O198" s="14">
        <v>3.7</v>
      </c>
      <c r="P198" s="10" t="s">
        <v>41</v>
      </c>
      <c r="Q198" s="14" t="s">
        <v>42</v>
      </c>
      <c r="R198" s="10" t="s">
        <v>33</v>
      </c>
      <c r="S198" s="10" t="s">
        <v>859</v>
      </c>
      <c r="T198" s="14">
        <f>IF(O198="","",(1/Metadata!$B$5)^(O198-1))</f>
        <v>501.18723362727269</v>
      </c>
      <c r="U198" s="13">
        <f t="shared" si="3"/>
        <v>277664.82064146106</v>
      </c>
      <c r="V198" s="19" t="s">
        <v>92</v>
      </c>
      <c r="W198" s="20" t="s">
        <v>862</v>
      </c>
    </row>
    <row r="199" spans="1:23" ht="18" customHeight="1">
      <c r="A199" s="10" t="s">
        <v>23</v>
      </c>
      <c r="B199" s="10" t="s">
        <v>24</v>
      </c>
      <c r="C199" s="10" t="s">
        <v>25</v>
      </c>
      <c r="D199" s="12">
        <v>2019</v>
      </c>
      <c r="E199" s="10" t="s">
        <v>863</v>
      </c>
      <c r="F199" s="10" t="s">
        <v>864</v>
      </c>
      <c r="G199" s="10" t="s">
        <v>334</v>
      </c>
      <c r="H199" s="10" t="s">
        <v>149</v>
      </c>
      <c r="I199" s="13">
        <v>551.01871878220004</v>
      </c>
      <c r="J199" s="13">
        <v>551.01871878220004</v>
      </c>
      <c r="K199" s="13">
        <v>0</v>
      </c>
      <c r="L199" s="13">
        <v>0</v>
      </c>
      <c r="M199" s="13">
        <v>551.01871878220004</v>
      </c>
      <c r="N199" s="10" t="s">
        <v>865</v>
      </c>
      <c r="O199" s="14">
        <v>3.71</v>
      </c>
      <c r="P199" s="10" t="s">
        <v>31</v>
      </c>
      <c r="Q199" s="14" t="s">
        <v>32</v>
      </c>
      <c r="R199" s="10" t="s">
        <v>33</v>
      </c>
      <c r="S199" s="10" t="s">
        <v>863</v>
      </c>
      <c r="T199" s="14">
        <f>IF(O199="","",(1/Metadata!$B$5)^(O199-1))</f>
        <v>512.86138399136519</v>
      </c>
      <c r="U199" s="13">
        <f t="shared" si="3"/>
        <v>282596.22271978797</v>
      </c>
      <c r="V199" s="19" t="s">
        <v>336</v>
      </c>
      <c r="W199" s="20" t="s">
        <v>866</v>
      </c>
    </row>
    <row r="200" spans="1:23" ht="18" customHeight="1">
      <c r="A200" s="10" t="s">
        <v>23</v>
      </c>
      <c r="B200" s="10" t="s">
        <v>24</v>
      </c>
      <c r="C200" s="10" t="s">
        <v>25</v>
      </c>
      <c r="D200" s="12">
        <v>2019</v>
      </c>
      <c r="E200" s="10" t="s">
        <v>867</v>
      </c>
      <c r="F200" s="10" t="s">
        <v>868</v>
      </c>
      <c r="G200" s="10" t="s">
        <v>869</v>
      </c>
      <c r="H200" s="10" t="s">
        <v>149</v>
      </c>
      <c r="I200" s="13">
        <v>549.71834267679992</v>
      </c>
      <c r="J200" s="13">
        <v>549.71834267679992</v>
      </c>
      <c r="K200" s="13">
        <v>0</v>
      </c>
      <c r="L200" s="13">
        <v>0</v>
      </c>
      <c r="M200" s="13">
        <v>549.71834267679992</v>
      </c>
      <c r="N200" s="10" t="s">
        <v>870</v>
      </c>
      <c r="O200" s="14">
        <v>3.76</v>
      </c>
      <c r="P200" s="10" t="s">
        <v>31</v>
      </c>
      <c r="Q200" s="14" t="s">
        <v>32</v>
      </c>
      <c r="R200" s="10" t="s">
        <v>33</v>
      </c>
      <c r="S200" s="10" t="s">
        <v>867</v>
      </c>
      <c r="T200" s="14">
        <f>IF(O200="","",(1/Metadata!$B$5)^(O200-1))</f>
        <v>575.43993733715706</v>
      </c>
      <c r="U200" s="13">
        <f t="shared" si="3"/>
        <v>316329.88866302359</v>
      </c>
      <c r="V200" s="19" t="s">
        <v>336</v>
      </c>
      <c r="W200" s="20" t="s">
        <v>871</v>
      </c>
    </row>
    <row r="201" spans="1:23" ht="18" customHeight="1">
      <c r="A201" s="10" t="s">
        <v>23</v>
      </c>
      <c r="B201" s="10" t="s">
        <v>24</v>
      </c>
      <c r="C201" s="10" t="s">
        <v>25</v>
      </c>
      <c r="D201" s="12">
        <v>2019</v>
      </c>
      <c r="E201" s="10" t="s">
        <v>872</v>
      </c>
      <c r="F201" s="10" t="s">
        <v>873</v>
      </c>
      <c r="G201" s="10" t="s">
        <v>334</v>
      </c>
      <c r="H201" s="10" t="s">
        <v>149</v>
      </c>
      <c r="I201" s="13">
        <v>546.06968128120002</v>
      </c>
      <c r="J201" s="13">
        <v>546.06968128120002</v>
      </c>
      <c r="K201" s="13">
        <v>0</v>
      </c>
      <c r="L201" s="13">
        <v>0</v>
      </c>
      <c r="M201" s="13">
        <v>546.06968128120002</v>
      </c>
      <c r="N201" s="10" t="s">
        <v>874</v>
      </c>
      <c r="O201" s="14">
        <v>3.8</v>
      </c>
      <c r="P201" s="10" t="s">
        <v>41</v>
      </c>
      <c r="Q201" s="14" t="s">
        <v>42</v>
      </c>
      <c r="R201" s="10" t="s">
        <v>33</v>
      </c>
      <c r="S201" s="10" t="s">
        <v>872</v>
      </c>
      <c r="T201" s="14">
        <f>IF(O201="","",(1/Metadata!$B$5)^(O201-1))</f>
        <v>630.95734448019323</v>
      </c>
      <c r="U201" s="13">
        <f t="shared" si="3"/>
        <v>344546.67600233143</v>
      </c>
      <c r="V201" s="19" t="s">
        <v>336</v>
      </c>
      <c r="W201" s="20" t="s">
        <v>875</v>
      </c>
    </row>
    <row r="202" spans="1:23" ht="18" customHeight="1">
      <c r="A202" s="10" t="s">
        <v>23</v>
      </c>
      <c r="B202" s="10" t="s">
        <v>24</v>
      </c>
      <c r="C202" s="10" t="s">
        <v>25</v>
      </c>
      <c r="D202" s="12">
        <v>2019</v>
      </c>
      <c r="E202" s="10" t="s">
        <v>876</v>
      </c>
      <c r="F202" s="10" t="s">
        <v>877</v>
      </c>
      <c r="G202" s="10" t="s">
        <v>54</v>
      </c>
      <c r="H202" s="10" t="s">
        <v>55</v>
      </c>
      <c r="I202" s="13">
        <v>544.86273797110005</v>
      </c>
      <c r="J202" s="13">
        <v>544.8239384108</v>
      </c>
      <c r="K202" s="13">
        <v>3.8799560300000001E-2</v>
      </c>
      <c r="L202" s="13">
        <v>540.08596043249997</v>
      </c>
      <c r="M202" s="13">
        <v>4.7767775386000002</v>
      </c>
      <c r="N202" s="10" t="s">
        <v>878</v>
      </c>
      <c r="O202" s="14">
        <v>4.21</v>
      </c>
      <c r="P202" s="10" t="s">
        <v>31</v>
      </c>
      <c r="Q202" s="14" t="s">
        <v>32</v>
      </c>
      <c r="R202" s="10" t="s">
        <v>33</v>
      </c>
      <c r="S202" s="10" t="s">
        <v>876</v>
      </c>
      <c r="T202" s="14">
        <f>IF(O202="","",(1/Metadata!$B$5)^(O202-1))</f>
        <v>1621.8100973589308</v>
      </c>
      <c r="U202" s="13">
        <f t="shared" si="3"/>
        <v>883663.8901161633</v>
      </c>
      <c r="V202" s="22" t="s">
        <v>57</v>
      </c>
      <c r="W202" s="20" t="s">
        <v>879</v>
      </c>
    </row>
    <row r="203" spans="1:23" ht="18" customHeight="1">
      <c r="A203" s="10" t="s">
        <v>23</v>
      </c>
      <c r="B203" s="10" t="s">
        <v>24</v>
      </c>
      <c r="C203" s="10" t="s">
        <v>25</v>
      </c>
      <c r="D203" s="12">
        <v>2019</v>
      </c>
      <c r="E203" s="10" t="s">
        <v>880</v>
      </c>
      <c r="F203" s="10" t="s">
        <v>881</v>
      </c>
      <c r="G203" s="10" t="s">
        <v>148</v>
      </c>
      <c r="H203" s="10" t="s">
        <v>149</v>
      </c>
      <c r="I203" s="13">
        <v>538.87421256940002</v>
      </c>
      <c r="J203" s="13">
        <v>538.87421256940002</v>
      </c>
      <c r="K203" s="13">
        <v>0</v>
      </c>
      <c r="L203" s="13">
        <v>538.87421256940002</v>
      </c>
      <c r="M203" s="13">
        <v>0</v>
      </c>
      <c r="N203" s="10" t="s">
        <v>882</v>
      </c>
      <c r="O203" s="14">
        <v>4.51</v>
      </c>
      <c r="P203" s="10" t="s">
        <v>31</v>
      </c>
      <c r="Q203" s="14" t="s">
        <v>32</v>
      </c>
      <c r="R203" s="10" t="s">
        <v>33</v>
      </c>
      <c r="S203" s="10" t="s">
        <v>880</v>
      </c>
      <c r="T203" s="14">
        <f>IF(O203="","",(1/Metadata!$B$5)^(O203-1))</f>
        <v>3235.9365692962833</v>
      </c>
      <c r="U203" s="13">
        <f t="shared" si="3"/>
        <v>1743762.7707040603</v>
      </c>
      <c r="V203" s="19" t="s">
        <v>151</v>
      </c>
      <c r="W203" s="20" t="s">
        <v>883</v>
      </c>
    </row>
    <row r="204" spans="1:23" ht="18" customHeight="1">
      <c r="A204" s="10" t="s">
        <v>23</v>
      </c>
      <c r="B204" s="10" t="s">
        <v>24</v>
      </c>
      <c r="C204" s="10" t="s">
        <v>25</v>
      </c>
      <c r="D204" s="12">
        <v>2019</v>
      </c>
      <c r="E204" s="10" t="s">
        <v>884</v>
      </c>
      <c r="F204" s="10" t="s">
        <v>885</v>
      </c>
      <c r="G204" s="10" t="s">
        <v>334</v>
      </c>
      <c r="H204" s="10" t="s">
        <v>149</v>
      </c>
      <c r="I204" s="13">
        <v>514.42622623</v>
      </c>
      <c r="J204" s="13">
        <v>514.42622623</v>
      </c>
      <c r="K204" s="13">
        <v>0</v>
      </c>
      <c r="L204" s="13">
        <v>372.06628020379998</v>
      </c>
      <c r="M204" s="13">
        <v>142.35994602619999</v>
      </c>
      <c r="N204" s="10" t="s">
        <v>886</v>
      </c>
      <c r="O204" s="14">
        <v>3.6</v>
      </c>
      <c r="P204" s="10" t="s">
        <v>31</v>
      </c>
      <c r="Q204" s="14" t="s">
        <v>32</v>
      </c>
      <c r="R204" s="10" t="s">
        <v>33</v>
      </c>
      <c r="S204" s="10" t="s">
        <v>884</v>
      </c>
      <c r="T204" s="14">
        <f>IF(O204="","",(1/Metadata!$B$5)^(O204-1))</f>
        <v>398.10717055349761</v>
      </c>
      <c r="U204" s="13">
        <f t="shared" si="3"/>
        <v>204796.76938293874</v>
      </c>
      <c r="V204" s="19" t="s">
        <v>336</v>
      </c>
      <c r="W204" s="20" t="s">
        <v>887</v>
      </c>
    </row>
    <row r="205" spans="1:23" ht="18" customHeight="1">
      <c r="A205" s="10" t="s">
        <v>23</v>
      </c>
      <c r="B205" s="10" t="s">
        <v>24</v>
      </c>
      <c r="C205" s="10" t="s">
        <v>25</v>
      </c>
      <c r="D205" s="12">
        <v>2019</v>
      </c>
      <c r="E205" s="10" t="s">
        <v>888</v>
      </c>
      <c r="F205" s="10" t="s">
        <v>889</v>
      </c>
      <c r="G205" s="10" t="s">
        <v>155</v>
      </c>
      <c r="H205" s="10" t="s">
        <v>48</v>
      </c>
      <c r="I205" s="13">
        <v>488.08269158799999</v>
      </c>
      <c r="J205" s="13">
        <v>474.09524176140002</v>
      </c>
      <c r="K205" s="13">
        <v>13.987449826600001</v>
      </c>
      <c r="L205" s="13">
        <v>324.40509928770001</v>
      </c>
      <c r="M205" s="13">
        <v>163.67759230030001</v>
      </c>
      <c r="N205" s="10" t="s">
        <v>890</v>
      </c>
      <c r="O205" s="14">
        <v>3.88</v>
      </c>
      <c r="P205" s="10" t="s">
        <v>41</v>
      </c>
      <c r="Q205" s="14" t="s">
        <v>42</v>
      </c>
      <c r="R205" s="10" t="s">
        <v>33</v>
      </c>
      <c r="S205" s="10" t="s">
        <v>888</v>
      </c>
      <c r="T205" s="14">
        <f>IF(O205="","",(1/Metadata!$B$5)^(O205-1))</f>
        <v>758.57757502918378</v>
      </c>
      <c r="U205" s="13">
        <f t="shared" si="3"/>
        <v>370248.58459854202</v>
      </c>
      <c r="V205" s="22" t="s">
        <v>105</v>
      </c>
      <c r="W205" s="20" t="s">
        <v>891</v>
      </c>
    </row>
    <row r="206" spans="1:23" ht="18" customHeight="1">
      <c r="A206" s="10" t="s">
        <v>23</v>
      </c>
      <c r="B206" s="10" t="s">
        <v>24</v>
      </c>
      <c r="C206" s="10" t="s">
        <v>25</v>
      </c>
      <c r="D206" s="12">
        <v>2019</v>
      </c>
      <c r="E206" s="10" t="s">
        <v>892</v>
      </c>
      <c r="F206" s="10" t="s">
        <v>893</v>
      </c>
      <c r="G206" s="10" t="s">
        <v>155</v>
      </c>
      <c r="H206" s="10" t="s">
        <v>48</v>
      </c>
      <c r="I206" s="13">
        <v>487.95586391320001</v>
      </c>
      <c r="J206" s="13">
        <v>463.4169309852</v>
      </c>
      <c r="K206" s="13">
        <v>24.538932928000001</v>
      </c>
      <c r="L206" s="13">
        <v>454.76018899360002</v>
      </c>
      <c r="M206" s="13">
        <v>33.195674919600002</v>
      </c>
      <c r="N206" s="10" t="s">
        <v>894</v>
      </c>
      <c r="O206" s="14">
        <v>2.67</v>
      </c>
      <c r="P206" s="10" t="s">
        <v>31</v>
      </c>
      <c r="Q206" s="14" t="s">
        <v>32</v>
      </c>
      <c r="R206" s="10" t="s">
        <v>33</v>
      </c>
      <c r="S206" s="10" t="s">
        <v>892</v>
      </c>
      <c r="T206" s="14">
        <f>IF(O206="","",(1/Metadata!$B$5)^(O206-1))</f>
        <v>46.773514128719818</v>
      </c>
      <c r="U206" s="13">
        <f t="shared" si="3"/>
        <v>22823.410494935746</v>
      </c>
      <c r="V206" s="22" t="s">
        <v>181</v>
      </c>
      <c r="W206" s="20" t="s">
        <v>895</v>
      </c>
    </row>
    <row r="207" spans="1:23" ht="18" customHeight="1">
      <c r="A207" s="10" t="s">
        <v>23</v>
      </c>
      <c r="B207" s="10" t="s">
        <v>24</v>
      </c>
      <c r="C207" s="10" t="s">
        <v>25</v>
      </c>
      <c r="D207" s="12">
        <v>2019</v>
      </c>
      <c r="E207" s="10" t="s">
        <v>896</v>
      </c>
      <c r="F207" s="10" t="s">
        <v>897</v>
      </c>
      <c r="G207" s="10" t="s">
        <v>809</v>
      </c>
      <c r="H207" s="10" t="s">
        <v>149</v>
      </c>
      <c r="I207" s="13">
        <v>478.11285671079997</v>
      </c>
      <c r="J207" s="13">
        <v>478.11285671079997</v>
      </c>
      <c r="K207" s="13">
        <v>0</v>
      </c>
      <c r="L207" s="13">
        <v>369.80468892430002</v>
      </c>
      <c r="M207" s="13">
        <v>108.30816778649999</v>
      </c>
      <c r="N207" s="10" t="s">
        <v>898</v>
      </c>
      <c r="O207" s="14">
        <v>3.9</v>
      </c>
      <c r="P207" s="10" t="s">
        <v>31</v>
      </c>
      <c r="Q207" s="14" t="s">
        <v>32</v>
      </c>
      <c r="R207" s="10" t="s">
        <v>33</v>
      </c>
      <c r="S207" s="10" t="s">
        <v>896</v>
      </c>
      <c r="T207" s="14">
        <f>IF(O207="","",(1/Metadata!$B$5)^(O207-1))</f>
        <v>794.32823472428208</v>
      </c>
      <c r="U207" s="13">
        <f t="shared" si="3"/>
        <v>379778.5414700734</v>
      </c>
      <c r="V207" s="19" t="s">
        <v>151</v>
      </c>
      <c r="W207" s="20" t="s">
        <v>899</v>
      </c>
    </row>
    <row r="208" spans="1:23" ht="18" customHeight="1">
      <c r="A208" s="10" t="s">
        <v>23</v>
      </c>
      <c r="B208" s="10" t="s">
        <v>24</v>
      </c>
      <c r="C208" s="10" t="s">
        <v>25</v>
      </c>
      <c r="D208" s="12">
        <v>2019</v>
      </c>
      <c r="E208" s="10" t="s">
        <v>900</v>
      </c>
      <c r="F208" s="10" t="s">
        <v>901</v>
      </c>
      <c r="G208" s="10" t="s">
        <v>148</v>
      </c>
      <c r="H208" s="10" t="s">
        <v>149</v>
      </c>
      <c r="I208" s="13">
        <v>465.60520974629998</v>
      </c>
      <c r="J208" s="13">
        <v>465.60520974629998</v>
      </c>
      <c r="K208" s="13">
        <v>0</v>
      </c>
      <c r="L208" s="13">
        <v>465.60520974629998</v>
      </c>
      <c r="M208" s="13">
        <v>0</v>
      </c>
      <c r="N208" s="10" t="s">
        <v>902</v>
      </c>
      <c r="O208" s="14">
        <v>4.5</v>
      </c>
      <c r="P208" s="10" t="s">
        <v>31</v>
      </c>
      <c r="Q208" s="14" t="s">
        <v>32</v>
      </c>
      <c r="R208" s="10" t="s">
        <v>33</v>
      </c>
      <c r="S208" s="10" t="s">
        <v>900</v>
      </c>
      <c r="T208" s="14">
        <f>IF(O208="","",(1/Metadata!$B$5)^(O208-1))</f>
        <v>3162.2776601683804</v>
      </c>
      <c r="U208" s="13">
        <f t="shared" si="3"/>
        <v>1472372.9532387375</v>
      </c>
      <c r="V208" s="19" t="s">
        <v>151</v>
      </c>
      <c r="W208" s="20" t="s">
        <v>903</v>
      </c>
    </row>
    <row r="209" spans="1:23" ht="18" customHeight="1">
      <c r="A209" s="10" t="s">
        <v>23</v>
      </c>
      <c r="B209" s="10" t="s">
        <v>24</v>
      </c>
      <c r="C209" s="10" t="s">
        <v>25</v>
      </c>
      <c r="D209" s="12">
        <v>2019</v>
      </c>
      <c r="E209" s="10" t="s">
        <v>904</v>
      </c>
      <c r="F209" s="10" t="s">
        <v>905</v>
      </c>
      <c r="G209" s="10" t="s">
        <v>123</v>
      </c>
      <c r="H209" s="10" t="s">
        <v>124</v>
      </c>
      <c r="I209" s="13">
        <v>456.89242008619999</v>
      </c>
      <c r="J209" s="13">
        <v>456.89242008619999</v>
      </c>
      <c r="K209" s="13">
        <v>0</v>
      </c>
      <c r="L209" s="13">
        <v>456.89242008619999</v>
      </c>
      <c r="M209" s="13">
        <v>0</v>
      </c>
      <c r="N209" s="10" t="s">
        <v>906</v>
      </c>
      <c r="O209" s="14">
        <v>2</v>
      </c>
      <c r="P209" s="10" t="s">
        <v>41</v>
      </c>
      <c r="Q209" s="14" t="s">
        <v>42</v>
      </c>
      <c r="R209" s="10" t="s">
        <v>33</v>
      </c>
      <c r="S209" s="10" t="s">
        <v>904</v>
      </c>
      <c r="T209" s="14">
        <f>IF(O209="","",(1/Metadata!$B$5)^(O209-1))</f>
        <v>10</v>
      </c>
      <c r="U209" s="13">
        <f t="shared" si="3"/>
        <v>4568.9242008620004</v>
      </c>
      <c r="V209" s="19" t="s">
        <v>126</v>
      </c>
      <c r="W209" s="20" t="s">
        <v>907</v>
      </c>
    </row>
    <row r="210" spans="1:23" ht="18" customHeight="1">
      <c r="A210" s="10" t="s">
        <v>23</v>
      </c>
      <c r="B210" s="10" t="s">
        <v>24</v>
      </c>
      <c r="C210" s="10" t="s">
        <v>25</v>
      </c>
      <c r="D210" s="12">
        <v>2019</v>
      </c>
      <c r="E210" s="10" t="s">
        <v>908</v>
      </c>
      <c r="F210" s="10" t="s">
        <v>909</v>
      </c>
      <c r="G210" s="10" t="s">
        <v>164</v>
      </c>
      <c r="H210" s="10" t="s">
        <v>39</v>
      </c>
      <c r="I210" s="13">
        <v>450.473176099</v>
      </c>
      <c r="J210" s="13">
        <v>407.88199042719998</v>
      </c>
      <c r="K210" s="13">
        <v>42.591185671799998</v>
      </c>
      <c r="L210" s="13">
        <v>294.1766666959</v>
      </c>
      <c r="M210" s="13">
        <v>156.2965094031</v>
      </c>
      <c r="N210" s="10" t="s">
        <v>910</v>
      </c>
      <c r="O210" s="14">
        <v>3.5</v>
      </c>
      <c r="P210" s="10" t="s">
        <v>41</v>
      </c>
      <c r="Q210" s="14" t="s">
        <v>42</v>
      </c>
      <c r="R210" s="10" t="s">
        <v>33</v>
      </c>
      <c r="S210" s="10" t="s">
        <v>908</v>
      </c>
      <c r="T210" s="14">
        <f>IF(O210="","",(1/Metadata!$B$5)^(O210-1))</f>
        <v>316.22776601683825</v>
      </c>
      <c r="U210" s="13">
        <f t="shared" si="3"/>
        <v>142452.12612829654</v>
      </c>
      <c r="V210" s="19" t="s">
        <v>73</v>
      </c>
      <c r="W210" s="20" t="s">
        <v>911</v>
      </c>
    </row>
    <row r="211" spans="1:23" ht="18" customHeight="1">
      <c r="A211" s="10" t="s">
        <v>23</v>
      </c>
      <c r="B211" s="10" t="s">
        <v>24</v>
      </c>
      <c r="C211" s="10" t="s">
        <v>25</v>
      </c>
      <c r="D211" s="12">
        <v>2019</v>
      </c>
      <c r="E211" s="10" t="s">
        <v>912</v>
      </c>
      <c r="F211" s="10" t="s">
        <v>913</v>
      </c>
      <c r="G211" s="10" t="s">
        <v>54</v>
      </c>
      <c r="H211" s="10" t="s">
        <v>48</v>
      </c>
      <c r="I211" s="13">
        <v>440.13151123030002</v>
      </c>
      <c r="J211" s="13">
        <v>440.13151123030002</v>
      </c>
      <c r="K211" s="13">
        <v>0</v>
      </c>
      <c r="L211" s="13">
        <v>333.4448217739</v>
      </c>
      <c r="M211" s="13">
        <v>106.6866894564</v>
      </c>
      <c r="N211" s="10" t="s">
        <v>914</v>
      </c>
      <c r="O211" s="14">
        <v>4.49</v>
      </c>
      <c r="P211" s="10" t="s">
        <v>41</v>
      </c>
      <c r="Q211" s="14" t="s">
        <v>42</v>
      </c>
      <c r="R211" s="10" t="s">
        <v>33</v>
      </c>
      <c r="S211" s="10" t="s">
        <v>912</v>
      </c>
      <c r="T211" s="14">
        <f>IF(O211="","",(1/Metadata!$B$5)^(O211-1))</f>
        <v>3090.295432513592</v>
      </c>
      <c r="U211" s="13">
        <f t="shared" si="3"/>
        <v>1360136.3988603009</v>
      </c>
      <c r="V211" s="22" t="s">
        <v>110</v>
      </c>
      <c r="W211" s="20" t="s">
        <v>915</v>
      </c>
    </row>
    <row r="212" spans="1:23" ht="18" customHeight="1">
      <c r="A212" s="10" t="s">
        <v>23</v>
      </c>
      <c r="B212" s="10" t="s">
        <v>24</v>
      </c>
      <c r="C212" s="10" t="s">
        <v>25</v>
      </c>
      <c r="D212" s="12">
        <v>2019</v>
      </c>
      <c r="E212" s="10" t="s">
        <v>916</v>
      </c>
      <c r="F212" s="10" t="s">
        <v>917</v>
      </c>
      <c r="G212" s="10" t="s">
        <v>155</v>
      </c>
      <c r="H212" s="10" t="s">
        <v>48</v>
      </c>
      <c r="I212" s="13">
        <v>420.51945549110002</v>
      </c>
      <c r="J212" s="13">
        <v>420.51945549110002</v>
      </c>
      <c r="K212" s="13">
        <v>0</v>
      </c>
      <c r="L212" s="13">
        <v>58.457570558700013</v>
      </c>
      <c r="M212" s="13">
        <v>362.06188493240001</v>
      </c>
      <c r="N212" s="10" t="s">
        <v>918</v>
      </c>
      <c r="O212" s="14">
        <v>3.99</v>
      </c>
      <c r="P212" s="10" t="s">
        <v>31</v>
      </c>
      <c r="Q212" s="14" t="s">
        <v>32</v>
      </c>
      <c r="R212" s="10" t="s">
        <v>33</v>
      </c>
      <c r="S212" s="10" t="s">
        <v>916</v>
      </c>
      <c r="T212" s="14">
        <f>IF(O212="","",(1/Metadata!$B$5)^(O212-1))</f>
        <v>977.23722095581138</v>
      </c>
      <c r="U212" s="13">
        <f t="shared" si="3"/>
        <v>410947.26404197357</v>
      </c>
      <c r="V212" s="19" t="s">
        <v>105</v>
      </c>
      <c r="W212" s="20" t="s">
        <v>919</v>
      </c>
    </row>
    <row r="213" spans="1:23" ht="18" customHeight="1">
      <c r="A213" s="10" t="s">
        <v>23</v>
      </c>
      <c r="B213" s="10" t="s">
        <v>24</v>
      </c>
      <c r="C213" s="10" t="s">
        <v>25</v>
      </c>
      <c r="D213" s="12">
        <v>2019</v>
      </c>
      <c r="E213" s="10" t="s">
        <v>920</v>
      </c>
      <c r="F213" s="10" t="s">
        <v>921</v>
      </c>
      <c r="G213" s="10" t="s">
        <v>38</v>
      </c>
      <c r="H213" s="10" t="s">
        <v>48</v>
      </c>
      <c r="I213" s="13">
        <v>412.16038287840001</v>
      </c>
      <c r="J213" s="13">
        <v>412.16038287840001</v>
      </c>
      <c r="K213" s="13">
        <v>0</v>
      </c>
      <c r="L213" s="13">
        <v>97.000610219199999</v>
      </c>
      <c r="M213" s="13">
        <v>315.15977265919997</v>
      </c>
      <c r="N213" s="10" t="s">
        <v>922</v>
      </c>
      <c r="O213" s="14">
        <v>3.48</v>
      </c>
      <c r="P213" s="10" t="s">
        <v>41</v>
      </c>
      <c r="Q213" s="14" t="s">
        <v>42</v>
      </c>
      <c r="R213" s="10" t="s">
        <v>33</v>
      </c>
      <c r="S213" s="10" t="s">
        <v>920</v>
      </c>
      <c r="T213" s="14">
        <f>IF(O213="","",(1/Metadata!$B$5)^(O213-1))</f>
        <v>301.99517204020168</v>
      </c>
      <c r="U213" s="13">
        <f t="shared" si="3"/>
        <v>124470.4457355178</v>
      </c>
      <c r="V213" s="22" t="s">
        <v>92</v>
      </c>
      <c r="W213" s="20" t="s">
        <v>923</v>
      </c>
    </row>
    <row r="214" spans="1:23" ht="18" customHeight="1">
      <c r="A214" s="10" t="s">
        <v>23</v>
      </c>
      <c r="B214" s="10" t="s">
        <v>24</v>
      </c>
      <c r="C214" s="10" t="s">
        <v>25</v>
      </c>
      <c r="D214" s="12">
        <v>2019</v>
      </c>
      <c r="E214" s="10" t="s">
        <v>924</v>
      </c>
      <c r="F214" s="10" t="s">
        <v>925</v>
      </c>
      <c r="G214" s="10" t="s">
        <v>155</v>
      </c>
      <c r="H214" s="10" t="s">
        <v>48</v>
      </c>
      <c r="I214" s="13">
        <v>394.41074376170002</v>
      </c>
      <c r="J214" s="13">
        <v>394.41074376170002</v>
      </c>
      <c r="K214" s="13">
        <v>0</v>
      </c>
      <c r="L214" s="13">
        <v>153.1106326327</v>
      </c>
      <c r="M214" s="13">
        <v>241.30011112899999</v>
      </c>
      <c r="N214" s="10" t="s">
        <v>926</v>
      </c>
      <c r="O214" s="14">
        <v>2</v>
      </c>
      <c r="P214" s="10" t="s">
        <v>41</v>
      </c>
      <c r="Q214" s="14" t="s">
        <v>42</v>
      </c>
      <c r="R214" s="10" t="s">
        <v>33</v>
      </c>
      <c r="S214" s="10" t="s">
        <v>924</v>
      </c>
      <c r="T214" s="14">
        <f>IF(O214="","",(1/Metadata!$B$5)^(O214-1))</f>
        <v>10</v>
      </c>
      <c r="U214" s="13">
        <f t="shared" si="3"/>
        <v>3944.107437617</v>
      </c>
      <c r="V214" s="22" t="s">
        <v>181</v>
      </c>
      <c r="W214" s="20" t="s">
        <v>927</v>
      </c>
    </row>
    <row r="215" spans="1:23" ht="18" customHeight="1">
      <c r="A215" s="10" t="s">
        <v>23</v>
      </c>
      <c r="B215" s="10" t="s">
        <v>24</v>
      </c>
      <c r="C215" s="10" t="s">
        <v>25</v>
      </c>
      <c r="D215" s="12">
        <v>2019</v>
      </c>
      <c r="E215" s="10" t="s">
        <v>928</v>
      </c>
      <c r="F215" s="10" t="s">
        <v>929</v>
      </c>
      <c r="G215" s="10" t="s">
        <v>54</v>
      </c>
      <c r="H215" s="10" t="s">
        <v>55</v>
      </c>
      <c r="I215" s="13">
        <v>386.90046416749999</v>
      </c>
      <c r="J215" s="13">
        <v>386.90046416749999</v>
      </c>
      <c r="K215" s="13">
        <v>0</v>
      </c>
      <c r="L215" s="13">
        <v>386.90046416749999</v>
      </c>
      <c r="M215" s="13">
        <v>0</v>
      </c>
      <c r="N215" s="10" t="s">
        <v>930</v>
      </c>
      <c r="O215" s="14">
        <v>4.3</v>
      </c>
      <c r="P215" s="10" t="s">
        <v>31</v>
      </c>
      <c r="Q215" s="14" t="s">
        <v>32</v>
      </c>
      <c r="R215" s="10" t="s">
        <v>33</v>
      </c>
      <c r="S215" s="10" t="s">
        <v>928</v>
      </c>
      <c r="T215" s="14">
        <f>IF(O215="","",(1/Metadata!$B$5)^(O215-1))</f>
        <v>1995.2623149688804</v>
      </c>
      <c r="U215" s="13">
        <f t="shared" si="3"/>
        <v>771967.91579738038</v>
      </c>
      <c r="V215" s="19" t="s">
        <v>57</v>
      </c>
      <c r="W215" s="20" t="s">
        <v>931</v>
      </c>
    </row>
    <row r="216" spans="1:23" ht="18" customHeight="1">
      <c r="A216" s="10" t="s">
        <v>23</v>
      </c>
      <c r="B216" s="10" t="s">
        <v>24</v>
      </c>
      <c r="C216" s="10" t="s">
        <v>25</v>
      </c>
      <c r="D216" s="12">
        <v>2019</v>
      </c>
      <c r="E216" s="10" t="s">
        <v>932</v>
      </c>
      <c r="F216" s="10" t="s">
        <v>933</v>
      </c>
      <c r="G216" s="10" t="s">
        <v>103</v>
      </c>
      <c r="H216" s="10" t="s">
        <v>48</v>
      </c>
      <c r="I216" s="13">
        <v>361.16890128569997</v>
      </c>
      <c r="J216" s="13">
        <v>361.16890128569997</v>
      </c>
      <c r="K216" s="13">
        <v>0</v>
      </c>
      <c r="L216" s="13">
        <v>361.16890128569997</v>
      </c>
      <c r="M216" s="13">
        <v>0</v>
      </c>
      <c r="N216" s="10" t="s">
        <v>934</v>
      </c>
      <c r="O216" s="14">
        <v>2</v>
      </c>
      <c r="P216" s="10" t="s">
        <v>41</v>
      </c>
      <c r="Q216" s="14" t="s">
        <v>42</v>
      </c>
      <c r="R216" s="10" t="s">
        <v>33</v>
      </c>
      <c r="S216" s="10" t="s">
        <v>932</v>
      </c>
      <c r="T216" s="14">
        <f>IF(O216="","",(1/Metadata!$B$5)^(O216-1))</f>
        <v>10</v>
      </c>
      <c r="U216" s="13">
        <f t="shared" si="3"/>
        <v>3611.6890128569999</v>
      </c>
      <c r="V216" s="22" t="s">
        <v>181</v>
      </c>
      <c r="W216" s="20" t="s">
        <v>935</v>
      </c>
    </row>
    <row r="217" spans="1:23" ht="18" customHeight="1">
      <c r="A217" s="10" t="s">
        <v>23</v>
      </c>
      <c r="B217" s="10" t="s">
        <v>24</v>
      </c>
      <c r="C217" s="10" t="s">
        <v>25</v>
      </c>
      <c r="D217" s="12">
        <v>2019</v>
      </c>
      <c r="E217" s="10" t="s">
        <v>936</v>
      </c>
      <c r="F217" s="10" t="s">
        <v>937</v>
      </c>
      <c r="G217" s="10" t="s">
        <v>118</v>
      </c>
      <c r="H217" s="10" t="s">
        <v>39</v>
      </c>
      <c r="I217" s="13">
        <v>356.38451021179998</v>
      </c>
      <c r="J217" s="13">
        <v>356.38451021179998</v>
      </c>
      <c r="K217" s="13">
        <v>0</v>
      </c>
      <c r="L217" s="13">
        <v>256.84576141849999</v>
      </c>
      <c r="M217" s="13">
        <v>99.538748793300002</v>
      </c>
      <c r="N217" s="10" t="s">
        <v>938</v>
      </c>
      <c r="O217" s="14">
        <v>3.81</v>
      </c>
      <c r="P217" s="10" t="s">
        <v>41</v>
      </c>
      <c r="Q217" s="14" t="s">
        <v>42</v>
      </c>
      <c r="R217" s="10" t="s">
        <v>33</v>
      </c>
      <c r="S217" s="10" t="s">
        <v>936</v>
      </c>
      <c r="T217" s="14">
        <f>IF(O217="","",(1/Metadata!$B$5)^(O217-1))</f>
        <v>645.65422903465594</v>
      </c>
      <c r="U217" s="13">
        <f t="shared" si="3"/>
        <v>230101.1661806932</v>
      </c>
      <c r="V217" s="19" t="s">
        <v>118</v>
      </c>
      <c r="W217" s="20" t="s">
        <v>939</v>
      </c>
    </row>
    <row r="218" spans="1:23" ht="18" customHeight="1">
      <c r="A218" s="10" t="s">
        <v>23</v>
      </c>
      <c r="B218" s="10" t="s">
        <v>24</v>
      </c>
      <c r="C218" s="10" t="s">
        <v>25</v>
      </c>
      <c r="D218" s="12">
        <v>2019</v>
      </c>
      <c r="E218" s="10" t="s">
        <v>940</v>
      </c>
      <c r="F218" s="10" t="s">
        <v>941</v>
      </c>
      <c r="G218" s="10" t="s">
        <v>155</v>
      </c>
      <c r="H218" s="10" t="s">
        <v>48</v>
      </c>
      <c r="I218" s="13">
        <v>347.23720841929998</v>
      </c>
      <c r="J218" s="13">
        <v>347.23720841929998</v>
      </c>
      <c r="K218" s="13">
        <v>0</v>
      </c>
      <c r="L218" s="13">
        <v>102.0617310131</v>
      </c>
      <c r="M218" s="13">
        <v>245.1754774062</v>
      </c>
      <c r="N218" s="10" t="s">
        <v>942</v>
      </c>
      <c r="O218" s="14">
        <v>4.5</v>
      </c>
      <c r="P218" s="10" t="s">
        <v>31</v>
      </c>
      <c r="Q218" s="14" t="s">
        <v>32</v>
      </c>
      <c r="R218" s="10" t="s">
        <v>33</v>
      </c>
      <c r="S218" s="10" t="s">
        <v>940</v>
      </c>
      <c r="T218" s="14">
        <f>IF(O218="","",(1/Metadata!$B$5)^(O218-1))</f>
        <v>3162.2776601683804</v>
      </c>
      <c r="U218" s="13">
        <f t="shared" si="3"/>
        <v>1098060.4669635841</v>
      </c>
      <c r="V218" s="19" t="s">
        <v>110</v>
      </c>
      <c r="W218" s="20" t="s">
        <v>943</v>
      </c>
    </row>
    <row r="219" spans="1:23" ht="18" customHeight="1">
      <c r="A219" s="10" t="s">
        <v>23</v>
      </c>
      <c r="B219" s="10" t="s">
        <v>24</v>
      </c>
      <c r="C219" s="10" t="s">
        <v>25</v>
      </c>
      <c r="D219" s="12">
        <v>2019</v>
      </c>
      <c r="E219" s="10" t="s">
        <v>944</v>
      </c>
      <c r="F219" s="10" t="s">
        <v>945</v>
      </c>
      <c r="G219" s="10" t="s">
        <v>312</v>
      </c>
      <c r="H219" s="10" t="s">
        <v>48</v>
      </c>
      <c r="I219" s="13">
        <v>344.74269513960002</v>
      </c>
      <c r="J219" s="13">
        <v>344.74269513960002</v>
      </c>
      <c r="K219" s="13">
        <v>0</v>
      </c>
      <c r="L219" s="13">
        <v>344.74269513960002</v>
      </c>
      <c r="M219" s="13">
        <v>0</v>
      </c>
      <c r="N219" s="10" t="s">
        <v>946</v>
      </c>
      <c r="O219" s="14">
        <v>3.63</v>
      </c>
      <c r="P219" s="10" t="s">
        <v>41</v>
      </c>
      <c r="Q219" s="14" t="s">
        <v>42</v>
      </c>
      <c r="R219" s="10" t="s">
        <v>33</v>
      </c>
      <c r="S219" s="10" t="s">
        <v>944</v>
      </c>
      <c r="T219" s="14">
        <f>IF(O219="","",(1/Metadata!$B$5)^(O219-1))</f>
        <v>426.57951880159294</v>
      </c>
      <c r="U219" s="13">
        <f t="shared" si="3"/>
        <v>147060.17300301482</v>
      </c>
      <c r="V219" s="22" t="s">
        <v>87</v>
      </c>
      <c r="W219" s="20" t="s">
        <v>947</v>
      </c>
    </row>
    <row r="220" spans="1:23" ht="18" customHeight="1">
      <c r="A220" s="10" t="s">
        <v>23</v>
      </c>
      <c r="B220" s="10" t="s">
        <v>24</v>
      </c>
      <c r="C220" s="10" t="s">
        <v>25</v>
      </c>
      <c r="D220" s="12">
        <v>2019</v>
      </c>
      <c r="E220" s="10" t="s">
        <v>948</v>
      </c>
      <c r="F220" s="10" t="s">
        <v>949</v>
      </c>
      <c r="G220" s="10" t="s">
        <v>164</v>
      </c>
      <c r="H220" s="10" t="s">
        <v>48</v>
      </c>
      <c r="I220" s="13">
        <v>337.08023486709999</v>
      </c>
      <c r="J220" s="13">
        <v>337.08023486709999</v>
      </c>
      <c r="K220" s="13">
        <v>0</v>
      </c>
      <c r="L220" s="13">
        <v>156.36476982880001</v>
      </c>
      <c r="M220" s="13">
        <v>180.71546503830001</v>
      </c>
      <c r="N220" s="10" t="s">
        <v>950</v>
      </c>
      <c r="O220" s="14">
        <v>4.5</v>
      </c>
      <c r="P220" s="10" t="s">
        <v>31</v>
      </c>
      <c r="Q220" s="14" t="s">
        <v>32</v>
      </c>
      <c r="R220" s="10" t="s">
        <v>33</v>
      </c>
      <c r="S220" s="10" t="s">
        <v>948</v>
      </c>
      <c r="T220" s="14">
        <f>IF(O220="","",(1/Metadata!$B$5)^(O220-1))</f>
        <v>3162.2776601683804</v>
      </c>
      <c r="U220" s="13">
        <f t="shared" si="3"/>
        <v>1065941.296404541</v>
      </c>
      <c r="V220" s="19" t="s">
        <v>110</v>
      </c>
      <c r="W220" s="20" t="s">
        <v>951</v>
      </c>
    </row>
    <row r="221" spans="1:23" ht="18" customHeight="1">
      <c r="A221" s="10" t="s">
        <v>23</v>
      </c>
      <c r="B221" s="10" t="s">
        <v>24</v>
      </c>
      <c r="C221" s="10" t="s">
        <v>25</v>
      </c>
      <c r="D221" s="12">
        <v>2019</v>
      </c>
      <c r="E221" s="10" t="s">
        <v>952</v>
      </c>
      <c r="F221" s="10" t="s">
        <v>953</v>
      </c>
      <c r="G221" s="10" t="s">
        <v>155</v>
      </c>
      <c r="H221" s="10" t="s">
        <v>48</v>
      </c>
      <c r="I221" s="13">
        <v>322.60839907539997</v>
      </c>
      <c r="J221" s="13">
        <v>322.60839907539997</v>
      </c>
      <c r="K221" s="13">
        <v>0</v>
      </c>
      <c r="L221" s="13">
        <v>254.9193214535</v>
      </c>
      <c r="M221" s="13">
        <v>67.689077621899997</v>
      </c>
      <c r="N221" s="10" t="s">
        <v>954</v>
      </c>
      <c r="O221" s="14">
        <v>3.86</v>
      </c>
      <c r="P221" s="10" t="s">
        <v>31</v>
      </c>
      <c r="Q221" s="14" t="s">
        <v>32</v>
      </c>
      <c r="R221" s="10" t="s">
        <v>33</v>
      </c>
      <c r="S221" s="10" t="s">
        <v>952</v>
      </c>
      <c r="T221" s="14">
        <f>IF(O221="","",(1/Metadata!$B$5)^(O221-1))</f>
        <v>724.43596007499025</v>
      </c>
      <c r="U221" s="13">
        <f t="shared" si="3"/>
        <v>233709.12531244298</v>
      </c>
      <c r="V221" s="19" t="s">
        <v>105</v>
      </c>
      <c r="W221" s="20" t="s">
        <v>955</v>
      </c>
    </row>
    <row r="222" spans="1:23" ht="18" customHeight="1">
      <c r="A222" s="10" t="s">
        <v>23</v>
      </c>
      <c r="B222" s="10" t="s">
        <v>24</v>
      </c>
      <c r="C222" s="10" t="s">
        <v>25</v>
      </c>
      <c r="D222" s="12">
        <v>2019</v>
      </c>
      <c r="E222" s="10" t="s">
        <v>956</v>
      </c>
      <c r="F222" s="10" t="s">
        <v>957</v>
      </c>
      <c r="G222" s="10" t="s">
        <v>28</v>
      </c>
      <c r="H222" s="10" t="s">
        <v>48</v>
      </c>
      <c r="I222" s="13">
        <v>313.97960686239998</v>
      </c>
      <c r="J222" s="13">
        <v>313.97960686239998</v>
      </c>
      <c r="K222" s="13">
        <v>0</v>
      </c>
      <c r="L222" s="13">
        <v>0</v>
      </c>
      <c r="M222" s="13">
        <v>313.97960686239998</v>
      </c>
      <c r="N222" s="10" t="s">
        <v>958</v>
      </c>
      <c r="O222" s="14">
        <v>3.5</v>
      </c>
      <c r="P222" s="10" t="s">
        <v>31</v>
      </c>
      <c r="Q222" s="14" t="s">
        <v>32</v>
      </c>
      <c r="R222" s="10" t="s">
        <v>33</v>
      </c>
      <c r="S222" s="10" t="s">
        <v>956</v>
      </c>
      <c r="T222" s="14">
        <f>IF(O222="","",(1/Metadata!$B$5)^(O222-1))</f>
        <v>316.22776601683825</v>
      </c>
      <c r="U222" s="13">
        <f t="shared" si="3"/>
        <v>99289.069652941878</v>
      </c>
      <c r="V222" s="19" t="s">
        <v>92</v>
      </c>
      <c r="W222" s="20" t="s">
        <v>959</v>
      </c>
    </row>
    <row r="223" spans="1:23" ht="18" customHeight="1">
      <c r="A223" s="10" t="s">
        <v>23</v>
      </c>
      <c r="B223" s="10" t="s">
        <v>24</v>
      </c>
      <c r="C223" s="10" t="s">
        <v>25</v>
      </c>
      <c r="D223" s="12">
        <v>2019</v>
      </c>
      <c r="E223" s="10" t="s">
        <v>960</v>
      </c>
      <c r="F223" s="10" t="s">
        <v>961</v>
      </c>
      <c r="G223" s="10" t="s">
        <v>164</v>
      </c>
      <c r="H223" s="10" t="s">
        <v>48</v>
      </c>
      <c r="I223" s="13">
        <v>308.42115406720001</v>
      </c>
      <c r="J223" s="13">
        <v>308.42115406720001</v>
      </c>
      <c r="K223" s="13">
        <v>0</v>
      </c>
      <c r="L223" s="13">
        <v>274.89937741049999</v>
      </c>
      <c r="M223" s="13">
        <v>33.521776656699998</v>
      </c>
      <c r="N223" s="10" t="s">
        <v>962</v>
      </c>
      <c r="O223" s="14">
        <v>4.5</v>
      </c>
      <c r="P223" s="10" t="s">
        <v>31</v>
      </c>
      <c r="Q223" s="14" t="s">
        <v>32</v>
      </c>
      <c r="R223" s="10" t="s">
        <v>33</v>
      </c>
      <c r="S223" s="10" t="s">
        <v>960</v>
      </c>
      <c r="T223" s="14">
        <f>IF(O223="","",(1/Metadata!$B$5)^(O223-1))</f>
        <v>3162.2776601683804</v>
      </c>
      <c r="U223" s="13">
        <f t="shared" si="3"/>
        <v>975313.32543005678</v>
      </c>
      <c r="V223" s="22" t="s">
        <v>105</v>
      </c>
      <c r="W223" s="20" t="s">
        <v>963</v>
      </c>
    </row>
    <row r="224" spans="1:23" ht="18" customHeight="1">
      <c r="A224" s="10" t="s">
        <v>23</v>
      </c>
      <c r="B224" s="10" t="s">
        <v>24</v>
      </c>
      <c r="C224" s="10" t="s">
        <v>25</v>
      </c>
      <c r="D224" s="12">
        <v>2019</v>
      </c>
      <c r="E224" s="10" t="s">
        <v>964</v>
      </c>
      <c r="F224" s="10" t="s">
        <v>965</v>
      </c>
      <c r="G224" s="10" t="s">
        <v>164</v>
      </c>
      <c r="H224" s="10" t="s">
        <v>48</v>
      </c>
      <c r="I224" s="13">
        <v>278.88832798350001</v>
      </c>
      <c r="J224" s="13">
        <v>278.88832798350001</v>
      </c>
      <c r="K224" s="13">
        <v>0</v>
      </c>
      <c r="L224" s="13">
        <v>112.35602054410001</v>
      </c>
      <c r="M224" s="13">
        <v>166.5323074394</v>
      </c>
      <c r="N224" s="10" t="s">
        <v>966</v>
      </c>
      <c r="O224" s="14">
        <v>4.28</v>
      </c>
      <c r="P224" s="10" t="s">
        <v>31</v>
      </c>
      <c r="Q224" s="14" t="s">
        <v>32</v>
      </c>
      <c r="R224" s="10" t="s">
        <v>33</v>
      </c>
      <c r="S224" s="10" t="s">
        <v>964</v>
      </c>
      <c r="T224" s="14">
        <f>IF(O224="","",(1/Metadata!$B$5)^(O224-1))</f>
        <v>1905.4607179632501</v>
      </c>
      <c r="U224" s="13">
        <f t="shared" si="3"/>
        <v>531410.75367101026</v>
      </c>
      <c r="V224" s="19" t="s">
        <v>105</v>
      </c>
      <c r="W224" s="20" t="s">
        <v>967</v>
      </c>
    </row>
    <row r="225" spans="1:23" ht="18" customHeight="1">
      <c r="A225" s="10" t="s">
        <v>23</v>
      </c>
      <c r="B225" s="10" t="s">
        <v>24</v>
      </c>
      <c r="C225" s="10" t="s">
        <v>25</v>
      </c>
      <c r="D225" s="12">
        <v>2019</v>
      </c>
      <c r="E225" s="10" t="s">
        <v>968</v>
      </c>
      <c r="F225" s="10" t="s">
        <v>969</v>
      </c>
      <c r="G225" s="10" t="s">
        <v>155</v>
      </c>
      <c r="H225" s="10" t="s">
        <v>48</v>
      </c>
      <c r="I225" s="13">
        <v>275.37154883279999</v>
      </c>
      <c r="J225" s="13">
        <v>275.37154883279999</v>
      </c>
      <c r="K225" s="13">
        <v>0</v>
      </c>
      <c r="L225" s="13">
        <v>175.22902897340001</v>
      </c>
      <c r="M225" s="13">
        <v>100.1425198594</v>
      </c>
      <c r="N225" s="10" t="s">
        <v>970</v>
      </c>
      <c r="O225" s="14">
        <v>3.32</v>
      </c>
      <c r="P225" s="10" t="s">
        <v>31</v>
      </c>
      <c r="Q225" s="14" t="s">
        <v>32</v>
      </c>
      <c r="R225" s="10" t="s">
        <v>33</v>
      </c>
      <c r="S225" s="10" t="s">
        <v>968</v>
      </c>
      <c r="T225" s="14">
        <f>IF(O225="","",(1/Metadata!$B$5)^(O225-1))</f>
        <v>208.92961308540396</v>
      </c>
      <c r="U225" s="13">
        <f t="shared" si="3"/>
        <v>57533.27115236532</v>
      </c>
      <c r="V225" s="19" t="s">
        <v>87</v>
      </c>
      <c r="W225" s="20" t="s">
        <v>971</v>
      </c>
    </row>
    <row r="226" spans="1:23" ht="18" customHeight="1">
      <c r="A226" s="10" t="s">
        <v>23</v>
      </c>
      <c r="B226" s="10" t="s">
        <v>24</v>
      </c>
      <c r="C226" s="10" t="s">
        <v>25</v>
      </c>
      <c r="D226" s="12">
        <v>2019</v>
      </c>
      <c r="E226" s="10" t="s">
        <v>972</v>
      </c>
      <c r="F226" s="10" t="s">
        <v>973</v>
      </c>
      <c r="G226" s="10" t="s">
        <v>148</v>
      </c>
      <c r="H226" s="10" t="s">
        <v>149</v>
      </c>
      <c r="I226" s="13">
        <v>273.86951914650001</v>
      </c>
      <c r="J226" s="13">
        <v>273.86951914650001</v>
      </c>
      <c r="K226" s="13">
        <v>0</v>
      </c>
      <c r="L226" s="13">
        <v>273.86951914650001</v>
      </c>
      <c r="M226" s="13">
        <v>0</v>
      </c>
      <c r="N226" s="10" t="s">
        <v>974</v>
      </c>
      <c r="O226" s="14">
        <v>3.82</v>
      </c>
      <c r="P226" s="10" t="s">
        <v>41</v>
      </c>
      <c r="Q226" s="14" t="s">
        <v>42</v>
      </c>
      <c r="R226" s="10" t="s">
        <v>33</v>
      </c>
      <c r="S226" s="10" t="s">
        <v>972</v>
      </c>
      <c r="T226" s="14">
        <f>IF(O226="","",(1/Metadata!$B$5)^(O226-1))</f>
        <v>660.69344800759643</v>
      </c>
      <c r="U226" s="13">
        <f t="shared" si="3"/>
        <v>180943.79690908355</v>
      </c>
      <c r="V226" s="19" t="s">
        <v>151</v>
      </c>
      <c r="W226" s="20" t="s">
        <v>975</v>
      </c>
    </row>
    <row r="227" spans="1:23" ht="18" customHeight="1">
      <c r="A227" s="10" t="s">
        <v>23</v>
      </c>
      <c r="B227" s="10" t="s">
        <v>24</v>
      </c>
      <c r="C227" s="10" t="s">
        <v>25</v>
      </c>
      <c r="D227" s="12">
        <v>2019</v>
      </c>
      <c r="E227" s="10" t="s">
        <v>976</v>
      </c>
      <c r="F227" s="10" t="s">
        <v>977</v>
      </c>
      <c r="G227" s="10" t="s">
        <v>38</v>
      </c>
      <c r="H227" s="10" t="s">
        <v>48</v>
      </c>
      <c r="I227" s="13">
        <v>270.21323294230001</v>
      </c>
      <c r="J227" s="13">
        <v>270.21323294230001</v>
      </c>
      <c r="K227" s="13">
        <v>0</v>
      </c>
      <c r="L227" s="13">
        <v>209.07022368689999</v>
      </c>
      <c r="M227" s="13">
        <v>61.143009255400003</v>
      </c>
      <c r="N227" s="10" t="s">
        <v>978</v>
      </c>
      <c r="O227" s="14">
        <v>3.89</v>
      </c>
      <c r="P227" s="10" t="s">
        <v>31</v>
      </c>
      <c r="Q227" s="14" t="s">
        <v>32</v>
      </c>
      <c r="R227" s="10" t="s">
        <v>33</v>
      </c>
      <c r="S227" s="10" t="s">
        <v>976</v>
      </c>
      <c r="T227" s="14">
        <f>IF(O227="","",(1/Metadata!$B$5)^(O227-1))</f>
        <v>776.24711662869231</v>
      </c>
      <c r="U227" s="13">
        <f t="shared" si="3"/>
        <v>209752.24294637755</v>
      </c>
      <c r="V227" s="22" t="s">
        <v>105</v>
      </c>
      <c r="W227" s="20" t="s">
        <v>979</v>
      </c>
    </row>
    <row r="228" spans="1:23" ht="18" customHeight="1">
      <c r="A228" s="10" t="s">
        <v>23</v>
      </c>
      <c r="B228" s="10" t="s">
        <v>24</v>
      </c>
      <c r="C228" s="10" t="s">
        <v>25</v>
      </c>
      <c r="D228" s="12">
        <v>2019</v>
      </c>
      <c r="E228" s="10" t="s">
        <v>980</v>
      </c>
      <c r="F228" s="10" t="s">
        <v>981</v>
      </c>
      <c r="G228" s="10" t="s">
        <v>404</v>
      </c>
      <c r="H228" s="10" t="s">
        <v>48</v>
      </c>
      <c r="I228" s="13">
        <v>268.62756098279999</v>
      </c>
      <c r="J228" s="13">
        <v>268.62756098279999</v>
      </c>
      <c r="K228" s="13">
        <v>0</v>
      </c>
      <c r="L228" s="13">
        <v>243.5453399029</v>
      </c>
      <c r="M228" s="13">
        <v>25.082221079899998</v>
      </c>
      <c r="N228" s="10" t="s">
        <v>982</v>
      </c>
      <c r="O228" s="14">
        <v>3.11</v>
      </c>
      <c r="P228" s="10" t="s">
        <v>41</v>
      </c>
      <c r="Q228" s="14" t="s">
        <v>42</v>
      </c>
      <c r="R228" s="10" t="s">
        <v>33</v>
      </c>
      <c r="S228" s="10" t="s">
        <v>980</v>
      </c>
      <c r="T228" s="14">
        <f>IF(O228="","",(1/Metadata!$B$5)^(O228-1))</f>
        <v>128.82495516931343</v>
      </c>
      <c r="U228" s="13">
        <f t="shared" si="3"/>
        <v>34605.933500851221</v>
      </c>
      <c r="V228" s="22" t="s">
        <v>73</v>
      </c>
      <c r="W228" s="20" t="s">
        <v>983</v>
      </c>
    </row>
    <row r="229" spans="1:23" ht="18" customHeight="1">
      <c r="A229" s="10" t="s">
        <v>23</v>
      </c>
      <c r="B229" s="10" t="s">
        <v>24</v>
      </c>
      <c r="C229" s="10" t="s">
        <v>25</v>
      </c>
      <c r="D229" s="12">
        <v>2019</v>
      </c>
      <c r="E229" s="10" t="s">
        <v>984</v>
      </c>
      <c r="F229" s="10" t="s">
        <v>985</v>
      </c>
      <c r="G229" s="10" t="s">
        <v>148</v>
      </c>
      <c r="H229" s="10" t="s">
        <v>149</v>
      </c>
      <c r="I229" s="13">
        <v>266.85731863270001</v>
      </c>
      <c r="J229" s="13">
        <v>266.85731863270001</v>
      </c>
      <c r="K229" s="13">
        <v>0</v>
      </c>
      <c r="L229" s="13">
        <v>7.1897326572000004</v>
      </c>
      <c r="M229" s="13">
        <v>259.6675859755</v>
      </c>
      <c r="N229" s="10" t="s">
        <v>986</v>
      </c>
      <c r="O229" s="14">
        <v>4.37</v>
      </c>
      <c r="P229" s="10" t="s">
        <v>31</v>
      </c>
      <c r="Q229" s="14" t="s">
        <v>32</v>
      </c>
      <c r="R229" s="10" t="s">
        <v>33</v>
      </c>
      <c r="S229" s="10" t="s">
        <v>984</v>
      </c>
      <c r="T229" s="14">
        <f>IF(O229="","",(1/Metadata!$B$5)^(O229-1))</f>
        <v>2344.2288153199238</v>
      </c>
      <c r="U229" s="13">
        <f t="shared" si="3"/>
        <v>625574.61591778579</v>
      </c>
      <c r="V229" s="19" t="s">
        <v>151</v>
      </c>
      <c r="W229" s="20" t="s">
        <v>987</v>
      </c>
    </row>
    <row r="230" spans="1:23" ht="18" customHeight="1">
      <c r="A230" s="10" t="s">
        <v>23</v>
      </c>
      <c r="B230" s="10" t="s">
        <v>24</v>
      </c>
      <c r="C230" s="10" t="s">
        <v>25</v>
      </c>
      <c r="D230" s="12">
        <v>2019</v>
      </c>
      <c r="E230" s="10" t="s">
        <v>988</v>
      </c>
      <c r="F230" s="10" t="s">
        <v>989</v>
      </c>
      <c r="G230" s="10" t="s">
        <v>81</v>
      </c>
      <c r="H230" s="10" t="s">
        <v>66</v>
      </c>
      <c r="I230" s="13">
        <v>265.85709387150001</v>
      </c>
      <c r="J230" s="13">
        <v>265.85709387150001</v>
      </c>
      <c r="K230" s="13">
        <v>0</v>
      </c>
      <c r="L230" s="13">
        <v>265.80740131179999</v>
      </c>
      <c r="M230" s="13">
        <v>4.96925597E-2</v>
      </c>
      <c r="N230" s="10" t="s">
        <v>990</v>
      </c>
      <c r="O230" s="14">
        <v>2.6</v>
      </c>
      <c r="P230" s="10" t="s">
        <v>41</v>
      </c>
      <c r="Q230" s="14" t="s">
        <v>42</v>
      </c>
      <c r="R230" s="10" t="s">
        <v>33</v>
      </c>
      <c r="S230" s="10" t="s">
        <v>988</v>
      </c>
      <c r="T230" s="14">
        <f>IF(O230="","",(1/Metadata!$B$5)^(O230-1))</f>
        <v>39.810717055349755</v>
      </c>
      <c r="U230" s="13">
        <f t="shared" si="3"/>
        <v>10583.961541275847</v>
      </c>
      <c r="V230" s="19" t="s">
        <v>81</v>
      </c>
      <c r="W230" s="20" t="s">
        <v>991</v>
      </c>
    </row>
    <row r="231" spans="1:23" ht="18" customHeight="1">
      <c r="A231" s="10" t="s">
        <v>23</v>
      </c>
      <c r="B231" s="10" t="s">
        <v>24</v>
      </c>
      <c r="C231" s="10" t="s">
        <v>25</v>
      </c>
      <c r="D231" s="12">
        <v>2019</v>
      </c>
      <c r="E231" s="10" t="s">
        <v>992</v>
      </c>
      <c r="F231" s="10" t="s">
        <v>179</v>
      </c>
      <c r="G231" s="10" t="s">
        <v>178</v>
      </c>
      <c r="H231" s="10" t="s">
        <v>179</v>
      </c>
      <c r="I231" s="13">
        <v>265.1831271927</v>
      </c>
      <c r="J231" s="13">
        <v>246.3103623643</v>
      </c>
      <c r="K231" s="13">
        <v>18.872764828400001</v>
      </c>
      <c r="L231" s="13">
        <v>213.11530270790001</v>
      </c>
      <c r="M231" s="13">
        <v>52.067824484799999</v>
      </c>
      <c r="N231" s="10" t="s">
        <v>993</v>
      </c>
      <c r="O231" s="14">
        <v>3.57</v>
      </c>
      <c r="P231" s="10" t="s">
        <v>41</v>
      </c>
      <c r="Q231" s="14" t="s">
        <v>42</v>
      </c>
      <c r="R231" s="10" t="s">
        <v>33</v>
      </c>
      <c r="S231" s="10" t="s">
        <v>992</v>
      </c>
      <c r="T231" s="14">
        <f>IF(O231="","",(1/Metadata!$B$5)^(O231-1))</f>
        <v>371.53522909717265</v>
      </c>
      <c r="U231" s="13">
        <f t="shared" si="3"/>
        <v>98524.873914244468</v>
      </c>
      <c r="V231" s="21" t="s">
        <v>43</v>
      </c>
      <c r="W231" s="20" t="s">
        <v>994</v>
      </c>
    </row>
    <row r="232" spans="1:23" ht="18" customHeight="1">
      <c r="A232" s="10" t="s">
        <v>23</v>
      </c>
      <c r="B232" s="10" t="s">
        <v>24</v>
      </c>
      <c r="C232" s="10" t="s">
        <v>25</v>
      </c>
      <c r="D232" s="12">
        <v>2019</v>
      </c>
      <c r="E232" s="10" t="s">
        <v>995</v>
      </c>
      <c r="F232" s="10" t="s">
        <v>996</v>
      </c>
      <c r="G232" s="10" t="s">
        <v>123</v>
      </c>
      <c r="H232" s="10" t="s">
        <v>124</v>
      </c>
      <c r="I232" s="13">
        <v>261.02884784949998</v>
      </c>
      <c r="J232" s="13">
        <v>261.02884784949998</v>
      </c>
      <c r="K232" s="13">
        <v>0</v>
      </c>
      <c r="L232" s="13">
        <v>0</v>
      </c>
      <c r="M232" s="13">
        <v>261.02884784949998</v>
      </c>
      <c r="N232" s="10" t="s">
        <v>997</v>
      </c>
      <c r="O232" s="14">
        <v>2.41</v>
      </c>
      <c r="P232" s="10" t="s">
        <v>41</v>
      </c>
      <c r="Q232" s="14" t="s">
        <v>42</v>
      </c>
      <c r="R232" s="10" t="s">
        <v>33</v>
      </c>
      <c r="S232" s="10" t="s">
        <v>995</v>
      </c>
      <c r="T232" s="14">
        <f>IF(O232="","",(1/Metadata!$B$5)^(O232-1))</f>
        <v>25.703957827688658</v>
      </c>
      <c r="U232" s="13">
        <f t="shared" si="3"/>
        <v>6709.4744969337071</v>
      </c>
      <c r="V232" s="19" t="s">
        <v>126</v>
      </c>
      <c r="W232" s="20" t="s">
        <v>998</v>
      </c>
    </row>
    <row r="233" spans="1:23" ht="18" customHeight="1">
      <c r="A233" s="10" t="s">
        <v>23</v>
      </c>
      <c r="B233" s="10" t="s">
        <v>24</v>
      </c>
      <c r="C233" s="10" t="s">
        <v>25</v>
      </c>
      <c r="D233" s="12">
        <v>2019</v>
      </c>
      <c r="E233" s="10" t="s">
        <v>999</v>
      </c>
      <c r="F233" s="10" t="s">
        <v>1000</v>
      </c>
      <c r="G233" s="10" t="s">
        <v>189</v>
      </c>
      <c r="H233" s="10" t="s">
        <v>48</v>
      </c>
      <c r="I233" s="13">
        <v>251.4670584479</v>
      </c>
      <c r="J233" s="13">
        <v>251.4670584479</v>
      </c>
      <c r="K233" s="13">
        <v>0</v>
      </c>
      <c r="L233" s="13">
        <v>251.4670584479</v>
      </c>
      <c r="M233" s="13">
        <v>0</v>
      </c>
      <c r="N233" s="10" t="s">
        <v>1001</v>
      </c>
      <c r="O233" s="14">
        <v>3.86</v>
      </c>
      <c r="P233" s="10" t="s">
        <v>31</v>
      </c>
      <c r="Q233" s="14" t="s">
        <v>32</v>
      </c>
      <c r="R233" s="10" t="s">
        <v>33</v>
      </c>
      <c r="S233" s="10" t="s">
        <v>999</v>
      </c>
      <c r="T233" s="14">
        <f>IF(O233="","",(1/Metadata!$B$5)^(O233-1))</f>
        <v>724.43596007499025</v>
      </c>
      <c r="U233" s="13">
        <f t="shared" si="3"/>
        <v>182171.77991393814</v>
      </c>
      <c r="V233" s="22" t="s">
        <v>105</v>
      </c>
      <c r="W233" s="20" t="s">
        <v>1002</v>
      </c>
    </row>
    <row r="234" spans="1:23" ht="18" customHeight="1">
      <c r="A234" s="10" t="s">
        <v>23</v>
      </c>
      <c r="B234" s="10" t="s">
        <v>24</v>
      </c>
      <c r="C234" s="10" t="s">
        <v>25</v>
      </c>
      <c r="D234" s="12">
        <v>2019</v>
      </c>
      <c r="E234" s="10" t="s">
        <v>1003</v>
      </c>
      <c r="F234" s="10" t="s">
        <v>1004</v>
      </c>
      <c r="G234" s="10" t="s">
        <v>155</v>
      </c>
      <c r="H234" s="10" t="s">
        <v>48</v>
      </c>
      <c r="I234" s="13">
        <v>247.30967874449999</v>
      </c>
      <c r="J234" s="13">
        <v>247.30967874449999</v>
      </c>
      <c r="K234" s="13">
        <v>0</v>
      </c>
      <c r="L234" s="13">
        <v>183.46907855500001</v>
      </c>
      <c r="M234" s="13">
        <v>63.840600189500002</v>
      </c>
      <c r="N234" s="10" t="s">
        <v>1005</v>
      </c>
      <c r="O234" s="14">
        <v>4.33</v>
      </c>
      <c r="P234" s="10" t="s">
        <v>31</v>
      </c>
      <c r="Q234" s="14" t="s">
        <v>32</v>
      </c>
      <c r="R234" s="10" t="s">
        <v>33</v>
      </c>
      <c r="S234" s="10" t="s">
        <v>1003</v>
      </c>
      <c r="T234" s="14">
        <f>IF(O234="","",(1/Metadata!$B$5)^(O234-1))</f>
        <v>2137.9620895022344</v>
      </c>
      <c r="U234" s="13">
        <f t="shared" si="3"/>
        <v>528738.71752271755</v>
      </c>
      <c r="V234" s="19" t="s">
        <v>105</v>
      </c>
      <c r="W234" s="20" t="s">
        <v>1006</v>
      </c>
    </row>
    <row r="235" spans="1:23" ht="18" customHeight="1">
      <c r="A235" s="10" t="s">
        <v>23</v>
      </c>
      <c r="B235" s="10" t="s">
        <v>24</v>
      </c>
      <c r="C235" s="10" t="s">
        <v>25</v>
      </c>
      <c r="D235" s="12">
        <v>2019</v>
      </c>
      <c r="E235" s="10" t="s">
        <v>1007</v>
      </c>
      <c r="F235" s="10" t="s">
        <v>1008</v>
      </c>
      <c r="G235" s="10" t="s">
        <v>54</v>
      </c>
      <c r="H235" s="10" t="s">
        <v>48</v>
      </c>
      <c r="I235" s="13">
        <v>245.9420494796</v>
      </c>
      <c r="J235" s="13">
        <v>245.9420494796</v>
      </c>
      <c r="K235" s="13">
        <v>0</v>
      </c>
      <c r="L235" s="13">
        <v>109.54875203810001</v>
      </c>
      <c r="M235" s="13">
        <v>136.39329744150001</v>
      </c>
      <c r="N235" s="10" t="s">
        <v>1009</v>
      </c>
      <c r="O235" s="14">
        <v>4.3499999999999996</v>
      </c>
      <c r="P235" s="10" t="s">
        <v>41</v>
      </c>
      <c r="Q235" s="14" t="s">
        <v>42</v>
      </c>
      <c r="R235" s="10" t="s">
        <v>33</v>
      </c>
      <c r="S235" s="10" t="s">
        <v>1007</v>
      </c>
      <c r="T235" s="14">
        <f>IF(O235="","",(1/Metadata!$B$5)^(O235-1))</f>
        <v>2238.7211385683395</v>
      </c>
      <c r="U235" s="13">
        <f t="shared" si="3"/>
        <v>550595.66503280099</v>
      </c>
      <c r="V235" s="19" t="s">
        <v>110</v>
      </c>
      <c r="W235" s="20" t="s">
        <v>1010</v>
      </c>
    </row>
    <row r="236" spans="1:23" ht="18" customHeight="1">
      <c r="A236" s="10" t="s">
        <v>23</v>
      </c>
      <c r="B236" s="10" t="s">
        <v>24</v>
      </c>
      <c r="C236" s="10" t="s">
        <v>25</v>
      </c>
      <c r="D236" s="12">
        <v>2019</v>
      </c>
      <c r="E236" s="10" t="s">
        <v>1011</v>
      </c>
      <c r="F236" s="10" t="s">
        <v>1012</v>
      </c>
      <c r="G236" s="10" t="s">
        <v>47</v>
      </c>
      <c r="H236" s="10" t="s">
        <v>48</v>
      </c>
      <c r="I236" s="13">
        <v>242.26707631470001</v>
      </c>
      <c r="J236" s="13">
        <v>242.26707631470001</v>
      </c>
      <c r="K236" s="13">
        <v>0</v>
      </c>
      <c r="L236" s="13">
        <v>169.55870769629999</v>
      </c>
      <c r="M236" s="13">
        <v>72.708368618400002</v>
      </c>
      <c r="N236" s="10" t="s">
        <v>1013</v>
      </c>
      <c r="O236" s="14">
        <v>4.1100000000000003</v>
      </c>
      <c r="P236" s="10" t="s">
        <v>31</v>
      </c>
      <c r="Q236" s="14" t="s">
        <v>32</v>
      </c>
      <c r="R236" s="10" t="s">
        <v>33</v>
      </c>
      <c r="S236" s="10" t="s">
        <v>1011</v>
      </c>
      <c r="T236" s="14">
        <f>IF(O236="","",(1/Metadata!$B$5)^(O236-1))</f>
        <v>1288.2495516931358</v>
      </c>
      <c r="U236" s="13">
        <f t="shared" si="3"/>
        <v>312100.45245241898</v>
      </c>
      <c r="V236" s="19" t="s">
        <v>136</v>
      </c>
      <c r="W236" s="20" t="s">
        <v>1014</v>
      </c>
    </row>
    <row r="237" spans="1:23" ht="18" customHeight="1">
      <c r="A237" s="10" t="s">
        <v>23</v>
      </c>
      <c r="B237" s="10" t="s">
        <v>24</v>
      </c>
      <c r="C237" s="10" t="s">
        <v>25</v>
      </c>
      <c r="D237" s="12">
        <v>2019</v>
      </c>
      <c r="E237" s="10" t="s">
        <v>1015</v>
      </c>
      <c r="F237" s="10" t="s">
        <v>1016</v>
      </c>
      <c r="G237" s="10" t="s">
        <v>54</v>
      </c>
      <c r="H237" s="10" t="s">
        <v>55</v>
      </c>
      <c r="I237" s="13">
        <v>241.0087796263</v>
      </c>
      <c r="J237" s="13">
        <v>241.0087796263</v>
      </c>
      <c r="K237" s="13">
        <v>0</v>
      </c>
      <c r="L237" s="13">
        <v>237.90276040539999</v>
      </c>
      <c r="M237" s="13">
        <v>3.1060192208999999</v>
      </c>
      <c r="N237" s="10" t="s">
        <v>1017</v>
      </c>
      <c r="O237" s="14">
        <v>4.58</v>
      </c>
      <c r="P237" s="10" t="s">
        <v>31</v>
      </c>
      <c r="Q237" s="14" t="s">
        <v>32</v>
      </c>
      <c r="R237" s="10" t="s">
        <v>33</v>
      </c>
      <c r="S237" s="10" t="s">
        <v>1015</v>
      </c>
      <c r="T237" s="14">
        <f>IF(O237="","",(1/Metadata!$B$5)^(O237-1))</f>
        <v>3801.8939632056172</v>
      </c>
      <c r="U237" s="13">
        <f t="shared" si="3"/>
        <v>916289.82434078294</v>
      </c>
      <c r="V237" s="22" t="s">
        <v>110</v>
      </c>
      <c r="W237" s="20" t="s">
        <v>1018</v>
      </c>
    </row>
    <row r="238" spans="1:23" ht="18" customHeight="1">
      <c r="A238" s="10" t="s">
        <v>23</v>
      </c>
      <c r="B238" s="10" t="s">
        <v>24</v>
      </c>
      <c r="C238" s="10" t="s">
        <v>25</v>
      </c>
      <c r="D238" s="12">
        <v>2019</v>
      </c>
      <c r="E238" s="10" t="s">
        <v>1019</v>
      </c>
      <c r="F238" s="10" t="s">
        <v>1020</v>
      </c>
      <c r="G238" s="10" t="s">
        <v>164</v>
      </c>
      <c r="H238" s="10" t="s">
        <v>48</v>
      </c>
      <c r="I238" s="13">
        <v>239.62144155799999</v>
      </c>
      <c r="J238" s="13">
        <v>239.62144155799999</v>
      </c>
      <c r="K238" s="13">
        <v>0</v>
      </c>
      <c r="L238" s="13">
        <v>77.3196269022</v>
      </c>
      <c r="M238" s="13">
        <v>162.3018146558</v>
      </c>
      <c r="N238" s="10" t="s">
        <v>1021</v>
      </c>
      <c r="O238" s="14">
        <v>3.7</v>
      </c>
      <c r="P238" s="10" t="s">
        <v>31</v>
      </c>
      <c r="Q238" s="14" t="s">
        <v>32</v>
      </c>
      <c r="R238" s="10" t="s">
        <v>33</v>
      </c>
      <c r="S238" s="10" t="s">
        <v>1019</v>
      </c>
      <c r="T238" s="14">
        <f>IF(O238="","",(1/Metadata!$B$5)^(O238-1))</f>
        <v>501.18723362727269</v>
      </c>
      <c r="U238" s="13">
        <f t="shared" si="3"/>
        <v>120095.20741223321</v>
      </c>
      <c r="V238" s="22" t="s">
        <v>92</v>
      </c>
      <c r="W238" s="20" t="s">
        <v>1022</v>
      </c>
    </row>
    <row r="239" spans="1:23" ht="18" customHeight="1">
      <c r="A239" s="10" t="s">
        <v>23</v>
      </c>
      <c r="B239" s="10" t="s">
        <v>24</v>
      </c>
      <c r="C239" s="10" t="s">
        <v>25</v>
      </c>
      <c r="D239" s="12">
        <v>2019</v>
      </c>
      <c r="E239" s="10" t="s">
        <v>1023</v>
      </c>
      <c r="F239" s="10" t="s">
        <v>1024</v>
      </c>
      <c r="G239" s="10" t="s">
        <v>155</v>
      </c>
      <c r="H239" s="10" t="s">
        <v>48</v>
      </c>
      <c r="I239" s="13">
        <v>238.0492373376</v>
      </c>
      <c r="J239" s="13">
        <v>238.0492373376</v>
      </c>
      <c r="K239" s="13">
        <v>0</v>
      </c>
      <c r="L239" s="13">
        <v>176.47675827980001</v>
      </c>
      <c r="M239" s="13">
        <v>61.572479057800003</v>
      </c>
      <c r="N239" s="10" t="s">
        <v>1025</v>
      </c>
      <c r="O239" s="14">
        <v>4.2699999999999996</v>
      </c>
      <c r="P239" s="10" t="s">
        <v>31</v>
      </c>
      <c r="Q239" s="14" t="s">
        <v>32</v>
      </c>
      <c r="R239" s="10" t="s">
        <v>33</v>
      </c>
      <c r="S239" s="10" t="s">
        <v>1023</v>
      </c>
      <c r="T239" s="14">
        <f>IF(O239="","",(1/Metadata!$B$5)^(O239-1))</f>
        <v>1862.0871366628671</v>
      </c>
      <c r="U239" s="13">
        <f t="shared" si="3"/>
        <v>443268.42273875087</v>
      </c>
      <c r="V239" s="19" t="s">
        <v>105</v>
      </c>
      <c r="W239" s="20" t="s">
        <v>1026</v>
      </c>
    </row>
    <row r="240" spans="1:23" ht="18" customHeight="1">
      <c r="A240" s="10" t="s">
        <v>23</v>
      </c>
      <c r="B240" s="10" t="s">
        <v>24</v>
      </c>
      <c r="C240" s="10" t="s">
        <v>25</v>
      </c>
      <c r="D240" s="12">
        <v>2019</v>
      </c>
      <c r="E240" s="10" t="s">
        <v>1027</v>
      </c>
      <c r="F240" s="10" t="s">
        <v>1028</v>
      </c>
      <c r="G240" s="10" t="s">
        <v>38</v>
      </c>
      <c r="H240" s="10" t="s">
        <v>48</v>
      </c>
      <c r="I240" s="13">
        <v>230.18665000120001</v>
      </c>
      <c r="J240" s="13">
        <v>81.100700153900007</v>
      </c>
      <c r="K240" s="13">
        <v>149.08594984729999</v>
      </c>
      <c r="L240" s="13">
        <v>81.100700153900007</v>
      </c>
      <c r="M240" s="13">
        <v>149.08594984729999</v>
      </c>
      <c r="N240" s="10" t="s">
        <v>1029</v>
      </c>
      <c r="O240" s="14">
        <v>3.5</v>
      </c>
      <c r="P240" s="10" t="s">
        <v>41</v>
      </c>
      <c r="Q240" s="14" t="s">
        <v>42</v>
      </c>
      <c r="R240" s="10" t="s">
        <v>33</v>
      </c>
      <c r="S240" s="10" t="s">
        <v>1027</v>
      </c>
      <c r="T240" s="14">
        <f>IF(O240="","",(1/Metadata!$B$5)^(O240-1))</f>
        <v>316.22776601683825</v>
      </c>
      <c r="U240" s="13">
        <f t="shared" si="3"/>
        <v>72791.41009677932</v>
      </c>
      <c r="V240" s="19" t="s">
        <v>73</v>
      </c>
      <c r="W240" s="20" t="s">
        <v>1030</v>
      </c>
    </row>
    <row r="241" spans="1:23" ht="18" customHeight="1">
      <c r="A241" s="10" t="s">
        <v>23</v>
      </c>
      <c r="B241" s="10" t="s">
        <v>24</v>
      </c>
      <c r="C241" s="10" t="s">
        <v>25</v>
      </c>
      <c r="D241" s="12">
        <v>2019</v>
      </c>
      <c r="E241" s="10" t="s">
        <v>1031</v>
      </c>
      <c r="F241" s="10" t="s">
        <v>1032</v>
      </c>
      <c r="G241" s="10" t="s">
        <v>312</v>
      </c>
      <c r="H241" s="10" t="s">
        <v>48</v>
      </c>
      <c r="I241" s="13">
        <v>225.11059229240001</v>
      </c>
      <c r="J241" s="13">
        <v>206.11610366100001</v>
      </c>
      <c r="K241" s="13">
        <v>18.994488631399999</v>
      </c>
      <c r="L241" s="13">
        <v>66.923509238999998</v>
      </c>
      <c r="M241" s="13">
        <v>158.18708305339999</v>
      </c>
      <c r="N241" s="10" t="s">
        <v>1033</v>
      </c>
      <c r="O241" s="14">
        <v>3.27</v>
      </c>
      <c r="P241" s="10" t="s">
        <v>41</v>
      </c>
      <c r="Q241" s="14" t="s">
        <v>42</v>
      </c>
      <c r="R241" s="10" t="s">
        <v>33</v>
      </c>
      <c r="S241" s="10" t="s">
        <v>1031</v>
      </c>
      <c r="T241" s="14">
        <f>IF(O241="","",(1/Metadata!$B$5)^(O241-1))</f>
        <v>186.20871366628685</v>
      </c>
      <c r="U241" s="13">
        <f t="shared" si="3"/>
        <v>41917.553823423754</v>
      </c>
      <c r="V241" s="19" t="s">
        <v>73</v>
      </c>
      <c r="W241" s="20" t="s">
        <v>1034</v>
      </c>
    </row>
    <row r="242" spans="1:23" ht="18" customHeight="1">
      <c r="A242" s="10" t="s">
        <v>23</v>
      </c>
      <c r="B242" s="10" t="s">
        <v>24</v>
      </c>
      <c r="C242" s="10" t="s">
        <v>25</v>
      </c>
      <c r="D242" s="12">
        <v>2019</v>
      </c>
      <c r="E242" s="10" t="s">
        <v>1035</v>
      </c>
      <c r="F242" s="10" t="s">
        <v>1036</v>
      </c>
      <c r="G242" s="10" t="s">
        <v>28</v>
      </c>
      <c r="H242" s="10" t="s">
        <v>1037</v>
      </c>
      <c r="I242" s="13">
        <v>224.60510071850001</v>
      </c>
      <c r="J242" s="13">
        <v>220.76884070290001</v>
      </c>
      <c r="K242" s="13">
        <v>3.8362600156000002</v>
      </c>
      <c r="L242" s="13">
        <v>220.76884070290001</v>
      </c>
      <c r="M242" s="13">
        <v>3.8362600156000002</v>
      </c>
      <c r="N242" s="10" t="s">
        <v>1038</v>
      </c>
      <c r="O242" s="14">
        <v>3.3</v>
      </c>
      <c r="P242" s="10" t="s">
        <v>31</v>
      </c>
      <c r="Q242" s="14" t="s">
        <v>32</v>
      </c>
      <c r="R242" s="10" t="s">
        <v>33</v>
      </c>
      <c r="S242" s="10" t="s">
        <v>1035</v>
      </c>
      <c r="T242" s="14">
        <f>IF(O242="","",(1/Metadata!$B$5)^(O242-1))</f>
        <v>199.52623149688802</v>
      </c>
      <c r="U242" s="13">
        <f t="shared" si="3"/>
        <v>44814.609321341282</v>
      </c>
      <c r="V242" s="19" t="s">
        <v>169</v>
      </c>
      <c r="W242" s="20" t="s">
        <v>1039</v>
      </c>
    </row>
    <row r="243" spans="1:23" ht="18" customHeight="1">
      <c r="A243" s="10" t="s">
        <v>23</v>
      </c>
      <c r="B243" s="10" t="s">
        <v>24</v>
      </c>
      <c r="C243" s="10" t="s">
        <v>25</v>
      </c>
      <c r="D243" s="12">
        <v>2019</v>
      </c>
      <c r="E243" s="10" t="s">
        <v>1040</v>
      </c>
      <c r="F243" s="10" t="s">
        <v>1041</v>
      </c>
      <c r="G243" s="10" t="s">
        <v>155</v>
      </c>
      <c r="H243" s="10" t="s">
        <v>48</v>
      </c>
      <c r="I243" s="13">
        <v>224.48422198739999</v>
      </c>
      <c r="J243" s="13">
        <v>224.48422198739999</v>
      </c>
      <c r="K243" s="13">
        <v>0</v>
      </c>
      <c r="L243" s="13">
        <v>169.473259232</v>
      </c>
      <c r="M243" s="13">
        <v>55.010962755400001</v>
      </c>
      <c r="N243" s="10" t="s">
        <v>1042</v>
      </c>
      <c r="O243" s="14">
        <v>4.5</v>
      </c>
      <c r="P243" s="10" t="s">
        <v>31</v>
      </c>
      <c r="Q243" s="14" t="s">
        <v>32</v>
      </c>
      <c r="R243" s="10" t="s">
        <v>33</v>
      </c>
      <c r="S243" s="10" t="s">
        <v>1040</v>
      </c>
      <c r="T243" s="14">
        <f>IF(O243="","",(1/Metadata!$B$5)^(O243-1))</f>
        <v>3162.2776601683804</v>
      </c>
      <c r="U243" s="13">
        <f t="shared" si="3"/>
        <v>709881.44025103457</v>
      </c>
      <c r="V243" s="19" t="s">
        <v>105</v>
      </c>
      <c r="W243" s="20" t="s">
        <v>1043</v>
      </c>
    </row>
    <row r="244" spans="1:23" ht="18" customHeight="1">
      <c r="A244" s="10" t="s">
        <v>23</v>
      </c>
      <c r="B244" s="10" t="s">
        <v>24</v>
      </c>
      <c r="C244" s="10" t="s">
        <v>25</v>
      </c>
      <c r="D244" s="12">
        <v>2019</v>
      </c>
      <c r="E244" s="10" t="s">
        <v>1044</v>
      </c>
      <c r="F244" s="10" t="s">
        <v>1045</v>
      </c>
      <c r="G244" s="10" t="s">
        <v>155</v>
      </c>
      <c r="H244" s="10" t="s">
        <v>48</v>
      </c>
      <c r="I244" s="13">
        <v>221.53919275429999</v>
      </c>
      <c r="J244" s="13">
        <v>221.53919275429999</v>
      </c>
      <c r="K244" s="13">
        <v>0</v>
      </c>
      <c r="L244" s="13">
        <v>0</v>
      </c>
      <c r="M244" s="13">
        <v>221.53919275429999</v>
      </c>
      <c r="N244" s="10" t="s">
        <v>1046</v>
      </c>
      <c r="O244" s="14">
        <v>2.02</v>
      </c>
      <c r="P244" s="10" t="s">
        <v>31</v>
      </c>
      <c r="Q244" s="14" t="s">
        <v>32</v>
      </c>
      <c r="R244" s="10" t="s">
        <v>33</v>
      </c>
      <c r="S244" s="10" t="s">
        <v>1044</v>
      </c>
      <c r="T244" s="14">
        <f>IF(O244="","",(1/Metadata!$B$5)^(O244-1))</f>
        <v>10.471285480509</v>
      </c>
      <c r="U244" s="13">
        <f t="shared" si="3"/>
        <v>2319.8001324517859</v>
      </c>
      <c r="V244" s="22" t="s">
        <v>181</v>
      </c>
      <c r="W244" s="20" t="s">
        <v>1047</v>
      </c>
    </row>
    <row r="245" spans="1:23" ht="18" customHeight="1">
      <c r="A245" s="10" t="s">
        <v>23</v>
      </c>
      <c r="B245" s="10" t="s">
        <v>24</v>
      </c>
      <c r="C245" s="10" t="s">
        <v>25</v>
      </c>
      <c r="D245" s="12">
        <v>2019</v>
      </c>
      <c r="E245" s="10" t="s">
        <v>1048</v>
      </c>
      <c r="F245" s="10" t="s">
        <v>1049</v>
      </c>
      <c r="G245" s="10" t="s">
        <v>164</v>
      </c>
      <c r="H245" s="10" t="s">
        <v>48</v>
      </c>
      <c r="I245" s="13">
        <v>218.73604222910001</v>
      </c>
      <c r="J245" s="13">
        <v>218.73604222910001</v>
      </c>
      <c r="K245" s="13">
        <v>0</v>
      </c>
      <c r="L245" s="13">
        <v>189.89646516510001</v>
      </c>
      <c r="M245" s="13">
        <v>28.839577064</v>
      </c>
      <c r="N245" s="10" t="s">
        <v>1050</v>
      </c>
      <c r="O245" s="14">
        <v>4.43</v>
      </c>
      <c r="P245" s="10" t="s">
        <v>41</v>
      </c>
      <c r="Q245" s="14" t="s">
        <v>42</v>
      </c>
      <c r="R245" s="10" t="s">
        <v>33</v>
      </c>
      <c r="S245" s="10" t="s">
        <v>1048</v>
      </c>
      <c r="T245" s="14">
        <f>IF(O245="","",(1/Metadata!$B$5)^(O245-1))</f>
        <v>2691.5348039269161</v>
      </c>
      <c r="U245" s="13">
        <f t="shared" si="3"/>
        <v>588735.67053285032</v>
      </c>
      <c r="V245" s="22" t="s">
        <v>105</v>
      </c>
      <c r="W245" s="20" t="s">
        <v>1051</v>
      </c>
    </row>
    <row r="246" spans="1:23" ht="18" customHeight="1">
      <c r="A246" s="10" t="s">
        <v>23</v>
      </c>
      <c r="B246" s="10" t="s">
        <v>24</v>
      </c>
      <c r="C246" s="10" t="s">
        <v>25</v>
      </c>
      <c r="D246" s="12">
        <v>2019</v>
      </c>
      <c r="E246" s="10" t="s">
        <v>1052</v>
      </c>
      <c r="F246" s="10" t="s">
        <v>1053</v>
      </c>
      <c r="G246" s="10" t="s">
        <v>38</v>
      </c>
      <c r="H246" s="10" t="s">
        <v>39</v>
      </c>
      <c r="I246" s="13">
        <v>206.92542302519999</v>
      </c>
      <c r="J246" s="13">
        <v>206.92542302519999</v>
      </c>
      <c r="K246" s="13">
        <v>0</v>
      </c>
      <c r="L246" s="13">
        <v>84.60367646249999</v>
      </c>
      <c r="M246" s="13">
        <v>122.3217465627</v>
      </c>
      <c r="N246" s="10" t="s">
        <v>1054</v>
      </c>
      <c r="O246" s="14">
        <v>3.22</v>
      </c>
      <c r="P246" s="10" t="s">
        <v>41</v>
      </c>
      <c r="Q246" s="14" t="s">
        <v>42</v>
      </c>
      <c r="R246" s="10" t="s">
        <v>33</v>
      </c>
      <c r="S246" s="10" t="s">
        <v>1052</v>
      </c>
      <c r="T246" s="14">
        <f>IF(O246="","",(1/Metadata!$B$5)^(O246-1))</f>
        <v>165.95869074375622</v>
      </c>
      <c r="U246" s="13">
        <f t="shared" si="3"/>
        <v>34341.072286860101</v>
      </c>
      <c r="V246" s="21" t="s">
        <v>43</v>
      </c>
      <c r="W246" s="20" t="s">
        <v>1055</v>
      </c>
    </row>
    <row r="247" spans="1:23" ht="18" customHeight="1">
      <c r="A247" s="10" t="s">
        <v>23</v>
      </c>
      <c r="B247" s="10" t="s">
        <v>24</v>
      </c>
      <c r="C247" s="10" t="s">
        <v>25</v>
      </c>
      <c r="D247" s="12">
        <v>2019</v>
      </c>
      <c r="E247" s="10" t="s">
        <v>1056</v>
      </c>
      <c r="F247" s="10" t="s">
        <v>1057</v>
      </c>
      <c r="G247" s="10" t="s">
        <v>155</v>
      </c>
      <c r="H247" s="10" t="s">
        <v>48</v>
      </c>
      <c r="I247" s="13">
        <v>205.00113360029999</v>
      </c>
      <c r="J247" s="13">
        <v>205.00113360029999</v>
      </c>
      <c r="K247" s="13">
        <v>0</v>
      </c>
      <c r="L247" s="13">
        <v>159.0475501288</v>
      </c>
      <c r="M247" s="13">
        <v>45.953583471499996</v>
      </c>
      <c r="N247" s="10" t="s">
        <v>1058</v>
      </c>
      <c r="O247" s="14">
        <v>3.99</v>
      </c>
      <c r="P247" s="10" t="s">
        <v>31</v>
      </c>
      <c r="Q247" s="14" t="s">
        <v>32</v>
      </c>
      <c r="R247" s="10" t="s">
        <v>33</v>
      </c>
      <c r="S247" s="10" t="s">
        <v>1056</v>
      </c>
      <c r="T247" s="14">
        <f>IF(O247="","",(1/Metadata!$B$5)^(O247-1))</f>
        <v>977.23722095581138</v>
      </c>
      <c r="U247" s="13">
        <f t="shared" si="3"/>
        <v>200334.73809234818</v>
      </c>
      <c r="V247" s="22" t="s">
        <v>92</v>
      </c>
      <c r="W247" s="20" t="s">
        <v>1059</v>
      </c>
    </row>
    <row r="248" spans="1:23" ht="18" customHeight="1">
      <c r="A248" s="10" t="s">
        <v>23</v>
      </c>
      <c r="B248" s="10" t="s">
        <v>24</v>
      </c>
      <c r="C248" s="10" t="s">
        <v>25</v>
      </c>
      <c r="D248" s="12">
        <v>2019</v>
      </c>
      <c r="E248" s="10" t="s">
        <v>1060</v>
      </c>
      <c r="F248" s="10" t="s">
        <v>1061</v>
      </c>
      <c r="G248" s="10" t="s">
        <v>164</v>
      </c>
      <c r="H248" s="10" t="s">
        <v>48</v>
      </c>
      <c r="I248" s="13">
        <v>197.2215659769</v>
      </c>
      <c r="J248" s="13">
        <v>197.2215659769</v>
      </c>
      <c r="K248" s="13">
        <v>0</v>
      </c>
      <c r="L248" s="13">
        <v>151.36856441360001</v>
      </c>
      <c r="M248" s="13">
        <v>45.853001563299998</v>
      </c>
      <c r="N248" s="10" t="s">
        <v>1062</v>
      </c>
      <c r="O248" s="14">
        <v>4.28</v>
      </c>
      <c r="P248" s="10" t="s">
        <v>41</v>
      </c>
      <c r="Q248" s="14" t="s">
        <v>42</v>
      </c>
      <c r="R248" s="10" t="s">
        <v>33</v>
      </c>
      <c r="S248" s="10" t="s">
        <v>1060</v>
      </c>
      <c r="T248" s="14">
        <f>IF(O248="","",(1/Metadata!$B$5)^(O248-1))</f>
        <v>1905.4607179632501</v>
      </c>
      <c r="U248" s="13">
        <f t="shared" si="3"/>
        <v>375797.94670418039</v>
      </c>
      <c r="V248" s="19" t="s">
        <v>105</v>
      </c>
      <c r="W248" s="20" t="s">
        <v>1063</v>
      </c>
    </row>
    <row r="249" spans="1:23" ht="18" customHeight="1">
      <c r="A249" s="10" t="s">
        <v>23</v>
      </c>
      <c r="B249" s="10" t="s">
        <v>24</v>
      </c>
      <c r="C249" s="10" t="s">
        <v>25</v>
      </c>
      <c r="D249" s="12">
        <v>2019</v>
      </c>
      <c r="E249" s="10" t="s">
        <v>1064</v>
      </c>
      <c r="F249" s="10" t="s">
        <v>1065</v>
      </c>
      <c r="G249" s="10" t="s">
        <v>155</v>
      </c>
      <c r="H249" s="10" t="s">
        <v>48</v>
      </c>
      <c r="I249" s="13">
        <v>197.09344096269999</v>
      </c>
      <c r="J249" s="13">
        <v>197.09344096269999</v>
      </c>
      <c r="K249" s="13">
        <v>0</v>
      </c>
      <c r="L249" s="13">
        <v>151.81790872549999</v>
      </c>
      <c r="M249" s="13">
        <v>45.275532237199997</v>
      </c>
      <c r="N249" s="10" t="s">
        <v>1066</v>
      </c>
      <c r="O249" s="14">
        <v>3.68</v>
      </c>
      <c r="P249" s="10" t="s">
        <v>31</v>
      </c>
      <c r="Q249" s="14" t="s">
        <v>32</v>
      </c>
      <c r="R249" s="10" t="s">
        <v>33</v>
      </c>
      <c r="S249" s="10" t="s">
        <v>1064</v>
      </c>
      <c r="T249" s="14">
        <f>IF(O249="","",(1/Metadata!$B$5)^(O249-1))</f>
        <v>478.63009232263886</v>
      </c>
      <c r="U249" s="13">
        <f t="shared" si="3"/>
        <v>94334.85184416367</v>
      </c>
      <c r="V249" s="19" t="s">
        <v>105</v>
      </c>
      <c r="W249" s="20" t="s">
        <v>1067</v>
      </c>
    </row>
    <row r="250" spans="1:23" ht="18" customHeight="1">
      <c r="A250" s="10" t="s">
        <v>23</v>
      </c>
      <c r="B250" s="10" t="s">
        <v>24</v>
      </c>
      <c r="C250" s="10" t="s">
        <v>25</v>
      </c>
      <c r="D250" s="12">
        <v>2019</v>
      </c>
      <c r="E250" s="10" t="s">
        <v>1068</v>
      </c>
      <c r="F250" s="10" t="s">
        <v>1069</v>
      </c>
      <c r="G250" s="10" t="s">
        <v>71</v>
      </c>
      <c r="H250" s="10" t="s">
        <v>48</v>
      </c>
      <c r="I250" s="13">
        <v>192.73755982860001</v>
      </c>
      <c r="J250" s="13">
        <v>178.3601724019</v>
      </c>
      <c r="K250" s="13">
        <v>14.3773874267</v>
      </c>
      <c r="L250" s="13">
        <v>178.347652302</v>
      </c>
      <c r="M250" s="13">
        <v>14.3899075266</v>
      </c>
      <c r="N250" s="10" t="s">
        <v>1070</v>
      </c>
      <c r="O250" s="14">
        <v>3.72</v>
      </c>
      <c r="P250" s="10" t="s">
        <v>41</v>
      </c>
      <c r="Q250" s="14" t="s">
        <v>42</v>
      </c>
      <c r="R250" s="10" t="s">
        <v>33</v>
      </c>
      <c r="S250" s="10" t="s">
        <v>1068</v>
      </c>
      <c r="T250" s="14">
        <f>IF(O250="","",(1/Metadata!$B$5)^(O250-1))</f>
        <v>524.80746024977293</v>
      </c>
      <c r="U250" s="13">
        <f t="shared" si="3"/>
        <v>101150.10926838624</v>
      </c>
      <c r="V250" s="19" t="s">
        <v>73</v>
      </c>
      <c r="W250" s="20" t="s">
        <v>1071</v>
      </c>
    </row>
    <row r="251" spans="1:23" ht="18" customHeight="1">
      <c r="A251" s="10" t="s">
        <v>23</v>
      </c>
      <c r="B251" s="10" t="s">
        <v>24</v>
      </c>
      <c r="C251" s="10" t="s">
        <v>25</v>
      </c>
      <c r="D251" s="12">
        <v>2019</v>
      </c>
      <c r="E251" s="10" t="s">
        <v>1072</v>
      </c>
      <c r="F251" s="10" t="s">
        <v>1073</v>
      </c>
      <c r="G251" s="10" t="s">
        <v>38</v>
      </c>
      <c r="H251" s="10" t="s">
        <v>48</v>
      </c>
      <c r="I251" s="13">
        <v>183.79218489530001</v>
      </c>
      <c r="J251" s="13">
        <v>183.79218489530001</v>
      </c>
      <c r="K251" s="13">
        <v>0</v>
      </c>
      <c r="L251" s="13">
        <v>135.48054335410001</v>
      </c>
      <c r="M251" s="13">
        <v>48.311641541199997</v>
      </c>
      <c r="N251" s="10" t="s">
        <v>1074</v>
      </c>
      <c r="O251" s="14">
        <v>3.47</v>
      </c>
      <c r="P251" s="10" t="s">
        <v>31</v>
      </c>
      <c r="Q251" s="14" t="s">
        <v>32</v>
      </c>
      <c r="R251" s="10" t="s">
        <v>33</v>
      </c>
      <c r="S251" s="10" t="s">
        <v>1072</v>
      </c>
      <c r="T251" s="14">
        <f>IF(O251="","",(1/Metadata!$B$5)^(O251-1))</f>
        <v>295.12092266663893</v>
      </c>
      <c r="U251" s="13">
        <f t="shared" si="3"/>
        <v>54240.919185218438</v>
      </c>
      <c r="V251" s="22" t="s">
        <v>92</v>
      </c>
      <c r="W251" s="20" t="s">
        <v>1075</v>
      </c>
    </row>
    <row r="252" spans="1:23" ht="18" customHeight="1">
      <c r="A252" s="10" t="s">
        <v>23</v>
      </c>
      <c r="B252" s="10" t="s">
        <v>24</v>
      </c>
      <c r="C252" s="10" t="s">
        <v>25</v>
      </c>
      <c r="D252" s="12">
        <v>2019</v>
      </c>
      <c r="E252" s="10" t="s">
        <v>1076</v>
      </c>
      <c r="F252" s="10" t="s">
        <v>1077</v>
      </c>
      <c r="G252" s="10" t="s">
        <v>148</v>
      </c>
      <c r="H252" s="10" t="s">
        <v>149</v>
      </c>
      <c r="I252" s="13">
        <v>183.28608922769999</v>
      </c>
      <c r="J252" s="13">
        <v>183.28608922769999</v>
      </c>
      <c r="K252" s="13">
        <v>0</v>
      </c>
      <c r="L252" s="13">
        <v>183.28608922769999</v>
      </c>
      <c r="M252" s="13">
        <v>0</v>
      </c>
      <c r="N252" s="10" t="s">
        <v>1078</v>
      </c>
      <c r="O252" s="14">
        <v>4.2</v>
      </c>
      <c r="P252" s="10" t="s">
        <v>41</v>
      </c>
      <c r="Q252" s="14" t="s">
        <v>42</v>
      </c>
      <c r="R252" s="10" t="s">
        <v>33</v>
      </c>
      <c r="S252" s="10" t="s">
        <v>1076</v>
      </c>
      <c r="T252" s="14">
        <f>IF(O252="","",(1/Metadata!$B$5)^(O252-1))</f>
        <v>1584.8931924611156</v>
      </c>
      <c r="U252" s="13">
        <f t="shared" si="3"/>
        <v>290488.87508980231</v>
      </c>
      <c r="V252" s="19" t="s">
        <v>151</v>
      </c>
      <c r="W252" s="20" t="s">
        <v>1079</v>
      </c>
    </row>
    <row r="253" spans="1:23" ht="18" customHeight="1">
      <c r="A253" s="10" t="s">
        <v>23</v>
      </c>
      <c r="B253" s="10" t="s">
        <v>24</v>
      </c>
      <c r="C253" s="10" t="s">
        <v>25</v>
      </c>
      <c r="D253" s="12">
        <v>2019</v>
      </c>
      <c r="E253" s="10" t="s">
        <v>1080</v>
      </c>
      <c r="F253" s="10" t="s">
        <v>1081</v>
      </c>
      <c r="G253" s="10" t="s">
        <v>155</v>
      </c>
      <c r="H253" s="10" t="s">
        <v>48</v>
      </c>
      <c r="I253" s="13">
        <v>176.028097981</v>
      </c>
      <c r="J253" s="13">
        <v>176.028097981</v>
      </c>
      <c r="K253" s="13">
        <v>0</v>
      </c>
      <c r="L253" s="13">
        <v>115.8786935521</v>
      </c>
      <c r="M253" s="13">
        <v>60.149404428899999</v>
      </c>
      <c r="N253" s="10" t="s">
        <v>1082</v>
      </c>
      <c r="O253" s="14">
        <v>4.12</v>
      </c>
      <c r="P253" s="10" t="s">
        <v>31</v>
      </c>
      <c r="Q253" s="14" t="s">
        <v>32</v>
      </c>
      <c r="R253" s="10" t="s">
        <v>33</v>
      </c>
      <c r="S253" s="10" t="s">
        <v>1080</v>
      </c>
      <c r="T253" s="14">
        <f>IF(O253="","",(1/Metadata!$B$5)^(O253-1))</f>
        <v>1318.2567385564089</v>
      </c>
      <c r="U253" s="13">
        <f t="shared" si="3"/>
        <v>232050.22633872106</v>
      </c>
      <c r="V253" s="19" t="s">
        <v>105</v>
      </c>
      <c r="W253" s="20" t="s">
        <v>1083</v>
      </c>
    </row>
    <row r="254" spans="1:23" ht="18" customHeight="1">
      <c r="A254" s="10" t="s">
        <v>23</v>
      </c>
      <c r="B254" s="10" t="s">
        <v>24</v>
      </c>
      <c r="C254" s="10" t="s">
        <v>25</v>
      </c>
      <c r="D254" s="12">
        <v>2019</v>
      </c>
      <c r="E254" s="10" t="s">
        <v>1084</v>
      </c>
      <c r="F254" s="10" t="s">
        <v>1085</v>
      </c>
      <c r="G254" s="10" t="s">
        <v>123</v>
      </c>
      <c r="H254" s="10" t="s">
        <v>39</v>
      </c>
      <c r="I254" s="13">
        <v>171.4364621341</v>
      </c>
      <c r="J254" s="13">
        <v>171.4364621341</v>
      </c>
      <c r="K254" s="13">
        <v>0</v>
      </c>
      <c r="L254" s="13">
        <v>50.256681416100001</v>
      </c>
      <c r="M254" s="13">
        <v>121.179780718</v>
      </c>
      <c r="N254" s="10" t="s">
        <v>1086</v>
      </c>
      <c r="O254" s="14">
        <v>2.5099999999999998</v>
      </c>
      <c r="P254" s="10" t="s">
        <v>41</v>
      </c>
      <c r="Q254" s="14" t="s">
        <v>42</v>
      </c>
      <c r="R254" s="10" t="s">
        <v>33</v>
      </c>
      <c r="S254" s="10" t="s">
        <v>1084</v>
      </c>
      <c r="T254" s="14">
        <f>IF(O254="","",(1/Metadata!$B$5)^(O254-1))</f>
        <v>32.359365692962818</v>
      </c>
      <c r="U254" s="13">
        <f t="shared" si="3"/>
        <v>5547.575171305115</v>
      </c>
      <c r="V254" s="19" t="s">
        <v>126</v>
      </c>
      <c r="W254" s="20" t="s">
        <v>1087</v>
      </c>
    </row>
    <row r="255" spans="1:23" ht="18" customHeight="1">
      <c r="A255" s="10" t="s">
        <v>23</v>
      </c>
      <c r="B255" s="10" t="s">
        <v>24</v>
      </c>
      <c r="C255" s="10" t="s">
        <v>25</v>
      </c>
      <c r="D255" s="12">
        <v>2019</v>
      </c>
      <c r="E255" s="10" t="s">
        <v>1088</v>
      </c>
      <c r="F255" s="10" t="s">
        <v>1089</v>
      </c>
      <c r="G255" s="10" t="s">
        <v>54</v>
      </c>
      <c r="H255" s="10" t="s">
        <v>55</v>
      </c>
      <c r="I255" s="13">
        <v>169.6466487985</v>
      </c>
      <c r="J255" s="13">
        <v>169.6466487985</v>
      </c>
      <c r="K255" s="13">
        <v>0</v>
      </c>
      <c r="L255" s="13">
        <v>128.5247574183</v>
      </c>
      <c r="M255" s="13">
        <v>41.121891380199997</v>
      </c>
      <c r="N255" s="10" t="s">
        <v>1090</v>
      </c>
      <c r="O255" s="14">
        <v>4.5</v>
      </c>
      <c r="P255" s="10" t="s">
        <v>41</v>
      </c>
      <c r="Q255" s="14" t="s">
        <v>42</v>
      </c>
      <c r="R255" s="10" t="s">
        <v>33</v>
      </c>
      <c r="S255" s="10" t="s">
        <v>1088</v>
      </c>
      <c r="T255" s="14">
        <f>IF(O255="","",(1/Metadata!$B$5)^(O255-1))</f>
        <v>3162.2776601683804</v>
      </c>
      <c r="U255" s="13">
        <f t="shared" si="3"/>
        <v>536469.80761792755</v>
      </c>
      <c r="V255" s="22" t="s">
        <v>110</v>
      </c>
      <c r="W255" s="20" t="s">
        <v>1091</v>
      </c>
    </row>
    <row r="256" spans="1:23" ht="18" customHeight="1">
      <c r="A256" s="10" t="s">
        <v>23</v>
      </c>
      <c r="B256" s="10" t="s">
        <v>24</v>
      </c>
      <c r="C256" s="10" t="s">
        <v>25</v>
      </c>
      <c r="D256" s="12">
        <v>2019</v>
      </c>
      <c r="E256" s="10" t="s">
        <v>1092</v>
      </c>
      <c r="F256" s="10" t="s">
        <v>1093</v>
      </c>
      <c r="G256" s="10" t="s">
        <v>155</v>
      </c>
      <c r="H256" s="10" t="s">
        <v>48</v>
      </c>
      <c r="I256" s="13">
        <v>169.3904592728</v>
      </c>
      <c r="J256" s="13">
        <v>144.8482167059</v>
      </c>
      <c r="K256" s="13">
        <v>24.542242566900001</v>
      </c>
      <c r="L256" s="13">
        <v>88.0190754642</v>
      </c>
      <c r="M256" s="13">
        <v>81.371383808600001</v>
      </c>
      <c r="N256" s="10" t="s">
        <v>1094</v>
      </c>
      <c r="O256" s="14">
        <v>3.79</v>
      </c>
      <c r="P256" s="10" t="s">
        <v>31</v>
      </c>
      <c r="Q256" s="14" t="s">
        <v>32</v>
      </c>
      <c r="R256" s="10" t="s">
        <v>33</v>
      </c>
      <c r="S256" s="10" t="s">
        <v>1092</v>
      </c>
      <c r="T256" s="14">
        <f>IF(O256="","",(1/Metadata!$B$5)^(O256-1))</f>
        <v>616.59500186148273</v>
      </c>
      <c r="U256" s="13">
        <f t="shared" si="3"/>
        <v>104445.31055062953</v>
      </c>
      <c r="V256" s="22" t="s">
        <v>105</v>
      </c>
      <c r="W256" s="20" t="s">
        <v>1095</v>
      </c>
    </row>
    <row r="257" spans="1:23" ht="18" customHeight="1">
      <c r="A257" s="10" t="s">
        <v>23</v>
      </c>
      <c r="B257" s="10" t="s">
        <v>24</v>
      </c>
      <c r="C257" s="10" t="s">
        <v>25</v>
      </c>
      <c r="D257" s="12">
        <v>2019</v>
      </c>
      <c r="E257" s="10" t="s">
        <v>1096</v>
      </c>
      <c r="F257" s="10" t="s">
        <v>1097</v>
      </c>
      <c r="G257" s="10" t="s">
        <v>155</v>
      </c>
      <c r="H257" s="10" t="s">
        <v>48</v>
      </c>
      <c r="I257" s="13">
        <v>159.31452989069999</v>
      </c>
      <c r="J257" s="13">
        <v>159.31452989069999</v>
      </c>
      <c r="K257" s="13">
        <v>0</v>
      </c>
      <c r="L257" s="13">
        <v>159.31452989069999</v>
      </c>
      <c r="M257" s="13">
        <v>0</v>
      </c>
      <c r="N257" s="10" t="s">
        <v>1098</v>
      </c>
      <c r="O257" s="14">
        <v>3.99</v>
      </c>
      <c r="P257" s="10" t="s">
        <v>31</v>
      </c>
      <c r="Q257" s="14" t="s">
        <v>32</v>
      </c>
      <c r="R257" s="10" t="s">
        <v>33</v>
      </c>
      <c r="S257" s="10" t="s">
        <v>1096</v>
      </c>
      <c r="T257" s="14">
        <f>IF(O257="","",(1/Metadata!$B$5)^(O257-1))</f>
        <v>977.23722095581138</v>
      </c>
      <c r="U257" s="13">
        <f t="shared" si="3"/>
        <v>155688.08844826921</v>
      </c>
      <c r="V257" s="22" t="s">
        <v>92</v>
      </c>
      <c r="W257" s="20" t="s">
        <v>1099</v>
      </c>
    </row>
    <row r="258" spans="1:23" ht="18" customHeight="1">
      <c r="A258" s="10" t="s">
        <v>23</v>
      </c>
      <c r="B258" s="10" t="s">
        <v>24</v>
      </c>
      <c r="C258" s="10" t="s">
        <v>25</v>
      </c>
      <c r="D258" s="12">
        <v>2019</v>
      </c>
      <c r="E258" s="10" t="s">
        <v>1100</v>
      </c>
      <c r="F258" s="10" t="s">
        <v>424</v>
      </c>
      <c r="G258" s="10" t="s">
        <v>1101</v>
      </c>
      <c r="H258" s="10" t="s">
        <v>48</v>
      </c>
      <c r="I258" s="13">
        <v>150.48445620090001</v>
      </c>
      <c r="J258" s="13">
        <v>150.48445620090001</v>
      </c>
      <c r="K258" s="13">
        <v>0</v>
      </c>
      <c r="L258" s="13">
        <v>114.00742877019999</v>
      </c>
      <c r="M258" s="13">
        <v>36.477027430699998</v>
      </c>
      <c r="N258" s="10" t="s">
        <v>1102</v>
      </c>
      <c r="O258" s="14">
        <v>4.3600000000000003</v>
      </c>
      <c r="P258" s="10" t="s">
        <v>41</v>
      </c>
      <c r="Q258" s="14" t="s">
        <v>42</v>
      </c>
      <c r="R258" s="10" t="s">
        <v>33</v>
      </c>
      <c r="S258" s="10" t="s">
        <v>1100</v>
      </c>
      <c r="T258" s="14">
        <f>IF(O258="","",(1/Metadata!$B$5)^(O258-1))</f>
        <v>2290.8676527677767</v>
      </c>
      <c r="U258" s="13">
        <f t="shared" ref="U258:U321" si="4">IF(T258="","",I258*T258)</f>
        <v>344739.9729549911</v>
      </c>
      <c r="V258" s="19" t="s">
        <v>105</v>
      </c>
      <c r="W258" s="20" t="s">
        <v>1103</v>
      </c>
    </row>
    <row r="259" spans="1:23" ht="18" customHeight="1">
      <c r="A259" s="10" t="s">
        <v>23</v>
      </c>
      <c r="B259" s="10" t="s">
        <v>24</v>
      </c>
      <c r="C259" s="10" t="s">
        <v>25</v>
      </c>
      <c r="D259" s="12">
        <v>2019</v>
      </c>
      <c r="E259" s="10" t="s">
        <v>1104</v>
      </c>
      <c r="F259" s="10" t="s">
        <v>1105</v>
      </c>
      <c r="G259" s="10" t="s">
        <v>38</v>
      </c>
      <c r="H259" s="10" t="s">
        <v>504</v>
      </c>
      <c r="I259" s="13">
        <v>147.2538116373</v>
      </c>
      <c r="J259" s="13">
        <v>147.2538116373</v>
      </c>
      <c r="K259" s="13">
        <v>0</v>
      </c>
      <c r="L259" s="13">
        <v>1.690793252</v>
      </c>
      <c r="M259" s="13">
        <v>145.56301838530001</v>
      </c>
      <c r="N259" s="10" t="s">
        <v>1106</v>
      </c>
      <c r="O259" s="14">
        <v>4.2</v>
      </c>
      <c r="P259" s="10" t="s">
        <v>41</v>
      </c>
      <c r="Q259" s="14" t="s">
        <v>42</v>
      </c>
      <c r="R259" s="10" t="s">
        <v>33</v>
      </c>
      <c r="S259" s="10" t="s">
        <v>1104</v>
      </c>
      <c r="T259" s="14">
        <f>IF(O259="","",(1/Metadata!$B$5)^(O259-1))</f>
        <v>1584.8931924611156</v>
      </c>
      <c r="U259" s="13">
        <f t="shared" si="4"/>
        <v>233381.56362790818</v>
      </c>
      <c r="V259" s="22" t="s">
        <v>105</v>
      </c>
      <c r="W259" s="20" t="s">
        <v>1107</v>
      </c>
    </row>
    <row r="260" spans="1:23" ht="18" customHeight="1">
      <c r="A260" s="10" t="s">
        <v>23</v>
      </c>
      <c r="B260" s="10" t="s">
        <v>24</v>
      </c>
      <c r="C260" s="10" t="s">
        <v>25</v>
      </c>
      <c r="D260" s="12">
        <v>2019</v>
      </c>
      <c r="E260" s="10" t="s">
        <v>1108</v>
      </c>
      <c r="F260" s="10" t="s">
        <v>1109</v>
      </c>
      <c r="G260" s="10" t="s">
        <v>47</v>
      </c>
      <c r="H260" s="10" t="s">
        <v>39</v>
      </c>
      <c r="I260" s="13">
        <v>143.21284985560001</v>
      </c>
      <c r="J260" s="13">
        <v>143.21284985560001</v>
      </c>
      <c r="K260" s="13">
        <v>0</v>
      </c>
      <c r="L260" s="13">
        <v>143.21284985560001</v>
      </c>
      <c r="M260" s="13">
        <v>0</v>
      </c>
      <c r="N260" s="10" t="s">
        <v>1110</v>
      </c>
      <c r="O260" s="14">
        <v>2.82</v>
      </c>
      <c r="P260" s="10" t="s">
        <v>41</v>
      </c>
      <c r="Q260" s="14" t="s">
        <v>42</v>
      </c>
      <c r="R260" s="10" t="s">
        <v>33</v>
      </c>
      <c r="S260" s="10" t="s">
        <v>1108</v>
      </c>
      <c r="T260" s="14">
        <f>IF(O260="","",(1/Metadata!$B$5)^(O260-1))</f>
        <v>66.069344800759623</v>
      </c>
      <c r="U260" s="13">
        <f t="shared" si="4"/>
        <v>9461.9791570090547</v>
      </c>
      <c r="V260" s="22" t="s">
        <v>87</v>
      </c>
      <c r="W260" s="20" t="s">
        <v>1111</v>
      </c>
    </row>
    <row r="261" spans="1:23" ht="18" customHeight="1">
      <c r="A261" s="10" t="s">
        <v>23</v>
      </c>
      <c r="B261" s="10" t="s">
        <v>24</v>
      </c>
      <c r="C261" s="10" t="s">
        <v>25</v>
      </c>
      <c r="D261" s="12">
        <v>2019</v>
      </c>
      <c r="E261" s="10" t="s">
        <v>1112</v>
      </c>
      <c r="F261" s="10" t="s">
        <v>1113</v>
      </c>
      <c r="G261" s="10" t="s">
        <v>155</v>
      </c>
      <c r="H261" s="10" t="s">
        <v>48</v>
      </c>
      <c r="I261" s="13">
        <v>142.66914557449999</v>
      </c>
      <c r="J261" s="13">
        <v>142.66914557449999</v>
      </c>
      <c r="K261" s="13">
        <v>0</v>
      </c>
      <c r="L261" s="13">
        <v>112.4722633181</v>
      </c>
      <c r="M261" s="13">
        <v>30.196882256399999</v>
      </c>
      <c r="N261" s="10" t="s">
        <v>1114</v>
      </c>
      <c r="O261" s="14">
        <v>4.1399999999999997</v>
      </c>
      <c r="P261" s="10" t="s">
        <v>31</v>
      </c>
      <c r="Q261" s="14" t="s">
        <v>32</v>
      </c>
      <c r="R261" s="10" t="s">
        <v>33</v>
      </c>
      <c r="S261" s="10" t="s">
        <v>1112</v>
      </c>
      <c r="T261" s="14">
        <f>IF(O261="","",(1/Metadata!$B$5)^(O261-1))</f>
        <v>1380.3842646028852</v>
      </c>
      <c r="U261" s="13">
        <f t="shared" si="4"/>
        <v>196938.24359537815</v>
      </c>
      <c r="V261" s="19" t="s">
        <v>105</v>
      </c>
      <c r="W261" s="20" t="s">
        <v>1115</v>
      </c>
    </row>
    <row r="262" spans="1:23" ht="18" customHeight="1">
      <c r="A262" s="10" t="s">
        <v>23</v>
      </c>
      <c r="B262" s="10" t="s">
        <v>24</v>
      </c>
      <c r="C262" s="10" t="s">
        <v>25</v>
      </c>
      <c r="D262" s="12">
        <v>2019</v>
      </c>
      <c r="E262" s="10" t="s">
        <v>1116</v>
      </c>
      <c r="F262" s="10" t="s">
        <v>1117</v>
      </c>
      <c r="G262" s="10" t="s">
        <v>38</v>
      </c>
      <c r="H262" s="10" t="s">
        <v>48</v>
      </c>
      <c r="I262" s="13">
        <v>141.4224127073</v>
      </c>
      <c r="J262" s="13">
        <v>141.4224127073</v>
      </c>
      <c r="K262" s="13">
        <v>0</v>
      </c>
      <c r="L262" s="13">
        <v>12.8391519329</v>
      </c>
      <c r="M262" s="13">
        <v>128.5832607744</v>
      </c>
      <c r="N262" s="10" t="s">
        <v>1118</v>
      </c>
      <c r="O262" s="14">
        <v>3.25</v>
      </c>
      <c r="P262" s="10" t="s">
        <v>41</v>
      </c>
      <c r="Q262" s="14" t="s">
        <v>42</v>
      </c>
      <c r="R262" s="10" t="s">
        <v>33</v>
      </c>
      <c r="S262" s="10" t="s">
        <v>1116</v>
      </c>
      <c r="T262" s="14">
        <f>IF(O262="","",(1/Metadata!$B$5)^(O262-1))</f>
        <v>177.82794100389242</v>
      </c>
      <c r="U262" s="13">
        <f t="shared" si="4"/>
        <v>25148.85646354187</v>
      </c>
      <c r="V262" s="22" t="s">
        <v>92</v>
      </c>
      <c r="W262" s="20" t="s">
        <v>1119</v>
      </c>
    </row>
    <row r="263" spans="1:23" ht="18" customHeight="1">
      <c r="A263" s="10" t="s">
        <v>23</v>
      </c>
      <c r="B263" s="10" t="s">
        <v>24</v>
      </c>
      <c r="C263" s="10" t="s">
        <v>25</v>
      </c>
      <c r="D263" s="12">
        <v>2019</v>
      </c>
      <c r="E263" s="10" t="s">
        <v>1120</v>
      </c>
      <c r="F263" s="10" t="s">
        <v>1121</v>
      </c>
      <c r="G263" s="10" t="s">
        <v>155</v>
      </c>
      <c r="H263" s="10" t="s">
        <v>48</v>
      </c>
      <c r="I263" s="13">
        <v>141.1240359112</v>
      </c>
      <c r="J263" s="13">
        <v>141.1240359112</v>
      </c>
      <c r="K263" s="13">
        <v>0</v>
      </c>
      <c r="L263" s="13">
        <v>64.924542459700007</v>
      </c>
      <c r="M263" s="13">
        <v>76.199493451500004</v>
      </c>
      <c r="N263" s="10" t="s">
        <v>1122</v>
      </c>
      <c r="O263" s="14">
        <v>4.34</v>
      </c>
      <c r="P263" s="10" t="s">
        <v>41</v>
      </c>
      <c r="Q263" s="14" t="s">
        <v>42</v>
      </c>
      <c r="R263" s="10" t="s">
        <v>33</v>
      </c>
      <c r="S263" s="10" t="s">
        <v>1120</v>
      </c>
      <c r="T263" s="14">
        <f>IF(O263="","",(1/Metadata!$B$5)^(O263-1))</f>
        <v>2187.7616239495528</v>
      </c>
      <c r="U263" s="13">
        <f t="shared" si="4"/>
        <v>308745.74998340191</v>
      </c>
      <c r="V263" s="22" t="s">
        <v>105</v>
      </c>
      <c r="W263" s="20" t="s">
        <v>1123</v>
      </c>
    </row>
    <row r="264" spans="1:23" ht="18" customHeight="1">
      <c r="A264" s="10" t="s">
        <v>23</v>
      </c>
      <c r="B264" s="10" t="s">
        <v>24</v>
      </c>
      <c r="C264" s="10" t="s">
        <v>25</v>
      </c>
      <c r="D264" s="12">
        <v>2019</v>
      </c>
      <c r="E264" s="10" t="s">
        <v>1124</v>
      </c>
      <c r="F264" s="10" t="s">
        <v>1125</v>
      </c>
      <c r="G264" s="10" t="s">
        <v>103</v>
      </c>
      <c r="H264" s="10" t="s">
        <v>48</v>
      </c>
      <c r="I264" s="13">
        <v>139.68503371860001</v>
      </c>
      <c r="J264" s="13">
        <v>139.68503371860001</v>
      </c>
      <c r="K264" s="13">
        <v>0</v>
      </c>
      <c r="L264" s="13">
        <v>40.993491473900001</v>
      </c>
      <c r="M264" s="13">
        <v>98.691542244700003</v>
      </c>
      <c r="N264" s="10" t="s">
        <v>1126</v>
      </c>
      <c r="O264" s="14">
        <v>3.32</v>
      </c>
      <c r="P264" s="10" t="s">
        <v>41</v>
      </c>
      <c r="Q264" s="14" t="s">
        <v>42</v>
      </c>
      <c r="R264" s="10" t="s">
        <v>33</v>
      </c>
      <c r="S264" s="10" t="s">
        <v>1124</v>
      </c>
      <c r="T264" s="14">
        <f>IF(O264="","",(1/Metadata!$B$5)^(O264-1))</f>
        <v>208.92961308540396</v>
      </c>
      <c r="U264" s="13">
        <f t="shared" si="4"/>
        <v>29184.340048648704</v>
      </c>
      <c r="V264" s="22" t="s">
        <v>92</v>
      </c>
      <c r="W264" s="20" t="s">
        <v>1127</v>
      </c>
    </row>
    <row r="265" spans="1:23" ht="18" customHeight="1">
      <c r="A265" s="10" t="s">
        <v>23</v>
      </c>
      <c r="B265" s="10" t="s">
        <v>24</v>
      </c>
      <c r="C265" s="10" t="s">
        <v>25</v>
      </c>
      <c r="D265" s="12">
        <v>2019</v>
      </c>
      <c r="E265" s="10" t="s">
        <v>1128</v>
      </c>
      <c r="F265" s="10" t="s">
        <v>1129</v>
      </c>
      <c r="G265" s="10" t="s">
        <v>81</v>
      </c>
      <c r="H265" s="10" t="s">
        <v>66</v>
      </c>
      <c r="I265" s="13">
        <v>128.63449850180001</v>
      </c>
      <c r="J265" s="13">
        <v>118.6702152224</v>
      </c>
      <c r="K265" s="13">
        <v>9.9642832794</v>
      </c>
      <c r="L265" s="13">
        <v>22.864852971099999</v>
      </c>
      <c r="M265" s="13">
        <v>105.7696455307</v>
      </c>
      <c r="N265" s="10" t="s">
        <v>1130</v>
      </c>
      <c r="O265" s="14">
        <v>2.7</v>
      </c>
      <c r="P265" s="10" t="s">
        <v>41</v>
      </c>
      <c r="Q265" s="14" t="s">
        <v>42</v>
      </c>
      <c r="R265" s="10" t="s">
        <v>33</v>
      </c>
      <c r="S265" s="10" t="s">
        <v>1128</v>
      </c>
      <c r="T265" s="14">
        <f>IF(O265="","",(1/Metadata!$B$5)^(O265-1))</f>
        <v>50.118723362727259</v>
      </c>
      <c r="U265" s="13">
        <f t="shared" si="4"/>
        <v>6446.9968453148686</v>
      </c>
      <c r="V265" s="19" t="s">
        <v>81</v>
      </c>
      <c r="W265" s="20" t="s">
        <v>1131</v>
      </c>
    </row>
    <row r="266" spans="1:23" ht="18" customHeight="1">
      <c r="A266" s="10" t="s">
        <v>23</v>
      </c>
      <c r="B266" s="10" t="s">
        <v>24</v>
      </c>
      <c r="C266" s="10" t="s">
        <v>25</v>
      </c>
      <c r="D266" s="12">
        <v>2019</v>
      </c>
      <c r="E266" s="10" t="s">
        <v>1132</v>
      </c>
      <c r="F266" s="10" t="s">
        <v>1133</v>
      </c>
      <c r="G266" s="10" t="s">
        <v>155</v>
      </c>
      <c r="H266" s="10" t="s">
        <v>48</v>
      </c>
      <c r="I266" s="13">
        <v>127.8203893037</v>
      </c>
      <c r="J266" s="13">
        <v>127.8203893037</v>
      </c>
      <c r="K266" s="13">
        <v>0</v>
      </c>
      <c r="L266" s="13">
        <v>0</v>
      </c>
      <c r="M266" s="13">
        <v>127.8203893037</v>
      </c>
      <c r="N266" s="10" t="s">
        <v>1134</v>
      </c>
      <c r="O266" s="14">
        <v>4.42</v>
      </c>
      <c r="P266" s="10" t="s">
        <v>31</v>
      </c>
      <c r="Q266" s="14" t="s">
        <v>32</v>
      </c>
      <c r="R266" s="10" t="s">
        <v>33</v>
      </c>
      <c r="S266" s="10" t="s">
        <v>1132</v>
      </c>
      <c r="T266" s="14">
        <f>IF(O266="","",(1/Metadata!$B$5)^(O266-1))</f>
        <v>2630.2679918953822</v>
      </c>
      <c r="U266" s="13">
        <f t="shared" si="4"/>
        <v>336201.87869712897</v>
      </c>
      <c r="V266" s="19" t="s">
        <v>110</v>
      </c>
      <c r="W266" s="20" t="s">
        <v>1135</v>
      </c>
    </row>
    <row r="267" spans="1:23" ht="18" customHeight="1">
      <c r="A267" s="10" t="s">
        <v>23</v>
      </c>
      <c r="B267" s="10" t="s">
        <v>24</v>
      </c>
      <c r="C267" s="10" t="s">
        <v>25</v>
      </c>
      <c r="D267" s="12">
        <v>2019</v>
      </c>
      <c r="E267" s="10" t="s">
        <v>1136</v>
      </c>
      <c r="F267" s="10" t="s">
        <v>1137</v>
      </c>
      <c r="G267" s="10" t="s">
        <v>54</v>
      </c>
      <c r="H267" s="10" t="s">
        <v>55</v>
      </c>
      <c r="I267" s="13">
        <v>115.1794292579</v>
      </c>
      <c r="J267" s="13">
        <v>115.1794292579</v>
      </c>
      <c r="K267" s="13">
        <v>0</v>
      </c>
      <c r="L267" s="13">
        <v>115.1794292579</v>
      </c>
      <c r="M267" s="13">
        <v>0</v>
      </c>
      <c r="N267" s="10" t="s">
        <v>1138</v>
      </c>
      <c r="O267" s="14">
        <v>4.2</v>
      </c>
      <c r="P267" s="10" t="s">
        <v>41</v>
      </c>
      <c r="Q267" s="14" t="s">
        <v>42</v>
      </c>
      <c r="R267" s="10" t="s">
        <v>33</v>
      </c>
      <c r="S267" s="10" t="s">
        <v>1136</v>
      </c>
      <c r="T267" s="14">
        <f>IF(O267="","",(1/Metadata!$B$5)^(O267-1))</f>
        <v>1584.8931924611156</v>
      </c>
      <c r="U267" s="13">
        <f t="shared" si="4"/>
        <v>182547.09334240234</v>
      </c>
      <c r="V267" s="21" t="s">
        <v>43</v>
      </c>
      <c r="W267" s="20" t="s">
        <v>1139</v>
      </c>
    </row>
    <row r="268" spans="1:23" ht="18" customHeight="1">
      <c r="A268" s="10" t="s">
        <v>23</v>
      </c>
      <c r="B268" s="10" t="s">
        <v>24</v>
      </c>
      <c r="C268" s="10" t="s">
        <v>25</v>
      </c>
      <c r="D268" s="12">
        <v>2019</v>
      </c>
      <c r="E268" s="10" t="s">
        <v>1140</v>
      </c>
      <c r="F268" s="10" t="s">
        <v>1141</v>
      </c>
      <c r="G268" s="10" t="s">
        <v>148</v>
      </c>
      <c r="H268" s="10" t="s">
        <v>149</v>
      </c>
      <c r="I268" s="13">
        <v>111.262020275</v>
      </c>
      <c r="J268" s="13">
        <v>111.262020275</v>
      </c>
      <c r="K268" s="13">
        <v>0</v>
      </c>
      <c r="L268" s="13">
        <v>111.262020275</v>
      </c>
      <c r="M268" s="13">
        <v>0</v>
      </c>
      <c r="N268" s="10" t="s">
        <v>1142</v>
      </c>
      <c r="O268" s="14">
        <v>4.5</v>
      </c>
      <c r="P268" s="10" t="s">
        <v>41</v>
      </c>
      <c r="Q268" s="14" t="s">
        <v>42</v>
      </c>
      <c r="R268" s="10" t="s">
        <v>33</v>
      </c>
      <c r="S268" s="10" t="s">
        <v>1140</v>
      </c>
      <c r="T268" s="14">
        <f>IF(O268="","",(1/Metadata!$B$5)^(O268-1))</f>
        <v>3162.2776601683804</v>
      </c>
      <c r="U268" s="13">
        <f t="shared" si="4"/>
        <v>351841.40114083391</v>
      </c>
      <c r="V268" s="19" t="s">
        <v>151</v>
      </c>
      <c r="W268" s="20" t="s">
        <v>1143</v>
      </c>
    </row>
    <row r="269" spans="1:23" ht="18" customHeight="1">
      <c r="A269" s="10" t="s">
        <v>23</v>
      </c>
      <c r="B269" s="10" t="s">
        <v>24</v>
      </c>
      <c r="C269" s="10" t="s">
        <v>25</v>
      </c>
      <c r="D269" s="12">
        <v>2019</v>
      </c>
      <c r="E269" s="10" t="s">
        <v>1144</v>
      </c>
      <c r="F269" s="10" t="s">
        <v>1145</v>
      </c>
      <c r="G269" s="10" t="s">
        <v>38</v>
      </c>
      <c r="H269" s="10" t="s">
        <v>39</v>
      </c>
      <c r="I269" s="13">
        <v>110.02700146390001</v>
      </c>
      <c r="J269" s="13">
        <v>110.02700146390001</v>
      </c>
      <c r="K269" s="13">
        <v>0</v>
      </c>
      <c r="L269" s="13">
        <v>32.306387706400002</v>
      </c>
      <c r="M269" s="13">
        <v>77.720613757500004</v>
      </c>
      <c r="N269" s="10" t="s">
        <v>1146</v>
      </c>
      <c r="O269" s="14">
        <v>3.64</v>
      </c>
      <c r="P269" s="10" t="s">
        <v>41</v>
      </c>
      <c r="Q269" s="14" t="s">
        <v>42</v>
      </c>
      <c r="R269" s="10" t="s">
        <v>33</v>
      </c>
      <c r="S269" s="10" t="s">
        <v>1144</v>
      </c>
      <c r="T269" s="14">
        <f>IF(O269="","",(1/Metadata!$B$5)^(O269-1))</f>
        <v>436.51583224016622</v>
      </c>
      <c r="U269" s="13">
        <f t="shared" si="4"/>
        <v>48028.5281129043</v>
      </c>
      <c r="V269" s="22" t="s">
        <v>105</v>
      </c>
      <c r="W269" s="20" t="s">
        <v>1147</v>
      </c>
    </row>
    <row r="270" spans="1:23" ht="18" customHeight="1">
      <c r="A270" s="10" t="s">
        <v>23</v>
      </c>
      <c r="B270" s="10" t="s">
        <v>24</v>
      </c>
      <c r="C270" s="10" t="s">
        <v>25</v>
      </c>
      <c r="D270" s="12">
        <v>2019</v>
      </c>
      <c r="E270" s="10" t="s">
        <v>1148</v>
      </c>
      <c r="F270" s="10" t="s">
        <v>1149</v>
      </c>
      <c r="G270" s="10" t="s">
        <v>155</v>
      </c>
      <c r="H270" s="10" t="s">
        <v>48</v>
      </c>
      <c r="I270" s="13">
        <v>108.9544907694</v>
      </c>
      <c r="J270" s="13">
        <v>108.9544907694</v>
      </c>
      <c r="K270" s="13">
        <v>0</v>
      </c>
      <c r="L270" s="13">
        <v>50.740048951600002</v>
      </c>
      <c r="M270" s="13">
        <v>58.214441817799987</v>
      </c>
      <c r="N270" s="10" t="s">
        <v>1150</v>
      </c>
      <c r="O270" s="14">
        <v>4.4400000000000004</v>
      </c>
      <c r="P270" s="10" t="s">
        <v>41</v>
      </c>
      <c r="Q270" s="14" t="s">
        <v>42</v>
      </c>
      <c r="R270" s="10" t="s">
        <v>33</v>
      </c>
      <c r="S270" s="10" t="s">
        <v>1148</v>
      </c>
      <c r="T270" s="14">
        <f>IF(O270="","",(1/Metadata!$B$5)^(O270-1))</f>
        <v>2754.2287033381713</v>
      </c>
      <c r="U270" s="13">
        <f t="shared" si="4"/>
        <v>300085.58583467529</v>
      </c>
      <c r="V270" s="22" t="s">
        <v>105</v>
      </c>
      <c r="W270" s="20" t="s">
        <v>1151</v>
      </c>
    </row>
    <row r="271" spans="1:23" ht="18" customHeight="1">
      <c r="A271" s="10" t="s">
        <v>23</v>
      </c>
      <c r="B271" s="10" t="s">
        <v>24</v>
      </c>
      <c r="C271" s="10" t="s">
        <v>25</v>
      </c>
      <c r="D271" s="12">
        <v>2019</v>
      </c>
      <c r="E271" s="10" t="s">
        <v>1152</v>
      </c>
      <c r="F271" s="10" t="s">
        <v>1153</v>
      </c>
      <c r="G271" s="10" t="s">
        <v>155</v>
      </c>
      <c r="H271" s="10" t="s">
        <v>48</v>
      </c>
      <c r="I271" s="13">
        <v>100.0254615991</v>
      </c>
      <c r="J271" s="13">
        <v>100.0254615991</v>
      </c>
      <c r="K271" s="13">
        <v>0</v>
      </c>
      <c r="L271" s="13">
        <v>29.319851414399999</v>
      </c>
      <c r="M271" s="13">
        <v>70.705610184700006</v>
      </c>
      <c r="N271" s="10" t="s">
        <v>1154</v>
      </c>
      <c r="O271" s="14">
        <v>3.45</v>
      </c>
      <c r="P271" s="10" t="s">
        <v>31</v>
      </c>
      <c r="Q271" s="14" t="s">
        <v>32</v>
      </c>
      <c r="R271" s="10" t="s">
        <v>33</v>
      </c>
      <c r="S271" s="10" t="s">
        <v>1152</v>
      </c>
      <c r="T271" s="14">
        <f>IF(O271="","",(1/Metadata!$B$5)^(O271-1))</f>
        <v>281.83829312644554</v>
      </c>
      <c r="U271" s="13">
        <f t="shared" si="4"/>
        <v>28191.005366275167</v>
      </c>
      <c r="V271" s="19" t="s">
        <v>87</v>
      </c>
      <c r="W271" s="20" t="s">
        <v>1155</v>
      </c>
    </row>
    <row r="272" spans="1:23" ht="18" customHeight="1">
      <c r="A272" s="10" t="s">
        <v>23</v>
      </c>
      <c r="B272" s="10" t="s">
        <v>24</v>
      </c>
      <c r="C272" s="10" t="s">
        <v>25</v>
      </c>
      <c r="D272" s="12">
        <v>2019</v>
      </c>
      <c r="E272" s="10" t="s">
        <v>1156</v>
      </c>
      <c r="F272" s="10" t="s">
        <v>1157</v>
      </c>
      <c r="G272" s="10" t="s">
        <v>38</v>
      </c>
      <c r="H272" s="10" t="s">
        <v>504</v>
      </c>
      <c r="I272" s="13">
        <v>98.332643795999999</v>
      </c>
      <c r="J272" s="13">
        <v>33.217893069200002</v>
      </c>
      <c r="K272" s="13">
        <v>65.114750726799997</v>
      </c>
      <c r="L272" s="13">
        <v>1.9802785564000001</v>
      </c>
      <c r="M272" s="13">
        <v>96.352365239600005</v>
      </c>
      <c r="N272" s="10" t="s">
        <v>1158</v>
      </c>
      <c r="O272" s="14">
        <v>3.9</v>
      </c>
      <c r="P272" s="10" t="s">
        <v>41</v>
      </c>
      <c r="Q272" s="14" t="s">
        <v>42</v>
      </c>
      <c r="R272" s="10" t="s">
        <v>33</v>
      </c>
      <c r="S272" s="10" t="s">
        <v>1156</v>
      </c>
      <c r="T272" s="14">
        <f>IF(O272="","",(1/Metadata!$B$5)^(O272-1))</f>
        <v>794.32823472428208</v>
      </c>
      <c r="U272" s="13">
        <f t="shared" si="4"/>
        <v>78108.39536224831</v>
      </c>
      <c r="V272" s="19" t="s">
        <v>92</v>
      </c>
      <c r="W272" s="20" t="s">
        <v>1159</v>
      </c>
    </row>
    <row r="273" spans="1:23" ht="18" customHeight="1">
      <c r="A273" s="10" t="s">
        <v>23</v>
      </c>
      <c r="B273" s="10" t="s">
        <v>24</v>
      </c>
      <c r="C273" s="10" t="s">
        <v>25</v>
      </c>
      <c r="D273" s="12">
        <v>2019</v>
      </c>
      <c r="E273" s="10" t="s">
        <v>1160</v>
      </c>
      <c r="F273" s="10" t="s">
        <v>1161</v>
      </c>
      <c r="G273" s="10" t="s">
        <v>155</v>
      </c>
      <c r="H273" s="10" t="s">
        <v>48</v>
      </c>
      <c r="I273" s="13">
        <v>95.8082475609</v>
      </c>
      <c r="J273" s="13">
        <v>95.8082475609</v>
      </c>
      <c r="K273" s="13">
        <v>0</v>
      </c>
      <c r="L273" s="13">
        <v>69.391520120899997</v>
      </c>
      <c r="M273" s="13">
        <v>26.416727439999999</v>
      </c>
      <c r="N273" s="10" t="s">
        <v>1162</v>
      </c>
      <c r="O273" s="14">
        <v>3.43</v>
      </c>
      <c r="P273" s="10" t="s">
        <v>31</v>
      </c>
      <c r="Q273" s="14" t="s">
        <v>32</v>
      </c>
      <c r="R273" s="10" t="s">
        <v>33</v>
      </c>
      <c r="S273" s="10" t="s">
        <v>1160</v>
      </c>
      <c r="T273" s="14">
        <f>IF(O273="","",(1/Metadata!$B$5)^(O273-1))</f>
        <v>269.15348039269179</v>
      </c>
      <c r="U273" s="13">
        <f t="shared" si="4"/>
        <v>25787.123281340861</v>
      </c>
      <c r="V273" s="22" t="s">
        <v>105</v>
      </c>
      <c r="W273" s="20" t="s">
        <v>1163</v>
      </c>
    </row>
    <row r="274" spans="1:23" ht="18" customHeight="1">
      <c r="A274" s="10" t="s">
        <v>23</v>
      </c>
      <c r="B274" s="10" t="s">
        <v>24</v>
      </c>
      <c r="C274" s="10" t="s">
        <v>25</v>
      </c>
      <c r="D274" s="12">
        <v>2019</v>
      </c>
      <c r="E274" s="10" t="s">
        <v>1164</v>
      </c>
      <c r="F274" s="10" t="s">
        <v>1165</v>
      </c>
      <c r="G274" s="10" t="s">
        <v>54</v>
      </c>
      <c r="H274" s="10" t="s">
        <v>55</v>
      </c>
      <c r="I274" s="13">
        <v>93.950169605599996</v>
      </c>
      <c r="J274" s="13">
        <v>93.950169605599996</v>
      </c>
      <c r="K274" s="13">
        <v>0</v>
      </c>
      <c r="L274" s="13">
        <v>93.950169605599996</v>
      </c>
      <c r="M274" s="13">
        <v>0</v>
      </c>
      <c r="N274" s="10" t="s">
        <v>1166</v>
      </c>
      <c r="O274" s="14">
        <v>4.5</v>
      </c>
      <c r="P274" s="10" t="s">
        <v>41</v>
      </c>
      <c r="Q274" s="14" t="s">
        <v>42</v>
      </c>
      <c r="R274" s="10" t="s">
        <v>33</v>
      </c>
      <c r="S274" s="10" t="s">
        <v>1164</v>
      </c>
      <c r="T274" s="14">
        <f>IF(O274="","",(1/Metadata!$B$5)^(O274-1))</f>
        <v>3162.2776601683804</v>
      </c>
      <c r="U274" s="13">
        <f t="shared" si="4"/>
        <v>297096.52251281927</v>
      </c>
      <c r="V274" s="22" t="s">
        <v>110</v>
      </c>
      <c r="W274" s="20" t="s">
        <v>1167</v>
      </c>
    </row>
    <row r="275" spans="1:23" ht="18" customHeight="1">
      <c r="A275" s="10" t="s">
        <v>23</v>
      </c>
      <c r="B275" s="10" t="s">
        <v>24</v>
      </c>
      <c r="C275" s="10" t="s">
        <v>25</v>
      </c>
      <c r="D275" s="12">
        <v>2019</v>
      </c>
      <c r="E275" s="10" t="s">
        <v>1168</v>
      </c>
      <c r="F275" s="10" t="s">
        <v>1169</v>
      </c>
      <c r="G275" s="10" t="s">
        <v>155</v>
      </c>
      <c r="H275" s="10" t="s">
        <v>48</v>
      </c>
      <c r="I275" s="13">
        <v>93.5392838267</v>
      </c>
      <c r="J275" s="13">
        <v>93.5392838267</v>
      </c>
      <c r="K275" s="13">
        <v>0</v>
      </c>
      <c r="L275" s="13">
        <v>93.5392838267</v>
      </c>
      <c r="M275" s="13">
        <v>0</v>
      </c>
      <c r="N275" s="10" t="s">
        <v>1170</v>
      </c>
      <c r="O275" s="14">
        <v>3.54</v>
      </c>
      <c r="P275" s="10" t="s">
        <v>31</v>
      </c>
      <c r="Q275" s="14" t="s">
        <v>32</v>
      </c>
      <c r="R275" s="10" t="s">
        <v>33</v>
      </c>
      <c r="S275" s="10" t="s">
        <v>1168</v>
      </c>
      <c r="T275" s="14">
        <f>IF(O275="","",(1/Metadata!$B$5)^(O275-1))</f>
        <v>346.73685045253183</v>
      </c>
      <c r="U275" s="13">
        <f t="shared" si="4"/>
        <v>32433.516667655407</v>
      </c>
      <c r="V275" s="22" t="s">
        <v>92</v>
      </c>
      <c r="W275" s="20" t="s">
        <v>1171</v>
      </c>
    </row>
    <row r="276" spans="1:23" ht="18" customHeight="1">
      <c r="A276" s="10" t="s">
        <v>23</v>
      </c>
      <c r="B276" s="10" t="s">
        <v>24</v>
      </c>
      <c r="C276" s="10" t="s">
        <v>25</v>
      </c>
      <c r="D276" s="12">
        <v>2019</v>
      </c>
      <c r="E276" s="10" t="s">
        <v>1172</v>
      </c>
      <c r="F276" s="10" t="s">
        <v>1173</v>
      </c>
      <c r="G276" s="10" t="s">
        <v>148</v>
      </c>
      <c r="H276" s="10" t="s">
        <v>149</v>
      </c>
      <c r="I276" s="13">
        <v>90.877107974200001</v>
      </c>
      <c r="J276" s="13">
        <v>90.877107974200001</v>
      </c>
      <c r="K276" s="13">
        <v>0</v>
      </c>
      <c r="L276" s="13">
        <v>90.877107974200001</v>
      </c>
      <c r="M276" s="13">
        <v>0</v>
      </c>
      <c r="N276" s="10" t="s">
        <v>1174</v>
      </c>
      <c r="O276" s="14">
        <v>4.3499999999999996</v>
      </c>
      <c r="P276" s="10" t="s">
        <v>31</v>
      </c>
      <c r="Q276" s="14" t="s">
        <v>32</v>
      </c>
      <c r="R276" s="10" t="s">
        <v>33</v>
      </c>
      <c r="S276" s="10" t="s">
        <v>1172</v>
      </c>
      <c r="T276" s="14">
        <f>IF(O276="","",(1/Metadata!$B$5)^(O276-1))</f>
        <v>2238.7211385683395</v>
      </c>
      <c r="U276" s="13">
        <f t="shared" si="4"/>
        <v>203448.50263379895</v>
      </c>
      <c r="V276" s="19" t="s">
        <v>151</v>
      </c>
      <c r="W276" s="20" t="s">
        <v>1175</v>
      </c>
    </row>
    <row r="277" spans="1:23" ht="18" customHeight="1">
      <c r="A277" s="10" t="s">
        <v>23</v>
      </c>
      <c r="B277" s="10" t="s">
        <v>24</v>
      </c>
      <c r="C277" s="10" t="s">
        <v>25</v>
      </c>
      <c r="D277" s="12">
        <v>2019</v>
      </c>
      <c r="E277" s="10" t="s">
        <v>1176</v>
      </c>
      <c r="F277" s="10" t="s">
        <v>1177</v>
      </c>
      <c r="G277" s="10" t="s">
        <v>134</v>
      </c>
      <c r="H277" s="10" t="s">
        <v>48</v>
      </c>
      <c r="I277" s="13">
        <v>88.567114277000002</v>
      </c>
      <c r="J277" s="13">
        <v>88.567114277000002</v>
      </c>
      <c r="K277" s="13">
        <v>0</v>
      </c>
      <c r="L277" s="13">
        <v>81.748784616899997</v>
      </c>
      <c r="M277" s="13">
        <v>6.8183296600999999</v>
      </c>
      <c r="N277" s="10" t="s">
        <v>1178</v>
      </c>
      <c r="O277" s="14">
        <v>4.3899999999999997</v>
      </c>
      <c r="P277" s="10" t="s">
        <v>41</v>
      </c>
      <c r="Q277" s="14" t="s">
        <v>42</v>
      </c>
      <c r="R277" s="10" t="s">
        <v>33</v>
      </c>
      <c r="S277" s="10" t="s">
        <v>1176</v>
      </c>
      <c r="T277" s="14">
        <f>IF(O277="","",(1/Metadata!$B$5)^(O277-1))</f>
        <v>2454.7089156850293</v>
      </c>
      <c r="U277" s="13">
        <f t="shared" si="4"/>
        <v>217406.48505224675</v>
      </c>
      <c r="V277" s="22" t="s">
        <v>105</v>
      </c>
      <c r="W277" s="20" t="s">
        <v>1179</v>
      </c>
    </row>
    <row r="278" spans="1:23" ht="18" customHeight="1">
      <c r="A278" s="10" t="s">
        <v>23</v>
      </c>
      <c r="B278" s="10" t="s">
        <v>24</v>
      </c>
      <c r="C278" s="10" t="s">
        <v>25</v>
      </c>
      <c r="D278" s="12">
        <v>2019</v>
      </c>
      <c r="E278" s="10" t="s">
        <v>1180</v>
      </c>
      <c r="F278" s="10" t="s">
        <v>1181</v>
      </c>
      <c r="G278" s="10" t="s">
        <v>404</v>
      </c>
      <c r="H278" s="10" t="s">
        <v>48</v>
      </c>
      <c r="I278" s="13">
        <v>86.04629369540001</v>
      </c>
      <c r="J278" s="13">
        <v>86.04629369540001</v>
      </c>
      <c r="K278" s="13">
        <v>0</v>
      </c>
      <c r="L278" s="13">
        <v>0</v>
      </c>
      <c r="M278" s="13">
        <v>86.04629369540001</v>
      </c>
      <c r="N278" s="10" t="s">
        <v>1182</v>
      </c>
      <c r="O278" s="14">
        <v>3.3</v>
      </c>
      <c r="P278" s="10" t="s">
        <v>41</v>
      </c>
      <c r="Q278" s="14" t="s">
        <v>42</v>
      </c>
      <c r="R278" s="10" t="s">
        <v>33</v>
      </c>
      <c r="S278" s="10" t="s">
        <v>1180</v>
      </c>
      <c r="T278" s="14">
        <f>IF(O278="","",(1/Metadata!$B$5)^(O278-1))</f>
        <v>199.52623149688802</v>
      </c>
      <c r="U278" s="13">
        <f t="shared" si="4"/>
        <v>17168.4927153176</v>
      </c>
      <c r="V278" s="19" t="s">
        <v>73</v>
      </c>
      <c r="W278" s="20" t="s">
        <v>1183</v>
      </c>
    </row>
    <row r="279" spans="1:23" ht="18" customHeight="1">
      <c r="A279" s="10" t="s">
        <v>23</v>
      </c>
      <c r="B279" s="10" t="s">
        <v>24</v>
      </c>
      <c r="C279" s="10" t="s">
        <v>25</v>
      </c>
      <c r="D279" s="12">
        <v>2019</v>
      </c>
      <c r="E279" s="10" t="s">
        <v>1184</v>
      </c>
      <c r="F279" s="10" t="s">
        <v>1185</v>
      </c>
      <c r="G279" s="10" t="s">
        <v>155</v>
      </c>
      <c r="H279" s="10" t="s">
        <v>48</v>
      </c>
      <c r="I279" s="13">
        <v>84.994018544200003</v>
      </c>
      <c r="J279" s="13">
        <v>84.994018544200003</v>
      </c>
      <c r="K279" s="13">
        <v>0</v>
      </c>
      <c r="L279" s="13">
        <v>77.264288617900007</v>
      </c>
      <c r="M279" s="13">
        <v>7.7297299263000001</v>
      </c>
      <c r="N279" s="10" t="s">
        <v>1186</v>
      </c>
      <c r="O279" s="14">
        <v>4.17</v>
      </c>
      <c r="P279" s="10" t="s">
        <v>31</v>
      </c>
      <c r="Q279" s="14" t="s">
        <v>32</v>
      </c>
      <c r="R279" s="10" t="s">
        <v>33</v>
      </c>
      <c r="S279" s="10" t="s">
        <v>1184</v>
      </c>
      <c r="T279" s="14">
        <f>IF(O279="","",(1/Metadata!$B$5)^(O279-1))</f>
        <v>1479.1083881682086</v>
      </c>
      <c r="U279" s="13">
        <f t="shared" si="4"/>
        <v>125715.36577285051</v>
      </c>
      <c r="V279" s="22" t="s">
        <v>105</v>
      </c>
      <c r="W279" s="20" t="s">
        <v>1187</v>
      </c>
    </row>
    <row r="280" spans="1:23" ht="18" customHeight="1">
      <c r="A280" s="10" t="s">
        <v>23</v>
      </c>
      <c r="B280" s="10" t="s">
        <v>24</v>
      </c>
      <c r="C280" s="10" t="s">
        <v>25</v>
      </c>
      <c r="D280" s="12">
        <v>2019</v>
      </c>
      <c r="E280" s="10" t="s">
        <v>1188</v>
      </c>
      <c r="F280" s="10" t="s">
        <v>1189</v>
      </c>
      <c r="G280" s="10" t="s">
        <v>164</v>
      </c>
      <c r="H280" s="10" t="s">
        <v>48</v>
      </c>
      <c r="I280" s="13">
        <v>83.932986197199995</v>
      </c>
      <c r="J280" s="13">
        <v>83.932986197199995</v>
      </c>
      <c r="K280" s="13">
        <v>0</v>
      </c>
      <c r="L280" s="13">
        <v>69.432468305599997</v>
      </c>
      <c r="M280" s="13">
        <v>14.500517891599999</v>
      </c>
      <c r="N280" s="10" t="s">
        <v>1190</v>
      </c>
      <c r="O280" s="14">
        <v>2.67</v>
      </c>
      <c r="P280" s="10" t="s">
        <v>31</v>
      </c>
      <c r="Q280" s="14" t="s">
        <v>32</v>
      </c>
      <c r="R280" s="10" t="s">
        <v>33</v>
      </c>
      <c r="S280" s="10" t="s">
        <v>1188</v>
      </c>
      <c r="T280" s="14">
        <f>IF(O280="","",(1/Metadata!$B$5)^(O280-1))</f>
        <v>46.773514128719818</v>
      </c>
      <c r="U280" s="13">
        <f t="shared" si="4"/>
        <v>3925.8407157603792</v>
      </c>
      <c r="V280" s="22" t="s">
        <v>181</v>
      </c>
      <c r="W280" s="20" t="s">
        <v>1191</v>
      </c>
    </row>
    <row r="281" spans="1:23" ht="18" customHeight="1">
      <c r="A281" s="10" t="s">
        <v>23</v>
      </c>
      <c r="B281" s="10" t="s">
        <v>24</v>
      </c>
      <c r="C281" s="10" t="s">
        <v>25</v>
      </c>
      <c r="D281" s="12">
        <v>2019</v>
      </c>
      <c r="E281" s="10" t="s">
        <v>1192</v>
      </c>
      <c r="F281" s="10" t="s">
        <v>1193</v>
      </c>
      <c r="G281" s="10" t="s">
        <v>54</v>
      </c>
      <c r="H281" s="10" t="s">
        <v>48</v>
      </c>
      <c r="I281" s="13">
        <v>83.360501412000005</v>
      </c>
      <c r="J281" s="13">
        <v>76.494620916700001</v>
      </c>
      <c r="K281" s="13">
        <v>6.8658804952999999</v>
      </c>
      <c r="L281" s="13">
        <v>6.7269197000000003E-3</v>
      </c>
      <c r="M281" s="13">
        <v>83.353774492300005</v>
      </c>
      <c r="N281" s="10" t="s">
        <v>1194</v>
      </c>
      <c r="O281" s="14">
        <v>3.96</v>
      </c>
      <c r="P281" s="10" t="s">
        <v>41</v>
      </c>
      <c r="Q281" s="14" t="s">
        <v>42</v>
      </c>
      <c r="R281" s="10" t="s">
        <v>33</v>
      </c>
      <c r="S281" s="10" t="s">
        <v>1192</v>
      </c>
      <c r="T281" s="14">
        <f>IF(O281="","",(1/Metadata!$B$5)^(O281-1))</f>
        <v>912.01083935590987</v>
      </c>
      <c r="U281" s="13">
        <f t="shared" si="4"/>
        <v>76025.680861887638</v>
      </c>
      <c r="V281" s="22" t="s">
        <v>110</v>
      </c>
      <c r="W281" s="20" t="s">
        <v>1195</v>
      </c>
    </row>
    <row r="282" spans="1:23" ht="18" customHeight="1">
      <c r="A282" s="10" t="s">
        <v>23</v>
      </c>
      <c r="B282" s="10" t="s">
        <v>24</v>
      </c>
      <c r="C282" s="10" t="s">
        <v>25</v>
      </c>
      <c r="D282" s="12">
        <v>2019</v>
      </c>
      <c r="E282" s="10" t="s">
        <v>1196</v>
      </c>
      <c r="F282" s="10" t="s">
        <v>1197</v>
      </c>
      <c r="G282" s="10" t="s">
        <v>47</v>
      </c>
      <c r="H282" s="10" t="s">
        <v>48</v>
      </c>
      <c r="I282" s="13">
        <v>81.694644322499997</v>
      </c>
      <c r="J282" s="13">
        <v>81.694644322499997</v>
      </c>
      <c r="K282" s="13">
        <v>0</v>
      </c>
      <c r="L282" s="13">
        <v>81.694644322499997</v>
      </c>
      <c r="M282" s="13">
        <v>0</v>
      </c>
      <c r="N282" s="10" t="s">
        <v>1198</v>
      </c>
      <c r="O282" s="14">
        <v>3.1</v>
      </c>
      <c r="P282" s="10" t="s">
        <v>41</v>
      </c>
      <c r="Q282" s="14" t="s">
        <v>42</v>
      </c>
      <c r="R282" s="10" t="s">
        <v>33</v>
      </c>
      <c r="S282" s="10" t="s">
        <v>1196</v>
      </c>
      <c r="T282" s="14">
        <f>IF(O282="","",(1/Metadata!$B$5)^(O282-1))</f>
        <v>125.89254117941677</v>
      </c>
      <c r="U282" s="13">
        <f t="shared" si="4"/>
        <v>10284.746374508137</v>
      </c>
      <c r="V282" s="19" t="s">
        <v>50</v>
      </c>
      <c r="W282" s="20" t="s">
        <v>1199</v>
      </c>
    </row>
    <row r="283" spans="1:23" ht="18" customHeight="1">
      <c r="A283" s="10" t="s">
        <v>23</v>
      </c>
      <c r="B283" s="10" t="s">
        <v>24</v>
      </c>
      <c r="C283" s="10" t="s">
        <v>25</v>
      </c>
      <c r="D283" s="12">
        <v>2019</v>
      </c>
      <c r="E283" s="10" t="s">
        <v>1200</v>
      </c>
      <c r="F283" s="10" t="s">
        <v>1201</v>
      </c>
      <c r="G283" s="10" t="s">
        <v>38</v>
      </c>
      <c r="H283" s="10" t="s">
        <v>48</v>
      </c>
      <c r="I283" s="13">
        <v>80.546861558800003</v>
      </c>
      <c r="J283" s="13">
        <v>80.546861558800003</v>
      </c>
      <c r="K283" s="13">
        <v>0</v>
      </c>
      <c r="L283" s="13">
        <v>23.631065537000001</v>
      </c>
      <c r="M283" s="13">
        <v>56.915796021799999</v>
      </c>
      <c r="N283" s="10" t="s">
        <v>1202</v>
      </c>
      <c r="O283" s="14">
        <v>3.5</v>
      </c>
      <c r="P283" s="10" t="s">
        <v>31</v>
      </c>
      <c r="Q283" s="14" t="s">
        <v>32</v>
      </c>
      <c r="R283" s="10" t="s">
        <v>33</v>
      </c>
      <c r="S283" s="10" t="s">
        <v>1200</v>
      </c>
      <c r="T283" s="14">
        <f>IF(O283="","",(1/Metadata!$B$5)^(O283-1))</f>
        <v>316.22776601683825</v>
      </c>
      <c r="U283" s="13">
        <f t="shared" si="4"/>
        <v>25471.154090406872</v>
      </c>
      <c r="V283" s="19" t="s">
        <v>73</v>
      </c>
      <c r="W283" s="20" t="s">
        <v>1203</v>
      </c>
    </row>
    <row r="284" spans="1:23" ht="18" customHeight="1">
      <c r="A284" s="10" t="s">
        <v>23</v>
      </c>
      <c r="B284" s="10" t="s">
        <v>24</v>
      </c>
      <c r="C284" s="10" t="s">
        <v>25</v>
      </c>
      <c r="D284" s="12">
        <v>2019</v>
      </c>
      <c r="E284" s="10" t="s">
        <v>1204</v>
      </c>
      <c r="F284" s="10" t="s">
        <v>1205</v>
      </c>
      <c r="G284" s="10" t="s">
        <v>38</v>
      </c>
      <c r="H284" s="10" t="s">
        <v>48</v>
      </c>
      <c r="I284" s="13">
        <v>80.104533138799994</v>
      </c>
      <c r="J284" s="13">
        <v>80.104533138799994</v>
      </c>
      <c r="K284" s="13">
        <v>0</v>
      </c>
      <c r="L284" s="13">
        <v>23.505604441500001</v>
      </c>
      <c r="M284" s="13">
        <v>56.598928697300003</v>
      </c>
      <c r="N284" s="10" t="s">
        <v>1206</v>
      </c>
      <c r="O284" s="14">
        <v>3.78</v>
      </c>
      <c r="P284" s="10" t="s">
        <v>41</v>
      </c>
      <c r="Q284" s="14" t="s">
        <v>42</v>
      </c>
      <c r="R284" s="10" t="s">
        <v>33</v>
      </c>
      <c r="S284" s="10" t="s">
        <v>1204</v>
      </c>
      <c r="T284" s="14">
        <f>IF(O284="","",(1/Metadata!$B$5)^(O284-1))</f>
        <v>602.55958607435775</v>
      </c>
      <c r="U284" s="13">
        <f t="shared" si="4"/>
        <v>48267.754330794996</v>
      </c>
      <c r="V284" s="22" t="s">
        <v>105</v>
      </c>
      <c r="W284" s="20" t="s">
        <v>1207</v>
      </c>
    </row>
    <row r="285" spans="1:23" ht="18" customHeight="1">
      <c r="A285" s="10" t="s">
        <v>23</v>
      </c>
      <c r="B285" s="10" t="s">
        <v>24</v>
      </c>
      <c r="C285" s="10" t="s">
        <v>25</v>
      </c>
      <c r="D285" s="12">
        <v>2019</v>
      </c>
      <c r="E285" s="10" t="s">
        <v>1208</v>
      </c>
      <c r="F285" s="10" t="s">
        <v>1209</v>
      </c>
      <c r="G285" s="10" t="s">
        <v>28</v>
      </c>
      <c r="H285" s="10" t="s">
        <v>29</v>
      </c>
      <c r="I285" s="13">
        <v>79.90453335929999</v>
      </c>
      <c r="J285" s="13">
        <v>0</v>
      </c>
      <c r="K285" s="13">
        <v>79.90453335929999</v>
      </c>
      <c r="L285" s="13">
        <v>0</v>
      </c>
      <c r="M285" s="13">
        <v>79.90453335929999</v>
      </c>
      <c r="N285" s="10" t="s">
        <v>1210</v>
      </c>
      <c r="O285" s="14">
        <v>3.25</v>
      </c>
      <c r="P285" s="10" t="s">
        <v>31</v>
      </c>
      <c r="Q285" s="14" t="s">
        <v>32</v>
      </c>
      <c r="R285" s="10" t="s">
        <v>33</v>
      </c>
      <c r="S285" s="10" t="s">
        <v>1208</v>
      </c>
      <c r="T285" s="14">
        <f>IF(O285="","",(1/Metadata!$B$5)^(O285-1))</f>
        <v>177.82794100389242</v>
      </c>
      <c r="U285" s="13">
        <f t="shared" si="4"/>
        <v>14209.258644161153</v>
      </c>
      <c r="V285" s="19" t="s">
        <v>34</v>
      </c>
      <c r="W285" s="20" t="s">
        <v>1211</v>
      </c>
    </row>
    <row r="286" spans="1:23" ht="18" customHeight="1">
      <c r="A286" s="10" t="s">
        <v>23</v>
      </c>
      <c r="B286" s="10" t="s">
        <v>24</v>
      </c>
      <c r="C286" s="10" t="s">
        <v>25</v>
      </c>
      <c r="D286" s="12">
        <v>2019</v>
      </c>
      <c r="E286" s="10" t="s">
        <v>1212</v>
      </c>
      <c r="F286" s="10" t="s">
        <v>1213</v>
      </c>
      <c r="G286" s="10" t="s">
        <v>148</v>
      </c>
      <c r="H286" s="10" t="s">
        <v>149</v>
      </c>
      <c r="I286" s="13">
        <v>77.896690844899993</v>
      </c>
      <c r="J286" s="13">
        <v>77.896690844899993</v>
      </c>
      <c r="K286" s="13">
        <v>0</v>
      </c>
      <c r="L286" s="13">
        <v>70.2479525456</v>
      </c>
      <c r="M286" s="13">
        <v>7.6487382992999997</v>
      </c>
      <c r="N286" s="10" t="s">
        <v>1214</v>
      </c>
      <c r="O286" s="14">
        <v>4.16</v>
      </c>
      <c r="P286" s="10" t="s">
        <v>31</v>
      </c>
      <c r="Q286" s="14" t="s">
        <v>32</v>
      </c>
      <c r="R286" s="10" t="s">
        <v>33</v>
      </c>
      <c r="S286" s="10" t="s">
        <v>1212</v>
      </c>
      <c r="T286" s="14">
        <f>IF(O286="","",(1/Metadata!$B$5)^(O286-1))</f>
        <v>1445.4397707459289</v>
      </c>
      <c r="U286" s="13">
        <f t="shared" si="4"/>
        <v>112594.97495671874</v>
      </c>
      <c r="V286" s="19" t="s">
        <v>151</v>
      </c>
      <c r="W286" s="20" t="s">
        <v>1215</v>
      </c>
    </row>
    <row r="287" spans="1:23" ht="18" customHeight="1">
      <c r="A287" s="10" t="s">
        <v>23</v>
      </c>
      <c r="B287" s="10" t="s">
        <v>24</v>
      </c>
      <c r="C287" s="10" t="s">
        <v>25</v>
      </c>
      <c r="D287" s="12">
        <v>2019</v>
      </c>
      <c r="E287" s="10" t="s">
        <v>1216</v>
      </c>
      <c r="F287" s="10" t="s">
        <v>1217</v>
      </c>
      <c r="G287" s="10" t="s">
        <v>164</v>
      </c>
      <c r="H287" s="10" t="s">
        <v>48</v>
      </c>
      <c r="I287" s="13">
        <v>76.207772044199999</v>
      </c>
      <c r="J287" s="13">
        <v>76.207772044199999</v>
      </c>
      <c r="K287" s="13">
        <v>0</v>
      </c>
      <c r="L287" s="13">
        <v>0</v>
      </c>
      <c r="M287" s="13">
        <v>76.207772044199999</v>
      </c>
      <c r="N287" s="10" t="s">
        <v>1218</v>
      </c>
      <c r="O287" s="14">
        <v>4.09</v>
      </c>
      <c r="P287" s="10" t="s">
        <v>41</v>
      </c>
      <c r="Q287" s="14" t="s">
        <v>42</v>
      </c>
      <c r="R287" s="10" t="s">
        <v>33</v>
      </c>
      <c r="S287" s="10" t="s">
        <v>1216</v>
      </c>
      <c r="T287" s="14">
        <f>IF(O287="","",(1/Metadata!$B$5)^(O287-1))</f>
        <v>1230.2687708123824</v>
      </c>
      <c r="U287" s="13">
        <f t="shared" si="4"/>
        <v>93756.042039168169</v>
      </c>
      <c r="V287" s="22" t="s">
        <v>105</v>
      </c>
      <c r="W287" s="20" t="s">
        <v>1219</v>
      </c>
    </row>
    <row r="288" spans="1:23" ht="18" customHeight="1">
      <c r="A288" s="10" t="s">
        <v>23</v>
      </c>
      <c r="B288" s="10" t="s">
        <v>24</v>
      </c>
      <c r="C288" s="10" t="s">
        <v>25</v>
      </c>
      <c r="D288" s="12">
        <v>2019</v>
      </c>
      <c r="E288" s="10" t="s">
        <v>1220</v>
      </c>
      <c r="F288" s="10" t="s">
        <v>1221</v>
      </c>
      <c r="G288" s="10" t="s">
        <v>155</v>
      </c>
      <c r="H288" s="10" t="s">
        <v>48</v>
      </c>
      <c r="I288" s="13">
        <v>72.398672647499993</v>
      </c>
      <c r="J288" s="13">
        <v>72.398672647499993</v>
      </c>
      <c r="K288" s="13">
        <v>0</v>
      </c>
      <c r="L288" s="13">
        <v>0</v>
      </c>
      <c r="M288" s="13">
        <v>72.398672647499993</v>
      </c>
      <c r="N288" s="10" t="s">
        <v>1222</v>
      </c>
      <c r="O288" s="14">
        <v>4.1500000000000004</v>
      </c>
      <c r="P288" s="10" t="s">
        <v>41</v>
      </c>
      <c r="Q288" s="14" t="s">
        <v>42</v>
      </c>
      <c r="R288" s="10" t="s">
        <v>33</v>
      </c>
      <c r="S288" s="10" t="s">
        <v>1220</v>
      </c>
      <c r="T288" s="14">
        <f>IF(O288="","",(1/Metadata!$B$5)^(O288-1))</f>
        <v>1412.537544622757</v>
      </c>
      <c r="U288" s="13">
        <f t="shared" si="4"/>
        <v>102265.84329544639</v>
      </c>
      <c r="V288" s="22" t="s">
        <v>105</v>
      </c>
      <c r="W288" s="20" t="s">
        <v>1223</v>
      </c>
    </row>
    <row r="289" spans="1:23" ht="18" customHeight="1">
      <c r="A289" s="10" t="s">
        <v>23</v>
      </c>
      <c r="B289" s="10" t="s">
        <v>24</v>
      </c>
      <c r="C289" s="10" t="s">
        <v>25</v>
      </c>
      <c r="D289" s="12">
        <v>2019</v>
      </c>
      <c r="E289" s="10" t="s">
        <v>1224</v>
      </c>
      <c r="F289" s="10" t="s">
        <v>1225</v>
      </c>
      <c r="G289" s="10" t="s">
        <v>155</v>
      </c>
      <c r="H289" s="10" t="s">
        <v>48</v>
      </c>
      <c r="I289" s="13">
        <v>70.896695612800002</v>
      </c>
      <c r="J289" s="13">
        <v>70.896695612800002</v>
      </c>
      <c r="K289" s="13">
        <v>0</v>
      </c>
      <c r="L289" s="13">
        <v>49.151985108899993</v>
      </c>
      <c r="M289" s="13">
        <v>21.744710503899999</v>
      </c>
      <c r="N289" s="10" t="s">
        <v>1226</v>
      </c>
      <c r="O289" s="14">
        <v>3.82</v>
      </c>
      <c r="P289" s="10" t="s">
        <v>41</v>
      </c>
      <c r="Q289" s="14" t="s">
        <v>42</v>
      </c>
      <c r="R289" s="10" t="s">
        <v>33</v>
      </c>
      <c r="S289" s="10" t="s">
        <v>1224</v>
      </c>
      <c r="T289" s="14">
        <f>IF(O289="","",(1/Metadata!$B$5)^(O289-1))</f>
        <v>660.69344800759643</v>
      </c>
      <c r="U289" s="13">
        <f t="shared" si="4"/>
        <v>46840.98227676587</v>
      </c>
      <c r="V289" s="22" t="s">
        <v>92</v>
      </c>
      <c r="W289" s="20" t="s">
        <v>1227</v>
      </c>
    </row>
    <row r="290" spans="1:23" ht="18" customHeight="1">
      <c r="A290" s="10" t="s">
        <v>23</v>
      </c>
      <c r="B290" s="10" t="s">
        <v>24</v>
      </c>
      <c r="C290" s="10" t="s">
        <v>25</v>
      </c>
      <c r="D290" s="12">
        <v>2019</v>
      </c>
      <c r="E290" s="10" t="s">
        <v>1228</v>
      </c>
      <c r="F290" s="10" t="s">
        <v>1229</v>
      </c>
      <c r="G290" s="10" t="s">
        <v>148</v>
      </c>
      <c r="H290" s="10" t="s">
        <v>149</v>
      </c>
      <c r="I290" s="13">
        <v>70.842369914900004</v>
      </c>
      <c r="J290" s="13">
        <v>70.842369914900004</v>
      </c>
      <c r="K290" s="13">
        <v>0</v>
      </c>
      <c r="L290" s="13">
        <v>1.9599828424000001</v>
      </c>
      <c r="M290" s="13">
        <v>68.882387072499995</v>
      </c>
      <c r="N290" s="10" t="s">
        <v>1230</v>
      </c>
      <c r="O290" s="14">
        <v>4.08</v>
      </c>
      <c r="P290" s="10" t="s">
        <v>31</v>
      </c>
      <c r="Q290" s="14" t="s">
        <v>32</v>
      </c>
      <c r="R290" s="10" t="s">
        <v>33</v>
      </c>
      <c r="S290" s="10" t="s">
        <v>1228</v>
      </c>
      <c r="T290" s="14">
        <f>IF(O290="","",(1/Metadata!$B$5)^(O290-1))</f>
        <v>1202.2644346174138</v>
      </c>
      <c r="U290" s="13">
        <f t="shared" si="4"/>
        <v>85171.261812694938</v>
      </c>
      <c r="V290" s="19" t="s">
        <v>151</v>
      </c>
      <c r="W290" s="20" t="s">
        <v>1231</v>
      </c>
    </row>
    <row r="291" spans="1:23" ht="18" customHeight="1">
      <c r="A291" s="10" t="s">
        <v>23</v>
      </c>
      <c r="B291" s="10" t="s">
        <v>24</v>
      </c>
      <c r="C291" s="10" t="s">
        <v>25</v>
      </c>
      <c r="D291" s="12">
        <v>2019</v>
      </c>
      <c r="E291" s="10" t="s">
        <v>1232</v>
      </c>
      <c r="F291" s="10" t="s">
        <v>1233</v>
      </c>
      <c r="G291" s="10" t="s">
        <v>118</v>
      </c>
      <c r="H291" s="10" t="s">
        <v>39</v>
      </c>
      <c r="I291" s="13">
        <v>69.910632389399993</v>
      </c>
      <c r="J291" s="13">
        <v>69.910632389399993</v>
      </c>
      <c r="K291" s="13">
        <v>0</v>
      </c>
      <c r="L291" s="13">
        <v>0</v>
      </c>
      <c r="M291" s="13">
        <v>69.910632389399993</v>
      </c>
      <c r="N291" s="10" t="s">
        <v>1234</v>
      </c>
      <c r="O291" s="14">
        <v>3.98</v>
      </c>
      <c r="P291" s="10" t="s">
        <v>31</v>
      </c>
      <c r="Q291" s="14" t="s">
        <v>32</v>
      </c>
      <c r="R291" s="10" t="s">
        <v>33</v>
      </c>
      <c r="S291" s="10" t="s">
        <v>1232</v>
      </c>
      <c r="T291" s="14">
        <f>IF(O291="","",(1/Metadata!$B$5)^(O291-1))</f>
        <v>954.99258602143675</v>
      </c>
      <c r="U291" s="13">
        <f t="shared" si="4"/>
        <v>66764.135615947118</v>
      </c>
      <c r="V291" s="19" t="s">
        <v>118</v>
      </c>
      <c r="W291" s="20" t="s">
        <v>1235</v>
      </c>
    </row>
    <row r="292" spans="1:23" ht="18" customHeight="1">
      <c r="A292" s="10" t="s">
        <v>23</v>
      </c>
      <c r="B292" s="10" t="s">
        <v>24</v>
      </c>
      <c r="C292" s="10" t="s">
        <v>25</v>
      </c>
      <c r="D292" s="12">
        <v>2019</v>
      </c>
      <c r="E292" s="10" t="s">
        <v>1236</v>
      </c>
      <c r="F292" s="10" t="s">
        <v>1237</v>
      </c>
      <c r="G292" s="10" t="s">
        <v>71</v>
      </c>
      <c r="H292" s="10" t="s">
        <v>48</v>
      </c>
      <c r="I292" s="13">
        <v>65.063091308799997</v>
      </c>
      <c r="J292" s="13">
        <v>65.063091308799997</v>
      </c>
      <c r="K292" s="13">
        <v>0</v>
      </c>
      <c r="L292" s="13">
        <v>56.251248582899997</v>
      </c>
      <c r="M292" s="13">
        <v>8.8118427259000001</v>
      </c>
      <c r="N292" s="10" t="s">
        <v>1238</v>
      </c>
      <c r="O292" s="14">
        <v>2.8</v>
      </c>
      <c r="P292" s="10" t="s">
        <v>31</v>
      </c>
      <c r="Q292" s="14" t="s">
        <v>32</v>
      </c>
      <c r="R292" s="10" t="s">
        <v>33</v>
      </c>
      <c r="S292" s="10" t="s">
        <v>1236</v>
      </c>
      <c r="T292" s="14">
        <f>IF(O292="","",(1/Metadata!$B$5)^(O292-1))</f>
        <v>63.095734448019307</v>
      </c>
      <c r="U292" s="13">
        <f t="shared" si="4"/>
        <v>4105.2035315872772</v>
      </c>
      <c r="V292" s="22" t="s">
        <v>73</v>
      </c>
      <c r="W292" s="20" t="s">
        <v>1239</v>
      </c>
    </row>
    <row r="293" spans="1:23" ht="18" customHeight="1">
      <c r="A293" s="10" t="s">
        <v>23</v>
      </c>
      <c r="B293" s="10" t="s">
        <v>24</v>
      </c>
      <c r="C293" s="10" t="s">
        <v>25</v>
      </c>
      <c r="D293" s="12">
        <v>2019</v>
      </c>
      <c r="E293" s="10" t="s">
        <v>1240</v>
      </c>
      <c r="F293" s="10" t="s">
        <v>1241</v>
      </c>
      <c r="G293" s="10" t="s">
        <v>148</v>
      </c>
      <c r="H293" s="10" t="s">
        <v>149</v>
      </c>
      <c r="I293" s="13">
        <v>62.772813028399987</v>
      </c>
      <c r="J293" s="13">
        <v>62.772813028399987</v>
      </c>
      <c r="K293" s="13">
        <v>0</v>
      </c>
      <c r="L293" s="13">
        <v>1.6912398959999999</v>
      </c>
      <c r="M293" s="13">
        <v>61.081573132400003</v>
      </c>
      <c r="N293" s="10" t="s">
        <v>1242</v>
      </c>
      <c r="O293" s="14">
        <v>4.21</v>
      </c>
      <c r="P293" s="10" t="s">
        <v>31</v>
      </c>
      <c r="Q293" s="14" t="s">
        <v>32</v>
      </c>
      <c r="R293" s="10" t="s">
        <v>33</v>
      </c>
      <c r="S293" s="10" t="s">
        <v>1240</v>
      </c>
      <c r="T293" s="14">
        <f>IF(O293="","",(1/Metadata!$B$5)^(O293-1))</f>
        <v>1621.8100973589308</v>
      </c>
      <c r="U293" s="13">
        <f t="shared" si="4"/>
        <v>101805.58200908334</v>
      </c>
      <c r="V293" s="19" t="s">
        <v>151</v>
      </c>
      <c r="W293" s="20" t="s">
        <v>1243</v>
      </c>
    </row>
    <row r="294" spans="1:23" ht="18" customHeight="1">
      <c r="A294" s="10" t="s">
        <v>23</v>
      </c>
      <c r="B294" s="10" t="s">
        <v>24</v>
      </c>
      <c r="C294" s="10" t="s">
        <v>25</v>
      </c>
      <c r="D294" s="12">
        <v>2019</v>
      </c>
      <c r="E294" s="10" t="s">
        <v>1244</v>
      </c>
      <c r="F294" s="10" t="s">
        <v>1245</v>
      </c>
      <c r="G294" s="10" t="s">
        <v>155</v>
      </c>
      <c r="H294" s="10" t="s">
        <v>48</v>
      </c>
      <c r="I294" s="13">
        <v>61.917639499899998</v>
      </c>
      <c r="J294" s="13">
        <v>61.917639499899998</v>
      </c>
      <c r="K294" s="13">
        <v>0</v>
      </c>
      <c r="L294" s="13">
        <v>15.092889679800001</v>
      </c>
      <c r="M294" s="13">
        <v>46.824749820100003</v>
      </c>
      <c r="N294" s="10" t="s">
        <v>1246</v>
      </c>
      <c r="O294" s="14">
        <v>4.0999999999999996</v>
      </c>
      <c r="P294" s="10" t="s">
        <v>31</v>
      </c>
      <c r="Q294" s="14" t="s">
        <v>32</v>
      </c>
      <c r="R294" s="10" t="s">
        <v>33</v>
      </c>
      <c r="S294" s="10" t="s">
        <v>1244</v>
      </c>
      <c r="T294" s="14">
        <f>IF(O294="","",(1/Metadata!$B$5)^(O294-1))</f>
        <v>1258.9254117941668</v>
      </c>
      <c r="U294" s="13">
        <f t="shared" si="4"/>
        <v>77949.689804734371</v>
      </c>
      <c r="V294" s="19" t="s">
        <v>105</v>
      </c>
      <c r="W294" s="20" t="s">
        <v>1247</v>
      </c>
    </row>
    <row r="295" spans="1:23" ht="18" customHeight="1">
      <c r="A295" s="10" t="s">
        <v>23</v>
      </c>
      <c r="B295" s="10" t="s">
        <v>24</v>
      </c>
      <c r="C295" s="10" t="s">
        <v>25</v>
      </c>
      <c r="D295" s="12">
        <v>2019</v>
      </c>
      <c r="E295" s="10" t="s">
        <v>1248</v>
      </c>
      <c r="F295" s="10" t="s">
        <v>1249</v>
      </c>
      <c r="G295" s="10" t="s">
        <v>123</v>
      </c>
      <c r="H295" s="10" t="s">
        <v>124</v>
      </c>
      <c r="I295" s="13">
        <v>53.853794978499998</v>
      </c>
      <c r="J295" s="13">
        <v>53.853794978499998</v>
      </c>
      <c r="K295" s="13">
        <v>0</v>
      </c>
      <c r="L295" s="13">
        <v>53.802398648</v>
      </c>
      <c r="M295" s="13">
        <v>5.1396330499999997E-2</v>
      </c>
      <c r="N295" s="10" t="s">
        <v>1250</v>
      </c>
      <c r="O295" s="14">
        <v>2.1</v>
      </c>
      <c r="P295" s="10" t="s">
        <v>41</v>
      </c>
      <c r="Q295" s="14" t="s">
        <v>42</v>
      </c>
      <c r="R295" s="10" t="s">
        <v>33</v>
      </c>
      <c r="S295" s="10" t="s">
        <v>1248</v>
      </c>
      <c r="T295" s="14">
        <f>IF(O295="","",(1/Metadata!$B$5)^(O295-1))</f>
        <v>12.58925411794168</v>
      </c>
      <c r="U295" s="13">
        <f t="shared" si="4"/>
        <v>677.97911019986805</v>
      </c>
      <c r="V295" s="21" t="s">
        <v>43</v>
      </c>
      <c r="W295" s="20" t="s">
        <v>1251</v>
      </c>
    </row>
    <row r="296" spans="1:23" ht="18" customHeight="1">
      <c r="A296" s="10" t="s">
        <v>23</v>
      </c>
      <c r="B296" s="10" t="s">
        <v>24</v>
      </c>
      <c r="C296" s="10" t="s">
        <v>25</v>
      </c>
      <c r="D296" s="12">
        <v>2019</v>
      </c>
      <c r="E296" s="10" t="s">
        <v>1252</v>
      </c>
      <c r="F296" s="10" t="s">
        <v>1253</v>
      </c>
      <c r="G296" s="10" t="s">
        <v>148</v>
      </c>
      <c r="H296" s="10" t="s">
        <v>149</v>
      </c>
      <c r="I296" s="13">
        <v>51.425696002499997</v>
      </c>
      <c r="J296" s="13">
        <v>51.425696002499997</v>
      </c>
      <c r="K296" s="13">
        <v>0</v>
      </c>
      <c r="L296" s="13">
        <v>51.425696002499997</v>
      </c>
      <c r="M296" s="13">
        <v>0</v>
      </c>
      <c r="N296" s="10" t="s">
        <v>1254</v>
      </c>
      <c r="O296" s="14">
        <v>4.0999999999999996</v>
      </c>
      <c r="P296" s="10" t="s">
        <v>31</v>
      </c>
      <c r="Q296" s="14" t="s">
        <v>32</v>
      </c>
      <c r="R296" s="10" t="s">
        <v>33</v>
      </c>
      <c r="S296" s="10" t="s">
        <v>1252</v>
      </c>
      <c r="T296" s="14">
        <f>IF(O296="","",(1/Metadata!$B$5)^(O296-1))</f>
        <v>1258.9254117941668</v>
      </c>
      <c r="U296" s="13">
        <f t="shared" si="4"/>
        <v>64741.115516748949</v>
      </c>
      <c r="V296" s="19" t="s">
        <v>151</v>
      </c>
      <c r="W296" s="20" t="s">
        <v>1255</v>
      </c>
    </row>
    <row r="297" spans="1:23" ht="18" customHeight="1">
      <c r="A297" s="10" t="s">
        <v>23</v>
      </c>
      <c r="B297" s="10" t="s">
        <v>24</v>
      </c>
      <c r="C297" s="10" t="s">
        <v>25</v>
      </c>
      <c r="D297" s="12">
        <v>2019</v>
      </c>
      <c r="E297" s="10" t="s">
        <v>1256</v>
      </c>
      <c r="F297" s="10" t="s">
        <v>1257</v>
      </c>
      <c r="G297" s="10" t="s">
        <v>148</v>
      </c>
      <c r="H297" s="10" t="s">
        <v>149</v>
      </c>
      <c r="I297" s="13">
        <v>51.321800371899997</v>
      </c>
      <c r="J297" s="13">
        <v>51.321800371899997</v>
      </c>
      <c r="K297" s="13">
        <v>0</v>
      </c>
      <c r="L297" s="13">
        <v>51.321800371899997</v>
      </c>
      <c r="M297" s="13">
        <v>0</v>
      </c>
      <c r="N297" s="10" t="s">
        <v>1258</v>
      </c>
      <c r="O297" s="14">
        <v>4.08</v>
      </c>
      <c r="P297" s="10" t="s">
        <v>41</v>
      </c>
      <c r="Q297" s="14" t="s">
        <v>42</v>
      </c>
      <c r="R297" s="10" t="s">
        <v>33</v>
      </c>
      <c r="S297" s="10" t="s">
        <v>1256</v>
      </c>
      <c r="T297" s="14">
        <f>IF(O297="","",(1/Metadata!$B$5)^(O297-1))</f>
        <v>1202.2644346174138</v>
      </c>
      <c r="U297" s="13">
        <f t="shared" si="4"/>
        <v>61702.375307670125</v>
      </c>
      <c r="V297" s="19" t="s">
        <v>151</v>
      </c>
      <c r="W297" s="20" t="s">
        <v>1259</v>
      </c>
    </row>
    <row r="298" spans="1:23" ht="18" customHeight="1">
      <c r="A298" s="10" t="s">
        <v>23</v>
      </c>
      <c r="B298" s="10" t="s">
        <v>24</v>
      </c>
      <c r="C298" s="10" t="s">
        <v>25</v>
      </c>
      <c r="D298" s="12">
        <v>2019</v>
      </c>
      <c r="E298" s="10" t="s">
        <v>1260</v>
      </c>
      <c r="F298" s="10" t="s">
        <v>1261</v>
      </c>
      <c r="G298" s="10" t="s">
        <v>28</v>
      </c>
      <c r="H298" s="10" t="s">
        <v>29</v>
      </c>
      <c r="I298" s="13">
        <v>51.307646485200003</v>
      </c>
      <c r="J298" s="13">
        <v>51.307646485200003</v>
      </c>
      <c r="K298" s="13">
        <v>0</v>
      </c>
      <c r="L298" s="13">
        <v>0</v>
      </c>
      <c r="M298" s="13">
        <v>51.307646485200003</v>
      </c>
      <c r="N298" s="10" t="s">
        <v>1262</v>
      </c>
      <c r="O298" s="14">
        <v>3.06</v>
      </c>
      <c r="P298" s="10" t="s">
        <v>31</v>
      </c>
      <c r="Q298" s="14" t="s">
        <v>32</v>
      </c>
      <c r="R298" s="10" t="s">
        <v>33</v>
      </c>
      <c r="S298" s="10" t="s">
        <v>1260</v>
      </c>
      <c r="T298" s="14">
        <f>IF(O298="","",(1/Metadata!$B$5)^(O298-1))</f>
        <v>114.81536214968835</v>
      </c>
      <c r="U298" s="13">
        <f t="shared" si="4"/>
        <v>5890.9060122464234</v>
      </c>
      <c r="V298" s="19" t="s">
        <v>34</v>
      </c>
      <c r="W298" s="20" t="s">
        <v>1263</v>
      </c>
    </row>
    <row r="299" spans="1:23" ht="18" customHeight="1">
      <c r="A299" s="10" t="s">
        <v>23</v>
      </c>
      <c r="B299" s="10" t="s">
        <v>24</v>
      </c>
      <c r="C299" s="10" t="s">
        <v>25</v>
      </c>
      <c r="D299" s="12">
        <v>2019</v>
      </c>
      <c r="E299" s="10" t="s">
        <v>1264</v>
      </c>
      <c r="F299" s="10" t="s">
        <v>1265</v>
      </c>
      <c r="G299" s="10" t="s">
        <v>38</v>
      </c>
      <c r="H299" s="10" t="s">
        <v>48</v>
      </c>
      <c r="I299" s="13">
        <v>48.3603788729</v>
      </c>
      <c r="J299" s="13">
        <v>48.3603788729</v>
      </c>
      <c r="K299" s="13">
        <v>0</v>
      </c>
      <c r="L299" s="13">
        <v>48.3603788729</v>
      </c>
      <c r="M299" s="13">
        <v>0</v>
      </c>
      <c r="N299" s="10" t="s">
        <v>1266</v>
      </c>
      <c r="O299" s="14">
        <v>3.91</v>
      </c>
      <c r="P299" s="10" t="s">
        <v>41</v>
      </c>
      <c r="Q299" s="14" t="s">
        <v>42</v>
      </c>
      <c r="R299" s="10" t="s">
        <v>33</v>
      </c>
      <c r="S299" s="10" t="s">
        <v>1264</v>
      </c>
      <c r="T299" s="14">
        <f>IF(O299="","",(1/Metadata!$B$5)^(O299-1))</f>
        <v>812.83051616409978</v>
      </c>
      <c r="U299" s="13">
        <f t="shared" si="4"/>
        <v>39308.79172115073</v>
      </c>
      <c r="V299" s="19" t="s">
        <v>105</v>
      </c>
      <c r="W299" s="20" t="s">
        <v>1267</v>
      </c>
    </row>
    <row r="300" spans="1:23" ht="18" customHeight="1">
      <c r="A300" s="10" t="s">
        <v>23</v>
      </c>
      <c r="B300" s="10" t="s">
        <v>24</v>
      </c>
      <c r="C300" s="10" t="s">
        <v>25</v>
      </c>
      <c r="D300" s="12">
        <v>2019</v>
      </c>
      <c r="E300" s="10" t="s">
        <v>1268</v>
      </c>
      <c r="F300" s="10" t="s">
        <v>1269</v>
      </c>
      <c r="G300" s="10" t="s">
        <v>155</v>
      </c>
      <c r="H300" s="10" t="s">
        <v>48</v>
      </c>
      <c r="I300" s="13">
        <v>47.465344419200001</v>
      </c>
      <c r="J300" s="13">
        <v>47.465344419200001</v>
      </c>
      <c r="K300" s="13">
        <v>0</v>
      </c>
      <c r="L300" s="13">
        <v>35.734447262699987</v>
      </c>
      <c r="M300" s="13">
        <v>11.730897156499999</v>
      </c>
      <c r="N300" s="10" t="s">
        <v>1270</v>
      </c>
      <c r="O300" s="14">
        <v>3.37</v>
      </c>
      <c r="P300" s="10" t="s">
        <v>31</v>
      </c>
      <c r="Q300" s="14" t="s">
        <v>32</v>
      </c>
      <c r="R300" s="10" t="s">
        <v>33</v>
      </c>
      <c r="S300" s="10" t="s">
        <v>1268</v>
      </c>
      <c r="T300" s="14">
        <f>IF(O300="","",(1/Metadata!$B$5)^(O300-1))</f>
        <v>234.42288153199232</v>
      </c>
      <c r="U300" s="13">
        <f t="shared" si="4"/>
        <v>11126.962811657335</v>
      </c>
      <c r="V300" s="22" t="s">
        <v>105</v>
      </c>
      <c r="W300" s="20" t="s">
        <v>1271</v>
      </c>
    </row>
    <row r="301" spans="1:23" ht="18" customHeight="1">
      <c r="A301" s="10" t="s">
        <v>23</v>
      </c>
      <c r="B301" s="10" t="s">
        <v>24</v>
      </c>
      <c r="C301" s="10" t="s">
        <v>25</v>
      </c>
      <c r="D301" s="12">
        <v>2019</v>
      </c>
      <c r="E301" s="10" t="s">
        <v>1272</v>
      </c>
      <c r="F301" s="10" t="s">
        <v>1273</v>
      </c>
      <c r="G301" s="10" t="s">
        <v>148</v>
      </c>
      <c r="H301" s="10" t="s">
        <v>149</v>
      </c>
      <c r="I301" s="13">
        <v>47.0705105901</v>
      </c>
      <c r="J301" s="13">
        <v>47.0705105901</v>
      </c>
      <c r="K301" s="13">
        <v>0</v>
      </c>
      <c r="L301" s="13">
        <v>1.2681847694999999</v>
      </c>
      <c r="M301" s="13">
        <v>45.802325820599997</v>
      </c>
      <c r="N301" s="10" t="s">
        <v>1274</v>
      </c>
      <c r="O301" s="14">
        <v>4.49</v>
      </c>
      <c r="P301" s="10" t="s">
        <v>31</v>
      </c>
      <c r="Q301" s="14" t="s">
        <v>32</v>
      </c>
      <c r="R301" s="10" t="s">
        <v>33</v>
      </c>
      <c r="S301" s="10" t="s">
        <v>1272</v>
      </c>
      <c r="T301" s="14">
        <f>IF(O301="","",(1/Metadata!$B$5)^(O301-1))</f>
        <v>3090.295432513592</v>
      </c>
      <c r="U301" s="13">
        <f t="shared" si="4"/>
        <v>145461.78388266868</v>
      </c>
      <c r="V301" s="19" t="s">
        <v>151</v>
      </c>
      <c r="W301" s="20" t="s">
        <v>1275</v>
      </c>
    </row>
    <row r="302" spans="1:23" ht="18" customHeight="1">
      <c r="A302" s="10" t="s">
        <v>23</v>
      </c>
      <c r="B302" s="10" t="s">
        <v>24</v>
      </c>
      <c r="C302" s="10" t="s">
        <v>25</v>
      </c>
      <c r="D302" s="12">
        <v>2019</v>
      </c>
      <c r="E302" s="10" t="s">
        <v>1276</v>
      </c>
      <c r="F302" s="10" t="s">
        <v>1277</v>
      </c>
      <c r="G302" s="10" t="s">
        <v>155</v>
      </c>
      <c r="H302" s="10" t="s">
        <v>39</v>
      </c>
      <c r="I302" s="13">
        <v>46.446943926300001</v>
      </c>
      <c r="J302" s="13">
        <v>46.446943926300001</v>
      </c>
      <c r="K302" s="13">
        <v>0</v>
      </c>
      <c r="L302" s="13">
        <v>0</v>
      </c>
      <c r="M302" s="13">
        <v>46.446943926300001</v>
      </c>
      <c r="N302" s="10" t="s">
        <v>1278</v>
      </c>
      <c r="O302" s="14">
        <v>3.25</v>
      </c>
      <c r="P302" s="10" t="s">
        <v>41</v>
      </c>
      <c r="Q302" s="14" t="s">
        <v>42</v>
      </c>
      <c r="R302" s="10" t="s">
        <v>33</v>
      </c>
      <c r="S302" s="10" t="s">
        <v>1276</v>
      </c>
      <c r="T302" s="14">
        <f>IF(O302="","",(1/Metadata!$B$5)^(O302-1))</f>
        <v>177.82794100389242</v>
      </c>
      <c r="U302" s="13">
        <f t="shared" si="4"/>
        <v>8259.5644043371758</v>
      </c>
      <c r="V302" s="19" t="s">
        <v>92</v>
      </c>
      <c r="W302" s="20" t="s">
        <v>1279</v>
      </c>
    </row>
    <row r="303" spans="1:23" ht="18" customHeight="1">
      <c r="A303" s="10" t="s">
        <v>23</v>
      </c>
      <c r="B303" s="10" t="s">
        <v>24</v>
      </c>
      <c r="C303" s="10" t="s">
        <v>25</v>
      </c>
      <c r="D303" s="12">
        <v>2019</v>
      </c>
      <c r="E303" s="10" t="s">
        <v>1280</v>
      </c>
      <c r="F303" s="10" t="s">
        <v>1281</v>
      </c>
      <c r="G303" s="10" t="s">
        <v>38</v>
      </c>
      <c r="H303" s="10" t="s">
        <v>48</v>
      </c>
      <c r="I303" s="13">
        <v>46.199357284400001</v>
      </c>
      <c r="J303" s="13">
        <v>2.3770921113000001</v>
      </c>
      <c r="K303" s="13">
        <v>43.8222651731</v>
      </c>
      <c r="L303" s="13">
        <v>0</v>
      </c>
      <c r="M303" s="13">
        <v>46.199357284400001</v>
      </c>
      <c r="N303" s="10" t="s">
        <v>1282</v>
      </c>
      <c r="O303" s="14">
        <v>3.64</v>
      </c>
      <c r="P303" s="10" t="s">
        <v>41</v>
      </c>
      <c r="Q303" s="14" t="s">
        <v>42</v>
      </c>
      <c r="R303" s="10" t="s">
        <v>33</v>
      </c>
      <c r="S303" s="10" t="s">
        <v>1280</v>
      </c>
      <c r="T303" s="14">
        <f>IF(O303="","",(1/Metadata!$B$5)^(O303-1))</f>
        <v>436.51583224016622</v>
      </c>
      <c r="U303" s="13">
        <f t="shared" si="4"/>
        <v>20166.750893960652</v>
      </c>
      <c r="V303" s="19" t="s">
        <v>73</v>
      </c>
      <c r="W303" s="20" t="s">
        <v>1283</v>
      </c>
    </row>
    <row r="304" spans="1:23" ht="18" customHeight="1">
      <c r="A304" s="10" t="s">
        <v>23</v>
      </c>
      <c r="B304" s="10" t="s">
        <v>24</v>
      </c>
      <c r="C304" s="10" t="s">
        <v>25</v>
      </c>
      <c r="D304" s="12">
        <v>2019</v>
      </c>
      <c r="E304" s="10" t="s">
        <v>1284</v>
      </c>
      <c r="F304" s="10" t="s">
        <v>1285</v>
      </c>
      <c r="G304" s="10" t="s">
        <v>148</v>
      </c>
      <c r="H304" s="10" t="s">
        <v>149</v>
      </c>
      <c r="I304" s="13">
        <v>44.872997355300001</v>
      </c>
      <c r="J304" s="13">
        <v>44.872997355300001</v>
      </c>
      <c r="K304" s="13">
        <v>0</v>
      </c>
      <c r="L304" s="13">
        <v>1.0591935114</v>
      </c>
      <c r="M304" s="13">
        <v>43.813803843899997</v>
      </c>
      <c r="N304" s="10" t="s">
        <v>1286</v>
      </c>
      <c r="O304" s="14">
        <v>4.26</v>
      </c>
      <c r="P304" s="10" t="s">
        <v>41</v>
      </c>
      <c r="Q304" s="14" t="s">
        <v>42</v>
      </c>
      <c r="R304" s="10" t="s">
        <v>33</v>
      </c>
      <c r="S304" s="10" t="s">
        <v>1284</v>
      </c>
      <c r="T304" s="14">
        <f>IF(O304="","",(1/Metadata!$B$5)^(O304-1))</f>
        <v>1819.7008586099832</v>
      </c>
      <c r="U304" s="13">
        <f t="shared" si="4"/>
        <v>81655.431815842923</v>
      </c>
      <c r="V304" s="19" t="s">
        <v>151</v>
      </c>
      <c r="W304" s="20" t="s">
        <v>1287</v>
      </c>
    </row>
    <row r="305" spans="1:23" ht="18" customHeight="1">
      <c r="A305" s="10" t="s">
        <v>23</v>
      </c>
      <c r="B305" s="10" t="s">
        <v>24</v>
      </c>
      <c r="C305" s="10" t="s">
        <v>25</v>
      </c>
      <c r="D305" s="12">
        <v>2019</v>
      </c>
      <c r="E305" s="10" t="s">
        <v>1288</v>
      </c>
      <c r="F305" s="10" t="s">
        <v>1289</v>
      </c>
      <c r="G305" s="10" t="s">
        <v>65</v>
      </c>
      <c r="H305" s="10" t="s">
        <v>66</v>
      </c>
      <c r="I305" s="13">
        <v>43.432256267600003</v>
      </c>
      <c r="J305" s="13">
        <v>43.432256267600003</v>
      </c>
      <c r="K305" s="13">
        <v>0</v>
      </c>
      <c r="L305" s="13">
        <v>23.361297293100002</v>
      </c>
      <c r="M305" s="13">
        <v>20.070958974500002</v>
      </c>
      <c r="N305" s="10" t="s">
        <v>1290</v>
      </c>
      <c r="O305" s="14">
        <v>2.5</v>
      </c>
      <c r="P305" s="10" t="s">
        <v>41</v>
      </c>
      <c r="Q305" s="14" t="s">
        <v>42</v>
      </c>
      <c r="R305" s="10" t="s">
        <v>33</v>
      </c>
      <c r="S305" s="10" t="s">
        <v>1288</v>
      </c>
      <c r="T305" s="14">
        <f>IF(O305="","",(1/Metadata!$B$5)^(O305-1))</f>
        <v>31.622776601683803</v>
      </c>
      <c r="U305" s="13">
        <f t="shared" si="4"/>
        <v>1373.4485372573961</v>
      </c>
      <c r="V305" s="19" t="s">
        <v>322</v>
      </c>
      <c r="W305" s="20" t="s">
        <v>1291</v>
      </c>
    </row>
    <row r="306" spans="1:23" ht="18" customHeight="1">
      <c r="A306" s="10" t="s">
        <v>23</v>
      </c>
      <c r="B306" s="10" t="s">
        <v>24</v>
      </c>
      <c r="C306" s="10" t="s">
        <v>25</v>
      </c>
      <c r="D306" s="12">
        <v>2019</v>
      </c>
      <c r="E306" s="10" t="s">
        <v>1292</v>
      </c>
      <c r="F306" s="10" t="s">
        <v>1293</v>
      </c>
      <c r="G306" s="10" t="s">
        <v>155</v>
      </c>
      <c r="H306" s="10" t="s">
        <v>48</v>
      </c>
      <c r="I306" s="13">
        <v>42.411053640299997</v>
      </c>
      <c r="J306" s="13">
        <v>42.411053640299997</v>
      </c>
      <c r="K306" s="13">
        <v>0</v>
      </c>
      <c r="L306" s="13">
        <v>42.411053640299997</v>
      </c>
      <c r="M306" s="13">
        <v>0</v>
      </c>
      <c r="N306" s="10" t="s">
        <v>1294</v>
      </c>
      <c r="O306" s="14">
        <v>3.5</v>
      </c>
      <c r="P306" s="10" t="s">
        <v>31</v>
      </c>
      <c r="Q306" s="14" t="s">
        <v>32</v>
      </c>
      <c r="R306" s="10" t="s">
        <v>33</v>
      </c>
      <c r="S306" s="10" t="s">
        <v>1292</v>
      </c>
      <c r="T306" s="14">
        <f>IF(O306="","",(1/Metadata!$B$5)^(O306-1))</f>
        <v>316.22776601683825</v>
      </c>
      <c r="U306" s="13">
        <f t="shared" si="4"/>
        <v>13411.552747092363</v>
      </c>
      <c r="V306" s="19" t="s">
        <v>73</v>
      </c>
      <c r="W306" s="20" t="s">
        <v>1295</v>
      </c>
    </row>
    <row r="307" spans="1:23" ht="18" customHeight="1">
      <c r="A307" s="10" t="s">
        <v>23</v>
      </c>
      <c r="B307" s="10" t="s">
        <v>24</v>
      </c>
      <c r="C307" s="10" t="s">
        <v>25</v>
      </c>
      <c r="D307" s="12">
        <v>2019</v>
      </c>
      <c r="E307" s="10" t="s">
        <v>1296</v>
      </c>
      <c r="F307" s="10" t="s">
        <v>1297</v>
      </c>
      <c r="G307" s="10" t="s">
        <v>155</v>
      </c>
      <c r="H307" s="10" t="s">
        <v>48</v>
      </c>
      <c r="I307" s="13">
        <v>41.987706074999998</v>
      </c>
      <c r="J307" s="13">
        <v>41.987706074999998</v>
      </c>
      <c r="K307" s="13">
        <v>0</v>
      </c>
      <c r="L307" s="13">
        <v>31.442321779299998</v>
      </c>
      <c r="M307" s="13">
        <v>10.5453842957</v>
      </c>
      <c r="N307" s="10" t="s">
        <v>1298</v>
      </c>
      <c r="O307" s="14">
        <v>3.59</v>
      </c>
      <c r="P307" s="10" t="s">
        <v>31</v>
      </c>
      <c r="Q307" s="14" t="s">
        <v>32</v>
      </c>
      <c r="R307" s="10" t="s">
        <v>33</v>
      </c>
      <c r="S307" s="10" t="s">
        <v>1296</v>
      </c>
      <c r="T307" s="14">
        <f>IF(O307="","",(1/Metadata!$B$5)^(O307-1))</f>
        <v>389.04514499428063</v>
      </c>
      <c r="U307" s="13">
        <f t="shared" si="4"/>
        <v>16335.113197925612</v>
      </c>
      <c r="V307" s="22" t="s">
        <v>105</v>
      </c>
      <c r="W307" s="20" t="s">
        <v>1299</v>
      </c>
    </row>
    <row r="308" spans="1:23" ht="18" customHeight="1">
      <c r="A308" s="10" t="s">
        <v>23</v>
      </c>
      <c r="B308" s="10" t="s">
        <v>24</v>
      </c>
      <c r="C308" s="10" t="s">
        <v>25</v>
      </c>
      <c r="D308" s="12">
        <v>2019</v>
      </c>
      <c r="E308" s="10" t="s">
        <v>1300</v>
      </c>
      <c r="F308" s="10" t="s">
        <v>1301</v>
      </c>
      <c r="G308" s="10" t="s">
        <v>155</v>
      </c>
      <c r="H308" s="10" t="s">
        <v>48</v>
      </c>
      <c r="I308" s="13">
        <v>41.244521841699999</v>
      </c>
      <c r="J308" s="13">
        <v>41.244521841699999</v>
      </c>
      <c r="K308" s="13">
        <v>0</v>
      </c>
      <c r="L308" s="13">
        <v>9.0403632130000009</v>
      </c>
      <c r="M308" s="13">
        <v>32.2041586287</v>
      </c>
      <c r="N308" s="10" t="s">
        <v>1302</v>
      </c>
      <c r="O308" s="14">
        <v>3.79</v>
      </c>
      <c r="P308" s="10" t="s">
        <v>31</v>
      </c>
      <c r="Q308" s="14" t="s">
        <v>32</v>
      </c>
      <c r="R308" s="10" t="s">
        <v>33</v>
      </c>
      <c r="S308" s="10" t="s">
        <v>1300</v>
      </c>
      <c r="T308" s="14">
        <f>IF(O308="","",(1/Metadata!$B$5)^(O308-1))</f>
        <v>616.59500186148273</v>
      </c>
      <c r="U308" s="13">
        <f t="shared" si="4"/>
        <v>25431.166021758978</v>
      </c>
      <c r="V308" s="19" t="s">
        <v>105</v>
      </c>
      <c r="W308" s="20" t="s">
        <v>1303</v>
      </c>
    </row>
    <row r="309" spans="1:23" ht="18" customHeight="1">
      <c r="A309" s="10" t="s">
        <v>23</v>
      </c>
      <c r="B309" s="10" t="s">
        <v>24</v>
      </c>
      <c r="C309" s="10" t="s">
        <v>25</v>
      </c>
      <c r="D309" s="12">
        <v>2019</v>
      </c>
      <c r="E309" s="10" t="s">
        <v>1304</v>
      </c>
      <c r="F309" s="10" t="s">
        <v>1305</v>
      </c>
      <c r="G309" s="10" t="s">
        <v>334</v>
      </c>
      <c r="H309" s="10" t="s">
        <v>149</v>
      </c>
      <c r="I309" s="13">
        <v>40.420475001100002</v>
      </c>
      <c r="J309" s="13">
        <v>40.420475001100002</v>
      </c>
      <c r="K309" s="13">
        <v>0</v>
      </c>
      <c r="L309" s="13">
        <v>40.420475001100002</v>
      </c>
      <c r="M309" s="13">
        <v>0</v>
      </c>
      <c r="N309" s="10" t="s">
        <v>1306</v>
      </c>
      <c r="O309" s="14">
        <v>3.61</v>
      </c>
      <c r="P309" s="10" t="s">
        <v>41</v>
      </c>
      <c r="Q309" s="14" t="s">
        <v>42</v>
      </c>
      <c r="R309" s="10" t="s">
        <v>33</v>
      </c>
      <c r="S309" s="10" t="s">
        <v>1304</v>
      </c>
      <c r="T309" s="14">
        <f>IF(O309="","",(1/Metadata!$B$5)^(O309-1))</f>
        <v>407.38027780411272</v>
      </c>
      <c r="U309" s="13">
        <f t="shared" si="4"/>
        <v>16466.504334922312</v>
      </c>
      <c r="V309" s="19" t="s">
        <v>336</v>
      </c>
      <c r="W309" s="20" t="s">
        <v>1307</v>
      </c>
    </row>
    <row r="310" spans="1:23" ht="18" customHeight="1">
      <c r="A310" s="10" t="s">
        <v>23</v>
      </c>
      <c r="B310" s="10" t="s">
        <v>24</v>
      </c>
      <c r="C310" s="10" t="s">
        <v>25</v>
      </c>
      <c r="D310" s="12">
        <v>2019</v>
      </c>
      <c r="E310" s="10" t="s">
        <v>1308</v>
      </c>
      <c r="F310" s="10" t="s">
        <v>1309</v>
      </c>
      <c r="G310" s="10" t="s">
        <v>164</v>
      </c>
      <c r="H310" s="10" t="s">
        <v>48</v>
      </c>
      <c r="I310" s="13">
        <v>40.366986779599998</v>
      </c>
      <c r="J310" s="13">
        <v>40.366986779599998</v>
      </c>
      <c r="K310" s="13">
        <v>0</v>
      </c>
      <c r="L310" s="13">
        <v>34.2422697728</v>
      </c>
      <c r="M310" s="13">
        <v>6.1247170068000001</v>
      </c>
      <c r="N310" s="10" t="s">
        <v>1310</v>
      </c>
      <c r="O310" s="14">
        <v>4.5</v>
      </c>
      <c r="P310" s="10" t="s">
        <v>31</v>
      </c>
      <c r="Q310" s="14" t="s">
        <v>32</v>
      </c>
      <c r="R310" s="10" t="s">
        <v>33</v>
      </c>
      <c r="S310" s="10" t="s">
        <v>1308</v>
      </c>
      <c r="T310" s="14">
        <f>IF(O310="","",(1/Metadata!$B$5)^(O310-1))</f>
        <v>3162.2776601683804</v>
      </c>
      <c r="U310" s="13">
        <f t="shared" si="4"/>
        <v>127651.62050144143</v>
      </c>
      <c r="V310" s="22" t="s">
        <v>105</v>
      </c>
      <c r="W310" s="20" t="s">
        <v>1311</v>
      </c>
    </row>
    <row r="311" spans="1:23" ht="18" customHeight="1">
      <c r="A311" s="10" t="s">
        <v>23</v>
      </c>
      <c r="B311" s="10" t="s">
        <v>24</v>
      </c>
      <c r="C311" s="10" t="s">
        <v>25</v>
      </c>
      <c r="D311" s="12">
        <v>2019</v>
      </c>
      <c r="E311" s="10" t="s">
        <v>1312</v>
      </c>
      <c r="F311" s="10" t="s">
        <v>1313</v>
      </c>
      <c r="G311" s="10" t="s">
        <v>178</v>
      </c>
      <c r="H311" s="10" t="s">
        <v>179</v>
      </c>
      <c r="I311" s="13">
        <v>40.120410838200002</v>
      </c>
      <c r="J311" s="13">
        <v>40.120410838200002</v>
      </c>
      <c r="K311" s="13">
        <v>0</v>
      </c>
      <c r="L311" s="13">
        <v>30.509686241200001</v>
      </c>
      <c r="M311" s="13">
        <v>9.6107245970000008</v>
      </c>
      <c r="N311" s="10" t="s">
        <v>1314</v>
      </c>
      <c r="O311" s="14">
        <v>3.5</v>
      </c>
      <c r="P311" s="10" t="s">
        <v>31</v>
      </c>
      <c r="Q311" s="14" t="s">
        <v>32</v>
      </c>
      <c r="R311" s="10" t="s">
        <v>33</v>
      </c>
      <c r="S311" s="10" t="s">
        <v>1312</v>
      </c>
      <c r="T311" s="14">
        <f>IF(O311="","",(1/Metadata!$B$5)^(O311-1))</f>
        <v>316.22776601683825</v>
      </c>
      <c r="U311" s="13">
        <f t="shared" si="4"/>
        <v>12687.187891041731</v>
      </c>
      <c r="V311" s="19" t="s">
        <v>92</v>
      </c>
      <c r="W311" s="20" t="s">
        <v>1315</v>
      </c>
    </row>
    <row r="312" spans="1:23" ht="18" customHeight="1">
      <c r="A312" s="10" t="s">
        <v>23</v>
      </c>
      <c r="B312" s="10" t="s">
        <v>24</v>
      </c>
      <c r="C312" s="10" t="s">
        <v>25</v>
      </c>
      <c r="D312" s="12">
        <v>2019</v>
      </c>
      <c r="E312" s="10" t="s">
        <v>1316</v>
      </c>
      <c r="F312" s="10" t="s">
        <v>1317</v>
      </c>
      <c r="G312" s="10" t="s">
        <v>155</v>
      </c>
      <c r="H312" s="10" t="s">
        <v>48</v>
      </c>
      <c r="I312" s="13">
        <v>40.039422593300003</v>
      </c>
      <c r="J312" s="13">
        <v>40.039422593300003</v>
      </c>
      <c r="K312" s="13">
        <v>0</v>
      </c>
      <c r="L312" s="13">
        <v>11.753594791699999</v>
      </c>
      <c r="M312" s="13">
        <v>28.2858278016</v>
      </c>
      <c r="N312" s="10" t="s">
        <v>1318</v>
      </c>
      <c r="O312" s="14">
        <v>3.33</v>
      </c>
      <c r="P312" s="10" t="s">
        <v>31</v>
      </c>
      <c r="Q312" s="14" t="s">
        <v>32</v>
      </c>
      <c r="R312" s="10" t="s">
        <v>33</v>
      </c>
      <c r="S312" s="10" t="s">
        <v>1316</v>
      </c>
      <c r="T312" s="14">
        <f>IF(O312="","",(1/Metadata!$B$5)^(O312-1))</f>
        <v>213.79620895022339</v>
      </c>
      <c r="U312" s="13">
        <f t="shared" si="4"/>
        <v>8560.2767590034618</v>
      </c>
      <c r="V312" s="22" t="s">
        <v>92</v>
      </c>
      <c r="W312" s="20" t="s">
        <v>1319</v>
      </c>
    </row>
    <row r="313" spans="1:23" ht="18" customHeight="1">
      <c r="A313" s="10" t="s">
        <v>23</v>
      </c>
      <c r="B313" s="10" t="s">
        <v>24</v>
      </c>
      <c r="C313" s="10" t="s">
        <v>25</v>
      </c>
      <c r="D313" s="12">
        <v>2019</v>
      </c>
      <c r="E313" s="10" t="s">
        <v>1320</v>
      </c>
      <c r="F313" s="10" t="s">
        <v>1321</v>
      </c>
      <c r="G313" s="10" t="s">
        <v>148</v>
      </c>
      <c r="H313" s="10" t="s">
        <v>149</v>
      </c>
      <c r="I313" s="13">
        <v>39.243723343699997</v>
      </c>
      <c r="J313" s="13">
        <v>39.243723343699997</v>
      </c>
      <c r="K313" s="13">
        <v>0</v>
      </c>
      <c r="L313" s="13">
        <v>1.0573136262</v>
      </c>
      <c r="M313" s="13">
        <v>38.186409717500013</v>
      </c>
      <c r="N313" s="10" t="s">
        <v>1322</v>
      </c>
      <c r="O313" s="14">
        <v>4.54</v>
      </c>
      <c r="P313" s="10" t="s">
        <v>31</v>
      </c>
      <c r="Q313" s="14" t="s">
        <v>32</v>
      </c>
      <c r="R313" s="10" t="s">
        <v>33</v>
      </c>
      <c r="S313" s="10" t="s">
        <v>1320</v>
      </c>
      <c r="T313" s="14">
        <f>IF(O313="","",(1/Metadata!$B$5)^(O313-1))</f>
        <v>3467.3685045253224</v>
      </c>
      <c r="U313" s="13">
        <f t="shared" si="4"/>
        <v>136072.45032225054</v>
      </c>
      <c r="V313" s="19" t="s">
        <v>151</v>
      </c>
      <c r="W313" s="20" t="s">
        <v>1323</v>
      </c>
    </row>
    <row r="314" spans="1:23" ht="18" customHeight="1">
      <c r="A314" s="10" t="s">
        <v>23</v>
      </c>
      <c r="B314" s="10" t="s">
        <v>24</v>
      </c>
      <c r="C314" s="10" t="s">
        <v>25</v>
      </c>
      <c r="D314" s="12">
        <v>2019</v>
      </c>
      <c r="E314" s="10" t="s">
        <v>1324</v>
      </c>
      <c r="F314" s="10" t="s">
        <v>1325</v>
      </c>
      <c r="G314" s="10" t="s">
        <v>148</v>
      </c>
      <c r="H314" s="10" t="s">
        <v>149</v>
      </c>
      <c r="I314" s="13">
        <v>39.204493306300002</v>
      </c>
      <c r="J314" s="13">
        <v>39.204493306300002</v>
      </c>
      <c r="K314" s="13">
        <v>0</v>
      </c>
      <c r="L314" s="13">
        <v>1.0562566818000001</v>
      </c>
      <c r="M314" s="13">
        <v>38.148236624500001</v>
      </c>
      <c r="N314" s="10" t="s">
        <v>1326</v>
      </c>
      <c r="O314" s="14">
        <v>4.22</v>
      </c>
      <c r="P314" s="10" t="s">
        <v>31</v>
      </c>
      <c r="Q314" s="14" t="s">
        <v>32</v>
      </c>
      <c r="R314" s="10" t="s">
        <v>33</v>
      </c>
      <c r="S314" s="10" t="s">
        <v>1324</v>
      </c>
      <c r="T314" s="14">
        <f>IF(O314="","",(1/Metadata!$B$5)^(O314-1))</f>
        <v>1659.5869074375612</v>
      </c>
      <c r="U314" s="13">
        <f t="shared" si="4"/>
        <v>65063.263803858987</v>
      </c>
      <c r="V314" s="19" t="s">
        <v>151</v>
      </c>
      <c r="W314" s="20" t="s">
        <v>1327</v>
      </c>
    </row>
    <row r="315" spans="1:23" ht="18" customHeight="1">
      <c r="A315" s="10" t="s">
        <v>23</v>
      </c>
      <c r="B315" s="10" t="s">
        <v>24</v>
      </c>
      <c r="C315" s="10" t="s">
        <v>25</v>
      </c>
      <c r="D315" s="12">
        <v>2019</v>
      </c>
      <c r="E315" s="10" t="s">
        <v>1328</v>
      </c>
      <c r="F315" s="10" t="s">
        <v>1329</v>
      </c>
      <c r="G315" s="10" t="s">
        <v>164</v>
      </c>
      <c r="H315" s="10" t="s">
        <v>48</v>
      </c>
      <c r="I315" s="13">
        <v>36.8502356304</v>
      </c>
      <c r="J315" s="13">
        <v>36.8502356304</v>
      </c>
      <c r="K315" s="13">
        <v>0</v>
      </c>
      <c r="L315" s="13">
        <v>20.7926609887</v>
      </c>
      <c r="M315" s="13">
        <v>16.0575746417</v>
      </c>
      <c r="N315" s="10" t="s">
        <v>1330</v>
      </c>
      <c r="O315" s="14">
        <v>4.49</v>
      </c>
      <c r="P315" s="10" t="s">
        <v>31</v>
      </c>
      <c r="Q315" s="14" t="s">
        <v>32</v>
      </c>
      <c r="R315" s="10" t="s">
        <v>33</v>
      </c>
      <c r="S315" s="10" t="s">
        <v>1328</v>
      </c>
      <c r="T315" s="14">
        <f>IF(O315="","",(1/Metadata!$B$5)^(O315-1))</f>
        <v>3090.295432513592</v>
      </c>
      <c r="U315" s="13">
        <f t="shared" si="4"/>
        <v>113878.11485567475</v>
      </c>
      <c r="V315" s="22" t="s">
        <v>105</v>
      </c>
      <c r="W315" s="20" t="s">
        <v>1331</v>
      </c>
    </row>
    <row r="316" spans="1:23" ht="18" customHeight="1">
      <c r="A316" s="10" t="s">
        <v>23</v>
      </c>
      <c r="B316" s="10" t="s">
        <v>24</v>
      </c>
      <c r="C316" s="10" t="s">
        <v>25</v>
      </c>
      <c r="D316" s="12">
        <v>2019</v>
      </c>
      <c r="E316" s="10" t="s">
        <v>1332</v>
      </c>
      <c r="F316" s="10" t="s">
        <v>1333</v>
      </c>
      <c r="G316" s="10" t="s">
        <v>81</v>
      </c>
      <c r="H316" s="10" t="s">
        <v>66</v>
      </c>
      <c r="I316" s="13">
        <v>30.860815494800001</v>
      </c>
      <c r="J316" s="13">
        <v>30.860815494800001</v>
      </c>
      <c r="K316" s="13">
        <v>0</v>
      </c>
      <c r="L316" s="13">
        <v>0</v>
      </c>
      <c r="M316" s="13">
        <v>30.860815494800001</v>
      </c>
      <c r="N316" s="10" t="s">
        <v>1334</v>
      </c>
      <c r="O316" s="14">
        <v>2.7</v>
      </c>
      <c r="P316" s="10" t="s">
        <v>41</v>
      </c>
      <c r="Q316" s="14" t="s">
        <v>42</v>
      </c>
      <c r="R316" s="10" t="s">
        <v>33</v>
      </c>
      <c r="S316" s="10" t="s">
        <v>1332</v>
      </c>
      <c r="T316" s="14">
        <f>IF(O316="","",(1/Metadata!$B$5)^(O316-1))</f>
        <v>50.118723362727259</v>
      </c>
      <c r="U316" s="13">
        <f t="shared" si="4"/>
        <v>1546.7046745320481</v>
      </c>
      <c r="V316" s="21" t="s">
        <v>43</v>
      </c>
      <c r="W316" s="20" t="s">
        <v>1335</v>
      </c>
    </row>
    <row r="317" spans="1:23" ht="18" customHeight="1">
      <c r="A317" s="10" t="s">
        <v>23</v>
      </c>
      <c r="B317" s="10" t="s">
        <v>24</v>
      </c>
      <c r="C317" s="10" t="s">
        <v>25</v>
      </c>
      <c r="D317" s="12">
        <v>2019</v>
      </c>
      <c r="E317" s="10" t="s">
        <v>1336</v>
      </c>
      <c r="F317" s="10" t="s">
        <v>1337</v>
      </c>
      <c r="G317" s="10" t="s">
        <v>164</v>
      </c>
      <c r="H317" s="10" t="s">
        <v>48</v>
      </c>
      <c r="I317" s="13">
        <v>30.2439927719</v>
      </c>
      <c r="J317" s="13">
        <v>30.2439927719</v>
      </c>
      <c r="K317" s="13">
        <v>0</v>
      </c>
      <c r="L317" s="13">
        <v>19.727278093500001</v>
      </c>
      <c r="M317" s="13">
        <v>10.5167146784</v>
      </c>
      <c r="N317" s="10" t="s">
        <v>1338</v>
      </c>
      <c r="O317" s="14">
        <v>4.1399999999999997</v>
      </c>
      <c r="P317" s="10" t="s">
        <v>31</v>
      </c>
      <c r="Q317" s="14" t="s">
        <v>32</v>
      </c>
      <c r="R317" s="10" t="s">
        <v>33</v>
      </c>
      <c r="S317" s="10" t="s">
        <v>1336</v>
      </c>
      <c r="T317" s="14">
        <f>IF(O317="","",(1/Metadata!$B$5)^(O317-1))</f>
        <v>1380.3842646028852</v>
      </c>
      <c r="U317" s="13">
        <f t="shared" si="4"/>
        <v>41748.33172109416</v>
      </c>
      <c r="V317" s="19" t="s">
        <v>105</v>
      </c>
      <c r="W317" s="20" t="s">
        <v>1339</v>
      </c>
    </row>
    <row r="318" spans="1:23" ht="18" customHeight="1">
      <c r="A318" s="10" t="s">
        <v>23</v>
      </c>
      <c r="B318" s="10" t="s">
        <v>24</v>
      </c>
      <c r="C318" s="10" t="s">
        <v>25</v>
      </c>
      <c r="D318" s="12">
        <v>2019</v>
      </c>
      <c r="E318" s="10" t="s">
        <v>1340</v>
      </c>
      <c r="F318" s="10" t="s">
        <v>1341</v>
      </c>
      <c r="G318" s="10" t="s">
        <v>155</v>
      </c>
      <c r="H318" s="10" t="s">
        <v>48</v>
      </c>
      <c r="I318" s="13">
        <v>29.098554505599999</v>
      </c>
      <c r="J318" s="13">
        <v>29.098554505599999</v>
      </c>
      <c r="K318" s="13">
        <v>0</v>
      </c>
      <c r="L318" s="13">
        <v>20.0860819259</v>
      </c>
      <c r="M318" s="13">
        <v>9.0124725796999989</v>
      </c>
      <c r="N318" s="10" t="s">
        <v>1342</v>
      </c>
      <c r="O318" s="14">
        <v>3.78</v>
      </c>
      <c r="P318" s="10" t="s">
        <v>31</v>
      </c>
      <c r="Q318" s="14" t="s">
        <v>32</v>
      </c>
      <c r="R318" s="10" t="s">
        <v>33</v>
      </c>
      <c r="S318" s="10" t="s">
        <v>1340</v>
      </c>
      <c r="T318" s="14">
        <f>IF(O318="","",(1/Metadata!$B$5)^(O318-1))</f>
        <v>602.55958607435775</v>
      </c>
      <c r="U318" s="13">
        <f t="shared" si="4"/>
        <v>17533.612958256472</v>
      </c>
      <c r="V318" s="22" t="s">
        <v>105</v>
      </c>
      <c r="W318" s="20" t="s">
        <v>1343</v>
      </c>
    </row>
    <row r="319" spans="1:23" ht="18" customHeight="1">
      <c r="A319" s="10" t="s">
        <v>23</v>
      </c>
      <c r="B319" s="10" t="s">
        <v>24</v>
      </c>
      <c r="C319" s="10" t="s">
        <v>25</v>
      </c>
      <c r="D319" s="12">
        <v>2019</v>
      </c>
      <c r="E319" s="10" t="s">
        <v>1344</v>
      </c>
      <c r="F319" s="10" t="s">
        <v>1345</v>
      </c>
      <c r="G319" s="10" t="s">
        <v>54</v>
      </c>
      <c r="H319" s="10" t="s">
        <v>39</v>
      </c>
      <c r="I319" s="13">
        <v>28.7832680703</v>
      </c>
      <c r="J319" s="13">
        <v>28.7832680703</v>
      </c>
      <c r="K319" s="13">
        <v>0</v>
      </c>
      <c r="L319" s="13">
        <v>28.7832680703</v>
      </c>
      <c r="M319" s="13">
        <v>0</v>
      </c>
      <c r="N319" s="10" t="s">
        <v>1346</v>
      </c>
      <c r="O319" s="14">
        <v>4.5</v>
      </c>
      <c r="P319" s="10" t="s">
        <v>31</v>
      </c>
      <c r="Q319" s="14" t="s">
        <v>32</v>
      </c>
      <c r="R319" s="10" t="s">
        <v>33</v>
      </c>
      <c r="S319" s="10" t="s">
        <v>1344</v>
      </c>
      <c r="T319" s="14">
        <f>IF(O319="","",(1/Metadata!$B$5)^(O319-1))</f>
        <v>3162.2776601683804</v>
      </c>
      <c r="U319" s="13">
        <f t="shared" si="4"/>
        <v>91020.685605347535</v>
      </c>
      <c r="V319" s="22" t="s">
        <v>110</v>
      </c>
      <c r="W319" s="20" t="s">
        <v>1347</v>
      </c>
    </row>
    <row r="320" spans="1:23" ht="18" customHeight="1">
      <c r="A320" s="10" t="s">
        <v>23</v>
      </c>
      <c r="B320" s="10" t="s">
        <v>24</v>
      </c>
      <c r="C320" s="10" t="s">
        <v>25</v>
      </c>
      <c r="D320" s="12">
        <v>2019</v>
      </c>
      <c r="E320" s="10" t="s">
        <v>1348</v>
      </c>
      <c r="F320" s="10" t="s">
        <v>1349</v>
      </c>
      <c r="G320" s="10" t="s">
        <v>164</v>
      </c>
      <c r="H320" s="10" t="s">
        <v>55</v>
      </c>
      <c r="I320" s="13">
        <v>26.433935896099999</v>
      </c>
      <c r="J320" s="13">
        <v>26.433935896099999</v>
      </c>
      <c r="K320" s="13">
        <v>0</v>
      </c>
      <c r="L320" s="13">
        <v>25.630346996699998</v>
      </c>
      <c r="M320" s="13">
        <v>0.8035888994</v>
      </c>
      <c r="N320" s="10" t="s">
        <v>1350</v>
      </c>
      <c r="O320" s="14">
        <v>4.5</v>
      </c>
      <c r="P320" s="10" t="s">
        <v>31</v>
      </c>
      <c r="Q320" s="14" t="s">
        <v>32</v>
      </c>
      <c r="R320" s="10" t="s">
        <v>33</v>
      </c>
      <c r="S320" s="10" t="s">
        <v>1348</v>
      </c>
      <c r="T320" s="14">
        <f>IF(O320="","",(1/Metadata!$B$5)^(O320-1))</f>
        <v>3162.2776601683804</v>
      </c>
      <c r="U320" s="13">
        <f t="shared" si="4"/>
        <v>83591.444954560066</v>
      </c>
      <c r="V320" s="22" t="s">
        <v>57</v>
      </c>
      <c r="W320" s="20" t="s">
        <v>1351</v>
      </c>
    </row>
    <row r="321" spans="1:23" ht="18" customHeight="1">
      <c r="A321" s="10" t="s">
        <v>23</v>
      </c>
      <c r="B321" s="10" t="s">
        <v>24</v>
      </c>
      <c r="C321" s="10" t="s">
        <v>25</v>
      </c>
      <c r="D321" s="12">
        <v>2019</v>
      </c>
      <c r="E321" s="10" t="s">
        <v>1352</v>
      </c>
      <c r="F321" s="10" t="s">
        <v>1353</v>
      </c>
      <c r="G321" s="10" t="s">
        <v>155</v>
      </c>
      <c r="H321" s="10" t="s">
        <v>48</v>
      </c>
      <c r="I321" s="13">
        <v>25.181053043199999</v>
      </c>
      <c r="J321" s="13">
        <v>25.181053043199999</v>
      </c>
      <c r="K321" s="13">
        <v>0</v>
      </c>
      <c r="L321" s="13">
        <v>0</v>
      </c>
      <c r="M321" s="13">
        <v>25.181053043199999</v>
      </c>
      <c r="N321" s="10" t="s">
        <v>1354</v>
      </c>
      <c r="O321" s="14">
        <v>2</v>
      </c>
      <c r="P321" s="10" t="s">
        <v>31</v>
      </c>
      <c r="Q321" s="14" t="s">
        <v>32</v>
      </c>
      <c r="R321" s="10" t="s">
        <v>33</v>
      </c>
      <c r="S321" s="10" t="s">
        <v>1352</v>
      </c>
      <c r="T321" s="14">
        <f>IF(O321="","",(1/Metadata!$B$5)^(O321-1))</f>
        <v>10</v>
      </c>
      <c r="U321" s="13">
        <f t="shared" si="4"/>
        <v>251.81053043199998</v>
      </c>
      <c r="V321" s="22" t="s">
        <v>181</v>
      </c>
      <c r="W321" s="20" t="s">
        <v>1355</v>
      </c>
    </row>
    <row r="322" spans="1:23" ht="18" customHeight="1">
      <c r="A322" s="10" t="s">
        <v>23</v>
      </c>
      <c r="B322" s="10" t="s">
        <v>24</v>
      </c>
      <c r="C322" s="10" t="s">
        <v>25</v>
      </c>
      <c r="D322" s="12">
        <v>2019</v>
      </c>
      <c r="E322" s="10" t="s">
        <v>1356</v>
      </c>
      <c r="F322" s="10" t="s">
        <v>1357</v>
      </c>
      <c r="G322" s="10" t="s">
        <v>334</v>
      </c>
      <c r="H322" s="10" t="s">
        <v>149</v>
      </c>
      <c r="I322" s="13">
        <v>23.708932440200002</v>
      </c>
      <c r="J322" s="13">
        <v>23.708932440200002</v>
      </c>
      <c r="K322" s="13">
        <v>0</v>
      </c>
      <c r="L322" s="13">
        <v>23.708932440200002</v>
      </c>
      <c r="M322" s="13">
        <v>0</v>
      </c>
      <c r="N322" s="10" t="s">
        <v>1358</v>
      </c>
      <c r="O322" s="14">
        <v>3.73</v>
      </c>
      <c r="P322" s="10" t="s">
        <v>41</v>
      </c>
      <c r="Q322" s="14" t="s">
        <v>42</v>
      </c>
      <c r="R322" s="10" t="s">
        <v>33</v>
      </c>
      <c r="S322" s="10" t="s">
        <v>1356</v>
      </c>
      <c r="T322" s="14">
        <f>IF(O322="","",(1/Metadata!$B$5)^(O322-1))</f>
        <v>537.03179637025301</v>
      </c>
      <c r="U322" s="13">
        <f t="shared" ref="U322:U385" si="5">IF(T322="","",I322*T322)</f>
        <v>12732.450578381573</v>
      </c>
      <c r="V322" s="19" t="s">
        <v>336</v>
      </c>
      <c r="W322" s="20" t="s">
        <v>1359</v>
      </c>
    </row>
    <row r="323" spans="1:23" ht="18" customHeight="1">
      <c r="A323" s="10" t="s">
        <v>23</v>
      </c>
      <c r="B323" s="10" t="s">
        <v>24</v>
      </c>
      <c r="C323" s="10" t="s">
        <v>25</v>
      </c>
      <c r="D323" s="12">
        <v>2019</v>
      </c>
      <c r="E323" s="10" t="s">
        <v>1360</v>
      </c>
      <c r="F323" s="10" t="s">
        <v>1361</v>
      </c>
      <c r="G323" s="10" t="s">
        <v>28</v>
      </c>
      <c r="H323" s="10" t="s">
        <v>48</v>
      </c>
      <c r="I323" s="13">
        <v>22.628984427599999</v>
      </c>
      <c r="J323" s="13">
        <v>22.628984427599999</v>
      </c>
      <c r="K323" s="13">
        <v>0</v>
      </c>
      <c r="L323" s="13">
        <v>11.516784656600001</v>
      </c>
      <c r="M323" s="13">
        <v>11.112199771</v>
      </c>
      <c r="N323" s="10" t="s">
        <v>1362</v>
      </c>
      <c r="O323" s="14">
        <v>3.84</v>
      </c>
      <c r="P323" s="10" t="s">
        <v>31</v>
      </c>
      <c r="Q323" s="14" t="s">
        <v>32</v>
      </c>
      <c r="R323" s="10" t="s">
        <v>33</v>
      </c>
      <c r="S323" s="10" t="s">
        <v>1360</v>
      </c>
      <c r="T323" s="14">
        <f>IF(O323="","",(1/Metadata!$B$5)^(O323-1))</f>
        <v>691.83097091893671</v>
      </c>
      <c r="U323" s="13">
        <f t="shared" si="5"/>
        <v>15655.432267456006</v>
      </c>
      <c r="V323" s="19" t="s">
        <v>87</v>
      </c>
      <c r="W323" s="20" t="s">
        <v>1363</v>
      </c>
    </row>
    <row r="324" spans="1:23" ht="18" customHeight="1">
      <c r="A324" s="10" t="s">
        <v>23</v>
      </c>
      <c r="B324" s="10" t="s">
        <v>24</v>
      </c>
      <c r="C324" s="10" t="s">
        <v>25</v>
      </c>
      <c r="D324" s="12">
        <v>2019</v>
      </c>
      <c r="E324" s="10" t="s">
        <v>1364</v>
      </c>
      <c r="F324" s="10" t="s">
        <v>1365</v>
      </c>
      <c r="G324" s="10" t="s">
        <v>164</v>
      </c>
      <c r="H324" s="10" t="s">
        <v>48</v>
      </c>
      <c r="I324" s="13">
        <v>20.750256883300001</v>
      </c>
      <c r="J324" s="13">
        <v>20.750256883300001</v>
      </c>
      <c r="K324" s="13">
        <v>0</v>
      </c>
      <c r="L324" s="13">
        <v>16.554198908899998</v>
      </c>
      <c r="M324" s="13">
        <v>4.1960579744000004</v>
      </c>
      <c r="N324" s="10" t="s">
        <v>1366</v>
      </c>
      <c r="O324" s="14">
        <v>3.99</v>
      </c>
      <c r="P324" s="10" t="s">
        <v>31</v>
      </c>
      <c r="Q324" s="14" t="s">
        <v>32</v>
      </c>
      <c r="R324" s="10" t="s">
        <v>33</v>
      </c>
      <c r="S324" s="10" t="s">
        <v>1364</v>
      </c>
      <c r="T324" s="14">
        <f>IF(O324="","",(1/Metadata!$B$5)^(O324-1))</f>
        <v>977.23722095581138</v>
      </c>
      <c r="U324" s="13">
        <f t="shared" si="5"/>
        <v>20277.923370755288</v>
      </c>
      <c r="V324" s="19" t="s">
        <v>105</v>
      </c>
      <c r="W324" s="20" t="s">
        <v>1367</v>
      </c>
    </row>
    <row r="325" spans="1:23" ht="18" customHeight="1">
      <c r="A325" s="10" t="s">
        <v>23</v>
      </c>
      <c r="B325" s="10" t="s">
        <v>24</v>
      </c>
      <c r="C325" s="10" t="s">
        <v>25</v>
      </c>
      <c r="D325" s="12">
        <v>2019</v>
      </c>
      <c r="E325" s="10" t="s">
        <v>1368</v>
      </c>
      <c r="F325" s="10" t="s">
        <v>1369</v>
      </c>
      <c r="G325" s="10" t="s">
        <v>155</v>
      </c>
      <c r="H325" s="10" t="s">
        <v>48</v>
      </c>
      <c r="I325" s="13">
        <v>19.9109870128</v>
      </c>
      <c r="J325" s="13">
        <v>19.9109870128</v>
      </c>
      <c r="K325" s="13">
        <v>0</v>
      </c>
      <c r="L325" s="13">
        <v>6.4143636097999996</v>
      </c>
      <c r="M325" s="13">
        <v>13.496623402999999</v>
      </c>
      <c r="N325" s="10" t="s">
        <v>1370</v>
      </c>
      <c r="O325" s="14">
        <v>3.87</v>
      </c>
      <c r="P325" s="10" t="s">
        <v>31</v>
      </c>
      <c r="Q325" s="14" t="s">
        <v>32</v>
      </c>
      <c r="R325" s="10" t="s">
        <v>33</v>
      </c>
      <c r="S325" s="10" t="s">
        <v>1368</v>
      </c>
      <c r="T325" s="14">
        <f>IF(O325="","",(1/Metadata!$B$5)^(O325-1))</f>
        <v>741.31024130091828</v>
      </c>
      <c r="U325" s="13">
        <f t="shared" si="5"/>
        <v>14760.218586998219</v>
      </c>
      <c r="V325" s="19" t="s">
        <v>105</v>
      </c>
      <c r="W325" s="20" t="s">
        <v>1371</v>
      </c>
    </row>
    <row r="326" spans="1:23" ht="18" customHeight="1">
      <c r="A326" s="10" t="s">
        <v>23</v>
      </c>
      <c r="B326" s="10" t="s">
        <v>24</v>
      </c>
      <c r="C326" s="10" t="s">
        <v>25</v>
      </c>
      <c r="D326" s="12">
        <v>2019</v>
      </c>
      <c r="E326" s="10" t="s">
        <v>1372</v>
      </c>
      <c r="F326" s="10" t="s">
        <v>1373</v>
      </c>
      <c r="G326" s="10" t="s">
        <v>123</v>
      </c>
      <c r="H326" s="10" t="s">
        <v>39</v>
      </c>
      <c r="I326" s="13">
        <v>19.7259375191</v>
      </c>
      <c r="J326" s="13">
        <v>19.7259375191</v>
      </c>
      <c r="K326" s="13">
        <v>0</v>
      </c>
      <c r="L326" s="13">
        <v>19.7259375191</v>
      </c>
      <c r="M326" s="13">
        <v>0</v>
      </c>
      <c r="N326" s="10" t="s">
        <v>1374</v>
      </c>
      <c r="O326" s="14">
        <v>2</v>
      </c>
      <c r="P326" s="10" t="s">
        <v>41</v>
      </c>
      <c r="Q326" s="14" t="s">
        <v>42</v>
      </c>
      <c r="R326" s="10" t="s">
        <v>33</v>
      </c>
      <c r="S326" s="10" t="s">
        <v>1372</v>
      </c>
      <c r="T326" s="14">
        <f>IF(O326="","",(1/Metadata!$B$5)^(O326-1))</f>
        <v>10</v>
      </c>
      <c r="U326" s="13">
        <f t="shared" si="5"/>
        <v>197.259375191</v>
      </c>
      <c r="V326" s="19" t="s">
        <v>126</v>
      </c>
      <c r="W326" s="20" t="s">
        <v>1375</v>
      </c>
    </row>
    <row r="327" spans="1:23" ht="18" customHeight="1">
      <c r="A327" s="10" t="s">
        <v>23</v>
      </c>
      <c r="B327" s="10" t="s">
        <v>24</v>
      </c>
      <c r="C327" s="10" t="s">
        <v>25</v>
      </c>
      <c r="D327" s="12">
        <v>2019</v>
      </c>
      <c r="E327" s="10" t="s">
        <v>1376</v>
      </c>
      <c r="F327" s="10" t="s">
        <v>1377</v>
      </c>
      <c r="G327" s="10" t="s">
        <v>118</v>
      </c>
      <c r="H327" s="10" t="s">
        <v>39</v>
      </c>
      <c r="I327" s="13">
        <v>19.6355134394</v>
      </c>
      <c r="J327" s="13">
        <v>19.6355134394</v>
      </c>
      <c r="K327" s="13">
        <v>0</v>
      </c>
      <c r="L327" s="13">
        <v>0</v>
      </c>
      <c r="M327" s="13">
        <v>19.6355134394</v>
      </c>
      <c r="N327" s="10" t="s">
        <v>1378</v>
      </c>
      <c r="O327" s="14">
        <v>3.77</v>
      </c>
      <c r="P327" s="10" t="s">
        <v>41</v>
      </c>
      <c r="Q327" s="14" t="s">
        <v>42</v>
      </c>
      <c r="R327" s="10" t="s">
        <v>33</v>
      </c>
      <c r="S327" s="10" t="s">
        <v>1376</v>
      </c>
      <c r="T327" s="14">
        <f>IF(O327="","",(1/Metadata!$B$5)^(O327-1))</f>
        <v>588.84365535558959</v>
      </c>
      <c r="U327" s="13">
        <f t="shared" si="5"/>
        <v>11562.247508440101</v>
      </c>
      <c r="V327" s="19" t="s">
        <v>118</v>
      </c>
      <c r="W327" s="20" t="s">
        <v>1379</v>
      </c>
    </row>
    <row r="328" spans="1:23" ht="18" customHeight="1">
      <c r="A328" s="10" t="s">
        <v>23</v>
      </c>
      <c r="B328" s="10" t="s">
        <v>24</v>
      </c>
      <c r="C328" s="10" t="s">
        <v>25</v>
      </c>
      <c r="D328" s="12">
        <v>2019</v>
      </c>
      <c r="E328" s="10" t="s">
        <v>1380</v>
      </c>
      <c r="F328" s="10" t="s">
        <v>1381</v>
      </c>
      <c r="G328" s="10" t="s">
        <v>155</v>
      </c>
      <c r="H328" s="10" t="s">
        <v>48</v>
      </c>
      <c r="I328" s="13">
        <v>19.130996055299999</v>
      </c>
      <c r="J328" s="13">
        <v>19.130996055299999</v>
      </c>
      <c r="K328" s="13">
        <v>0</v>
      </c>
      <c r="L328" s="13">
        <v>13.4299038469</v>
      </c>
      <c r="M328" s="13">
        <v>5.7010922084000004</v>
      </c>
      <c r="N328" s="10" t="s">
        <v>1382</v>
      </c>
      <c r="O328" s="14">
        <v>4.2</v>
      </c>
      <c r="P328" s="10" t="s">
        <v>31</v>
      </c>
      <c r="Q328" s="14" t="s">
        <v>32</v>
      </c>
      <c r="R328" s="10" t="s">
        <v>33</v>
      </c>
      <c r="S328" s="10" t="s">
        <v>1380</v>
      </c>
      <c r="T328" s="14">
        <f>IF(O328="","",(1/Metadata!$B$5)^(O328-1))</f>
        <v>1584.8931924611156</v>
      </c>
      <c r="U328" s="13">
        <f t="shared" si="5"/>
        <v>30320.585413045425</v>
      </c>
      <c r="V328" s="19" t="s">
        <v>105</v>
      </c>
      <c r="W328" s="20" t="s">
        <v>1383</v>
      </c>
    </row>
    <row r="329" spans="1:23" ht="18" customHeight="1">
      <c r="A329" s="10" t="s">
        <v>23</v>
      </c>
      <c r="B329" s="10" t="s">
        <v>24</v>
      </c>
      <c r="C329" s="10" t="s">
        <v>25</v>
      </c>
      <c r="D329" s="12">
        <v>2019</v>
      </c>
      <c r="E329" s="10" t="s">
        <v>1384</v>
      </c>
      <c r="F329" s="10" t="s">
        <v>1385</v>
      </c>
      <c r="G329" s="10" t="s">
        <v>148</v>
      </c>
      <c r="H329" s="10" t="s">
        <v>149</v>
      </c>
      <c r="I329" s="13">
        <v>18.972521700800002</v>
      </c>
      <c r="J329" s="13">
        <v>18.972521700800002</v>
      </c>
      <c r="K329" s="13">
        <v>0</v>
      </c>
      <c r="L329" s="13">
        <v>18.972521700800002</v>
      </c>
      <c r="M329" s="13">
        <v>0</v>
      </c>
      <c r="N329" s="10" t="s">
        <v>1386</v>
      </c>
      <c r="O329" s="14">
        <v>4.9400000000000004</v>
      </c>
      <c r="P329" s="10" t="s">
        <v>31</v>
      </c>
      <c r="Q329" s="14" t="s">
        <v>32</v>
      </c>
      <c r="R329" s="10" t="s">
        <v>33</v>
      </c>
      <c r="S329" s="10" t="s">
        <v>1384</v>
      </c>
      <c r="T329" s="14">
        <f>IF(O329="","",(1/Metadata!$B$5)^(O329-1))</f>
        <v>8709.6358995608189</v>
      </c>
      <c r="U329" s="13">
        <f t="shared" si="5"/>
        <v>165243.75611048439</v>
      </c>
      <c r="V329" s="19" t="s">
        <v>151</v>
      </c>
      <c r="W329" s="20" t="s">
        <v>1387</v>
      </c>
    </row>
    <row r="330" spans="1:23" ht="18" customHeight="1">
      <c r="A330" s="10" t="s">
        <v>23</v>
      </c>
      <c r="B330" s="10" t="s">
        <v>24</v>
      </c>
      <c r="C330" s="10" t="s">
        <v>25</v>
      </c>
      <c r="D330" s="12">
        <v>2019</v>
      </c>
      <c r="E330" s="10" t="s">
        <v>1388</v>
      </c>
      <c r="F330" s="10" t="s">
        <v>1389</v>
      </c>
      <c r="G330" s="10" t="s">
        <v>47</v>
      </c>
      <c r="H330" s="10" t="s">
        <v>48</v>
      </c>
      <c r="I330" s="13">
        <v>16.4368031841</v>
      </c>
      <c r="J330" s="13">
        <v>16.4368031841</v>
      </c>
      <c r="K330" s="13">
        <v>0</v>
      </c>
      <c r="L330" s="13">
        <v>16.4368031841</v>
      </c>
      <c r="M330" s="13">
        <v>0</v>
      </c>
      <c r="N330" s="10" t="s">
        <v>1390</v>
      </c>
      <c r="O330" s="14">
        <v>3.96</v>
      </c>
      <c r="P330" s="10" t="s">
        <v>31</v>
      </c>
      <c r="Q330" s="14" t="s">
        <v>32</v>
      </c>
      <c r="R330" s="10" t="s">
        <v>33</v>
      </c>
      <c r="S330" s="10" t="s">
        <v>1388</v>
      </c>
      <c r="T330" s="14">
        <f>IF(O330="","",(1/Metadata!$B$5)^(O330-1))</f>
        <v>912.01083935590987</v>
      </c>
      <c r="U330" s="13">
        <f t="shared" si="5"/>
        <v>14990.542668258933</v>
      </c>
      <c r="V330" s="19" t="s">
        <v>87</v>
      </c>
      <c r="W330" s="20" t="s">
        <v>1391</v>
      </c>
    </row>
    <row r="331" spans="1:23" ht="18" customHeight="1">
      <c r="A331" s="10" t="s">
        <v>23</v>
      </c>
      <c r="B331" s="10" t="s">
        <v>24</v>
      </c>
      <c r="C331" s="10" t="s">
        <v>25</v>
      </c>
      <c r="D331" s="12">
        <v>2019</v>
      </c>
      <c r="E331" s="10" t="s">
        <v>1392</v>
      </c>
      <c r="F331" s="10" t="s">
        <v>1393</v>
      </c>
      <c r="G331" s="10" t="s">
        <v>47</v>
      </c>
      <c r="H331" s="10" t="s">
        <v>55</v>
      </c>
      <c r="I331" s="13">
        <v>15.3808366829</v>
      </c>
      <c r="J331" s="13">
        <v>15.3808366829</v>
      </c>
      <c r="K331" s="13">
        <v>0</v>
      </c>
      <c r="L331" s="13">
        <v>11.958791613800001</v>
      </c>
      <c r="M331" s="13">
        <v>3.4220450691000002</v>
      </c>
      <c r="N331" s="10" t="s">
        <v>1394</v>
      </c>
      <c r="O331" s="14">
        <v>4.13</v>
      </c>
      <c r="P331" s="10" t="s">
        <v>31</v>
      </c>
      <c r="Q331" s="14" t="s">
        <v>32</v>
      </c>
      <c r="R331" s="10" t="s">
        <v>33</v>
      </c>
      <c r="S331" s="10" t="s">
        <v>1392</v>
      </c>
      <c r="T331" s="14">
        <f>IF(O331="","",(1/Metadata!$B$5)^(O331-1))</f>
        <v>1348.9628825916541</v>
      </c>
      <c r="U331" s="13">
        <f t="shared" si="5"/>
        <v>20748.177788436238</v>
      </c>
      <c r="V331" s="19" t="s">
        <v>57</v>
      </c>
      <c r="W331" s="20" t="s">
        <v>1395</v>
      </c>
    </row>
    <row r="332" spans="1:23" ht="18" customHeight="1">
      <c r="A332" s="10" t="s">
        <v>23</v>
      </c>
      <c r="B332" s="10" t="s">
        <v>24</v>
      </c>
      <c r="C332" s="10" t="s">
        <v>25</v>
      </c>
      <c r="D332" s="12">
        <v>2019</v>
      </c>
      <c r="E332" s="10" t="s">
        <v>1396</v>
      </c>
      <c r="F332" s="10" t="s">
        <v>1397</v>
      </c>
      <c r="G332" s="10" t="s">
        <v>123</v>
      </c>
      <c r="H332" s="10" t="s">
        <v>39</v>
      </c>
      <c r="I332" s="13">
        <v>14.354210115900001</v>
      </c>
      <c r="J332" s="13">
        <v>14.354210115900001</v>
      </c>
      <c r="K332" s="13">
        <v>0</v>
      </c>
      <c r="L332" s="13">
        <v>0</v>
      </c>
      <c r="M332" s="13">
        <v>14.354210115900001</v>
      </c>
      <c r="N332" s="10" t="s">
        <v>1398</v>
      </c>
      <c r="O332" s="14">
        <v>2.4300000000000002</v>
      </c>
      <c r="P332" s="10" t="s">
        <v>41</v>
      </c>
      <c r="Q332" s="14" t="s">
        <v>42</v>
      </c>
      <c r="R332" s="10" t="s">
        <v>33</v>
      </c>
      <c r="S332" s="10" t="s">
        <v>1396</v>
      </c>
      <c r="T332" s="14">
        <f>IF(O332="","",(1/Metadata!$B$5)^(O332-1))</f>
        <v>26.915348039269173</v>
      </c>
      <c r="U332" s="13">
        <f t="shared" si="5"/>
        <v>386.34856109824682</v>
      </c>
      <c r="V332" s="21" t="s">
        <v>43</v>
      </c>
      <c r="W332" s="20" t="s">
        <v>1399</v>
      </c>
    </row>
    <row r="333" spans="1:23" ht="18" customHeight="1">
      <c r="A333" s="10" t="s">
        <v>23</v>
      </c>
      <c r="B333" s="10" t="s">
        <v>24</v>
      </c>
      <c r="C333" s="10" t="s">
        <v>25</v>
      </c>
      <c r="D333" s="12">
        <v>2019</v>
      </c>
      <c r="E333" s="10" t="s">
        <v>1400</v>
      </c>
      <c r="F333" s="10" t="s">
        <v>1401</v>
      </c>
      <c r="G333" s="10" t="s">
        <v>334</v>
      </c>
      <c r="H333" s="10" t="s">
        <v>149</v>
      </c>
      <c r="I333" s="13">
        <v>13.9678019289</v>
      </c>
      <c r="J333" s="13">
        <v>13.9678019289</v>
      </c>
      <c r="K333" s="13">
        <v>0</v>
      </c>
      <c r="L333" s="13">
        <v>0.48848575919999998</v>
      </c>
      <c r="M333" s="13">
        <v>13.479316169700001</v>
      </c>
      <c r="N333" s="10" t="s">
        <v>1402</v>
      </c>
      <c r="O333" s="14">
        <v>4.24</v>
      </c>
      <c r="P333" s="10" t="s">
        <v>41</v>
      </c>
      <c r="Q333" s="14" t="s">
        <v>42</v>
      </c>
      <c r="R333" s="10" t="s">
        <v>33</v>
      </c>
      <c r="S333" s="10" t="s">
        <v>1400</v>
      </c>
      <c r="T333" s="14">
        <f>IF(O333="","",(1/Metadata!$B$5)^(O333-1))</f>
        <v>1737.8008287493772</v>
      </c>
      <c r="U333" s="13">
        <f t="shared" si="5"/>
        <v>24273.257767849569</v>
      </c>
      <c r="V333" s="19" t="s">
        <v>336</v>
      </c>
      <c r="W333" s="20" t="s">
        <v>1403</v>
      </c>
    </row>
    <row r="334" spans="1:23" ht="18" customHeight="1">
      <c r="A334" s="10" t="s">
        <v>23</v>
      </c>
      <c r="B334" s="10" t="s">
        <v>24</v>
      </c>
      <c r="C334" s="10" t="s">
        <v>25</v>
      </c>
      <c r="D334" s="12">
        <v>2019</v>
      </c>
      <c r="E334" s="10" t="s">
        <v>1404</v>
      </c>
      <c r="F334" s="10" t="s">
        <v>1405</v>
      </c>
      <c r="G334" s="10" t="s">
        <v>28</v>
      </c>
      <c r="H334" s="10" t="s">
        <v>169</v>
      </c>
      <c r="I334" s="13">
        <v>13.119853865</v>
      </c>
      <c r="J334" s="13">
        <v>13.119853865</v>
      </c>
      <c r="K334" s="13">
        <v>0</v>
      </c>
      <c r="L334" s="13">
        <v>0</v>
      </c>
      <c r="M334" s="13">
        <v>13.119853865</v>
      </c>
      <c r="N334" s="10" t="s">
        <v>1406</v>
      </c>
      <c r="O334" s="14">
        <v>3.27</v>
      </c>
      <c r="P334" s="10" t="s">
        <v>31</v>
      </c>
      <c r="Q334" s="14" t="s">
        <v>32</v>
      </c>
      <c r="R334" s="10" t="s">
        <v>33</v>
      </c>
      <c r="S334" s="10" t="s">
        <v>1404</v>
      </c>
      <c r="T334" s="14">
        <f>IF(O334="","",(1/Metadata!$B$5)^(O334-1))</f>
        <v>186.20871366628685</v>
      </c>
      <c r="U334" s="13">
        <f t="shared" si="5"/>
        <v>2443.0311116913117</v>
      </c>
      <c r="V334" s="19" t="s">
        <v>169</v>
      </c>
      <c r="W334" s="20" t="s">
        <v>1407</v>
      </c>
    </row>
    <row r="335" spans="1:23" ht="18" customHeight="1">
      <c r="A335" s="10" t="s">
        <v>23</v>
      </c>
      <c r="B335" s="10" t="s">
        <v>24</v>
      </c>
      <c r="C335" s="10" t="s">
        <v>25</v>
      </c>
      <c r="D335" s="12">
        <v>2019</v>
      </c>
      <c r="E335" s="10" t="s">
        <v>1408</v>
      </c>
      <c r="F335" s="10" t="s">
        <v>1409</v>
      </c>
      <c r="G335" s="10" t="s">
        <v>155</v>
      </c>
      <c r="H335" s="10" t="s">
        <v>48</v>
      </c>
      <c r="I335" s="13">
        <v>12.618764540200001</v>
      </c>
      <c r="J335" s="13">
        <v>12.618764540200001</v>
      </c>
      <c r="K335" s="13">
        <v>0</v>
      </c>
      <c r="L335" s="13">
        <v>0</v>
      </c>
      <c r="M335" s="13">
        <v>12.618764540200001</v>
      </c>
      <c r="N335" s="10" t="s">
        <v>1410</v>
      </c>
      <c r="O335" s="14">
        <v>3.4</v>
      </c>
      <c r="P335" s="10" t="s">
        <v>41</v>
      </c>
      <c r="Q335" s="14" t="s">
        <v>42</v>
      </c>
      <c r="R335" s="10" t="s">
        <v>33</v>
      </c>
      <c r="S335" s="10" t="s">
        <v>1408</v>
      </c>
      <c r="T335" s="14">
        <f>IF(O335="","",(1/Metadata!$B$5)^(O335-1))</f>
        <v>251.18864315095806</v>
      </c>
      <c r="U335" s="13">
        <f t="shared" si="5"/>
        <v>3169.6903430942612</v>
      </c>
      <c r="V335" s="22" t="s">
        <v>87</v>
      </c>
      <c r="W335" s="20" t="s">
        <v>1411</v>
      </c>
    </row>
    <row r="336" spans="1:23" ht="18" customHeight="1">
      <c r="A336" s="10" t="s">
        <v>23</v>
      </c>
      <c r="B336" s="10" t="s">
        <v>24</v>
      </c>
      <c r="C336" s="10" t="s">
        <v>25</v>
      </c>
      <c r="D336" s="12">
        <v>2019</v>
      </c>
      <c r="E336" s="10" t="s">
        <v>1412</v>
      </c>
      <c r="F336" s="10" t="s">
        <v>1413</v>
      </c>
      <c r="G336" s="10" t="s">
        <v>155</v>
      </c>
      <c r="H336" s="10" t="s">
        <v>48</v>
      </c>
      <c r="I336" s="13">
        <v>12.5848514276</v>
      </c>
      <c r="J336" s="13">
        <v>12.5848514276</v>
      </c>
      <c r="K336" s="13">
        <v>0</v>
      </c>
      <c r="L336" s="13">
        <v>0</v>
      </c>
      <c r="M336" s="13">
        <v>12.5848514276</v>
      </c>
      <c r="N336" s="10" t="s">
        <v>1414</v>
      </c>
      <c r="O336" s="14">
        <v>3.4</v>
      </c>
      <c r="P336" s="10" t="s">
        <v>31</v>
      </c>
      <c r="Q336" s="14" t="s">
        <v>32</v>
      </c>
      <c r="R336" s="10" t="s">
        <v>33</v>
      </c>
      <c r="S336" s="10" t="s">
        <v>1412</v>
      </c>
      <c r="T336" s="14">
        <f>IF(O336="","",(1/Metadata!$B$5)^(O336-1))</f>
        <v>251.18864315095806</v>
      </c>
      <c r="U336" s="13">
        <f t="shared" si="5"/>
        <v>3161.1717543552418</v>
      </c>
      <c r="V336" s="22" t="s">
        <v>87</v>
      </c>
      <c r="W336" s="20" t="s">
        <v>1415</v>
      </c>
    </row>
    <row r="337" spans="1:23" ht="18" customHeight="1">
      <c r="A337" s="10" t="s">
        <v>23</v>
      </c>
      <c r="B337" s="10" t="s">
        <v>24</v>
      </c>
      <c r="C337" s="10" t="s">
        <v>25</v>
      </c>
      <c r="D337" s="12">
        <v>2019</v>
      </c>
      <c r="E337" s="10" t="s">
        <v>1416</v>
      </c>
      <c r="F337" s="10" t="s">
        <v>1417</v>
      </c>
      <c r="G337" s="10" t="s">
        <v>123</v>
      </c>
      <c r="H337" s="10" t="s">
        <v>124</v>
      </c>
      <c r="I337" s="13">
        <v>11.9074641369</v>
      </c>
      <c r="J337" s="13">
        <v>11.9074641369</v>
      </c>
      <c r="K337" s="13">
        <v>0</v>
      </c>
      <c r="L337" s="13">
        <v>11.9074641369</v>
      </c>
      <c r="M337" s="13">
        <v>0</v>
      </c>
      <c r="N337" s="10" t="s">
        <v>1418</v>
      </c>
      <c r="O337" s="14">
        <v>2</v>
      </c>
      <c r="P337" s="10" t="s">
        <v>41</v>
      </c>
      <c r="Q337" s="14" t="s">
        <v>42</v>
      </c>
      <c r="R337" s="10" t="s">
        <v>33</v>
      </c>
      <c r="S337" s="10" t="s">
        <v>1416</v>
      </c>
      <c r="T337" s="14">
        <f>IF(O337="","",(1/Metadata!$B$5)^(O337-1))</f>
        <v>10</v>
      </c>
      <c r="U337" s="13">
        <f t="shared" si="5"/>
        <v>119.07464136900001</v>
      </c>
      <c r="V337" s="19" t="s">
        <v>126</v>
      </c>
      <c r="W337" s="20" t="s">
        <v>1419</v>
      </c>
    </row>
    <row r="338" spans="1:23" ht="18" customHeight="1">
      <c r="A338" s="10" t="s">
        <v>23</v>
      </c>
      <c r="B338" s="10" t="s">
        <v>24</v>
      </c>
      <c r="C338" s="10" t="s">
        <v>25</v>
      </c>
      <c r="D338" s="12">
        <v>2019</v>
      </c>
      <c r="E338" s="10" t="s">
        <v>1420</v>
      </c>
      <c r="F338" s="10" t="s">
        <v>1421</v>
      </c>
      <c r="G338" s="10" t="s">
        <v>155</v>
      </c>
      <c r="H338" s="10" t="s">
        <v>48</v>
      </c>
      <c r="I338" s="13">
        <v>11.491811820900001</v>
      </c>
      <c r="J338" s="13">
        <v>11.491811820900001</v>
      </c>
      <c r="K338" s="13">
        <v>0</v>
      </c>
      <c r="L338" s="13">
        <v>0.30768958289999998</v>
      </c>
      <c r="M338" s="13">
        <v>11.184122238</v>
      </c>
      <c r="N338" s="10" t="s">
        <v>1422</v>
      </c>
      <c r="O338" s="14">
        <v>4.1399999999999997</v>
      </c>
      <c r="P338" s="10" t="s">
        <v>31</v>
      </c>
      <c r="Q338" s="14" t="s">
        <v>32</v>
      </c>
      <c r="R338" s="10" t="s">
        <v>33</v>
      </c>
      <c r="S338" s="10" t="s">
        <v>1420</v>
      </c>
      <c r="T338" s="14">
        <f>IF(O338="","",(1/Metadata!$B$5)^(O338-1))</f>
        <v>1380.3842646028852</v>
      </c>
      <c r="U338" s="13">
        <f t="shared" si="5"/>
        <v>15863.116209347791</v>
      </c>
      <c r="V338" s="19" t="s">
        <v>105</v>
      </c>
      <c r="W338" s="20" t="s">
        <v>1423</v>
      </c>
    </row>
    <row r="339" spans="1:23" ht="18" customHeight="1">
      <c r="A339" s="10" t="s">
        <v>23</v>
      </c>
      <c r="B339" s="10" t="s">
        <v>24</v>
      </c>
      <c r="C339" s="10" t="s">
        <v>25</v>
      </c>
      <c r="D339" s="12">
        <v>2019</v>
      </c>
      <c r="E339" s="10" t="s">
        <v>1424</v>
      </c>
      <c r="F339" s="10" t="s">
        <v>1425</v>
      </c>
      <c r="G339" s="10" t="s">
        <v>47</v>
      </c>
      <c r="H339" s="10" t="s">
        <v>48</v>
      </c>
      <c r="I339" s="13">
        <v>10.646712622200001</v>
      </c>
      <c r="J339" s="13">
        <v>10.646712622200001</v>
      </c>
      <c r="K339" s="13">
        <v>0</v>
      </c>
      <c r="L339" s="13">
        <v>0.73698877659999995</v>
      </c>
      <c r="M339" s="13">
        <v>9.9097238456000003</v>
      </c>
      <c r="N339" s="10" t="s">
        <v>1426</v>
      </c>
      <c r="O339" s="14">
        <v>4.4800000000000004</v>
      </c>
      <c r="P339" s="10" t="s">
        <v>41</v>
      </c>
      <c r="Q339" s="14" t="s">
        <v>42</v>
      </c>
      <c r="R339" s="10" t="s">
        <v>33</v>
      </c>
      <c r="S339" s="10" t="s">
        <v>1424</v>
      </c>
      <c r="T339" s="14">
        <f>IF(O339="","",(1/Metadata!$B$5)^(O339-1))</f>
        <v>3019.9517204020231</v>
      </c>
      <c r="U339" s="13">
        <f t="shared" si="5"/>
        <v>32152.558100038827</v>
      </c>
      <c r="V339" s="22" t="s">
        <v>105</v>
      </c>
      <c r="W339" s="20" t="s">
        <v>1427</v>
      </c>
    </row>
    <row r="340" spans="1:23" ht="18" customHeight="1">
      <c r="A340" s="10" t="s">
        <v>23</v>
      </c>
      <c r="B340" s="10" t="s">
        <v>24</v>
      </c>
      <c r="C340" s="10" t="s">
        <v>25</v>
      </c>
      <c r="D340" s="12">
        <v>2019</v>
      </c>
      <c r="E340" s="10" t="s">
        <v>1428</v>
      </c>
      <c r="F340" s="10" t="s">
        <v>1429</v>
      </c>
      <c r="G340" s="10" t="s">
        <v>47</v>
      </c>
      <c r="H340" s="10" t="s">
        <v>48</v>
      </c>
      <c r="I340" s="13">
        <v>9.9890735832000015</v>
      </c>
      <c r="J340" s="13">
        <v>9.9890735832000015</v>
      </c>
      <c r="K340" s="13">
        <v>0</v>
      </c>
      <c r="L340" s="13">
        <v>0.1464004397</v>
      </c>
      <c r="M340" s="13">
        <v>9.8426731435000008</v>
      </c>
      <c r="N340" s="10" t="s">
        <v>1430</v>
      </c>
      <c r="O340" s="14">
        <v>4.4000000000000004</v>
      </c>
      <c r="P340" s="10" t="s">
        <v>41</v>
      </c>
      <c r="Q340" s="14" t="s">
        <v>42</v>
      </c>
      <c r="R340" s="10" t="s">
        <v>33</v>
      </c>
      <c r="S340" s="10" t="s">
        <v>1428</v>
      </c>
      <c r="T340" s="14">
        <f>IF(O340="","",(1/Metadata!$B$5)^(O340-1))</f>
        <v>2511.8864315095834</v>
      </c>
      <c r="U340" s="13">
        <f t="shared" si="5"/>
        <v>25091.418396990899</v>
      </c>
      <c r="V340" s="22" t="s">
        <v>105</v>
      </c>
      <c r="W340" s="20" t="s">
        <v>1431</v>
      </c>
    </row>
    <row r="341" spans="1:23" ht="18" customHeight="1">
      <c r="A341" s="10" t="s">
        <v>23</v>
      </c>
      <c r="B341" s="10" t="s">
        <v>24</v>
      </c>
      <c r="C341" s="10" t="s">
        <v>25</v>
      </c>
      <c r="D341" s="12">
        <v>2019</v>
      </c>
      <c r="E341" s="10" t="s">
        <v>1432</v>
      </c>
      <c r="F341" s="10" t="s">
        <v>1433</v>
      </c>
      <c r="G341" s="10" t="s">
        <v>155</v>
      </c>
      <c r="H341" s="10" t="s">
        <v>48</v>
      </c>
      <c r="I341" s="13">
        <v>9.9624988687999991</v>
      </c>
      <c r="J341" s="13">
        <v>9.9624988687999991</v>
      </c>
      <c r="K341" s="13">
        <v>0</v>
      </c>
      <c r="L341" s="13">
        <v>2.9236549296000001</v>
      </c>
      <c r="M341" s="13">
        <v>7.0388439392000004</v>
      </c>
      <c r="N341" s="10" t="s">
        <v>1434</v>
      </c>
      <c r="O341" s="14">
        <v>3.57</v>
      </c>
      <c r="P341" s="10" t="s">
        <v>41</v>
      </c>
      <c r="Q341" s="14" t="s">
        <v>42</v>
      </c>
      <c r="R341" s="10" t="s">
        <v>33</v>
      </c>
      <c r="S341" s="10" t="s">
        <v>1432</v>
      </c>
      <c r="T341" s="14">
        <f>IF(O341="","",(1/Metadata!$B$5)^(O341-1))</f>
        <v>371.53522909717265</v>
      </c>
      <c r="U341" s="13">
        <f t="shared" si="5"/>
        <v>3701.419299599931</v>
      </c>
      <c r="V341" s="22" t="s">
        <v>92</v>
      </c>
      <c r="W341" s="20" t="s">
        <v>1435</v>
      </c>
    </row>
    <row r="342" spans="1:23" ht="18" customHeight="1">
      <c r="A342" s="10" t="s">
        <v>23</v>
      </c>
      <c r="B342" s="10" t="s">
        <v>24</v>
      </c>
      <c r="C342" s="10" t="s">
        <v>25</v>
      </c>
      <c r="D342" s="12">
        <v>2019</v>
      </c>
      <c r="E342" s="10" t="s">
        <v>1436</v>
      </c>
      <c r="F342" s="10" t="s">
        <v>1437</v>
      </c>
      <c r="G342" s="10" t="s">
        <v>155</v>
      </c>
      <c r="H342" s="10" t="s">
        <v>48</v>
      </c>
      <c r="I342" s="13">
        <v>9.7031149891999995</v>
      </c>
      <c r="J342" s="13">
        <v>9.7031149891999995</v>
      </c>
      <c r="K342" s="13">
        <v>0</v>
      </c>
      <c r="L342" s="13">
        <v>2.16456172</v>
      </c>
      <c r="M342" s="13">
        <v>7.5385532691999986</v>
      </c>
      <c r="N342" s="10" t="s">
        <v>1438</v>
      </c>
      <c r="O342" s="14">
        <v>3.85</v>
      </c>
      <c r="P342" s="10" t="s">
        <v>31</v>
      </c>
      <c r="Q342" s="14" t="s">
        <v>32</v>
      </c>
      <c r="R342" s="10" t="s">
        <v>33</v>
      </c>
      <c r="S342" s="10" t="s">
        <v>1436</v>
      </c>
      <c r="T342" s="14">
        <f>IF(O342="","",(1/Metadata!$B$5)^(O342-1))</f>
        <v>707.94578438413873</v>
      </c>
      <c r="U342" s="13">
        <f t="shared" si="5"/>
        <v>6869.2793519986872</v>
      </c>
      <c r="V342" s="22" t="s">
        <v>92</v>
      </c>
      <c r="W342" s="20" t="s">
        <v>1439</v>
      </c>
    </row>
    <row r="343" spans="1:23" ht="18" customHeight="1">
      <c r="A343" s="10" t="s">
        <v>23</v>
      </c>
      <c r="B343" s="10" t="s">
        <v>24</v>
      </c>
      <c r="C343" s="10" t="s">
        <v>25</v>
      </c>
      <c r="D343" s="12">
        <v>2019</v>
      </c>
      <c r="E343" s="10" t="s">
        <v>1440</v>
      </c>
      <c r="F343" s="10" t="s">
        <v>1441</v>
      </c>
      <c r="G343" s="10" t="s">
        <v>155</v>
      </c>
      <c r="H343" s="10" t="s">
        <v>48</v>
      </c>
      <c r="I343" s="13">
        <v>8.9030918714000009</v>
      </c>
      <c r="J343" s="13">
        <v>8.9030918714000009</v>
      </c>
      <c r="K343" s="13">
        <v>0</v>
      </c>
      <c r="L343" s="13">
        <v>0.20630800020000001</v>
      </c>
      <c r="M343" s="13">
        <v>8.696783871200001</v>
      </c>
      <c r="N343" s="10" t="s">
        <v>1442</v>
      </c>
      <c r="O343" s="14">
        <v>4.29</v>
      </c>
      <c r="P343" s="10" t="s">
        <v>31</v>
      </c>
      <c r="Q343" s="14" t="s">
        <v>32</v>
      </c>
      <c r="R343" s="10" t="s">
        <v>33</v>
      </c>
      <c r="S343" s="10" t="s">
        <v>1440</v>
      </c>
      <c r="T343" s="14">
        <f>IF(O343="","",(1/Metadata!$B$5)^(O343-1))</f>
        <v>1949.8445997580463</v>
      </c>
      <c r="U343" s="13">
        <f t="shared" si="5"/>
        <v>17359.64560659905</v>
      </c>
      <c r="V343" s="19" t="s">
        <v>105</v>
      </c>
      <c r="W343" s="20" t="s">
        <v>1443</v>
      </c>
    </row>
    <row r="344" spans="1:23" ht="18" customHeight="1">
      <c r="A344" s="10" t="s">
        <v>23</v>
      </c>
      <c r="B344" s="10" t="s">
        <v>24</v>
      </c>
      <c r="C344" s="10" t="s">
        <v>25</v>
      </c>
      <c r="D344" s="12">
        <v>2019</v>
      </c>
      <c r="E344" s="10" t="s">
        <v>1444</v>
      </c>
      <c r="F344" s="10" t="s">
        <v>1445</v>
      </c>
      <c r="G344" s="10" t="s">
        <v>155</v>
      </c>
      <c r="H344" s="10" t="s">
        <v>39</v>
      </c>
      <c r="I344" s="13">
        <v>7.7472074079000004</v>
      </c>
      <c r="J344" s="13">
        <v>7.7472074079000004</v>
      </c>
      <c r="K344" s="13">
        <v>0</v>
      </c>
      <c r="L344" s="13">
        <v>2.3533408079</v>
      </c>
      <c r="M344" s="13">
        <v>5.3938666</v>
      </c>
      <c r="N344" s="10" t="s">
        <v>1446</v>
      </c>
      <c r="O344" s="14">
        <v>3.84</v>
      </c>
      <c r="P344" s="10" t="s">
        <v>31</v>
      </c>
      <c r="Q344" s="14" t="s">
        <v>32</v>
      </c>
      <c r="R344" s="10" t="s">
        <v>33</v>
      </c>
      <c r="S344" s="10" t="s">
        <v>1444</v>
      </c>
      <c r="T344" s="14">
        <f>IF(O344="","",(1/Metadata!$B$5)^(O344-1))</f>
        <v>691.83097091893671</v>
      </c>
      <c r="U344" s="13">
        <f t="shared" si="5"/>
        <v>5359.7580229178366</v>
      </c>
      <c r="V344" s="22" t="s">
        <v>92</v>
      </c>
      <c r="W344" s="20" t="s">
        <v>1447</v>
      </c>
    </row>
    <row r="345" spans="1:23" ht="18" customHeight="1">
      <c r="A345" s="10" t="s">
        <v>23</v>
      </c>
      <c r="B345" s="10" t="s">
        <v>24</v>
      </c>
      <c r="C345" s="10" t="s">
        <v>25</v>
      </c>
      <c r="D345" s="12">
        <v>2019</v>
      </c>
      <c r="E345" s="10" t="s">
        <v>1448</v>
      </c>
      <c r="F345" s="10" t="s">
        <v>1449</v>
      </c>
      <c r="G345" s="10" t="s">
        <v>155</v>
      </c>
      <c r="H345" s="10" t="s">
        <v>48</v>
      </c>
      <c r="I345" s="13">
        <v>7.6716918161000001</v>
      </c>
      <c r="J345" s="13">
        <v>7.6716918161000001</v>
      </c>
      <c r="K345" s="13">
        <v>0</v>
      </c>
      <c r="L345" s="13">
        <v>0.48800146560000002</v>
      </c>
      <c r="M345" s="13">
        <v>7.1836903505</v>
      </c>
      <c r="N345" s="10" t="s">
        <v>1450</v>
      </c>
      <c r="O345" s="14">
        <v>4.1100000000000003</v>
      </c>
      <c r="P345" s="10" t="s">
        <v>31</v>
      </c>
      <c r="Q345" s="14" t="s">
        <v>32</v>
      </c>
      <c r="R345" s="10" t="s">
        <v>33</v>
      </c>
      <c r="S345" s="10" t="s">
        <v>1448</v>
      </c>
      <c r="T345" s="14">
        <f>IF(O345="","",(1/Metadata!$B$5)^(O345-1))</f>
        <v>1288.2495516931358</v>
      </c>
      <c r="U345" s="13">
        <f t="shared" si="5"/>
        <v>9883.0535428187231</v>
      </c>
      <c r="V345" s="19" t="s">
        <v>105</v>
      </c>
      <c r="W345" s="20" t="s">
        <v>1451</v>
      </c>
    </row>
    <row r="346" spans="1:23" ht="18" customHeight="1">
      <c r="A346" s="10" t="s">
        <v>23</v>
      </c>
      <c r="B346" s="10" t="s">
        <v>24</v>
      </c>
      <c r="C346" s="10" t="s">
        <v>25</v>
      </c>
      <c r="D346" s="12">
        <v>2019</v>
      </c>
      <c r="E346" s="10" t="s">
        <v>1452</v>
      </c>
      <c r="F346" s="10" t="s">
        <v>1453</v>
      </c>
      <c r="G346" s="10" t="s">
        <v>155</v>
      </c>
      <c r="H346" s="10" t="s">
        <v>48</v>
      </c>
      <c r="I346" s="13">
        <v>7.6657609457999998</v>
      </c>
      <c r="J346" s="13">
        <v>7.6657609457999998</v>
      </c>
      <c r="K346" s="13">
        <v>0</v>
      </c>
      <c r="L346" s="13">
        <v>0.20643037950000001</v>
      </c>
      <c r="M346" s="13">
        <v>7.4593305663000002</v>
      </c>
      <c r="N346" s="10" t="s">
        <v>1454</v>
      </c>
      <c r="O346" s="14">
        <v>3.72</v>
      </c>
      <c r="P346" s="10" t="s">
        <v>31</v>
      </c>
      <c r="Q346" s="14" t="s">
        <v>32</v>
      </c>
      <c r="R346" s="10" t="s">
        <v>33</v>
      </c>
      <c r="S346" s="10" t="s">
        <v>1452</v>
      </c>
      <c r="T346" s="14">
        <f>IF(O346="","",(1/Metadata!$B$5)^(O346-1))</f>
        <v>524.80746024977293</v>
      </c>
      <c r="U346" s="13">
        <f t="shared" si="5"/>
        <v>4023.048532847195</v>
      </c>
      <c r="V346" s="19" t="s">
        <v>105</v>
      </c>
      <c r="W346" s="20" t="s">
        <v>1455</v>
      </c>
    </row>
    <row r="347" spans="1:23" ht="18" customHeight="1">
      <c r="A347" s="10" t="s">
        <v>23</v>
      </c>
      <c r="B347" s="10" t="s">
        <v>24</v>
      </c>
      <c r="C347" s="10" t="s">
        <v>25</v>
      </c>
      <c r="D347" s="12">
        <v>2019</v>
      </c>
      <c r="E347" s="10" t="s">
        <v>1456</v>
      </c>
      <c r="F347" s="10" t="s">
        <v>1457</v>
      </c>
      <c r="G347" s="10" t="s">
        <v>155</v>
      </c>
      <c r="H347" s="10" t="s">
        <v>48</v>
      </c>
      <c r="I347" s="13">
        <v>7.6640017715999997</v>
      </c>
      <c r="J347" s="13">
        <v>7.6640017715999997</v>
      </c>
      <c r="K347" s="13">
        <v>0</v>
      </c>
      <c r="L347" s="13">
        <v>0.20638300709999999</v>
      </c>
      <c r="M347" s="13">
        <v>7.4576187644999994</v>
      </c>
      <c r="N347" s="10" t="s">
        <v>1458</v>
      </c>
      <c r="O347" s="14">
        <v>4.13</v>
      </c>
      <c r="P347" s="10" t="s">
        <v>41</v>
      </c>
      <c r="Q347" s="14" t="s">
        <v>42</v>
      </c>
      <c r="R347" s="10" t="s">
        <v>33</v>
      </c>
      <c r="S347" s="10" t="s">
        <v>1456</v>
      </c>
      <c r="T347" s="14">
        <f>IF(O347="","",(1/Metadata!$B$5)^(O347-1))</f>
        <v>1348.9628825916541</v>
      </c>
      <c r="U347" s="13">
        <f t="shared" si="5"/>
        <v>10338.453922005079</v>
      </c>
      <c r="V347" s="19" t="s">
        <v>105</v>
      </c>
      <c r="W347" s="20" t="s">
        <v>1459</v>
      </c>
    </row>
    <row r="348" spans="1:23" ht="18" customHeight="1">
      <c r="A348" s="10" t="s">
        <v>23</v>
      </c>
      <c r="B348" s="10" t="s">
        <v>24</v>
      </c>
      <c r="C348" s="10" t="s">
        <v>25</v>
      </c>
      <c r="D348" s="12">
        <v>2019</v>
      </c>
      <c r="E348" s="10" t="s">
        <v>1460</v>
      </c>
      <c r="F348" s="10" t="s">
        <v>1461</v>
      </c>
      <c r="G348" s="10" t="s">
        <v>134</v>
      </c>
      <c r="H348" s="10" t="s">
        <v>48</v>
      </c>
      <c r="I348" s="13">
        <v>7.4041855923000002</v>
      </c>
      <c r="J348" s="13">
        <v>7.4041855923000002</v>
      </c>
      <c r="K348" s="13">
        <v>0</v>
      </c>
      <c r="L348" s="13">
        <v>0.51253395059999995</v>
      </c>
      <c r="M348" s="13">
        <v>6.8916516417000002</v>
      </c>
      <c r="N348" s="10" t="s">
        <v>1462</v>
      </c>
      <c r="O348" s="14">
        <v>4.5</v>
      </c>
      <c r="P348" s="10" t="s">
        <v>31</v>
      </c>
      <c r="Q348" s="14" t="s">
        <v>32</v>
      </c>
      <c r="R348" s="10" t="s">
        <v>33</v>
      </c>
      <c r="S348" s="10" t="s">
        <v>1460</v>
      </c>
      <c r="T348" s="14">
        <f>IF(O348="","",(1/Metadata!$B$5)^(O348-1))</f>
        <v>3162.2776601683804</v>
      </c>
      <c r="U348" s="13">
        <f t="shared" si="5"/>
        <v>23414.090690270878</v>
      </c>
      <c r="V348" s="22" t="s">
        <v>105</v>
      </c>
      <c r="W348" s="20" t="s">
        <v>1463</v>
      </c>
    </row>
    <row r="349" spans="1:23" ht="18" customHeight="1">
      <c r="A349" s="10" t="s">
        <v>23</v>
      </c>
      <c r="B349" s="10" t="s">
        <v>24</v>
      </c>
      <c r="C349" s="10" t="s">
        <v>25</v>
      </c>
      <c r="D349" s="12">
        <v>2019</v>
      </c>
      <c r="E349" s="10" t="s">
        <v>1464</v>
      </c>
      <c r="F349" s="10" t="s">
        <v>424</v>
      </c>
      <c r="G349" s="10" t="s">
        <v>155</v>
      </c>
      <c r="H349" s="10" t="s">
        <v>48</v>
      </c>
      <c r="I349" s="13">
        <v>7.0713962667000008</v>
      </c>
      <c r="J349" s="13">
        <v>7.0713962667000008</v>
      </c>
      <c r="K349" s="13">
        <v>0</v>
      </c>
      <c r="L349" s="13">
        <v>0.48949754439999998</v>
      </c>
      <c r="M349" s="13">
        <v>6.5818987223000001</v>
      </c>
      <c r="N349" s="10" t="s">
        <v>1465</v>
      </c>
      <c r="O349" s="14">
        <v>3.99</v>
      </c>
      <c r="P349" s="10" t="s">
        <v>41</v>
      </c>
      <c r="Q349" s="14" t="s">
        <v>42</v>
      </c>
      <c r="R349" s="10" t="s">
        <v>33</v>
      </c>
      <c r="S349" s="10" t="s">
        <v>1464</v>
      </c>
      <c r="T349" s="14">
        <f>IF(O349="","",(1/Metadata!$B$5)^(O349-1))</f>
        <v>977.23722095581138</v>
      </c>
      <c r="U349" s="13">
        <f t="shared" si="5"/>
        <v>6910.4316359472086</v>
      </c>
      <c r="V349" s="19" t="s">
        <v>105</v>
      </c>
      <c r="W349" s="20" t="s">
        <v>426</v>
      </c>
    </row>
    <row r="350" spans="1:23" ht="18" customHeight="1">
      <c r="A350" s="10" t="s">
        <v>23</v>
      </c>
      <c r="B350" s="10" t="s">
        <v>24</v>
      </c>
      <c r="C350" s="10" t="s">
        <v>25</v>
      </c>
      <c r="D350" s="12">
        <v>2019</v>
      </c>
      <c r="E350" s="10" t="s">
        <v>1466</v>
      </c>
      <c r="F350" s="10" t="s">
        <v>1467</v>
      </c>
      <c r="G350" s="10" t="s">
        <v>155</v>
      </c>
      <c r="H350" s="10" t="s">
        <v>48</v>
      </c>
      <c r="I350" s="13">
        <v>7.0322579811999999</v>
      </c>
      <c r="J350" s="13">
        <v>7.0322579811999999</v>
      </c>
      <c r="K350" s="13">
        <v>0</v>
      </c>
      <c r="L350" s="13">
        <v>0.48678830649999999</v>
      </c>
      <c r="M350" s="13">
        <v>6.5454696746999996</v>
      </c>
      <c r="N350" s="10" t="s">
        <v>1468</v>
      </c>
      <c r="O350" s="14">
        <v>4.01</v>
      </c>
      <c r="P350" s="10" t="s">
        <v>31</v>
      </c>
      <c r="Q350" s="14" t="s">
        <v>32</v>
      </c>
      <c r="R350" s="10" t="s">
        <v>33</v>
      </c>
      <c r="S350" s="10" t="s">
        <v>1466</v>
      </c>
      <c r="T350" s="14">
        <f>IF(O350="","",(1/Metadata!$B$5)^(O350-1))</f>
        <v>1023.2929922807547</v>
      </c>
      <c r="U350" s="13">
        <f t="shared" si="5"/>
        <v>7196.0603120723672</v>
      </c>
      <c r="V350" s="19" t="s">
        <v>105</v>
      </c>
      <c r="W350" s="20" t="s">
        <v>1469</v>
      </c>
    </row>
    <row r="351" spans="1:23" ht="18" customHeight="1">
      <c r="A351" s="10" t="s">
        <v>23</v>
      </c>
      <c r="B351" s="10" t="s">
        <v>24</v>
      </c>
      <c r="C351" s="10" t="s">
        <v>25</v>
      </c>
      <c r="D351" s="12">
        <v>2019</v>
      </c>
      <c r="E351" s="10" t="s">
        <v>1470</v>
      </c>
      <c r="F351" s="10" t="s">
        <v>1471</v>
      </c>
      <c r="G351" s="10" t="s">
        <v>118</v>
      </c>
      <c r="H351" s="10" t="s">
        <v>39</v>
      </c>
      <c r="I351" s="13">
        <v>6.3182535683000003</v>
      </c>
      <c r="J351" s="13">
        <v>6.3182535683000003</v>
      </c>
      <c r="K351" s="13">
        <v>0</v>
      </c>
      <c r="L351" s="13">
        <v>0</v>
      </c>
      <c r="M351" s="13">
        <v>6.3182535683000003</v>
      </c>
      <c r="N351" s="10" t="s">
        <v>1472</v>
      </c>
      <c r="O351" s="14">
        <v>3.59</v>
      </c>
      <c r="P351" s="10" t="s">
        <v>41</v>
      </c>
      <c r="Q351" s="14" t="s">
        <v>42</v>
      </c>
      <c r="R351" s="10" t="s">
        <v>33</v>
      </c>
      <c r="S351" s="10" t="s">
        <v>1470</v>
      </c>
      <c r="T351" s="14">
        <f>IF(O351="","",(1/Metadata!$B$5)^(O351-1))</f>
        <v>389.04514499428063</v>
      </c>
      <c r="U351" s="13">
        <f t="shared" si="5"/>
        <v>2458.0858755899044</v>
      </c>
      <c r="V351" s="19" t="s">
        <v>118</v>
      </c>
      <c r="W351" s="20" t="s">
        <v>1473</v>
      </c>
    </row>
    <row r="352" spans="1:23" ht="18" customHeight="1">
      <c r="A352" s="10" t="s">
        <v>23</v>
      </c>
      <c r="B352" s="10" t="s">
        <v>24</v>
      </c>
      <c r="C352" s="10" t="s">
        <v>25</v>
      </c>
      <c r="D352" s="12">
        <v>2019</v>
      </c>
      <c r="E352" s="10" t="s">
        <v>1474</v>
      </c>
      <c r="F352" s="10" t="s">
        <v>1475</v>
      </c>
      <c r="G352" s="10" t="s">
        <v>155</v>
      </c>
      <c r="H352" s="10" t="s">
        <v>48</v>
      </c>
      <c r="I352" s="13">
        <v>5.9204742026999986</v>
      </c>
      <c r="J352" s="13">
        <v>5.9204742026999986</v>
      </c>
      <c r="K352" s="13">
        <v>0</v>
      </c>
      <c r="L352" s="13">
        <v>5.9204742026999986</v>
      </c>
      <c r="M352" s="13">
        <v>0</v>
      </c>
      <c r="N352" s="10" t="s">
        <v>1476</v>
      </c>
      <c r="O352" s="14">
        <v>4.5</v>
      </c>
      <c r="P352" s="10" t="s">
        <v>31</v>
      </c>
      <c r="Q352" s="14" t="s">
        <v>32</v>
      </c>
      <c r="R352" s="10" t="s">
        <v>33</v>
      </c>
      <c r="S352" s="10" t="s">
        <v>1474</v>
      </c>
      <c r="T352" s="14">
        <f>IF(O352="","",(1/Metadata!$B$5)^(O352-1))</f>
        <v>3162.2776601683804</v>
      </c>
      <c r="U352" s="13">
        <f t="shared" si="5"/>
        <v>18722.18330880141</v>
      </c>
      <c r="V352" s="19" t="s">
        <v>110</v>
      </c>
      <c r="W352" s="20" t="s">
        <v>1477</v>
      </c>
    </row>
    <row r="353" spans="1:23" ht="18" customHeight="1">
      <c r="A353" s="10" t="s">
        <v>23</v>
      </c>
      <c r="B353" s="10" t="s">
        <v>24</v>
      </c>
      <c r="C353" s="10" t="s">
        <v>25</v>
      </c>
      <c r="D353" s="12">
        <v>2019</v>
      </c>
      <c r="E353" s="10" t="s">
        <v>1478</v>
      </c>
      <c r="F353" s="10" t="s">
        <v>1479</v>
      </c>
      <c r="G353" s="10" t="s">
        <v>134</v>
      </c>
      <c r="H353" s="10" t="s">
        <v>48</v>
      </c>
      <c r="I353" s="13">
        <v>5.8770278344999998</v>
      </c>
      <c r="J353" s="13">
        <v>5.8770278344999998</v>
      </c>
      <c r="K353" s="13">
        <v>0</v>
      </c>
      <c r="L353" s="13">
        <v>0.1575646611</v>
      </c>
      <c r="M353" s="13">
        <v>5.7194631734000003</v>
      </c>
      <c r="N353" s="10" t="s">
        <v>1480</v>
      </c>
      <c r="O353" s="14">
        <v>4.45</v>
      </c>
      <c r="P353" s="10" t="s">
        <v>31</v>
      </c>
      <c r="Q353" s="14" t="s">
        <v>32</v>
      </c>
      <c r="R353" s="10" t="s">
        <v>33</v>
      </c>
      <c r="S353" s="10" t="s">
        <v>1478</v>
      </c>
      <c r="T353" s="14">
        <f>IF(O353="","",(1/Metadata!$B$5)^(O353-1))</f>
        <v>2818.3829312644561</v>
      </c>
      <c r="U353" s="13">
        <f t="shared" si="5"/>
        <v>16563.71493532091</v>
      </c>
      <c r="V353" s="22" t="s">
        <v>105</v>
      </c>
      <c r="W353" s="20" t="s">
        <v>1481</v>
      </c>
    </row>
    <row r="354" spans="1:23" ht="18" customHeight="1">
      <c r="A354" s="10" t="s">
        <v>23</v>
      </c>
      <c r="B354" s="10" t="s">
        <v>24</v>
      </c>
      <c r="C354" s="10" t="s">
        <v>25</v>
      </c>
      <c r="D354" s="12">
        <v>2019</v>
      </c>
      <c r="E354" s="10" t="s">
        <v>1482</v>
      </c>
      <c r="F354" s="10" t="s">
        <v>1483</v>
      </c>
      <c r="G354" s="10" t="s">
        <v>155</v>
      </c>
      <c r="H354" s="10" t="s">
        <v>48</v>
      </c>
      <c r="I354" s="13">
        <v>4.9785119507999998</v>
      </c>
      <c r="J354" s="13">
        <v>4.9785119507999998</v>
      </c>
      <c r="K354" s="13">
        <v>0</v>
      </c>
      <c r="L354" s="13">
        <v>4.9785119507999998</v>
      </c>
      <c r="M354" s="13">
        <v>0</v>
      </c>
      <c r="N354" s="10" t="s">
        <v>1484</v>
      </c>
      <c r="O354" s="14">
        <v>3.53</v>
      </c>
      <c r="P354" s="10" t="s">
        <v>41</v>
      </c>
      <c r="Q354" s="14" t="s">
        <v>42</v>
      </c>
      <c r="R354" s="10" t="s">
        <v>33</v>
      </c>
      <c r="S354" s="10" t="s">
        <v>1482</v>
      </c>
      <c r="T354" s="14">
        <f>IF(O354="","",(1/Metadata!$B$5)^(O354-1))</f>
        <v>338.84415613920248</v>
      </c>
      <c r="U354" s="13">
        <f t="shared" si="5"/>
        <v>1686.9396807977607</v>
      </c>
      <c r="V354" s="22" t="s">
        <v>92</v>
      </c>
      <c r="W354" s="20" t="s">
        <v>1485</v>
      </c>
    </row>
    <row r="355" spans="1:23" ht="18" customHeight="1">
      <c r="A355" s="10" t="s">
        <v>23</v>
      </c>
      <c r="B355" s="10" t="s">
        <v>24</v>
      </c>
      <c r="C355" s="10" t="s">
        <v>25</v>
      </c>
      <c r="D355" s="12">
        <v>2019</v>
      </c>
      <c r="E355" s="10" t="s">
        <v>1486</v>
      </c>
      <c r="F355" s="10" t="s">
        <v>1487</v>
      </c>
      <c r="G355" s="10" t="s">
        <v>155</v>
      </c>
      <c r="H355" s="10" t="s">
        <v>39</v>
      </c>
      <c r="I355" s="13">
        <v>4.9742992882000001</v>
      </c>
      <c r="J355" s="13">
        <v>4.9742992882000001</v>
      </c>
      <c r="K355" s="13">
        <v>0</v>
      </c>
      <c r="L355" s="13">
        <v>0</v>
      </c>
      <c r="M355" s="13">
        <v>4.9742992882000001</v>
      </c>
      <c r="N355" s="10" t="s">
        <v>1488</v>
      </c>
      <c r="O355" s="14">
        <v>3.49</v>
      </c>
      <c r="P355" s="10" t="s">
        <v>41</v>
      </c>
      <c r="Q355" s="14" t="s">
        <v>42</v>
      </c>
      <c r="R355" s="10" t="s">
        <v>33</v>
      </c>
      <c r="S355" s="10" t="s">
        <v>1486</v>
      </c>
      <c r="T355" s="14">
        <f>IF(O355="","",(1/Metadata!$B$5)^(O355-1))</f>
        <v>309.02954325135937</v>
      </c>
      <c r="U355" s="13">
        <f t="shared" si="5"/>
        <v>1537.205437028008</v>
      </c>
      <c r="V355" s="19" t="s">
        <v>136</v>
      </c>
      <c r="W355" s="20" t="s">
        <v>1489</v>
      </c>
    </row>
    <row r="356" spans="1:23" ht="18" customHeight="1">
      <c r="A356" s="10" t="s">
        <v>23</v>
      </c>
      <c r="B356" s="10" t="s">
        <v>24</v>
      </c>
      <c r="C356" s="10" t="s">
        <v>25</v>
      </c>
      <c r="D356" s="12">
        <v>2019</v>
      </c>
      <c r="E356" s="10" t="s">
        <v>1490</v>
      </c>
      <c r="F356" s="10" t="s">
        <v>1491</v>
      </c>
      <c r="G356" s="10" t="s">
        <v>54</v>
      </c>
      <c r="H356" s="10" t="s">
        <v>48</v>
      </c>
      <c r="I356" s="13">
        <v>3.9166202398999999</v>
      </c>
      <c r="J356" s="13">
        <v>3.9166202398999999</v>
      </c>
      <c r="K356" s="13">
        <v>0</v>
      </c>
      <c r="L356" s="13">
        <v>0.1050056182</v>
      </c>
      <c r="M356" s="13">
        <v>3.8116146217</v>
      </c>
      <c r="N356" s="10" t="s">
        <v>1492</v>
      </c>
      <c r="O356" s="14">
        <v>4.2699999999999996</v>
      </c>
      <c r="P356" s="10" t="s">
        <v>31</v>
      </c>
      <c r="Q356" s="14" t="s">
        <v>32</v>
      </c>
      <c r="R356" s="10" t="s">
        <v>33</v>
      </c>
      <c r="S356" s="10" t="s">
        <v>1490</v>
      </c>
      <c r="T356" s="14">
        <f>IF(O356="","",(1/Metadata!$B$5)^(O356-1))</f>
        <v>1862.0871366628671</v>
      </c>
      <c r="U356" s="13">
        <f t="shared" si="5"/>
        <v>7293.0881679112226</v>
      </c>
      <c r="V356" s="22" t="s">
        <v>110</v>
      </c>
      <c r="W356" s="20" t="s">
        <v>1493</v>
      </c>
    </row>
    <row r="357" spans="1:23" ht="18" customHeight="1">
      <c r="A357" s="10" t="s">
        <v>23</v>
      </c>
      <c r="B357" s="10" t="s">
        <v>24</v>
      </c>
      <c r="C357" s="10" t="s">
        <v>25</v>
      </c>
      <c r="D357" s="12">
        <v>2019</v>
      </c>
      <c r="E357" s="10" t="s">
        <v>1494</v>
      </c>
      <c r="F357" s="10" t="s">
        <v>1495</v>
      </c>
      <c r="G357" s="10" t="s">
        <v>123</v>
      </c>
      <c r="H357" s="10" t="s">
        <v>124</v>
      </c>
      <c r="I357" s="13">
        <v>3.6213394085999999</v>
      </c>
      <c r="J357" s="13">
        <v>3.2553551352999999</v>
      </c>
      <c r="K357" s="13">
        <v>0.3659842733</v>
      </c>
      <c r="L357" s="13">
        <v>0</v>
      </c>
      <c r="M357" s="13">
        <v>3.6213394085999999</v>
      </c>
      <c r="N357" s="10" t="s">
        <v>1496</v>
      </c>
      <c r="O357" s="14">
        <v>2</v>
      </c>
      <c r="P357" s="10" t="s">
        <v>41</v>
      </c>
      <c r="Q357" s="14" t="s">
        <v>42</v>
      </c>
      <c r="R357" s="10" t="s">
        <v>33</v>
      </c>
      <c r="S357" s="10" t="s">
        <v>1494</v>
      </c>
      <c r="T357" s="14">
        <f>IF(O357="","",(1/Metadata!$B$5)^(O357-1))</f>
        <v>10</v>
      </c>
      <c r="U357" s="13">
        <f t="shared" si="5"/>
        <v>36.213394086000001</v>
      </c>
      <c r="V357" s="19" t="s">
        <v>126</v>
      </c>
      <c r="W357" s="20" t="s">
        <v>1497</v>
      </c>
    </row>
    <row r="358" spans="1:23" ht="18" customHeight="1">
      <c r="A358" s="10" t="s">
        <v>23</v>
      </c>
      <c r="B358" s="10" t="s">
        <v>24</v>
      </c>
      <c r="C358" s="10" t="s">
        <v>25</v>
      </c>
      <c r="D358" s="12">
        <v>2019</v>
      </c>
      <c r="E358" s="10" t="s">
        <v>1498</v>
      </c>
      <c r="F358" s="10" t="s">
        <v>1499</v>
      </c>
      <c r="G358" s="10" t="s">
        <v>148</v>
      </c>
      <c r="H358" s="10" t="s">
        <v>149</v>
      </c>
      <c r="I358" s="13">
        <v>3.5925205061000001</v>
      </c>
      <c r="J358" s="13">
        <v>3.5925205061000001</v>
      </c>
      <c r="K358" s="13">
        <v>0</v>
      </c>
      <c r="L358" s="13">
        <v>3.5925205061000001</v>
      </c>
      <c r="M358" s="13">
        <v>0</v>
      </c>
      <c r="N358" s="10" t="s">
        <v>1500</v>
      </c>
      <c r="O358" s="14">
        <v>3.55</v>
      </c>
      <c r="P358" s="10" t="s">
        <v>31</v>
      </c>
      <c r="Q358" s="14" t="s">
        <v>32</v>
      </c>
      <c r="R358" s="10" t="s">
        <v>33</v>
      </c>
      <c r="S358" s="10" t="s">
        <v>1498</v>
      </c>
      <c r="T358" s="14">
        <f>IF(O358="","",(1/Metadata!$B$5)^(O358-1))</f>
        <v>354.81338923357566</v>
      </c>
      <c r="U358" s="13">
        <f t="shared" si="5"/>
        <v>1274.6743766604616</v>
      </c>
      <c r="V358" s="22" t="s">
        <v>151</v>
      </c>
      <c r="W358" s="20" t="s">
        <v>1501</v>
      </c>
    </row>
    <row r="359" spans="1:23" ht="18" customHeight="1">
      <c r="A359" s="10" t="s">
        <v>23</v>
      </c>
      <c r="B359" s="10" t="s">
        <v>24</v>
      </c>
      <c r="C359" s="10" t="s">
        <v>25</v>
      </c>
      <c r="D359" s="12">
        <v>2019</v>
      </c>
      <c r="E359" s="10" t="s">
        <v>1502</v>
      </c>
      <c r="F359" s="10" t="s">
        <v>1503</v>
      </c>
      <c r="G359" s="10" t="s">
        <v>47</v>
      </c>
      <c r="H359" s="10" t="s">
        <v>39</v>
      </c>
      <c r="I359" s="13">
        <v>3.4504660959</v>
      </c>
      <c r="J359" s="13">
        <v>3.4504660959</v>
      </c>
      <c r="K359" s="13">
        <v>0</v>
      </c>
      <c r="L359" s="13">
        <v>1.0112920338</v>
      </c>
      <c r="M359" s="13">
        <v>2.4391740621000002</v>
      </c>
      <c r="N359" s="10" t="s">
        <v>1504</v>
      </c>
      <c r="O359" s="14">
        <v>3.25</v>
      </c>
      <c r="P359" s="10" t="s">
        <v>41</v>
      </c>
      <c r="Q359" s="14" t="s">
        <v>42</v>
      </c>
      <c r="R359" s="10" t="s">
        <v>33</v>
      </c>
      <c r="S359" s="10" t="s">
        <v>1502</v>
      </c>
      <c r="T359" s="14">
        <f>IF(O359="","",(1/Metadata!$B$5)^(O359-1))</f>
        <v>177.82794100389242</v>
      </c>
      <c r="U359" s="13">
        <f t="shared" si="5"/>
        <v>613.58928133763618</v>
      </c>
      <c r="V359" s="22" t="s">
        <v>87</v>
      </c>
      <c r="W359" s="20" t="s">
        <v>1505</v>
      </c>
    </row>
    <row r="360" spans="1:23" ht="18" customHeight="1">
      <c r="A360" s="10" t="s">
        <v>23</v>
      </c>
      <c r="B360" s="10" t="s">
        <v>24</v>
      </c>
      <c r="C360" s="10" t="s">
        <v>25</v>
      </c>
      <c r="D360" s="12">
        <v>2019</v>
      </c>
      <c r="E360" s="10" t="s">
        <v>1506</v>
      </c>
      <c r="F360" s="10" t="s">
        <v>1507</v>
      </c>
      <c r="G360" s="10" t="s">
        <v>164</v>
      </c>
      <c r="H360" s="10" t="s">
        <v>504</v>
      </c>
      <c r="I360" s="13">
        <v>3.4476336859000001</v>
      </c>
      <c r="J360" s="13">
        <v>3.4476336859000001</v>
      </c>
      <c r="K360" s="13">
        <v>0</v>
      </c>
      <c r="L360" s="13">
        <v>1.0108176458</v>
      </c>
      <c r="M360" s="13">
        <v>2.4368160401000001</v>
      </c>
      <c r="N360" s="10" t="s">
        <v>1508</v>
      </c>
      <c r="O360" s="14">
        <v>3.92</v>
      </c>
      <c r="P360" s="10" t="s">
        <v>41</v>
      </c>
      <c r="Q360" s="14" t="s">
        <v>42</v>
      </c>
      <c r="R360" s="10" t="s">
        <v>33</v>
      </c>
      <c r="S360" s="10" t="s">
        <v>1506</v>
      </c>
      <c r="T360" s="14">
        <f>IF(O360="","",(1/Metadata!$B$5)^(O360-1))</f>
        <v>831.7637711026714</v>
      </c>
      <c r="U360" s="13">
        <f t="shared" si="5"/>
        <v>2867.6167959647869</v>
      </c>
      <c r="V360" s="22" t="s">
        <v>105</v>
      </c>
      <c r="W360" s="20" t="s">
        <v>1509</v>
      </c>
    </row>
    <row r="361" spans="1:23" ht="18" customHeight="1">
      <c r="A361" s="10" t="s">
        <v>23</v>
      </c>
      <c r="B361" s="10" t="s">
        <v>24</v>
      </c>
      <c r="C361" s="10" t="s">
        <v>25</v>
      </c>
      <c r="D361" s="12">
        <v>2019</v>
      </c>
      <c r="E361" s="10" t="s">
        <v>1510</v>
      </c>
      <c r="F361" s="10" t="s">
        <v>1511</v>
      </c>
      <c r="G361" s="10" t="s">
        <v>404</v>
      </c>
      <c r="H361" s="10" t="s">
        <v>48</v>
      </c>
      <c r="I361" s="13">
        <v>3.4464118592999999</v>
      </c>
      <c r="J361" s="13">
        <v>3.4464118592999999</v>
      </c>
      <c r="K361" s="13">
        <v>0</v>
      </c>
      <c r="L361" s="13">
        <v>1.0100791224000001</v>
      </c>
      <c r="M361" s="13">
        <v>2.4363327368999999</v>
      </c>
      <c r="N361" s="10" t="s">
        <v>1512</v>
      </c>
      <c r="O361" s="14">
        <v>3.24</v>
      </c>
      <c r="P361" s="10" t="s">
        <v>41</v>
      </c>
      <c r="Q361" s="14" t="s">
        <v>42</v>
      </c>
      <c r="R361" s="10" t="s">
        <v>33</v>
      </c>
      <c r="S361" s="10" t="s">
        <v>1510</v>
      </c>
      <c r="T361" s="14">
        <f>IF(O361="","",(1/Metadata!$B$5)^(O361-1))</f>
        <v>173.78008287493768</v>
      </c>
      <c r="U361" s="13">
        <f t="shared" si="5"/>
        <v>598.91773853032203</v>
      </c>
      <c r="V361" s="22" t="s">
        <v>181</v>
      </c>
      <c r="W361" s="20" t="s">
        <v>1513</v>
      </c>
    </row>
    <row r="362" spans="1:23" ht="18" customHeight="1">
      <c r="A362" s="10" t="s">
        <v>23</v>
      </c>
      <c r="B362" s="10" t="s">
        <v>24</v>
      </c>
      <c r="C362" s="10" t="s">
        <v>25</v>
      </c>
      <c r="D362" s="12">
        <v>2019</v>
      </c>
      <c r="E362" s="10" t="s">
        <v>1514</v>
      </c>
      <c r="F362" s="10" t="s">
        <v>1515</v>
      </c>
      <c r="G362" s="10" t="s">
        <v>54</v>
      </c>
      <c r="H362" s="10" t="s">
        <v>55</v>
      </c>
      <c r="I362" s="13">
        <v>3.3371682140000001</v>
      </c>
      <c r="J362" s="13">
        <v>3.3371682140000001</v>
      </c>
      <c r="K362" s="13">
        <v>0</v>
      </c>
      <c r="L362" s="13">
        <v>3.3371682140000001</v>
      </c>
      <c r="M362" s="13">
        <v>0</v>
      </c>
      <c r="N362" s="10" t="s">
        <v>1516</v>
      </c>
      <c r="O362" s="14">
        <v>4.47</v>
      </c>
      <c r="P362" s="10" t="s">
        <v>41</v>
      </c>
      <c r="Q362" s="14" t="s">
        <v>42</v>
      </c>
      <c r="R362" s="10" t="s">
        <v>33</v>
      </c>
      <c r="S362" s="10" t="s">
        <v>1514</v>
      </c>
      <c r="T362" s="14">
        <f>IF(O362="","",(1/Metadata!$B$5)^(O362-1))</f>
        <v>2951.2092266663876</v>
      </c>
      <c r="U362" s="13">
        <f t="shared" si="5"/>
        <v>9848.68162409459</v>
      </c>
      <c r="V362" s="22" t="s">
        <v>110</v>
      </c>
      <c r="W362" s="20" t="s">
        <v>1517</v>
      </c>
    </row>
    <row r="363" spans="1:23" ht="18" customHeight="1">
      <c r="A363" s="10" t="s">
        <v>23</v>
      </c>
      <c r="B363" s="10" t="s">
        <v>24</v>
      </c>
      <c r="C363" s="10" t="s">
        <v>25</v>
      </c>
      <c r="D363" s="12">
        <v>2019</v>
      </c>
      <c r="E363" s="10" t="s">
        <v>1518</v>
      </c>
      <c r="F363" s="10" t="s">
        <v>1519</v>
      </c>
      <c r="G363" s="10" t="s">
        <v>54</v>
      </c>
      <c r="H363" s="10" t="s">
        <v>55</v>
      </c>
      <c r="I363" s="13">
        <v>2.7928255889</v>
      </c>
      <c r="J363" s="13">
        <v>2.7928255889</v>
      </c>
      <c r="K363" s="13">
        <v>0</v>
      </c>
      <c r="L363" s="13">
        <v>2.7928255889</v>
      </c>
      <c r="M363" s="13">
        <v>0</v>
      </c>
      <c r="N363" s="10" t="s">
        <v>1520</v>
      </c>
      <c r="O363" s="14">
        <v>4.5</v>
      </c>
      <c r="P363" s="10" t="s">
        <v>31</v>
      </c>
      <c r="Q363" s="14" t="s">
        <v>32</v>
      </c>
      <c r="R363" s="10" t="s">
        <v>33</v>
      </c>
      <c r="S363" s="10" t="s">
        <v>1518</v>
      </c>
      <c r="T363" s="14">
        <f>IF(O363="","",(1/Metadata!$B$5)^(O363-1))</f>
        <v>3162.2776601683804</v>
      </c>
      <c r="U363" s="13">
        <f t="shared" si="5"/>
        <v>8831.6899685250719</v>
      </c>
      <c r="V363" s="22" t="s">
        <v>110</v>
      </c>
      <c r="W363" s="20" t="s">
        <v>1521</v>
      </c>
    </row>
    <row r="364" spans="1:23" ht="18" customHeight="1">
      <c r="A364" s="10" t="s">
        <v>23</v>
      </c>
      <c r="B364" s="10" t="s">
        <v>24</v>
      </c>
      <c r="C364" s="10" t="s">
        <v>25</v>
      </c>
      <c r="D364" s="12">
        <v>2019</v>
      </c>
      <c r="E364" s="10" t="s">
        <v>1522</v>
      </c>
      <c r="F364" s="10" t="s">
        <v>1523</v>
      </c>
      <c r="G364" s="10" t="s">
        <v>155</v>
      </c>
      <c r="H364" s="10" t="s">
        <v>48</v>
      </c>
      <c r="I364" s="13">
        <v>2.3499278536000001</v>
      </c>
      <c r="J364" s="13">
        <v>2.3499278536000001</v>
      </c>
      <c r="K364" s="13">
        <v>0</v>
      </c>
      <c r="L364" s="13">
        <v>0.1626671552</v>
      </c>
      <c r="M364" s="13">
        <v>2.1872606983999998</v>
      </c>
      <c r="N364" s="10" t="s">
        <v>1524</v>
      </c>
      <c r="O364" s="14">
        <v>3.75</v>
      </c>
      <c r="P364" s="10" t="s">
        <v>31</v>
      </c>
      <c r="Q364" s="14" t="s">
        <v>32</v>
      </c>
      <c r="R364" s="10" t="s">
        <v>33</v>
      </c>
      <c r="S364" s="10" t="s">
        <v>1522</v>
      </c>
      <c r="T364" s="14">
        <f>IF(O364="","",(1/Metadata!$B$5)^(O364-1))</f>
        <v>562.34132519034927</v>
      </c>
      <c r="U364" s="13">
        <f t="shared" si="5"/>
        <v>1321.4615432951371</v>
      </c>
      <c r="V364" s="22" t="s">
        <v>105</v>
      </c>
      <c r="W364" s="20" t="s">
        <v>1525</v>
      </c>
    </row>
    <row r="365" spans="1:23" ht="18" customHeight="1">
      <c r="A365" s="10" t="s">
        <v>23</v>
      </c>
      <c r="B365" s="10" t="s">
        <v>24</v>
      </c>
      <c r="C365" s="10" t="s">
        <v>25</v>
      </c>
      <c r="D365" s="12">
        <v>2019</v>
      </c>
      <c r="E365" s="10" t="s">
        <v>1526</v>
      </c>
      <c r="F365" s="10" t="s">
        <v>1527</v>
      </c>
      <c r="G365" s="10" t="s">
        <v>103</v>
      </c>
      <c r="H365" s="10" t="s">
        <v>48</v>
      </c>
      <c r="I365" s="13">
        <v>2.2019980472</v>
      </c>
      <c r="J365" s="13">
        <v>2.2019980472</v>
      </c>
      <c r="K365" s="13">
        <v>0</v>
      </c>
      <c r="L365" s="13">
        <v>0</v>
      </c>
      <c r="M365" s="13">
        <v>2.2019980472</v>
      </c>
      <c r="N365" s="10" t="s">
        <v>1528</v>
      </c>
      <c r="O365" s="14">
        <v>4.04</v>
      </c>
      <c r="P365" s="10" t="s">
        <v>41</v>
      </c>
      <c r="Q365" s="14" t="s">
        <v>42</v>
      </c>
      <c r="R365" s="10" t="s">
        <v>33</v>
      </c>
      <c r="S365" s="10" t="s">
        <v>1526</v>
      </c>
      <c r="T365" s="14">
        <f>IF(O365="","",(1/Metadata!$B$5)^(O365-1))</f>
        <v>1096.4781961431863</v>
      </c>
      <c r="U365" s="13">
        <f t="shared" si="5"/>
        <v>2414.442846704675</v>
      </c>
      <c r="V365" s="19" t="s">
        <v>92</v>
      </c>
      <c r="W365" s="20" t="s">
        <v>1529</v>
      </c>
    </row>
    <row r="366" spans="1:23" ht="18" customHeight="1">
      <c r="A366" s="10" t="s">
        <v>23</v>
      </c>
      <c r="B366" s="10" t="s">
        <v>24</v>
      </c>
      <c r="C366" s="10" t="s">
        <v>25</v>
      </c>
      <c r="D366" s="12">
        <v>2019</v>
      </c>
      <c r="E366" s="10" t="s">
        <v>1530</v>
      </c>
      <c r="F366" s="10" t="s">
        <v>1117</v>
      </c>
      <c r="G366" s="10" t="s">
        <v>38</v>
      </c>
      <c r="H366" s="10" t="s">
        <v>48</v>
      </c>
      <c r="I366" s="13">
        <v>2.1429544040000001</v>
      </c>
      <c r="J366" s="13">
        <v>2.1429544040000001</v>
      </c>
      <c r="K366" s="13">
        <v>0</v>
      </c>
      <c r="L366" s="13">
        <v>0</v>
      </c>
      <c r="M366" s="13">
        <v>2.1429544040000001</v>
      </c>
      <c r="N366" s="10" t="s">
        <v>1531</v>
      </c>
      <c r="O366" s="14">
        <v>3.33</v>
      </c>
      <c r="P366" s="10" t="s">
        <v>41</v>
      </c>
      <c r="Q366" s="14" t="s">
        <v>42</v>
      </c>
      <c r="R366" s="10" t="s">
        <v>33</v>
      </c>
      <c r="S366" s="10" t="s">
        <v>1530</v>
      </c>
      <c r="T366" s="14">
        <f>IF(O366="","",(1/Metadata!$B$5)^(O366-1))</f>
        <v>213.79620895022339</v>
      </c>
      <c r="U366" s="13">
        <f t="shared" si="5"/>
        <v>458.15552752838545</v>
      </c>
      <c r="V366" s="22" t="s">
        <v>92</v>
      </c>
      <c r="W366" s="20" t="s">
        <v>1532</v>
      </c>
    </row>
    <row r="367" spans="1:23" ht="18" customHeight="1">
      <c r="A367" s="10" t="s">
        <v>23</v>
      </c>
      <c r="B367" s="10" t="s">
        <v>24</v>
      </c>
      <c r="C367" s="10" t="s">
        <v>25</v>
      </c>
      <c r="D367" s="12">
        <v>2019</v>
      </c>
      <c r="E367" s="10" t="s">
        <v>1533</v>
      </c>
      <c r="F367" s="10" t="s">
        <v>1534</v>
      </c>
      <c r="G367" s="10" t="s">
        <v>123</v>
      </c>
      <c r="H367" s="10" t="s">
        <v>39</v>
      </c>
      <c r="I367" s="13">
        <v>2.1300518595</v>
      </c>
      <c r="J367" s="13">
        <v>2.1300518595</v>
      </c>
      <c r="K367" s="13">
        <v>0</v>
      </c>
      <c r="L367" s="13">
        <v>2.6225659500000002E-2</v>
      </c>
      <c r="M367" s="13">
        <v>2.1038261999999999</v>
      </c>
      <c r="N367" s="10" t="s">
        <v>1535</v>
      </c>
      <c r="O367" s="14">
        <v>2</v>
      </c>
      <c r="P367" s="10" t="s">
        <v>41</v>
      </c>
      <c r="Q367" s="14" t="s">
        <v>42</v>
      </c>
      <c r="R367" s="10" t="s">
        <v>33</v>
      </c>
      <c r="S367" s="10" t="s">
        <v>1533</v>
      </c>
      <c r="T367" s="14">
        <f>IF(O367="","",(1/Metadata!$B$5)^(O367-1))</f>
        <v>10</v>
      </c>
      <c r="U367" s="13">
        <f t="shared" si="5"/>
        <v>21.300518595</v>
      </c>
      <c r="V367" s="19" t="s">
        <v>126</v>
      </c>
      <c r="W367" s="20" t="s">
        <v>1536</v>
      </c>
    </row>
    <row r="368" spans="1:23" ht="18" customHeight="1">
      <c r="A368" s="10" t="s">
        <v>23</v>
      </c>
      <c r="B368" s="10" t="s">
        <v>24</v>
      </c>
      <c r="C368" s="10" t="s">
        <v>25</v>
      </c>
      <c r="D368" s="12">
        <v>2019</v>
      </c>
      <c r="E368" s="10" t="s">
        <v>1537</v>
      </c>
      <c r="F368" s="10" t="s">
        <v>1538</v>
      </c>
      <c r="G368" s="10" t="s">
        <v>312</v>
      </c>
      <c r="H368" s="10" t="s">
        <v>48</v>
      </c>
      <c r="I368" s="13">
        <v>1.9250054410999999</v>
      </c>
      <c r="J368" s="13">
        <v>0.78799395569999997</v>
      </c>
      <c r="K368" s="13">
        <v>1.1370114854</v>
      </c>
      <c r="L368" s="13">
        <v>0</v>
      </c>
      <c r="M368" s="13">
        <v>1.9250054410999999</v>
      </c>
      <c r="N368" s="10" t="s">
        <v>1539</v>
      </c>
      <c r="O368" s="14">
        <v>3.62</v>
      </c>
      <c r="P368" s="10" t="s">
        <v>41</v>
      </c>
      <c r="Q368" s="14" t="s">
        <v>42</v>
      </c>
      <c r="R368" s="10" t="s">
        <v>33</v>
      </c>
      <c r="S368" s="10" t="s">
        <v>1537</v>
      </c>
      <c r="T368" s="14">
        <f>IF(O368="","",(1/Metadata!$B$5)^(O368-1))</f>
        <v>416.86938347033572</v>
      </c>
      <c r="U368" s="13">
        <f t="shared" si="5"/>
        <v>802.47583140839868</v>
      </c>
      <c r="V368" s="19" t="s">
        <v>92</v>
      </c>
      <c r="W368" s="20" t="s">
        <v>1540</v>
      </c>
    </row>
    <row r="369" spans="1:23" ht="18" customHeight="1">
      <c r="A369" s="10" t="s">
        <v>23</v>
      </c>
      <c r="B369" s="10" t="s">
        <v>24</v>
      </c>
      <c r="C369" s="10" t="s">
        <v>25</v>
      </c>
      <c r="D369" s="12">
        <v>2019</v>
      </c>
      <c r="E369" s="10" t="s">
        <v>1541</v>
      </c>
      <c r="F369" s="10" t="s">
        <v>1542</v>
      </c>
      <c r="G369" s="10" t="s">
        <v>54</v>
      </c>
      <c r="H369" s="10" t="s">
        <v>48</v>
      </c>
      <c r="I369" s="13">
        <v>1.3862981081000001</v>
      </c>
      <c r="J369" s="13">
        <v>1.3862981081000001</v>
      </c>
      <c r="K369" s="13">
        <v>0</v>
      </c>
      <c r="L369" s="13">
        <v>1.3862981081000001</v>
      </c>
      <c r="M369" s="13">
        <v>0</v>
      </c>
      <c r="N369" s="10" t="s">
        <v>1543</v>
      </c>
      <c r="O369" s="14">
        <v>4.5</v>
      </c>
      <c r="P369" s="10" t="s">
        <v>31</v>
      </c>
      <c r="Q369" s="14" t="s">
        <v>32</v>
      </c>
      <c r="R369" s="10" t="s">
        <v>33</v>
      </c>
      <c r="S369" s="10" t="s">
        <v>1541</v>
      </c>
      <c r="T369" s="14">
        <f>IF(O369="","",(1/Metadata!$B$5)^(O369-1))</f>
        <v>3162.2776601683804</v>
      </c>
      <c r="U369" s="13">
        <f t="shared" si="5"/>
        <v>4383.8595375783207</v>
      </c>
      <c r="V369" s="19" t="s">
        <v>110</v>
      </c>
      <c r="W369" s="20" t="s">
        <v>1544</v>
      </c>
    </row>
    <row r="370" spans="1:23" ht="18" customHeight="1">
      <c r="A370" s="10" t="s">
        <v>23</v>
      </c>
      <c r="B370" s="10" t="s">
        <v>24</v>
      </c>
      <c r="C370" s="10" t="s">
        <v>25</v>
      </c>
      <c r="D370" s="12">
        <v>2019</v>
      </c>
      <c r="E370" s="10" t="s">
        <v>1545</v>
      </c>
      <c r="F370" s="10" t="s">
        <v>1546</v>
      </c>
      <c r="G370" s="10" t="s">
        <v>155</v>
      </c>
      <c r="H370" s="10" t="s">
        <v>48</v>
      </c>
      <c r="I370" s="13">
        <v>0.9515944381</v>
      </c>
      <c r="J370" s="13">
        <v>0.9515944381</v>
      </c>
      <c r="K370" s="13">
        <v>0</v>
      </c>
      <c r="L370" s="13">
        <v>0</v>
      </c>
      <c r="M370" s="13">
        <v>0.9515944381</v>
      </c>
      <c r="N370" s="10" t="s">
        <v>1547</v>
      </c>
      <c r="O370" s="14">
        <v>4.4800000000000004</v>
      </c>
      <c r="P370" s="10" t="s">
        <v>31</v>
      </c>
      <c r="Q370" s="14" t="s">
        <v>32</v>
      </c>
      <c r="R370" s="10" t="s">
        <v>33</v>
      </c>
      <c r="S370" s="10" t="s">
        <v>1545</v>
      </c>
      <c r="T370" s="14">
        <f>IF(O370="","",(1/Metadata!$B$5)^(O370-1))</f>
        <v>3019.9517204020231</v>
      </c>
      <c r="U370" s="13">
        <f t="shared" si="5"/>
        <v>2873.7692604650915</v>
      </c>
      <c r="V370" s="19" t="s">
        <v>105</v>
      </c>
      <c r="W370" s="20" t="s">
        <v>1548</v>
      </c>
    </row>
    <row r="371" spans="1:23" ht="18" customHeight="1">
      <c r="A371" s="10" t="s">
        <v>23</v>
      </c>
      <c r="B371" s="10" t="s">
        <v>24</v>
      </c>
      <c r="C371" s="10" t="s">
        <v>25</v>
      </c>
      <c r="D371" s="12">
        <v>2019</v>
      </c>
      <c r="E371" s="10" t="s">
        <v>1549</v>
      </c>
      <c r="F371" s="10" t="s">
        <v>1550</v>
      </c>
      <c r="G371" s="10" t="s">
        <v>404</v>
      </c>
      <c r="H371" s="10" t="s">
        <v>48</v>
      </c>
      <c r="I371" s="13">
        <v>0.87441340909999998</v>
      </c>
      <c r="J371" s="13">
        <v>0.87441340909999998</v>
      </c>
      <c r="K371" s="13">
        <v>0</v>
      </c>
      <c r="L371" s="13">
        <v>0</v>
      </c>
      <c r="M371" s="13">
        <v>0.87441340909999998</v>
      </c>
      <c r="N371" s="10" t="s">
        <v>1551</v>
      </c>
      <c r="O371" s="14">
        <v>2.57</v>
      </c>
      <c r="P371" s="10" t="s">
        <v>41</v>
      </c>
      <c r="Q371" s="14" t="s">
        <v>42</v>
      </c>
      <c r="R371" s="10" t="s">
        <v>33</v>
      </c>
      <c r="S371" s="10" t="s">
        <v>1549</v>
      </c>
      <c r="T371" s="14">
        <f>IF(O371="","",(1/Metadata!$B$5)^(O371-1))</f>
        <v>37.15352290971726</v>
      </c>
      <c r="U371" s="13">
        <f t="shared" si="5"/>
        <v>32.487538627560824</v>
      </c>
      <c r="V371" s="22" t="s">
        <v>181</v>
      </c>
      <c r="W371" s="20" t="s">
        <v>1552</v>
      </c>
    </row>
    <row r="372" spans="1:23" ht="18" customHeight="1">
      <c r="A372" s="10" t="s">
        <v>23</v>
      </c>
      <c r="B372" s="10" t="s">
        <v>24</v>
      </c>
      <c r="C372" s="10" t="s">
        <v>25</v>
      </c>
      <c r="D372" s="12">
        <v>2019</v>
      </c>
      <c r="E372" s="10" t="s">
        <v>1553</v>
      </c>
      <c r="F372" s="10" t="s">
        <v>1554</v>
      </c>
      <c r="G372" s="10" t="s">
        <v>65</v>
      </c>
      <c r="H372" s="10" t="s">
        <v>66</v>
      </c>
      <c r="I372" s="13">
        <v>0.74318016519999996</v>
      </c>
      <c r="J372" s="13">
        <v>0.74318016519999996</v>
      </c>
      <c r="K372" s="13">
        <v>0</v>
      </c>
      <c r="L372" s="13">
        <v>0</v>
      </c>
      <c r="M372" s="13">
        <v>0.74318016519999996</v>
      </c>
      <c r="N372" s="10" t="s">
        <v>1555</v>
      </c>
      <c r="O372" s="14">
        <v>3.17</v>
      </c>
      <c r="P372" s="10" t="s">
        <v>31</v>
      </c>
      <c r="Q372" s="14" t="s">
        <v>32</v>
      </c>
      <c r="R372" s="10" t="s">
        <v>33</v>
      </c>
      <c r="S372" s="10" t="s">
        <v>1553</v>
      </c>
      <c r="T372" s="14">
        <f>IF(O372="","",(1/Metadata!$B$5)^(O372-1))</f>
        <v>147.91083881682084</v>
      </c>
      <c r="U372" s="13">
        <f t="shared" si="5"/>
        <v>109.92440162675548</v>
      </c>
      <c r="V372" s="19" t="s">
        <v>322</v>
      </c>
      <c r="W372" s="20" t="s">
        <v>1556</v>
      </c>
    </row>
    <row r="373" spans="1:23" ht="18" customHeight="1">
      <c r="A373" s="10" t="s">
        <v>23</v>
      </c>
      <c r="B373" s="10" t="s">
        <v>24</v>
      </c>
      <c r="C373" s="10" t="s">
        <v>25</v>
      </c>
      <c r="D373" s="12">
        <v>2019</v>
      </c>
      <c r="E373" s="10" t="s">
        <v>1557</v>
      </c>
      <c r="F373" s="10" t="s">
        <v>1558</v>
      </c>
      <c r="G373" s="10" t="s">
        <v>123</v>
      </c>
      <c r="H373" s="10" t="s">
        <v>39</v>
      </c>
      <c r="I373" s="13">
        <v>0.44252336679999998</v>
      </c>
      <c r="J373" s="13">
        <v>0.44252336679999998</v>
      </c>
      <c r="K373" s="13">
        <v>0</v>
      </c>
      <c r="L373" s="13">
        <v>1.31148255E-2</v>
      </c>
      <c r="M373" s="13">
        <v>0.4294085413</v>
      </c>
      <c r="N373" s="10" t="s">
        <v>1559</v>
      </c>
      <c r="O373" s="14">
        <v>2</v>
      </c>
      <c r="P373" s="10" t="s">
        <v>41</v>
      </c>
      <c r="Q373" s="14" t="s">
        <v>42</v>
      </c>
      <c r="R373" s="10" t="s">
        <v>33</v>
      </c>
      <c r="S373" s="10" t="s">
        <v>1557</v>
      </c>
      <c r="T373" s="14">
        <f>IF(O373="","",(1/Metadata!$B$5)^(O373-1))</f>
        <v>10</v>
      </c>
      <c r="U373" s="13">
        <f t="shared" si="5"/>
        <v>4.4252336679999997</v>
      </c>
      <c r="V373" s="19" t="s">
        <v>126</v>
      </c>
      <c r="W373" s="20" t="s">
        <v>1560</v>
      </c>
    </row>
    <row r="374" spans="1:23" ht="18" customHeight="1">
      <c r="A374" s="10" t="s">
        <v>23</v>
      </c>
      <c r="B374" s="10" t="s">
        <v>24</v>
      </c>
      <c r="C374" s="10" t="s">
        <v>25</v>
      </c>
      <c r="D374" s="12">
        <v>2019</v>
      </c>
      <c r="E374" s="10" t="s">
        <v>1561</v>
      </c>
      <c r="F374" s="10" t="s">
        <v>1562</v>
      </c>
      <c r="G374" s="10" t="s">
        <v>123</v>
      </c>
      <c r="H374" s="10" t="s">
        <v>39</v>
      </c>
      <c r="I374" s="13">
        <v>0.44227141959999999</v>
      </c>
      <c r="J374" s="13">
        <v>0.44227141959999999</v>
      </c>
      <c r="K374" s="13">
        <v>0</v>
      </c>
      <c r="L374" s="13">
        <v>1.31073587E-2</v>
      </c>
      <c r="M374" s="13">
        <v>0.42916406089999998</v>
      </c>
      <c r="N374" s="10" t="s">
        <v>1563</v>
      </c>
      <c r="O374" s="14">
        <v>2</v>
      </c>
      <c r="P374" s="10" t="s">
        <v>41</v>
      </c>
      <c r="Q374" s="14" t="s">
        <v>42</v>
      </c>
      <c r="R374" s="10" t="s">
        <v>33</v>
      </c>
      <c r="S374" s="10" t="s">
        <v>1561</v>
      </c>
      <c r="T374" s="14">
        <f>IF(O374="","",(1/Metadata!$B$5)^(O374-1))</f>
        <v>10</v>
      </c>
      <c r="U374" s="13">
        <f t="shared" si="5"/>
        <v>4.4227141960000003</v>
      </c>
      <c r="V374" s="19" t="s">
        <v>126</v>
      </c>
      <c r="W374" s="20" t="s">
        <v>1564</v>
      </c>
    </row>
    <row r="375" spans="1:23" ht="18" customHeight="1">
      <c r="A375" s="10" t="s">
        <v>23</v>
      </c>
      <c r="B375" s="10" t="s">
        <v>24</v>
      </c>
      <c r="C375" s="10" t="s">
        <v>25</v>
      </c>
      <c r="D375" s="12">
        <v>2019</v>
      </c>
      <c r="E375" s="10" t="s">
        <v>1565</v>
      </c>
      <c r="F375" s="10" t="s">
        <v>1566</v>
      </c>
      <c r="G375" s="10" t="s">
        <v>123</v>
      </c>
      <c r="H375" s="10" t="s">
        <v>39</v>
      </c>
      <c r="I375" s="13">
        <v>0.44114415909999999</v>
      </c>
      <c r="J375" s="13">
        <v>0.44114415909999999</v>
      </c>
      <c r="K375" s="13">
        <v>0</v>
      </c>
      <c r="L375" s="13">
        <v>1.30739507E-2</v>
      </c>
      <c r="M375" s="13">
        <v>0.42807020839999999</v>
      </c>
      <c r="N375" s="10" t="s">
        <v>1567</v>
      </c>
      <c r="O375" s="14">
        <v>2</v>
      </c>
      <c r="P375" s="10" t="s">
        <v>31</v>
      </c>
      <c r="Q375" s="14" t="s">
        <v>32</v>
      </c>
      <c r="R375" s="10" t="s">
        <v>33</v>
      </c>
      <c r="S375" s="10" t="s">
        <v>1565</v>
      </c>
      <c r="T375" s="14">
        <f>IF(O375="","",(1/Metadata!$B$5)^(O375-1))</f>
        <v>10</v>
      </c>
      <c r="U375" s="13">
        <f t="shared" si="5"/>
        <v>4.411441591</v>
      </c>
      <c r="V375" s="19" t="s">
        <v>126</v>
      </c>
      <c r="W375" s="20" t="s">
        <v>1568</v>
      </c>
    </row>
    <row r="376" spans="1:23" ht="18" customHeight="1">
      <c r="A376" s="10" t="s">
        <v>23</v>
      </c>
      <c r="B376" s="10" t="s">
        <v>24</v>
      </c>
      <c r="C376" s="10" t="s">
        <v>25</v>
      </c>
      <c r="D376" s="12">
        <v>2019</v>
      </c>
      <c r="E376" s="10" t="s">
        <v>1569</v>
      </c>
      <c r="F376" s="10" t="s">
        <v>1570</v>
      </c>
      <c r="G376" s="10" t="s">
        <v>123</v>
      </c>
      <c r="H376" s="10" t="s">
        <v>39</v>
      </c>
      <c r="I376" s="13">
        <v>0.44081641830000001</v>
      </c>
      <c r="J376" s="13">
        <v>0.44081641830000001</v>
      </c>
      <c r="K376" s="13">
        <v>0</v>
      </c>
      <c r="L376" s="13">
        <v>1.30642376E-2</v>
      </c>
      <c r="M376" s="13">
        <v>0.42775218069999998</v>
      </c>
      <c r="N376" s="10" t="s">
        <v>1571</v>
      </c>
      <c r="O376" s="14">
        <v>2</v>
      </c>
      <c r="P376" s="10" t="s">
        <v>41</v>
      </c>
      <c r="Q376" s="14" t="s">
        <v>42</v>
      </c>
      <c r="R376" s="10" t="s">
        <v>33</v>
      </c>
      <c r="S376" s="10" t="s">
        <v>1569</v>
      </c>
      <c r="T376" s="14">
        <f>IF(O376="","",(1/Metadata!$B$5)^(O376-1))</f>
        <v>10</v>
      </c>
      <c r="U376" s="13">
        <f t="shared" si="5"/>
        <v>4.4081641830000002</v>
      </c>
      <c r="V376" s="19" t="s">
        <v>126</v>
      </c>
      <c r="W376" s="20" t="s">
        <v>1572</v>
      </c>
    </row>
    <row r="377" spans="1:23" ht="18" customHeight="1">
      <c r="A377" s="10" t="s">
        <v>23</v>
      </c>
      <c r="B377" s="10" t="s">
        <v>24</v>
      </c>
      <c r="C377" s="10" t="s">
        <v>25</v>
      </c>
      <c r="D377" s="12">
        <v>2019</v>
      </c>
      <c r="E377" s="10" t="s">
        <v>1573</v>
      </c>
      <c r="F377" s="10" t="s">
        <v>1574</v>
      </c>
      <c r="G377" s="10" t="s">
        <v>123</v>
      </c>
      <c r="H377" s="10" t="s">
        <v>39</v>
      </c>
      <c r="I377" s="13">
        <v>0.44079111459999998</v>
      </c>
      <c r="J377" s="13">
        <v>0.44079111459999998</v>
      </c>
      <c r="K377" s="13">
        <v>0</v>
      </c>
      <c r="L377" s="13">
        <v>1.30634876E-2</v>
      </c>
      <c r="M377" s="13">
        <v>0.427727627</v>
      </c>
      <c r="N377" s="10" t="s">
        <v>1575</v>
      </c>
      <c r="O377" s="14">
        <v>2</v>
      </c>
      <c r="P377" s="10" t="s">
        <v>41</v>
      </c>
      <c r="Q377" s="14" t="s">
        <v>42</v>
      </c>
      <c r="R377" s="10" t="s">
        <v>33</v>
      </c>
      <c r="S377" s="10" t="s">
        <v>1573</v>
      </c>
      <c r="T377" s="14">
        <f>IF(O377="","",(1/Metadata!$B$5)^(O377-1))</f>
        <v>10</v>
      </c>
      <c r="U377" s="13">
        <f t="shared" si="5"/>
        <v>4.407911146</v>
      </c>
      <c r="V377" s="19" t="s">
        <v>126</v>
      </c>
      <c r="W377" s="20" t="s">
        <v>1576</v>
      </c>
    </row>
    <row r="378" spans="1:23" ht="18" customHeight="1">
      <c r="A378" s="10" t="s">
        <v>23</v>
      </c>
      <c r="B378" s="10" t="s">
        <v>24</v>
      </c>
      <c r="C378" s="10" t="s">
        <v>25</v>
      </c>
      <c r="D378" s="12">
        <v>2019</v>
      </c>
      <c r="E378" s="10" t="s">
        <v>1577</v>
      </c>
      <c r="F378" s="10" t="s">
        <v>1578</v>
      </c>
      <c r="G378" s="10" t="s">
        <v>155</v>
      </c>
      <c r="H378" s="10" t="s">
        <v>48</v>
      </c>
      <c r="I378" s="13">
        <v>0.41859753570000002</v>
      </c>
      <c r="J378" s="13">
        <v>0.41859753570000002</v>
      </c>
      <c r="K378" s="13">
        <v>0</v>
      </c>
      <c r="L378" s="13">
        <v>0.41859753570000002</v>
      </c>
      <c r="M378" s="13">
        <v>0</v>
      </c>
      <c r="N378" s="10" t="s">
        <v>1579</v>
      </c>
      <c r="O378" s="14">
        <v>3.72</v>
      </c>
      <c r="P378" s="10" t="s">
        <v>31</v>
      </c>
      <c r="Q378" s="14" t="s">
        <v>32</v>
      </c>
      <c r="R378" s="10" t="s">
        <v>33</v>
      </c>
      <c r="S378" s="10" t="s">
        <v>1577</v>
      </c>
      <c r="T378" s="14">
        <f>IF(O378="","",(1/Metadata!$B$5)^(O378-1))</f>
        <v>524.80746024977293</v>
      </c>
      <c r="U378" s="13">
        <f t="shared" si="5"/>
        <v>219.68310957753067</v>
      </c>
      <c r="V378" s="19" t="s">
        <v>105</v>
      </c>
      <c r="W378" s="20" t="s">
        <v>1580</v>
      </c>
    </row>
    <row r="379" spans="1:23" ht="18" customHeight="1">
      <c r="A379" s="10" t="s">
        <v>23</v>
      </c>
      <c r="B379" s="10" t="s">
        <v>24</v>
      </c>
      <c r="C379" s="10" t="s">
        <v>25</v>
      </c>
      <c r="D379" s="12">
        <v>2019</v>
      </c>
      <c r="E379" s="10" t="s">
        <v>1581</v>
      </c>
      <c r="F379" s="10" t="s">
        <v>1582</v>
      </c>
      <c r="G379" s="10" t="s">
        <v>65</v>
      </c>
      <c r="H379" s="10" t="s">
        <v>66</v>
      </c>
      <c r="I379" s="13">
        <v>0.40061833610000003</v>
      </c>
      <c r="J379" s="13">
        <v>0.40061833610000003</v>
      </c>
      <c r="K379" s="13">
        <v>0</v>
      </c>
      <c r="L379" s="13">
        <v>9.2422422399999996E-2</v>
      </c>
      <c r="M379" s="13">
        <v>0.30819591369999999</v>
      </c>
      <c r="N379" s="10" t="s">
        <v>1583</v>
      </c>
      <c r="O379" s="14">
        <v>3.57</v>
      </c>
      <c r="P379" s="10" t="s">
        <v>41</v>
      </c>
      <c r="Q379" s="14" t="s">
        <v>42</v>
      </c>
      <c r="R379" s="10" t="s">
        <v>33</v>
      </c>
      <c r="S379" s="10" t="s">
        <v>1581</v>
      </c>
      <c r="T379" s="14">
        <f>IF(O379="","",(1/Metadata!$B$5)^(O379-1))</f>
        <v>371.53522909717265</v>
      </c>
      <c r="U379" s="13">
        <f t="shared" si="5"/>
        <v>148.84382528344162</v>
      </c>
      <c r="V379" s="19" t="s">
        <v>322</v>
      </c>
      <c r="W379" s="20" t="s">
        <v>1584</v>
      </c>
    </row>
    <row r="380" spans="1:23" ht="18" customHeight="1">
      <c r="A380" s="10" t="s">
        <v>23</v>
      </c>
      <c r="B380" s="10" t="s">
        <v>24</v>
      </c>
      <c r="C380" s="10" t="s">
        <v>25</v>
      </c>
      <c r="D380" s="12">
        <v>2019</v>
      </c>
      <c r="E380" s="10" t="s">
        <v>1585</v>
      </c>
      <c r="F380" s="10" t="s">
        <v>1586</v>
      </c>
      <c r="G380" s="10" t="s">
        <v>134</v>
      </c>
      <c r="H380" s="10" t="s">
        <v>48</v>
      </c>
      <c r="I380" s="13">
        <v>0.1588787035</v>
      </c>
      <c r="J380" s="13">
        <v>0</v>
      </c>
      <c r="K380" s="13">
        <v>0.1588787035</v>
      </c>
      <c r="L380" s="13">
        <v>0</v>
      </c>
      <c r="M380" s="13">
        <v>0.1588787035</v>
      </c>
      <c r="N380" s="10" t="s">
        <v>1587</v>
      </c>
      <c r="O380" s="14">
        <v>4.3099999999999996</v>
      </c>
      <c r="P380" s="10" t="s">
        <v>31</v>
      </c>
      <c r="Q380" s="14" t="s">
        <v>32</v>
      </c>
      <c r="R380" s="10" t="s">
        <v>33</v>
      </c>
      <c r="S380" s="10" t="s">
        <v>1585</v>
      </c>
      <c r="T380" s="14">
        <f>IF(O380="","",(1/Metadata!$B$5)^(O380-1))</f>
        <v>2041.7379446695281</v>
      </c>
      <c r="U380" s="13">
        <f t="shared" si="5"/>
        <v>324.38867753584935</v>
      </c>
      <c r="V380" s="19" t="s">
        <v>136</v>
      </c>
      <c r="W380" s="20" t="s">
        <v>1588</v>
      </c>
    </row>
    <row r="381" spans="1:23" ht="18" customHeight="1">
      <c r="A381" s="10" t="s">
        <v>23</v>
      </c>
      <c r="B381" s="10" t="s">
        <v>24</v>
      </c>
      <c r="C381" s="10" t="s">
        <v>25</v>
      </c>
      <c r="D381" s="12">
        <v>2019</v>
      </c>
      <c r="E381" s="10" t="s">
        <v>1589</v>
      </c>
      <c r="F381" s="10" t="s">
        <v>1590</v>
      </c>
      <c r="G381" s="10" t="s">
        <v>65</v>
      </c>
      <c r="H381" s="10" t="s">
        <v>66</v>
      </c>
      <c r="I381" s="13">
        <v>0.10573147450000001</v>
      </c>
      <c r="J381" s="13">
        <v>0.10573147450000001</v>
      </c>
      <c r="K381" s="13">
        <v>0</v>
      </c>
      <c r="L381" s="13">
        <v>2.9837750000000001E-3</v>
      </c>
      <c r="M381" s="13">
        <v>0.1027476995</v>
      </c>
      <c r="N381" s="10" t="s">
        <v>1591</v>
      </c>
      <c r="O381" s="14">
        <v>3.57</v>
      </c>
      <c r="P381" s="10" t="s">
        <v>41</v>
      </c>
      <c r="Q381" s="14" t="s">
        <v>42</v>
      </c>
      <c r="R381" s="10" t="s">
        <v>33</v>
      </c>
      <c r="S381" s="10" t="s">
        <v>1589</v>
      </c>
      <c r="T381" s="14">
        <f>IF(O381="","",(1/Metadata!$B$5)^(O381-1))</f>
        <v>371.53522909717265</v>
      </c>
      <c r="U381" s="13">
        <f t="shared" si="5"/>
        <v>39.282967601139369</v>
      </c>
      <c r="V381" s="19" t="s">
        <v>322</v>
      </c>
      <c r="W381" s="20" t="s">
        <v>1592</v>
      </c>
    </row>
    <row r="382" spans="1:23" ht="18" customHeight="1">
      <c r="A382" s="10" t="s">
        <v>23</v>
      </c>
      <c r="B382" s="10" t="s">
        <v>24</v>
      </c>
      <c r="C382" s="10" t="s">
        <v>25</v>
      </c>
      <c r="D382" s="12">
        <v>2019</v>
      </c>
      <c r="E382" s="10" t="s">
        <v>1593</v>
      </c>
      <c r="F382" s="10" t="s">
        <v>1594</v>
      </c>
      <c r="G382" s="10" t="s">
        <v>155</v>
      </c>
      <c r="H382" s="10" t="s">
        <v>48</v>
      </c>
      <c r="I382" s="13">
        <v>9.5978643000000002E-2</v>
      </c>
      <c r="J382" s="13">
        <v>9.5978643000000002E-2</v>
      </c>
      <c r="K382" s="13">
        <v>0</v>
      </c>
      <c r="L382" s="13">
        <v>0</v>
      </c>
      <c r="M382" s="13">
        <v>9.5978643000000002E-2</v>
      </c>
      <c r="N382" s="10" t="s">
        <v>1595</v>
      </c>
      <c r="O382" s="14">
        <v>2</v>
      </c>
      <c r="P382" s="10" t="s">
        <v>31</v>
      </c>
      <c r="Q382" s="14" t="s">
        <v>32</v>
      </c>
      <c r="R382" s="10" t="s">
        <v>33</v>
      </c>
      <c r="S382" s="10" t="s">
        <v>1593</v>
      </c>
      <c r="T382" s="14">
        <f>IF(O382="","",(1/Metadata!$B$5)^(O382-1))</f>
        <v>10</v>
      </c>
      <c r="U382" s="13">
        <f t="shared" si="5"/>
        <v>0.95978643000000008</v>
      </c>
      <c r="V382" s="22" t="s">
        <v>181</v>
      </c>
      <c r="W382" s="20" t="s">
        <v>1596</v>
      </c>
    </row>
    <row r="383" spans="1:23" ht="18" customHeight="1">
      <c r="A383" s="10" t="s">
        <v>23</v>
      </c>
      <c r="B383" s="10" t="s">
        <v>24</v>
      </c>
      <c r="C383" s="10" t="s">
        <v>25</v>
      </c>
      <c r="D383" s="12">
        <v>2019</v>
      </c>
      <c r="E383" s="10" t="s">
        <v>1597</v>
      </c>
      <c r="F383" s="10" t="s">
        <v>1598</v>
      </c>
      <c r="G383" s="10" t="s">
        <v>81</v>
      </c>
      <c r="H383" s="10" t="s">
        <v>66</v>
      </c>
      <c r="I383" s="13">
        <v>5.1961732900000002E-2</v>
      </c>
      <c r="J383" s="13">
        <v>5.1961732900000002E-2</v>
      </c>
      <c r="K383" s="13">
        <v>0</v>
      </c>
      <c r="L383" s="13">
        <v>0</v>
      </c>
      <c r="M383" s="13">
        <v>5.1961732900000002E-2</v>
      </c>
      <c r="N383" s="10" t="s">
        <v>1599</v>
      </c>
      <c r="O383" s="14">
        <v>2.7</v>
      </c>
      <c r="P383" s="10" t="s">
        <v>41</v>
      </c>
      <c r="Q383" s="14" t="s">
        <v>42</v>
      </c>
      <c r="R383" s="10" t="s">
        <v>33</v>
      </c>
      <c r="S383" s="10" t="s">
        <v>1597</v>
      </c>
      <c r="T383" s="14">
        <f>IF(O383="","",(1/Metadata!$B$5)^(O383-1))</f>
        <v>50.118723362727259</v>
      </c>
      <c r="U383" s="13">
        <f t="shared" si="5"/>
        <v>2.6042557166630238</v>
      </c>
      <c r="V383" s="19" t="s">
        <v>81</v>
      </c>
      <c r="W383" s="20" t="s">
        <v>1600</v>
      </c>
    </row>
    <row r="384" spans="1:23" ht="18" customHeight="1">
      <c r="A384" s="10" t="s">
        <v>23</v>
      </c>
      <c r="B384" s="10" t="s">
        <v>24</v>
      </c>
      <c r="C384" s="10" t="s">
        <v>25</v>
      </c>
      <c r="D384" s="12">
        <v>2019</v>
      </c>
      <c r="E384" s="10" t="s">
        <v>1601</v>
      </c>
      <c r="F384" s="10" t="s">
        <v>1602</v>
      </c>
      <c r="G384" s="10" t="s">
        <v>134</v>
      </c>
      <c r="H384" s="10" t="s">
        <v>48</v>
      </c>
      <c r="I384" s="13">
        <v>3.55918135E-2</v>
      </c>
      <c r="J384" s="13">
        <v>0</v>
      </c>
      <c r="K384" s="13">
        <v>3.55918135E-2</v>
      </c>
      <c r="L384" s="13">
        <v>0</v>
      </c>
      <c r="M384" s="13">
        <v>3.55918135E-2</v>
      </c>
      <c r="N384" s="10" t="s">
        <v>1603</v>
      </c>
      <c r="O384" s="14">
        <v>4.42</v>
      </c>
      <c r="P384" s="10" t="s">
        <v>41</v>
      </c>
      <c r="Q384" s="14" t="s">
        <v>42</v>
      </c>
      <c r="R384" s="10" t="s">
        <v>33</v>
      </c>
      <c r="S384" s="10" t="s">
        <v>1601</v>
      </c>
      <c r="T384" s="14">
        <f>IF(O384="","",(1/Metadata!$B$5)^(O384-1))</f>
        <v>2630.2679918953822</v>
      </c>
      <c r="U384" s="13">
        <f t="shared" si="5"/>
        <v>93.616007822559951</v>
      </c>
      <c r="V384" s="19" t="s">
        <v>136</v>
      </c>
      <c r="W384" s="20" t="s">
        <v>1604</v>
      </c>
    </row>
    <row r="385" spans="1:23" ht="18" customHeight="1">
      <c r="A385" s="10" t="s">
        <v>23</v>
      </c>
      <c r="B385" s="10" t="s">
        <v>24</v>
      </c>
      <c r="C385" s="10" t="s">
        <v>25</v>
      </c>
      <c r="D385" s="12">
        <v>2019</v>
      </c>
      <c r="E385" s="10" t="s">
        <v>1605</v>
      </c>
      <c r="F385" s="10" t="s">
        <v>1606</v>
      </c>
      <c r="G385" s="10" t="s">
        <v>334</v>
      </c>
      <c r="H385" s="10" t="s">
        <v>149</v>
      </c>
      <c r="I385" s="13">
        <v>3.28926779E-2</v>
      </c>
      <c r="J385" s="13">
        <v>3.28926779E-2</v>
      </c>
      <c r="K385" s="13">
        <v>0</v>
      </c>
      <c r="L385" s="13">
        <v>3.28926779E-2</v>
      </c>
      <c r="M385" s="13">
        <v>0</v>
      </c>
      <c r="N385" s="10" t="s">
        <v>1607</v>
      </c>
      <c r="O385" s="14">
        <v>3.46</v>
      </c>
      <c r="P385" s="10" t="s">
        <v>41</v>
      </c>
      <c r="Q385" s="14" t="s">
        <v>42</v>
      </c>
      <c r="R385" s="10" t="s">
        <v>33</v>
      </c>
      <c r="S385" s="10" t="s">
        <v>1605</v>
      </c>
      <c r="T385" s="14">
        <f>IF(O385="","",(1/Metadata!$B$5)^(O385-1))</f>
        <v>288.40315031266073</v>
      </c>
      <c r="U385" s="13">
        <f t="shared" si="5"/>
        <v>9.4863519285796336</v>
      </c>
      <c r="V385" s="19" t="s">
        <v>336</v>
      </c>
      <c r="W385" s="20" t="s">
        <v>1608</v>
      </c>
    </row>
    <row r="386" spans="1:23" ht="18" customHeight="1">
      <c r="A386" s="10" t="s">
        <v>23</v>
      </c>
      <c r="B386" s="10" t="s">
        <v>24</v>
      </c>
      <c r="C386" s="10" t="s">
        <v>25</v>
      </c>
      <c r="D386" s="12">
        <v>2019</v>
      </c>
      <c r="E386" s="10" t="s">
        <v>1609</v>
      </c>
      <c r="F386" s="10" t="s">
        <v>1610</v>
      </c>
      <c r="G386" s="10" t="s">
        <v>155</v>
      </c>
      <c r="H386" s="10" t="s">
        <v>48</v>
      </c>
      <c r="I386" s="13">
        <v>8.8920205999999998E-3</v>
      </c>
      <c r="J386" s="13">
        <v>8.8920205999999998E-3</v>
      </c>
      <c r="K386" s="13">
        <v>0</v>
      </c>
      <c r="L386" s="13">
        <v>0</v>
      </c>
      <c r="M386" s="13">
        <v>8.8920205999999998E-3</v>
      </c>
      <c r="N386" s="10" t="s">
        <v>1611</v>
      </c>
      <c r="O386" s="14">
        <v>3.76</v>
      </c>
      <c r="P386" s="10" t="s">
        <v>31</v>
      </c>
      <c r="Q386" s="14" t="s">
        <v>32</v>
      </c>
      <c r="R386" s="10" t="s">
        <v>33</v>
      </c>
      <c r="S386" s="10" t="s">
        <v>1609</v>
      </c>
      <c r="T386" s="14">
        <f>IF(O386="","",(1/Metadata!$B$5)^(O386-1))</f>
        <v>575.43993733715706</v>
      </c>
      <c r="U386" s="13">
        <f t="shared" ref="U386:U449" si="6">IF(T386="","",I386*T386)</f>
        <v>5.1168237768647096</v>
      </c>
      <c r="V386" s="22" t="s">
        <v>105</v>
      </c>
      <c r="W386" s="20" t="s">
        <v>1612</v>
      </c>
    </row>
    <row r="387" spans="1:23" ht="18" customHeight="1">
      <c r="A387" s="10" t="s">
        <v>23</v>
      </c>
      <c r="B387" s="10" t="s">
        <v>24</v>
      </c>
      <c r="C387" s="10" t="s">
        <v>25</v>
      </c>
      <c r="D387" s="12">
        <v>2019</v>
      </c>
      <c r="E387" s="10" t="s">
        <v>1613</v>
      </c>
      <c r="F387" s="10" t="s">
        <v>1614</v>
      </c>
      <c r="G387" s="10" t="s">
        <v>178</v>
      </c>
      <c r="H387" s="10" t="s">
        <v>179</v>
      </c>
      <c r="I387" s="13">
        <v>8.3895745000000001E-3</v>
      </c>
      <c r="J387" s="13">
        <v>8.3895745000000001E-3</v>
      </c>
      <c r="K387" s="13">
        <v>0</v>
      </c>
      <c r="L387" s="13">
        <v>4.6195356999999999E-3</v>
      </c>
      <c r="M387" s="13">
        <v>3.7700388000000001E-3</v>
      </c>
      <c r="N387" s="10" t="s">
        <v>1615</v>
      </c>
      <c r="O387" s="14">
        <v>3.77</v>
      </c>
      <c r="P387" s="10" t="s">
        <v>41</v>
      </c>
      <c r="Q387" s="14" t="s">
        <v>42</v>
      </c>
      <c r="R387" s="10" t="s">
        <v>33</v>
      </c>
      <c r="S387" s="10" t="s">
        <v>1613</v>
      </c>
      <c r="T387" s="14">
        <f>IF(O387="","",(1/Metadata!$B$5)^(O387-1))</f>
        <v>588.84365535558959</v>
      </c>
      <c r="U387" s="13">
        <f t="shared" si="6"/>
        <v>4.9401477154580427</v>
      </c>
      <c r="V387" s="19" t="s">
        <v>92</v>
      </c>
      <c r="W387" s="20" t="s">
        <v>1616</v>
      </c>
    </row>
    <row r="388" spans="1:23" ht="18" customHeight="1">
      <c r="A388" s="10" t="s">
        <v>23</v>
      </c>
      <c r="B388" s="10" t="s">
        <v>24</v>
      </c>
      <c r="C388" s="10" t="s">
        <v>25</v>
      </c>
      <c r="D388" s="12">
        <v>2019</v>
      </c>
      <c r="E388" s="10" t="s">
        <v>1617</v>
      </c>
      <c r="F388" s="10" t="s">
        <v>1618</v>
      </c>
      <c r="G388" s="10" t="s">
        <v>123</v>
      </c>
      <c r="H388" s="10" t="s">
        <v>124</v>
      </c>
      <c r="I388" s="13">
        <v>2.6467163E-3</v>
      </c>
      <c r="J388" s="13">
        <v>2.6467163E-3</v>
      </c>
      <c r="K388" s="13">
        <v>0</v>
      </c>
      <c r="L388" s="13">
        <v>0</v>
      </c>
      <c r="M388" s="13">
        <v>2.6467163E-3</v>
      </c>
      <c r="N388" s="10" t="s">
        <v>1619</v>
      </c>
      <c r="O388" s="14">
        <v>2</v>
      </c>
      <c r="P388" s="10" t="s">
        <v>41</v>
      </c>
      <c r="Q388" s="14" t="s">
        <v>42</v>
      </c>
      <c r="R388" s="10" t="s">
        <v>33</v>
      </c>
      <c r="S388" s="10" t="s">
        <v>1617</v>
      </c>
      <c r="T388" s="14">
        <f>IF(O388="","",(1/Metadata!$B$5)^(O388-1))</f>
        <v>10</v>
      </c>
      <c r="U388" s="13">
        <f t="shared" si="6"/>
        <v>2.6467163000000002E-2</v>
      </c>
      <c r="V388" s="19" t="s">
        <v>126</v>
      </c>
      <c r="W388" s="20" t="s">
        <v>1620</v>
      </c>
    </row>
    <row r="389" spans="1:23" ht="18" customHeight="1">
      <c r="A389" s="10" t="s">
        <v>23</v>
      </c>
      <c r="B389" s="10" t="s">
        <v>24</v>
      </c>
      <c r="C389" s="10" t="s">
        <v>25</v>
      </c>
      <c r="D389" s="12">
        <v>2019</v>
      </c>
      <c r="E389" s="10" t="s">
        <v>1621</v>
      </c>
      <c r="F389" s="10" t="s">
        <v>1622</v>
      </c>
      <c r="G389" s="10" t="s">
        <v>38</v>
      </c>
      <c r="H389" s="10" t="s">
        <v>48</v>
      </c>
      <c r="I389" s="13">
        <v>2.0736764000000001E-3</v>
      </c>
      <c r="J389" s="13">
        <v>2.0736764000000001E-3</v>
      </c>
      <c r="K389" s="13">
        <v>0</v>
      </c>
      <c r="L389" s="13">
        <v>0</v>
      </c>
      <c r="M389" s="13">
        <v>2.0736764000000001E-3</v>
      </c>
      <c r="N389" s="10" t="s">
        <v>1623</v>
      </c>
      <c r="O389" s="14">
        <v>3.84</v>
      </c>
      <c r="P389" s="10" t="s">
        <v>31</v>
      </c>
      <c r="Q389" s="14" t="s">
        <v>32</v>
      </c>
      <c r="R389" s="10" t="s">
        <v>33</v>
      </c>
      <c r="S389" s="10" t="s">
        <v>1621</v>
      </c>
      <c r="T389" s="14">
        <f>IF(O389="","",(1/Metadata!$B$5)^(O389-1))</f>
        <v>691.83097091893671</v>
      </c>
      <c r="U389" s="13">
        <f t="shared" si="6"/>
        <v>1.4346335571836855</v>
      </c>
      <c r="V389" s="19" t="s">
        <v>105</v>
      </c>
      <c r="W389" s="20" t="s">
        <v>1624</v>
      </c>
    </row>
    <row r="390" spans="1:23" ht="18" customHeight="1">
      <c r="A390" s="10" t="s">
        <v>23</v>
      </c>
      <c r="B390" s="10" t="s">
        <v>24</v>
      </c>
      <c r="C390" s="10" t="s">
        <v>25</v>
      </c>
      <c r="D390" s="12">
        <v>2019</v>
      </c>
      <c r="E390" s="10" t="s">
        <v>1625</v>
      </c>
      <c r="F390" s="10" t="s">
        <v>1626</v>
      </c>
      <c r="G390" s="10" t="s">
        <v>118</v>
      </c>
      <c r="H390" s="10" t="s">
        <v>39</v>
      </c>
      <c r="I390" s="13">
        <v>1.8448583000000001E-3</v>
      </c>
      <c r="J390" s="13">
        <v>1.8448583000000001E-3</v>
      </c>
      <c r="K390" s="13">
        <v>0</v>
      </c>
      <c r="L390" s="13">
        <v>1.8448583000000001E-3</v>
      </c>
      <c r="M390" s="13">
        <v>0</v>
      </c>
      <c r="N390" s="10" t="s">
        <v>1627</v>
      </c>
      <c r="O390" s="14">
        <v>3.58</v>
      </c>
      <c r="P390" s="10" t="s">
        <v>41</v>
      </c>
      <c r="Q390" s="14" t="s">
        <v>42</v>
      </c>
      <c r="R390" s="10" t="s">
        <v>33</v>
      </c>
      <c r="S390" s="10" t="s">
        <v>1625</v>
      </c>
      <c r="T390" s="14">
        <f>IF(O390="","",(1/Metadata!$B$5)^(O390-1))</f>
        <v>380.18939632056163</v>
      </c>
      <c r="U390" s="13">
        <f t="shared" si="6"/>
        <v>0.70139556337397757</v>
      </c>
      <c r="V390" s="19" t="s">
        <v>118</v>
      </c>
      <c r="W390" s="20" t="s">
        <v>1628</v>
      </c>
    </row>
    <row r="391" spans="1:23" ht="18" customHeight="1">
      <c r="A391" s="10" t="s">
        <v>23</v>
      </c>
      <c r="B391" s="10" t="s">
        <v>24</v>
      </c>
      <c r="C391" s="10" t="s">
        <v>25</v>
      </c>
      <c r="D391" s="12">
        <v>2019</v>
      </c>
      <c r="E391" s="10" t="s">
        <v>1629</v>
      </c>
      <c r="F391" s="10" t="s">
        <v>1630</v>
      </c>
      <c r="G391" s="10" t="s">
        <v>65</v>
      </c>
      <c r="H391" s="10" t="s">
        <v>66</v>
      </c>
      <c r="I391" s="13">
        <v>8.9463100000000001E-4</v>
      </c>
      <c r="J391" s="13">
        <v>8.9463100000000001E-4</v>
      </c>
      <c r="K391" s="13">
        <v>0</v>
      </c>
      <c r="L391" s="13">
        <v>8.9463100000000001E-4</v>
      </c>
      <c r="M391" s="13">
        <v>0</v>
      </c>
      <c r="N391" s="10" t="s">
        <v>1631</v>
      </c>
      <c r="O391" s="14">
        <v>3.26</v>
      </c>
      <c r="P391" s="10" t="s">
        <v>41</v>
      </c>
      <c r="Q391" s="14" t="s">
        <v>42</v>
      </c>
      <c r="R391" s="10" t="s">
        <v>33</v>
      </c>
      <c r="S391" s="10" t="s">
        <v>1629</v>
      </c>
      <c r="T391" s="14">
        <f>IF(O391="","",(1/Metadata!$B$5)^(O391-1))</f>
        <v>181.9700858609983</v>
      </c>
      <c r="U391" s="13">
        <f t="shared" si="6"/>
        <v>0.16279607988391076</v>
      </c>
      <c r="V391" s="19" t="s">
        <v>322</v>
      </c>
      <c r="W391" s="20" t="s">
        <v>1632</v>
      </c>
    </row>
    <row r="392" spans="1:23" ht="18" customHeight="1">
      <c r="A392" s="10" t="s">
        <v>23</v>
      </c>
      <c r="B392" s="10" t="s">
        <v>24</v>
      </c>
      <c r="C392" s="10" t="s">
        <v>25</v>
      </c>
      <c r="D392" s="12">
        <v>2019</v>
      </c>
      <c r="E392" s="10" t="s">
        <v>1633</v>
      </c>
      <c r="F392" s="10" t="s">
        <v>1634</v>
      </c>
      <c r="G392" s="10" t="s">
        <v>155</v>
      </c>
      <c r="H392" s="10" t="s">
        <v>48</v>
      </c>
      <c r="I392" s="13">
        <v>2.4132299999999999E-4</v>
      </c>
      <c r="J392" s="13">
        <v>2.4132299999999999E-4</v>
      </c>
      <c r="K392" s="13">
        <v>0</v>
      </c>
      <c r="L392" s="13">
        <v>0</v>
      </c>
      <c r="M392" s="13">
        <v>2.4132299999999999E-4</v>
      </c>
      <c r="N392" s="10" t="s">
        <v>1635</v>
      </c>
      <c r="O392" s="14">
        <v>2.86</v>
      </c>
      <c r="P392" s="10" t="s">
        <v>41</v>
      </c>
      <c r="Q392" s="14" t="s">
        <v>42</v>
      </c>
      <c r="R392" s="10" t="s">
        <v>33</v>
      </c>
      <c r="S392" s="10" t="s">
        <v>1633</v>
      </c>
      <c r="T392" s="14">
        <f>IF(O392="","",(1/Metadata!$B$5)^(O392-1))</f>
        <v>72.443596007499011</v>
      </c>
      <c r="U392" s="13">
        <f t="shared" si="6"/>
        <v>1.7482305919317685E-2</v>
      </c>
      <c r="V392" s="22" t="s">
        <v>181</v>
      </c>
      <c r="W392" s="20" t="s">
        <v>1636</v>
      </c>
    </row>
    <row r="393" spans="1:23" ht="18" customHeight="1">
      <c r="A393" s="10" t="s">
        <v>23</v>
      </c>
      <c r="B393" s="10" t="s">
        <v>24</v>
      </c>
      <c r="C393" s="10" t="s">
        <v>25</v>
      </c>
      <c r="D393" s="12">
        <v>2019</v>
      </c>
      <c r="E393" s="10" t="s">
        <v>1637</v>
      </c>
      <c r="F393" s="10" t="s">
        <v>1638</v>
      </c>
      <c r="G393" s="10" t="s">
        <v>404</v>
      </c>
      <c r="H393" s="10" t="s">
        <v>48</v>
      </c>
      <c r="I393" s="13">
        <v>1.3533199999999999E-5</v>
      </c>
      <c r="J393" s="13">
        <v>1.3533199999999999E-5</v>
      </c>
      <c r="K393" s="13">
        <v>0</v>
      </c>
      <c r="L393" s="13">
        <v>0</v>
      </c>
      <c r="M393" s="13">
        <v>1.3533199999999999E-5</v>
      </c>
      <c r="N393" s="10" t="s">
        <v>1639</v>
      </c>
      <c r="O393" s="14">
        <v>2.2799999999999998</v>
      </c>
      <c r="P393" s="10" t="s">
        <v>41</v>
      </c>
      <c r="Q393" s="14" t="s">
        <v>42</v>
      </c>
      <c r="R393" s="10" t="s">
        <v>33</v>
      </c>
      <c r="S393" s="10" t="s">
        <v>1637</v>
      </c>
      <c r="T393" s="14">
        <f>IF(O393="","",(1/Metadata!$B$5)^(O393-1))</f>
        <v>19.054607179632466</v>
      </c>
      <c r="U393" s="13">
        <f t="shared" si="6"/>
        <v>2.5786980988340208E-4</v>
      </c>
      <c r="V393" s="22" t="s">
        <v>181</v>
      </c>
      <c r="W393" s="20" t="s">
        <v>1640</v>
      </c>
    </row>
    <row r="394" spans="1:23" ht="18" customHeight="1">
      <c r="A394" s="10" t="s">
        <v>23</v>
      </c>
      <c r="B394" s="10" t="s">
        <v>24</v>
      </c>
      <c r="C394" s="10" t="s">
        <v>25</v>
      </c>
      <c r="D394" s="12">
        <v>2019</v>
      </c>
      <c r="E394" s="10" t="s">
        <v>1641</v>
      </c>
      <c r="F394" s="10" t="s">
        <v>1642</v>
      </c>
      <c r="G394" s="10" t="s">
        <v>155</v>
      </c>
      <c r="H394" s="10" t="s">
        <v>48</v>
      </c>
      <c r="I394" s="13">
        <v>7.7186999999999995E-6</v>
      </c>
      <c r="J394" s="13">
        <v>7.7186999999999995E-6</v>
      </c>
      <c r="K394" s="13">
        <v>0</v>
      </c>
      <c r="L394" s="13">
        <v>0</v>
      </c>
      <c r="M394" s="13">
        <v>7.7186999999999995E-6</v>
      </c>
      <c r="N394" s="10" t="s">
        <v>1643</v>
      </c>
      <c r="O394" s="14">
        <v>3.46</v>
      </c>
      <c r="P394" s="10" t="s">
        <v>41</v>
      </c>
      <c r="Q394" s="14" t="s">
        <v>42</v>
      </c>
      <c r="R394" s="10" t="s">
        <v>33</v>
      </c>
      <c r="S394" s="10" t="s">
        <v>1641</v>
      </c>
      <c r="T394" s="14">
        <f>IF(O394="","",(1/Metadata!$B$5)^(O394-1))</f>
        <v>288.40315031266073</v>
      </c>
      <c r="U394" s="13">
        <f t="shared" si="6"/>
        <v>2.2260973963183343E-3</v>
      </c>
      <c r="V394" s="22" t="s">
        <v>92</v>
      </c>
      <c r="W394" s="20" t="s">
        <v>1644</v>
      </c>
    </row>
  </sheetData>
  <conditionalFormatting sqref="R2:R394">
    <cfRule type="containsText" dxfId="2" priority="1" operator="containsText" text="low"/>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
  <sheetViews>
    <sheetView showGridLines="0" workbookViewId="0"/>
  </sheetViews>
  <sheetFormatPr defaultRowHeight="14"/>
  <cols>
    <col min="1" max="1" width="26" customWidth="1"/>
    <col min="2" max="3" width="22" customWidth="1"/>
    <col min="4" max="6" width="18" customWidth="1"/>
    <col min="7" max="7" width="16" customWidth="1"/>
    <col min="8" max="9" width="18" customWidth="1"/>
    <col min="10" max="10" width="15" customWidth="1"/>
    <col min="11" max="13" width="18" customWidth="1"/>
    <col min="14" max="15" width="16" customWidth="1"/>
  </cols>
  <sheetData>
    <row r="1" spans="1:15" ht="32" customHeight="1">
      <c r="A1" s="11" t="s">
        <v>7</v>
      </c>
      <c r="B1" s="11" t="s">
        <v>1645</v>
      </c>
      <c r="C1" s="11" t="s">
        <v>1646</v>
      </c>
      <c r="D1" s="11" t="s">
        <v>1647</v>
      </c>
      <c r="E1" s="11" t="s">
        <v>1648</v>
      </c>
      <c r="F1" s="11" t="s">
        <v>1649</v>
      </c>
      <c r="G1" s="11" t="s">
        <v>1650</v>
      </c>
      <c r="H1" s="11" t="s">
        <v>1651</v>
      </c>
      <c r="I1" s="11" t="s">
        <v>1652</v>
      </c>
      <c r="J1" s="11" t="s">
        <v>1653</v>
      </c>
      <c r="K1" s="11" t="s">
        <v>1654</v>
      </c>
      <c r="L1" s="11" t="s">
        <v>1655</v>
      </c>
      <c r="M1" s="11" t="s">
        <v>1656</v>
      </c>
      <c r="N1" s="11" t="s">
        <v>1657</v>
      </c>
      <c r="O1" s="11" t="s">
        <v>1658</v>
      </c>
    </row>
    <row r="2" spans="1:15" ht="18" customHeight="1">
      <c r="A2" s="10" t="s">
        <v>169</v>
      </c>
      <c r="B2" s="15">
        <v>5</v>
      </c>
      <c r="C2" s="15">
        <v>5</v>
      </c>
      <c r="D2" s="13">
        <v>114036.5443880276</v>
      </c>
      <c r="E2" s="13">
        <v>114036.5443880276</v>
      </c>
      <c r="F2" s="14">
        <v>0</v>
      </c>
      <c r="G2" s="16">
        <v>1</v>
      </c>
      <c r="H2" s="14">
        <f t="shared" ref="H2:H12" si="0">IF(E2=0,"",I2/E2)</f>
        <v>221.69835719141713</v>
      </c>
      <c r="I2" s="13">
        <f>SUMIF(Species!$H$2:$H$394,A2,Species!$U$2:$U$394)</f>
        <v>25281714.550611839</v>
      </c>
      <c r="J2" s="14">
        <v>3.333473640141988</v>
      </c>
      <c r="K2" s="14">
        <f>IF(J2="","",(1/Metadata!$B$5)^(J2-1))</f>
        <v>215.51308321716604</v>
      </c>
      <c r="L2" s="13">
        <f t="shared" ref="L2:L12" si="1">IF(E2=0,"",E2*K2)</f>
        <v>24576367.28049504</v>
      </c>
      <c r="M2" s="13">
        <f t="shared" ref="M2:M12" si="2">I2-L2</f>
        <v>705347.27011679858</v>
      </c>
      <c r="N2" s="14">
        <f t="shared" ref="N2:N12" si="3">IF(L2=0,"",I2/L2)</f>
        <v>1.0287002249790023</v>
      </c>
      <c r="O2" s="16">
        <f t="shared" ref="O2:O12" si="4">IF(L2=0,"",M2/L2)</f>
        <v>2.8700224979002299E-2</v>
      </c>
    </row>
    <row r="3" spans="1:15" ht="18" customHeight="1">
      <c r="A3" s="10" t="s">
        <v>1037</v>
      </c>
      <c r="B3" s="15">
        <v>1</v>
      </c>
      <c r="C3" s="15">
        <v>1</v>
      </c>
      <c r="D3" s="13">
        <v>224.60510071850001</v>
      </c>
      <c r="E3" s="13">
        <v>224.60510071850001</v>
      </c>
      <c r="F3" s="14">
        <v>0</v>
      </c>
      <c r="G3" s="16">
        <v>1</v>
      </c>
      <c r="H3" s="14">
        <f t="shared" si="0"/>
        <v>199.52623149688802</v>
      </c>
      <c r="I3" s="13">
        <f>SUMIF(Species!$H$2:$H$394,A3,Species!$U$2:$U$394)</f>
        <v>44814.609321341282</v>
      </c>
      <c r="J3" s="14">
        <v>3.3</v>
      </c>
      <c r="K3" s="14">
        <f>IF(J3="","",(1/Metadata!$B$5)^(J3-1))</f>
        <v>199.52623149688802</v>
      </c>
      <c r="L3" s="13">
        <f t="shared" si="1"/>
        <v>44814.609321341282</v>
      </c>
      <c r="M3" s="13">
        <f t="shared" si="2"/>
        <v>0</v>
      </c>
      <c r="N3" s="14">
        <f t="shared" si="3"/>
        <v>1</v>
      </c>
      <c r="O3" s="16">
        <f t="shared" si="4"/>
        <v>0</v>
      </c>
    </row>
    <row r="4" spans="1:15" ht="18" customHeight="1">
      <c r="A4" s="10" t="s">
        <v>66</v>
      </c>
      <c r="B4" s="15">
        <v>22</v>
      </c>
      <c r="C4" s="15">
        <v>22</v>
      </c>
      <c r="D4" s="13">
        <v>387946.9165851195</v>
      </c>
      <c r="E4" s="13">
        <v>387946.9165851195</v>
      </c>
      <c r="F4" s="14">
        <v>0</v>
      </c>
      <c r="G4" s="16">
        <v>1</v>
      </c>
      <c r="H4" s="14">
        <f t="shared" si="0"/>
        <v>220.47931202582279</v>
      </c>
      <c r="I4" s="13">
        <f>SUMIF(Species!$H$2:$H$394,A4,Species!$U$2:$U$394)</f>
        <v>85534269.271226406</v>
      </c>
      <c r="J4" s="14">
        <v>3.2689865262901669</v>
      </c>
      <c r="K4" s="14">
        <f>IF(J4="","",(1/Metadata!$B$5)^(J4-1))</f>
        <v>185.77468187852116</v>
      </c>
      <c r="L4" s="13">
        <f t="shared" si="1"/>
        <v>72070715.014353767</v>
      </c>
      <c r="M4" s="13">
        <f t="shared" si="2"/>
        <v>13463554.256872639</v>
      </c>
      <c r="N4" s="14">
        <f t="shared" si="3"/>
        <v>1.1868103327987132</v>
      </c>
      <c r="O4" s="16">
        <f t="shared" si="4"/>
        <v>0.18681033279871315</v>
      </c>
    </row>
    <row r="5" spans="1:15" ht="18" customHeight="1">
      <c r="A5" s="10" t="s">
        <v>179</v>
      </c>
      <c r="B5" s="15">
        <v>5</v>
      </c>
      <c r="C5" s="15">
        <v>5</v>
      </c>
      <c r="D5" s="13">
        <v>50229.592475417303</v>
      </c>
      <c r="E5" s="13">
        <v>50229.592475417303</v>
      </c>
      <c r="F5" s="14">
        <v>0</v>
      </c>
      <c r="G5" s="16">
        <v>1</v>
      </c>
      <c r="H5" s="14">
        <f t="shared" si="0"/>
        <v>566.81409297563346</v>
      </c>
      <c r="I5" s="13">
        <f>SUMIF(Species!$H$2:$H$394,A5,Species!$U$2:$U$394)</f>
        <v>28470840.899489362</v>
      </c>
      <c r="J5" s="14">
        <v>3.3798685722293471</v>
      </c>
      <c r="K5" s="14">
        <f>IF(J5="","",(1/Metadata!$B$5)^(J5-1))</f>
        <v>239.81070853372927</v>
      </c>
      <c r="L5" s="13">
        <f t="shared" si="1"/>
        <v>12045594.1608903</v>
      </c>
      <c r="M5" s="13">
        <f t="shared" si="2"/>
        <v>16425246.738599062</v>
      </c>
      <c r="N5" s="14">
        <f t="shared" si="3"/>
        <v>2.3635895846407178</v>
      </c>
      <c r="O5" s="16">
        <f t="shared" si="4"/>
        <v>1.363589584640718</v>
      </c>
    </row>
    <row r="6" spans="1:15" ht="18" customHeight="1">
      <c r="A6" s="10" t="s">
        <v>29</v>
      </c>
      <c r="B6" s="15">
        <v>15</v>
      </c>
      <c r="C6" s="15">
        <v>15</v>
      </c>
      <c r="D6" s="13">
        <v>818557.45249227097</v>
      </c>
      <c r="E6" s="13">
        <v>818557.45249227097</v>
      </c>
      <c r="F6" s="14">
        <v>0</v>
      </c>
      <c r="G6" s="16">
        <v>1</v>
      </c>
      <c r="H6" s="14">
        <f t="shared" si="0"/>
        <v>110.75107209977092</v>
      </c>
      <c r="I6" s="13">
        <f>SUMIF(Species!$H$2:$H$394,A6,Species!$U$2:$U$394)</f>
        <v>90656115.438776314</v>
      </c>
      <c r="J6" s="14">
        <v>2.608273051810031</v>
      </c>
      <c r="K6" s="14">
        <f>IF(J6="","",(1/Metadata!$B$5)^(J6-1))</f>
        <v>40.576356897802192</v>
      </c>
      <c r="L6" s="13">
        <f t="shared" si="1"/>
        <v>33214079.33368215</v>
      </c>
      <c r="M6" s="13">
        <f t="shared" si="2"/>
        <v>57442036.105094165</v>
      </c>
      <c r="N6" s="14">
        <f t="shared" si="3"/>
        <v>2.7294483922919586</v>
      </c>
      <c r="O6" s="16">
        <f t="shared" si="4"/>
        <v>1.7294483922919588</v>
      </c>
    </row>
    <row r="7" spans="1:15" ht="18" customHeight="1">
      <c r="A7" s="10" t="s">
        <v>124</v>
      </c>
      <c r="B7" s="15">
        <v>11</v>
      </c>
      <c r="C7" s="15">
        <v>11</v>
      </c>
      <c r="D7" s="13">
        <v>98433.608499186987</v>
      </c>
      <c r="E7" s="13">
        <v>98433.608499186987</v>
      </c>
      <c r="F7" s="14">
        <v>0</v>
      </c>
      <c r="G7" s="16">
        <v>1</v>
      </c>
      <c r="H7" s="14">
        <f t="shared" si="0"/>
        <v>18.782888117001768</v>
      </c>
      <c r="I7" s="13">
        <f>SUMIF(Species!$H$2:$H$394,A7,Species!$U$2:$U$394)</f>
        <v>1848867.4553929835</v>
      </c>
      <c r="J7" s="14">
        <v>2.2348669449480671</v>
      </c>
      <c r="K7" s="14">
        <f>IF(J7="","",(1/Metadata!$B$5)^(J7-1))</f>
        <v>17.17382151185852</v>
      </c>
      <c r="L7" s="13">
        <f t="shared" si="1"/>
        <v>1690481.2231331971</v>
      </c>
      <c r="M7" s="13">
        <f t="shared" si="2"/>
        <v>158386.23225978645</v>
      </c>
      <c r="N7" s="14">
        <f t="shared" si="3"/>
        <v>1.0936929852235968</v>
      </c>
      <c r="O7" s="16">
        <f t="shared" si="4"/>
        <v>9.3692985223596786E-2</v>
      </c>
    </row>
    <row r="8" spans="1:15" ht="18" customHeight="1">
      <c r="A8" s="10" t="s">
        <v>39</v>
      </c>
      <c r="B8" s="15">
        <v>51</v>
      </c>
      <c r="C8" s="15">
        <v>51</v>
      </c>
      <c r="D8" s="13">
        <v>1316006.2278018279</v>
      </c>
      <c r="E8" s="13">
        <v>1316006.2278018279</v>
      </c>
      <c r="F8" s="14">
        <v>0</v>
      </c>
      <c r="G8" s="16">
        <v>1</v>
      </c>
      <c r="H8" s="14">
        <f t="shared" si="0"/>
        <v>520.51521882081011</v>
      </c>
      <c r="I8" s="13">
        <f>SUMIF(Species!$H$2:$H$394,A8,Species!$U$2:$U$394)</f>
        <v>685001269.63381732</v>
      </c>
      <c r="J8" s="14">
        <v>3.51626484459862</v>
      </c>
      <c r="K8" s="14">
        <f>IF(J8="","",(1/Metadata!$B$5)^(J8-1))</f>
        <v>328.29543557512778</v>
      </c>
      <c r="L8" s="13">
        <f t="shared" si="1"/>
        <v>432038837.77578193</v>
      </c>
      <c r="M8" s="13">
        <f t="shared" si="2"/>
        <v>252962431.85803539</v>
      </c>
      <c r="N8" s="14">
        <f t="shared" si="3"/>
        <v>1.5855085463157295</v>
      </c>
      <c r="O8" s="16">
        <f t="shared" si="4"/>
        <v>0.58550854631572957</v>
      </c>
    </row>
    <row r="9" spans="1:15" ht="18" customHeight="1">
      <c r="A9" s="10" t="s">
        <v>48</v>
      </c>
      <c r="B9" s="15">
        <v>210</v>
      </c>
      <c r="C9" s="15">
        <v>210</v>
      </c>
      <c r="D9" s="13">
        <v>1866208.644586389</v>
      </c>
      <c r="E9" s="13">
        <v>1866208.644586389</v>
      </c>
      <c r="F9" s="14">
        <v>0</v>
      </c>
      <c r="G9" s="16">
        <v>1</v>
      </c>
      <c r="H9" s="14">
        <f t="shared" si="0"/>
        <v>1008.0171418695279</v>
      </c>
      <c r="I9" s="13">
        <f>SUMIF(Species!$H$2:$H$394,A9,Species!$U$2:$U$394)</f>
        <v>1881170304.0481775</v>
      </c>
      <c r="J9" s="14">
        <v>3.757001267047531</v>
      </c>
      <c r="K9" s="14">
        <f>IF(J9="","",(1/Metadata!$B$5)^(J9-1))</f>
        <v>571.48030395451099</v>
      </c>
      <c r="L9" s="13">
        <f t="shared" si="1"/>
        <v>1066501483.4507655</v>
      </c>
      <c r="M9" s="13">
        <f t="shared" si="2"/>
        <v>814668820.59741199</v>
      </c>
      <c r="N9" s="14">
        <f t="shared" si="3"/>
        <v>1.7638703117050289</v>
      </c>
      <c r="O9" s="16">
        <f t="shared" si="4"/>
        <v>0.76387031170502895</v>
      </c>
    </row>
    <row r="10" spans="1:15" ht="18" customHeight="1">
      <c r="A10" s="10" t="s">
        <v>504</v>
      </c>
      <c r="B10" s="15">
        <v>5</v>
      </c>
      <c r="C10" s="15">
        <v>5</v>
      </c>
      <c r="D10" s="13">
        <v>6146.9328882120999</v>
      </c>
      <c r="E10" s="13">
        <v>6146.9328882120999</v>
      </c>
      <c r="F10" s="14">
        <v>0</v>
      </c>
      <c r="G10" s="16">
        <v>1</v>
      </c>
      <c r="H10" s="14">
        <f t="shared" si="0"/>
        <v>493.26265906920321</v>
      </c>
      <c r="I10" s="13">
        <f>SUMIF(Species!$H$2:$H$394,A10,Species!$U$2:$U$394)</f>
        <v>3032052.4615594377</v>
      </c>
      <c r="J10" s="14">
        <v>3.6684950184948439</v>
      </c>
      <c r="K10" s="14">
        <f>IF(J10="","",(1/Metadata!$B$5)^(J10-1))</f>
        <v>466.11708145004684</v>
      </c>
      <c r="L10" s="13">
        <f t="shared" si="1"/>
        <v>2865190.4177227309</v>
      </c>
      <c r="M10" s="13">
        <f t="shared" si="2"/>
        <v>166862.04383670678</v>
      </c>
      <c r="N10" s="14">
        <f t="shared" si="3"/>
        <v>1.0582376804014757</v>
      </c>
      <c r="O10" s="16">
        <f t="shared" si="4"/>
        <v>5.8237680401475603E-2</v>
      </c>
    </row>
    <row r="11" spans="1:15" ht="18" customHeight="1">
      <c r="A11" s="10" t="s">
        <v>149</v>
      </c>
      <c r="B11" s="15">
        <v>47</v>
      </c>
      <c r="C11" s="15">
        <v>47</v>
      </c>
      <c r="D11" s="13">
        <v>189617.21608728089</v>
      </c>
      <c r="E11" s="13">
        <v>189617.21608728089</v>
      </c>
      <c r="F11" s="14">
        <v>0</v>
      </c>
      <c r="G11" s="16">
        <v>1</v>
      </c>
      <c r="H11" s="14">
        <f t="shared" si="0"/>
        <v>1827.9007434661662</v>
      </c>
      <c r="I11" s="13">
        <f>SUMIF(Species!$H$2:$H$394,A11,Species!$U$2:$U$394)</f>
        <v>346601450.25992543</v>
      </c>
      <c r="J11" s="14">
        <v>4.1816576215216417</v>
      </c>
      <c r="K11" s="14">
        <f>IF(J11="","",(1/Metadata!$B$5)^(J11-1))</f>
        <v>1519.349269991561</v>
      </c>
      <c r="L11" s="13">
        <f t="shared" si="1"/>
        <v>288094778.84004229</v>
      </c>
      <c r="M11" s="13">
        <f t="shared" si="2"/>
        <v>58506671.419883132</v>
      </c>
      <c r="N11" s="14">
        <f t="shared" si="3"/>
        <v>1.2030813319680727</v>
      </c>
      <c r="O11" s="16">
        <f t="shared" si="4"/>
        <v>0.20308133196807276</v>
      </c>
    </row>
    <row r="12" spans="1:15" ht="18" customHeight="1">
      <c r="A12" s="10" t="s">
        <v>55</v>
      </c>
      <c r="B12" s="15">
        <v>21</v>
      </c>
      <c r="C12" s="15">
        <v>21</v>
      </c>
      <c r="D12" s="13">
        <v>589021.05289936683</v>
      </c>
      <c r="E12" s="13">
        <v>589021.05289936683</v>
      </c>
      <c r="F12" s="14">
        <v>0</v>
      </c>
      <c r="G12" s="16">
        <v>1</v>
      </c>
      <c r="H12" s="14">
        <f t="shared" si="0"/>
        <v>2694.4458889549578</v>
      </c>
      <c r="I12" s="13">
        <f>SUMIF(Species!$H$2:$H$394,A12,Species!$U$2:$U$394)</f>
        <v>1587085354.4926198</v>
      </c>
      <c r="J12" s="14">
        <v>4.4285998805548177</v>
      </c>
      <c r="K12" s="14">
        <f>IF(J12="","",(1/Metadata!$B$5)^(J12-1))</f>
        <v>2682.8715527891686</v>
      </c>
      <c r="L12" s="13">
        <f t="shared" si="1"/>
        <v>1580267826.8176353</v>
      </c>
      <c r="M12" s="13">
        <f t="shared" si="2"/>
        <v>6817527.6749844551</v>
      </c>
      <c r="N12" s="14">
        <f t="shared" si="3"/>
        <v>1.0043141596375558</v>
      </c>
      <c r="O12" s="16">
        <f t="shared" si="4"/>
        <v>4.3141596375556694E-3</v>
      </c>
    </row>
  </sheetData>
  <conditionalFormatting sqref="G2:G12">
    <cfRule type="cellIs" dxfId="1" priority="1" operator="lessThan">
      <formula>0.9</formula>
    </cfRule>
  </conditionalFormatting>
  <conditionalFormatting sqref="O2:O12">
    <cfRule type="dataBar" priority="2">
      <dataBar>
        <cfvo type="min"/>
        <cfvo type="max"/>
        <color rgb="FFE28A32"/>
      </dataBar>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5"/>
  <sheetViews>
    <sheetView showGridLines="0" workbookViewId="0"/>
  </sheetViews>
  <sheetFormatPr defaultRowHeight="14"/>
  <cols>
    <col min="1" max="1" width="34" customWidth="1"/>
    <col min="2" max="3" width="22" customWidth="1"/>
    <col min="4" max="6" width="18" customWidth="1"/>
    <col min="7" max="7" width="16" customWidth="1"/>
    <col min="8" max="9" width="18" customWidth="1"/>
    <col min="10" max="10" width="15" customWidth="1"/>
    <col min="11" max="13" width="18" customWidth="1"/>
    <col min="14" max="15" width="16" customWidth="1"/>
  </cols>
  <sheetData>
    <row r="1" spans="1:15" ht="32" customHeight="1">
      <c r="A1" s="11" t="s">
        <v>6</v>
      </c>
      <c r="B1" s="11" t="s">
        <v>1645</v>
      </c>
      <c r="C1" s="11" t="s">
        <v>1646</v>
      </c>
      <c r="D1" s="11" t="s">
        <v>1647</v>
      </c>
      <c r="E1" s="11" t="s">
        <v>1648</v>
      </c>
      <c r="F1" s="11" t="s">
        <v>1649</v>
      </c>
      <c r="G1" s="11" t="s">
        <v>1650</v>
      </c>
      <c r="H1" s="11" t="s">
        <v>1651</v>
      </c>
      <c r="I1" s="11" t="s">
        <v>1652</v>
      </c>
      <c r="J1" s="11" t="s">
        <v>1653</v>
      </c>
      <c r="K1" s="11" t="s">
        <v>1654</v>
      </c>
      <c r="L1" s="11" t="s">
        <v>1655</v>
      </c>
      <c r="M1" s="11" t="s">
        <v>1656</v>
      </c>
      <c r="N1" s="11" t="s">
        <v>1657</v>
      </c>
      <c r="O1" s="11" t="s">
        <v>1658</v>
      </c>
    </row>
    <row r="2" spans="1:15" ht="18" customHeight="1">
      <c r="A2" s="10" t="s">
        <v>118</v>
      </c>
      <c r="B2" s="15">
        <v>11</v>
      </c>
      <c r="C2" s="15">
        <v>11</v>
      </c>
      <c r="D2" s="13">
        <v>190758.666553143</v>
      </c>
      <c r="E2" s="13">
        <v>190758.666553143</v>
      </c>
      <c r="F2" s="14">
        <v>0</v>
      </c>
      <c r="G2" s="16">
        <v>1</v>
      </c>
      <c r="H2" s="14">
        <f t="shared" ref="H2:H25" si="0">IF(E2=0,"",I2/E2)</f>
        <v>828.25934471016558</v>
      </c>
      <c r="I2" s="13">
        <f>SUMIF(Species!$G$2:$G$394,A2,Species!$U$2:$U$394)</f>
        <v>157997648.1570912</v>
      </c>
      <c r="J2" s="14">
        <v>3.8505584373374608</v>
      </c>
      <c r="K2" s="14">
        <f>IF(J2="","",(1/Metadata!$B$5)^(J2-1))</f>
        <v>708.85668162181753</v>
      </c>
      <c r="L2" s="13">
        <f t="shared" ref="L2:L25" si="1">IF(E2=0,"",E2*K2)</f>
        <v>135220555.36346373</v>
      </c>
      <c r="M2" s="13">
        <f t="shared" ref="M2:M25" si="2">I2-L2</f>
        <v>22777092.793627471</v>
      </c>
      <c r="N2" s="14">
        <f t="shared" ref="N2:N25" si="3">IF(L2=0,"",I2/L2)</f>
        <v>1.1684440115809624</v>
      </c>
      <c r="O2" s="16">
        <f t="shared" ref="O2:O25" si="4">IF(L2=0,"",M2/L2)</f>
        <v>0.16844401158096253</v>
      </c>
    </row>
    <row r="3" spans="1:15" ht="18" customHeight="1">
      <c r="A3" s="10" t="s">
        <v>294</v>
      </c>
      <c r="B3" s="15">
        <v>5</v>
      </c>
      <c r="C3" s="15">
        <v>5</v>
      </c>
      <c r="D3" s="13">
        <v>25817.1757245429</v>
      </c>
      <c r="E3" s="13">
        <v>25817.1757245429</v>
      </c>
      <c r="F3" s="14">
        <v>0</v>
      </c>
      <c r="G3" s="16">
        <v>1</v>
      </c>
      <c r="H3" s="14">
        <f t="shared" si="0"/>
        <v>263.75179448837923</v>
      </c>
      <c r="I3" s="13">
        <f>SUMIF(Species!$G$2:$G$394,A3,Species!$U$2:$U$394)</f>
        <v>6809326.4259700123</v>
      </c>
      <c r="J3" s="14">
        <v>3.367838355208769</v>
      </c>
      <c r="K3" s="14">
        <f>IF(J3="","",(1/Metadata!$B$5)^(J3-1))</f>
        <v>233.25897087322701</v>
      </c>
      <c r="L3" s="13">
        <f t="shared" si="1"/>
        <v>6022087.8403601358</v>
      </c>
      <c r="M3" s="13">
        <f t="shared" si="2"/>
        <v>787238.58560987655</v>
      </c>
      <c r="N3" s="14">
        <f t="shared" si="3"/>
        <v>1.1307251914084995</v>
      </c>
      <c r="O3" s="16">
        <f t="shared" si="4"/>
        <v>0.13072519140849956</v>
      </c>
    </row>
    <row r="4" spans="1:15" ht="18" customHeight="1">
      <c r="A4" s="10" t="s">
        <v>134</v>
      </c>
      <c r="B4" s="15">
        <v>11</v>
      </c>
      <c r="C4" s="15">
        <v>11</v>
      </c>
      <c r="D4" s="13">
        <v>89433.441592389107</v>
      </c>
      <c r="E4" s="13">
        <v>89433.441592389107</v>
      </c>
      <c r="F4" s="14">
        <v>0</v>
      </c>
      <c r="G4" s="16">
        <v>1</v>
      </c>
      <c r="H4" s="14">
        <f t="shared" si="0"/>
        <v>2362.3475279464178</v>
      </c>
      <c r="I4" s="13">
        <f>SUMIF(Species!$G$2:$G$394,A4,Species!$U$2:$U$394)</f>
        <v>211272869.66152075</v>
      </c>
      <c r="J4" s="14">
        <v>4.259627974952628</v>
      </c>
      <c r="K4" s="14">
        <f>IF(J4="","",(1/Metadata!$B$5)^(J4-1))</f>
        <v>1818.1427351373966</v>
      </c>
      <c r="L4" s="13">
        <f t="shared" si="1"/>
        <v>162602762.10953695</v>
      </c>
      <c r="M4" s="13">
        <f t="shared" si="2"/>
        <v>48670107.551983804</v>
      </c>
      <c r="N4" s="14">
        <f t="shared" si="3"/>
        <v>1.2993190701102439</v>
      </c>
      <c r="O4" s="16">
        <f t="shared" si="4"/>
        <v>0.29931907011024395</v>
      </c>
    </row>
    <row r="5" spans="1:15" ht="18" customHeight="1">
      <c r="A5" s="10" t="s">
        <v>189</v>
      </c>
      <c r="B5" s="15">
        <v>8</v>
      </c>
      <c r="C5" s="15">
        <v>8</v>
      </c>
      <c r="D5" s="13">
        <v>59394.756198958799</v>
      </c>
      <c r="E5" s="13">
        <v>59394.756198958799</v>
      </c>
      <c r="F5" s="14">
        <v>0</v>
      </c>
      <c r="G5" s="16">
        <v>1</v>
      </c>
      <c r="H5" s="14">
        <f t="shared" si="0"/>
        <v>711.63101935345196</v>
      </c>
      <c r="I5" s="13">
        <f>SUMIF(Species!$G$2:$G$394,A5,Species!$U$2:$U$394)</f>
        <v>42267150.898114808</v>
      </c>
      <c r="J5" s="14">
        <v>3.7282209341467021</v>
      </c>
      <c r="K5" s="14">
        <f>IF(J5="","",(1/Metadata!$B$5)^(J5-1))</f>
        <v>534.83637198614872</v>
      </c>
      <c r="L5" s="13">
        <f t="shared" si="1"/>
        <v>31766475.920452941</v>
      </c>
      <c r="M5" s="13">
        <f t="shared" si="2"/>
        <v>10500674.977661867</v>
      </c>
      <c r="N5" s="14">
        <f t="shared" si="3"/>
        <v>1.3305583850080447</v>
      </c>
      <c r="O5" s="16">
        <f t="shared" si="4"/>
        <v>0.3305583850080448</v>
      </c>
    </row>
    <row r="6" spans="1:15" ht="18" customHeight="1">
      <c r="A6" s="10" t="s">
        <v>54</v>
      </c>
      <c r="B6" s="15">
        <v>32</v>
      </c>
      <c r="C6" s="15">
        <v>32</v>
      </c>
      <c r="D6" s="13">
        <v>815669.30344275059</v>
      </c>
      <c r="E6" s="13">
        <v>815669.30344275059</v>
      </c>
      <c r="F6" s="14">
        <v>0</v>
      </c>
      <c r="G6" s="16">
        <v>1</v>
      </c>
      <c r="H6" s="14">
        <f t="shared" si="0"/>
        <v>2691.5372968796264</v>
      </c>
      <c r="I6" s="13">
        <f>SUMIF(Species!$G$2:$G$394,A6,Species!$U$2:$U$394)</f>
        <v>2195404352.1359887</v>
      </c>
      <c r="J6" s="14">
        <v>4.4229683888884752</v>
      </c>
      <c r="K6" s="14">
        <f>IF(J6="","",(1/Metadata!$B$5)^(J6-1))</f>
        <v>2648.3073685166646</v>
      </c>
      <c r="L6" s="13">
        <f t="shared" si="1"/>
        <v>2160143026.5802917</v>
      </c>
      <c r="M6" s="13">
        <f t="shared" si="2"/>
        <v>35261325.555696964</v>
      </c>
      <c r="N6" s="14">
        <f t="shared" si="3"/>
        <v>1.0163236068731611</v>
      </c>
      <c r="O6" s="16">
        <f t="shared" si="4"/>
        <v>1.6323606873161051E-2</v>
      </c>
    </row>
    <row r="7" spans="1:15" ht="18" customHeight="1">
      <c r="A7" s="10" t="s">
        <v>334</v>
      </c>
      <c r="B7" s="15">
        <v>13</v>
      </c>
      <c r="C7" s="15">
        <v>13</v>
      </c>
      <c r="D7" s="13">
        <v>25303.213336074699</v>
      </c>
      <c r="E7" s="13">
        <v>25303.213336074699</v>
      </c>
      <c r="F7" s="14">
        <v>0</v>
      </c>
      <c r="G7" s="16">
        <v>1</v>
      </c>
      <c r="H7" s="14">
        <f t="shared" si="0"/>
        <v>477.94837192535044</v>
      </c>
      <c r="I7" s="13">
        <f>SUMIF(Species!$G$2:$G$394,A7,Species!$U$2:$U$394)</f>
        <v>12093629.618456718</v>
      </c>
      <c r="J7" s="14">
        <v>3.6263782026637128</v>
      </c>
      <c r="K7" s="14">
        <f>IF(J7="","",(1/Metadata!$B$5)^(J7-1))</f>
        <v>423.03685293029309</v>
      </c>
      <c r="L7" s="13">
        <f t="shared" si="1"/>
        <v>10704191.738716863</v>
      </c>
      <c r="M7" s="13">
        <f t="shared" si="2"/>
        <v>1389437.8797398545</v>
      </c>
      <c r="N7" s="14">
        <f t="shared" si="3"/>
        <v>1.1298031568992064</v>
      </c>
      <c r="O7" s="16">
        <f t="shared" si="4"/>
        <v>0.12980315689920646</v>
      </c>
    </row>
    <row r="8" spans="1:15" ht="18" customHeight="1">
      <c r="A8" s="10" t="s">
        <v>164</v>
      </c>
      <c r="B8" s="15">
        <v>23</v>
      </c>
      <c r="C8" s="15">
        <v>23</v>
      </c>
      <c r="D8" s="13">
        <v>88939.94339352219</v>
      </c>
      <c r="E8" s="13">
        <v>88939.94339352219</v>
      </c>
      <c r="F8" s="14">
        <v>0</v>
      </c>
      <c r="G8" s="16">
        <v>1</v>
      </c>
      <c r="H8" s="14">
        <f t="shared" si="0"/>
        <v>2119.5865322745772</v>
      </c>
      <c r="I8" s="13">
        <f>SUMIF(Species!$G$2:$G$394,A8,Species!$U$2:$U$394)</f>
        <v>188515906.19817287</v>
      </c>
      <c r="J8" s="14">
        <v>4.2465486023722434</v>
      </c>
      <c r="K8" s="14">
        <f>IF(J8="","",(1/Metadata!$B$5)^(J8-1))</f>
        <v>1764.2031873447622</v>
      </c>
      <c r="L8" s="13">
        <f t="shared" si="1"/>
        <v>156908131.61711457</v>
      </c>
      <c r="M8" s="13">
        <f t="shared" si="2"/>
        <v>31607774.581058294</v>
      </c>
      <c r="N8" s="14">
        <f t="shared" si="3"/>
        <v>1.2014412781243691</v>
      </c>
      <c r="O8" s="16">
        <f t="shared" si="4"/>
        <v>0.20144127812436913</v>
      </c>
    </row>
    <row r="9" spans="1:15" ht="18" customHeight="1">
      <c r="A9" s="10" t="s">
        <v>148</v>
      </c>
      <c r="B9" s="15">
        <v>31</v>
      </c>
      <c r="C9" s="15">
        <v>31</v>
      </c>
      <c r="D9" s="13">
        <v>162525.17502619539</v>
      </c>
      <c r="E9" s="13">
        <v>162525.17502619539</v>
      </c>
      <c r="F9" s="14">
        <v>0</v>
      </c>
      <c r="G9" s="16">
        <v>1</v>
      </c>
      <c r="H9" s="14">
        <f t="shared" si="0"/>
        <v>2048.5316889573123</v>
      </c>
      <c r="I9" s="13">
        <f>SUMIF(Species!$G$2:$G$394,A9,Species!$U$2:$U$394)</f>
        <v>332937971.29449481</v>
      </c>
      <c r="J9" s="14">
        <v>4.2709323549921274</v>
      </c>
      <c r="K9" s="14">
        <f>IF(J9="","",(1/Metadata!$B$5)^(J9-1))</f>
        <v>1866.0890091836166</v>
      </c>
      <c r="L9" s="13">
        <f t="shared" si="1"/>
        <v>303286442.83202678</v>
      </c>
      <c r="M9" s="13">
        <f t="shared" si="2"/>
        <v>29651528.462468028</v>
      </c>
      <c r="N9" s="14">
        <f t="shared" si="3"/>
        <v>1.0977674049178991</v>
      </c>
      <c r="O9" s="16">
        <f t="shared" si="4"/>
        <v>9.7767404917899134E-2</v>
      </c>
    </row>
    <row r="10" spans="1:15" ht="18" customHeight="1">
      <c r="A10" s="10" t="s">
        <v>65</v>
      </c>
      <c r="B10" s="15">
        <v>12</v>
      </c>
      <c r="C10" s="15">
        <v>12</v>
      </c>
      <c r="D10" s="13">
        <v>207803.26378811151</v>
      </c>
      <c r="E10" s="13">
        <v>207803.26378811151</v>
      </c>
      <c r="F10" s="14">
        <v>0</v>
      </c>
      <c r="G10" s="16">
        <v>1</v>
      </c>
      <c r="H10" s="14">
        <f t="shared" si="0"/>
        <v>255.59791476413028</v>
      </c>
      <c r="I10" s="13">
        <f>SUMIF(Species!$G$2:$G$394,A10,Species!$U$2:$U$394)</f>
        <v>53114080.905421808</v>
      </c>
      <c r="J10" s="14">
        <v>3.3701870210197442</v>
      </c>
      <c r="K10" s="14">
        <f>IF(J10="","",(1/Metadata!$B$5)^(J10-1))</f>
        <v>234.52385322152378</v>
      </c>
      <c r="L10" s="13">
        <f t="shared" si="1"/>
        <v>48734822.135596648</v>
      </c>
      <c r="M10" s="13">
        <f t="shared" si="2"/>
        <v>4379258.7698251605</v>
      </c>
      <c r="N10" s="14">
        <f t="shared" si="3"/>
        <v>1.0898589258752314</v>
      </c>
      <c r="O10" s="16">
        <f t="shared" si="4"/>
        <v>8.9858925875231296E-2</v>
      </c>
    </row>
    <row r="11" spans="1:15" ht="18" customHeight="1">
      <c r="A11" s="10" t="s">
        <v>1101</v>
      </c>
      <c r="B11" s="15">
        <v>1</v>
      </c>
      <c r="C11" s="15">
        <v>1</v>
      </c>
      <c r="D11" s="13">
        <v>150.48445620090001</v>
      </c>
      <c r="E11" s="13">
        <v>150.48445620090001</v>
      </c>
      <c r="F11" s="14">
        <v>0</v>
      </c>
      <c r="G11" s="16">
        <v>1</v>
      </c>
      <c r="H11" s="14">
        <f t="shared" si="0"/>
        <v>2290.8676527677767</v>
      </c>
      <c r="I11" s="13">
        <f>SUMIF(Species!$G$2:$G$394,A11,Species!$U$2:$U$394)</f>
        <v>344739.9729549911</v>
      </c>
      <c r="J11" s="14">
        <v>4.3600000000000003</v>
      </c>
      <c r="K11" s="14">
        <f>IF(J11="","",(1/Metadata!$B$5)^(J11-1))</f>
        <v>2290.8676527677767</v>
      </c>
      <c r="L11" s="13">
        <f t="shared" si="1"/>
        <v>344739.9729549911</v>
      </c>
      <c r="M11" s="13">
        <f t="shared" si="2"/>
        <v>0</v>
      </c>
      <c r="N11" s="14">
        <f t="shared" si="3"/>
        <v>1</v>
      </c>
      <c r="O11" s="16">
        <f t="shared" si="4"/>
        <v>0</v>
      </c>
    </row>
    <row r="12" spans="1:15" ht="18" customHeight="1">
      <c r="A12" s="10" t="s">
        <v>752</v>
      </c>
      <c r="B12" s="15">
        <v>1</v>
      </c>
      <c r="C12" s="15">
        <v>1</v>
      </c>
      <c r="D12" s="13">
        <v>1115.9424193269999</v>
      </c>
      <c r="E12" s="13">
        <v>1115.9424193269999</v>
      </c>
      <c r="F12" s="14">
        <v>0</v>
      </c>
      <c r="G12" s="16">
        <v>1</v>
      </c>
      <c r="H12" s="14">
        <f t="shared" si="0"/>
        <v>1202.2644346174138</v>
      </c>
      <c r="I12" s="13">
        <f>SUMIF(Species!$G$2:$G$394,A12,Species!$U$2:$U$394)</f>
        <v>1341657.8818377645</v>
      </c>
      <c r="J12" s="14">
        <v>4.08</v>
      </c>
      <c r="K12" s="14">
        <f>IF(J12="","",(1/Metadata!$B$5)^(J12-1))</f>
        <v>1202.2644346174138</v>
      </c>
      <c r="L12" s="13">
        <f t="shared" si="1"/>
        <v>1341657.8818377645</v>
      </c>
      <c r="M12" s="13">
        <f t="shared" si="2"/>
        <v>0</v>
      </c>
      <c r="N12" s="14">
        <f t="shared" si="3"/>
        <v>1</v>
      </c>
      <c r="O12" s="16">
        <f t="shared" si="4"/>
        <v>0</v>
      </c>
    </row>
    <row r="13" spans="1:15" ht="18" customHeight="1">
      <c r="A13" s="10" t="s">
        <v>103</v>
      </c>
      <c r="B13" s="15">
        <v>10</v>
      </c>
      <c r="C13" s="15">
        <v>10</v>
      </c>
      <c r="D13" s="13">
        <v>181958.4514208631</v>
      </c>
      <c r="E13" s="13">
        <v>181958.4514208631</v>
      </c>
      <c r="F13" s="14">
        <v>0</v>
      </c>
      <c r="G13" s="16">
        <v>1</v>
      </c>
      <c r="H13" s="14">
        <f t="shared" si="0"/>
        <v>989.80787732247143</v>
      </c>
      <c r="I13" s="13">
        <f>SUMIF(Species!$G$2:$G$394,A13,Species!$U$2:$U$394)</f>
        <v>180103908.56176853</v>
      </c>
      <c r="J13" s="14">
        <v>3.7927580185188292</v>
      </c>
      <c r="K13" s="14">
        <f>IF(J13="","",(1/Metadata!$B$5)^(J13-1))</f>
        <v>620.5231929465665</v>
      </c>
      <c r="L13" s="13">
        <f t="shared" si="1"/>
        <v>112909439.25928669</v>
      </c>
      <c r="M13" s="13">
        <f t="shared" si="2"/>
        <v>67194469.302481845</v>
      </c>
      <c r="N13" s="14">
        <f t="shared" si="3"/>
        <v>1.5951182624171536</v>
      </c>
      <c r="O13" s="16">
        <f t="shared" si="4"/>
        <v>0.5951182624171536</v>
      </c>
    </row>
    <row r="14" spans="1:15" ht="18" customHeight="1">
      <c r="A14" s="10" t="s">
        <v>38</v>
      </c>
      <c r="B14" s="15">
        <v>36</v>
      </c>
      <c r="C14" s="15">
        <v>36</v>
      </c>
      <c r="D14" s="13">
        <v>1040277.493119509</v>
      </c>
      <c r="E14" s="13">
        <v>1040277.493119509</v>
      </c>
      <c r="F14" s="14">
        <v>0</v>
      </c>
      <c r="G14" s="16">
        <v>1</v>
      </c>
      <c r="H14" s="14">
        <f t="shared" si="0"/>
        <v>430.5684268909651</v>
      </c>
      <c r="I14" s="13">
        <f>SUMIF(Species!$G$2:$G$394,A14,Species!$U$2:$U$394)</f>
        <v>447910643.74254376</v>
      </c>
      <c r="J14" s="14">
        <v>3.489350196298282</v>
      </c>
      <c r="K14" s="14">
        <f>IF(J14="","",(1/Metadata!$B$5)^(J14-1))</f>
        <v>308.5675102376083</v>
      </c>
      <c r="L14" s="13">
        <f t="shared" si="1"/>
        <v>320995836.0081076</v>
      </c>
      <c r="M14" s="13">
        <f t="shared" si="2"/>
        <v>126914807.73443615</v>
      </c>
      <c r="N14" s="14">
        <f t="shared" si="3"/>
        <v>1.3953783616408986</v>
      </c>
      <c r="O14" s="16">
        <f t="shared" si="4"/>
        <v>0.39537836164089862</v>
      </c>
    </row>
    <row r="15" spans="1:15" ht="18" customHeight="1">
      <c r="A15" s="10" t="s">
        <v>47</v>
      </c>
      <c r="B15" s="15">
        <v>24</v>
      </c>
      <c r="C15" s="15">
        <v>24</v>
      </c>
      <c r="D15" s="13">
        <v>696370.20790330297</v>
      </c>
      <c r="E15" s="13">
        <v>696370.20790330297</v>
      </c>
      <c r="F15" s="14">
        <v>0</v>
      </c>
      <c r="G15" s="16">
        <v>1</v>
      </c>
      <c r="H15" s="14">
        <f t="shared" si="0"/>
        <v>675.50687629009894</v>
      </c>
      <c r="I15" s="13">
        <f>SUMIF(Species!$G$2:$G$394,A15,Species!$U$2:$U$394)</f>
        <v>470402863.88224697</v>
      </c>
      <c r="J15" s="14">
        <v>3.598990474777878</v>
      </c>
      <c r="K15" s="14">
        <f>IF(J15="","",(1/Metadata!$B$5)^(J15-1))</f>
        <v>397.18283810790518</v>
      </c>
      <c r="L15" s="13">
        <f t="shared" si="1"/>
        <v>276586295.54882586</v>
      </c>
      <c r="M15" s="13">
        <f t="shared" si="2"/>
        <v>193816568.33342111</v>
      </c>
      <c r="N15" s="14">
        <f t="shared" si="3"/>
        <v>1.7007453783956792</v>
      </c>
      <c r="O15" s="16">
        <f t="shared" si="4"/>
        <v>0.70074537839567907</v>
      </c>
    </row>
    <row r="16" spans="1:15" ht="18" customHeight="1">
      <c r="A16" s="10" t="s">
        <v>155</v>
      </c>
      <c r="B16" s="15">
        <v>87</v>
      </c>
      <c r="C16" s="15">
        <v>87</v>
      </c>
      <c r="D16" s="13">
        <v>238366.95934516011</v>
      </c>
      <c r="E16" s="13">
        <v>238366.95934516011</v>
      </c>
      <c r="F16" s="14">
        <v>0</v>
      </c>
      <c r="G16" s="16">
        <v>1</v>
      </c>
      <c r="H16" s="14">
        <f t="shared" si="0"/>
        <v>772.05208717837229</v>
      </c>
      <c r="I16" s="13">
        <f>SUMIF(Species!$G$2:$G$394,A16,Species!$U$2:$U$394)</f>
        <v>184031708.47679308</v>
      </c>
      <c r="J16" s="14">
        <v>3.5762511244320132</v>
      </c>
      <c r="K16" s="14">
        <f>IF(J16="","",(1/Metadata!$B$5)^(J16-1))</f>
        <v>376.92168543462179</v>
      </c>
      <c r="L16" s="13">
        <f t="shared" si="1"/>
        <v>89845676.068303719</v>
      </c>
      <c r="M16" s="13">
        <f t="shared" si="2"/>
        <v>94186032.408489361</v>
      </c>
      <c r="N16" s="14">
        <f t="shared" si="3"/>
        <v>2.0483090175300807</v>
      </c>
      <c r="O16" s="16">
        <f t="shared" si="4"/>
        <v>1.0483090175300807</v>
      </c>
    </row>
    <row r="17" spans="1:15" ht="18" customHeight="1">
      <c r="A17" s="10" t="s">
        <v>123</v>
      </c>
      <c r="B17" s="15">
        <v>20</v>
      </c>
      <c r="C17" s="15">
        <v>20</v>
      </c>
      <c r="D17" s="13">
        <v>98643.462707293991</v>
      </c>
      <c r="E17" s="13">
        <v>98643.462707293991</v>
      </c>
      <c r="F17" s="14">
        <v>0</v>
      </c>
      <c r="G17" s="16">
        <v>1</v>
      </c>
      <c r="H17" s="14">
        <f t="shared" si="0"/>
        <v>18.805524092239612</v>
      </c>
      <c r="I17" s="13">
        <f>SUMIF(Species!$G$2:$G$394,A17,Species!$U$2:$U$394)</f>
        <v>1855042.0144839569</v>
      </c>
      <c r="J17" s="14">
        <v>2.2353162102929711</v>
      </c>
      <c r="K17" s="14">
        <f>IF(J17="","",(1/Metadata!$B$5)^(J17-1))</f>
        <v>17.191596536247108</v>
      </c>
      <c r="L17" s="13">
        <f t="shared" si="1"/>
        <v>1695838.6118021361</v>
      </c>
      <c r="M17" s="13">
        <f t="shared" si="2"/>
        <v>159203.40268182079</v>
      </c>
      <c r="N17" s="14">
        <f t="shared" si="3"/>
        <v>1.0938788641642252</v>
      </c>
      <c r="O17" s="16">
        <f t="shared" si="4"/>
        <v>9.3878864164225098E-2</v>
      </c>
    </row>
    <row r="18" spans="1:15" ht="18" customHeight="1">
      <c r="A18" s="10" t="s">
        <v>81</v>
      </c>
      <c r="B18" s="15">
        <v>10</v>
      </c>
      <c r="C18" s="15">
        <v>10</v>
      </c>
      <c r="D18" s="13">
        <v>180143.6527970079</v>
      </c>
      <c r="E18" s="13">
        <v>180143.6527970079</v>
      </c>
      <c r="F18" s="14">
        <v>0</v>
      </c>
      <c r="G18" s="16">
        <v>1</v>
      </c>
      <c r="H18" s="14">
        <f t="shared" si="0"/>
        <v>179.96852990616756</v>
      </c>
      <c r="I18" s="13">
        <f>SUMIF(Species!$G$2:$G$394,A18,Species!$U$2:$U$394)</f>
        <v>32420188.365804583</v>
      </c>
      <c r="J18" s="14">
        <v>3.1522475084271599</v>
      </c>
      <c r="K18" s="14">
        <f>IF(J18="","",(1/Metadata!$B$5)^(J18-1))</f>
        <v>141.98664861432431</v>
      </c>
      <c r="L18" s="13">
        <f t="shared" si="1"/>
        <v>25577993.529789601</v>
      </c>
      <c r="M18" s="13">
        <f t="shared" si="2"/>
        <v>6842194.8360149823</v>
      </c>
      <c r="N18" s="14">
        <f t="shared" si="3"/>
        <v>1.267503188944284</v>
      </c>
      <c r="O18" s="16">
        <f t="shared" si="4"/>
        <v>0.26750318894428404</v>
      </c>
    </row>
    <row r="19" spans="1:15" ht="18" customHeight="1">
      <c r="A19" s="10" t="s">
        <v>312</v>
      </c>
      <c r="B19" s="15">
        <v>7</v>
      </c>
      <c r="C19" s="15">
        <v>7</v>
      </c>
      <c r="D19" s="13">
        <v>16357.8658160091</v>
      </c>
      <c r="E19" s="13">
        <v>16357.8658160091</v>
      </c>
      <c r="F19" s="14">
        <v>0</v>
      </c>
      <c r="G19" s="16">
        <v>1</v>
      </c>
      <c r="H19" s="14">
        <f t="shared" si="0"/>
        <v>170.36341021208668</v>
      </c>
      <c r="I19" s="13">
        <f>SUMIF(Species!$G$2:$G$394,A19,Species!$U$2:$U$394)</f>
        <v>2786781.8042070284</v>
      </c>
      <c r="J19" s="14">
        <v>3.219792912198749</v>
      </c>
      <c r="K19" s="14">
        <f>IF(J19="","",(1/Metadata!$B$5)^(J19-1))</f>
        <v>165.87957431671896</v>
      </c>
      <c r="L19" s="13">
        <f t="shared" si="1"/>
        <v>2713435.818289598</v>
      </c>
      <c r="M19" s="13">
        <f t="shared" si="2"/>
        <v>73345.985917430371</v>
      </c>
      <c r="N19" s="14">
        <f t="shared" si="3"/>
        <v>1.0270306691697111</v>
      </c>
      <c r="O19" s="16">
        <f t="shared" si="4"/>
        <v>2.7030669169711072E-2</v>
      </c>
    </row>
    <row r="20" spans="1:15" ht="18" customHeight="1">
      <c r="A20" s="10" t="s">
        <v>71</v>
      </c>
      <c r="B20" s="15">
        <v>10</v>
      </c>
      <c r="C20" s="15">
        <v>10</v>
      </c>
      <c r="D20" s="13">
        <v>185786.3739168006</v>
      </c>
      <c r="E20" s="13">
        <v>185786.3739168006</v>
      </c>
      <c r="F20" s="14">
        <v>0</v>
      </c>
      <c r="G20" s="16">
        <v>1</v>
      </c>
      <c r="H20" s="14">
        <f t="shared" si="0"/>
        <v>343.8952439670017</v>
      </c>
      <c r="I20" s="13">
        <f>SUMIF(Species!$G$2:$G$394,A20,Species!$U$2:$U$394)</f>
        <v>63891050.383862749</v>
      </c>
      <c r="J20" s="14">
        <v>3.5221109731893718</v>
      </c>
      <c r="K20" s="14">
        <f>IF(J20="","",(1/Metadata!$B$5)^(J20-1))</f>
        <v>332.74456705785815</v>
      </c>
      <c r="L20" s="13">
        <f t="shared" si="1"/>
        <v>61819406.554195166</v>
      </c>
      <c r="M20" s="13">
        <f t="shared" si="2"/>
        <v>2071643.8296675831</v>
      </c>
      <c r="N20" s="14">
        <f t="shared" si="3"/>
        <v>1.0335112215587421</v>
      </c>
      <c r="O20" s="16">
        <f t="shared" si="4"/>
        <v>3.3511221558742026E-2</v>
      </c>
    </row>
    <row r="21" spans="1:15" ht="18" customHeight="1">
      <c r="A21" s="10" t="s">
        <v>28</v>
      </c>
      <c r="B21" s="15">
        <v>23</v>
      </c>
      <c r="C21" s="15">
        <v>23</v>
      </c>
      <c r="D21" s="13">
        <v>1055406.1865886301</v>
      </c>
      <c r="E21" s="13">
        <v>1055406.1865886301</v>
      </c>
      <c r="F21" s="14">
        <v>0</v>
      </c>
      <c r="G21" s="16">
        <v>1</v>
      </c>
      <c r="H21" s="14">
        <f t="shared" si="0"/>
        <v>104.75986678987024</v>
      </c>
      <c r="I21" s="13">
        <f>SUMIF(Species!$G$2:$G$394,A21,Species!$U$2:$U$394)</f>
        <v>110564211.51622982</v>
      </c>
      <c r="J21" s="14">
        <v>2.7550989092856768</v>
      </c>
      <c r="K21" s="14">
        <f>IF(J21="","",(1/Metadata!$B$5)^(J21-1))</f>
        <v>56.898250017283701</v>
      </c>
      <c r="L21" s="13">
        <f t="shared" si="1"/>
        <v>60050765.074307844</v>
      </c>
      <c r="M21" s="13">
        <f t="shared" si="2"/>
        <v>50513446.441921979</v>
      </c>
      <c r="N21" s="14">
        <f t="shared" si="3"/>
        <v>1.8411790654026767</v>
      </c>
      <c r="O21" s="16">
        <f t="shared" si="4"/>
        <v>0.84117906540267684</v>
      </c>
    </row>
    <row r="22" spans="1:15" ht="18" customHeight="1">
      <c r="A22" s="10" t="s">
        <v>404</v>
      </c>
      <c r="B22" s="15">
        <v>10</v>
      </c>
      <c r="C22" s="15">
        <v>10</v>
      </c>
      <c r="D22" s="13">
        <v>24188.354057597098</v>
      </c>
      <c r="E22" s="13">
        <v>24188.354057597098</v>
      </c>
      <c r="F22" s="14">
        <v>0</v>
      </c>
      <c r="G22" s="16">
        <v>1</v>
      </c>
      <c r="H22" s="14">
        <f t="shared" si="0"/>
        <v>356.39593152812682</v>
      </c>
      <c r="I22" s="13">
        <f>SUMIF(Species!$G$2:$G$394,A22,Species!$U$2:$U$394)</f>
        <v>8620630.9764894638</v>
      </c>
      <c r="J22" s="14">
        <v>3.1967470304764971</v>
      </c>
      <c r="K22" s="14">
        <f>IF(J22="","",(1/Metadata!$B$5)^(J22-1))</f>
        <v>157.30663118259827</v>
      </c>
      <c r="L22" s="13">
        <f t="shared" si="1"/>
        <v>3804988.4906525309</v>
      </c>
      <c r="M22" s="13">
        <f t="shared" si="2"/>
        <v>4815642.4858369324</v>
      </c>
      <c r="N22" s="14">
        <f t="shared" si="3"/>
        <v>2.2656128915152332</v>
      </c>
      <c r="O22" s="16">
        <f t="shared" si="4"/>
        <v>1.2656128915152332</v>
      </c>
    </row>
    <row r="23" spans="1:15" ht="18" customHeight="1">
      <c r="A23" s="10" t="s">
        <v>178</v>
      </c>
      <c r="B23" s="15">
        <v>5</v>
      </c>
      <c r="C23" s="15">
        <v>5</v>
      </c>
      <c r="D23" s="13">
        <v>50229.592475417303</v>
      </c>
      <c r="E23" s="13">
        <v>50229.592475417303</v>
      </c>
      <c r="F23" s="14">
        <v>0</v>
      </c>
      <c r="G23" s="16">
        <v>1</v>
      </c>
      <c r="H23" s="14">
        <f t="shared" si="0"/>
        <v>566.81409297563346</v>
      </c>
      <c r="I23" s="13">
        <f>SUMIF(Species!$G$2:$G$394,A23,Species!$U$2:$U$394)</f>
        <v>28470840.899489362</v>
      </c>
      <c r="J23" s="14">
        <v>3.3798685722293471</v>
      </c>
      <c r="K23" s="14">
        <f>IF(J23="","",(1/Metadata!$B$5)^(J23-1))</f>
        <v>239.81070853372927</v>
      </c>
      <c r="L23" s="13">
        <f t="shared" si="1"/>
        <v>12045594.1608903</v>
      </c>
      <c r="M23" s="13">
        <f t="shared" si="2"/>
        <v>16425246.738599062</v>
      </c>
      <c r="N23" s="14">
        <f t="shared" si="3"/>
        <v>2.3635895846407178</v>
      </c>
      <c r="O23" s="16">
        <f t="shared" si="4"/>
        <v>1.363589584640718</v>
      </c>
    </row>
    <row r="24" spans="1:15" ht="18" customHeight="1">
      <c r="A24" s="10" t="s">
        <v>869</v>
      </c>
      <c r="B24" s="15">
        <v>1</v>
      </c>
      <c r="C24" s="15">
        <v>1</v>
      </c>
      <c r="D24" s="13">
        <v>549.71834267679992</v>
      </c>
      <c r="E24" s="13">
        <v>549.71834267679992</v>
      </c>
      <c r="F24" s="14">
        <v>0</v>
      </c>
      <c r="G24" s="16">
        <v>1</v>
      </c>
      <c r="H24" s="14">
        <f t="shared" si="0"/>
        <v>575.43993733715706</v>
      </c>
      <c r="I24" s="13">
        <f>SUMIF(Species!$G$2:$G$394,A24,Species!$U$2:$U$394)</f>
        <v>316329.88866302359</v>
      </c>
      <c r="J24" s="14">
        <v>3.76</v>
      </c>
      <c r="K24" s="14">
        <f>IF(J24="","",(1/Metadata!$B$5)^(J24-1))</f>
        <v>575.43993733715706</v>
      </c>
      <c r="L24" s="13">
        <f t="shared" si="1"/>
        <v>316329.88866302359</v>
      </c>
      <c r="M24" s="13">
        <f t="shared" si="2"/>
        <v>0</v>
      </c>
      <c r="N24" s="14">
        <f t="shared" si="3"/>
        <v>1</v>
      </c>
      <c r="O24" s="16">
        <f t="shared" si="4"/>
        <v>0</v>
      </c>
    </row>
    <row r="25" spans="1:15" ht="18" customHeight="1">
      <c r="A25" s="10" t="s">
        <v>809</v>
      </c>
      <c r="B25" s="15">
        <v>2</v>
      </c>
      <c r="C25" s="15">
        <v>2</v>
      </c>
      <c r="D25" s="13">
        <v>1239.109382334</v>
      </c>
      <c r="E25" s="13">
        <v>1239.109382334</v>
      </c>
      <c r="F25" s="14">
        <v>0</v>
      </c>
      <c r="G25" s="16">
        <v>1</v>
      </c>
      <c r="H25" s="14">
        <f t="shared" si="0"/>
        <v>1011.6293817013578</v>
      </c>
      <c r="I25" s="13">
        <f>SUMIF(Species!$G$2:$G$394,A25,Species!$U$2:$U$394)</f>
        <v>1253519.4583108958</v>
      </c>
      <c r="J25" s="14">
        <v>3.9982636769890041</v>
      </c>
      <c r="K25" s="14">
        <f>IF(J25="","",(1/Metadata!$B$5)^(J25-1))</f>
        <v>996.00995000583418</v>
      </c>
      <c r="L25" s="13">
        <f t="shared" si="1"/>
        <v>1234165.2739502473</v>
      </c>
      <c r="M25" s="13">
        <f t="shared" si="2"/>
        <v>19354.184360648505</v>
      </c>
      <c r="N25" s="14">
        <f t="shared" si="3"/>
        <v>1.0156820036741925</v>
      </c>
      <c r="O25" s="16">
        <f t="shared" si="4"/>
        <v>1.5682003674192445E-2</v>
      </c>
    </row>
  </sheetData>
  <conditionalFormatting sqref="G2:G25">
    <cfRule type="cellIs" dxfId="0" priority="1" operator="lessThan">
      <formula>0.9</formula>
    </cfRule>
  </conditionalFormatting>
  <conditionalFormatting sqref="O2:O25">
    <cfRule type="dataBar" priority="2">
      <dataBar>
        <cfvo type="min"/>
        <cfvo type="max"/>
        <color rgb="FFE28A32"/>
      </dataBar>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
  <sheetViews>
    <sheetView showGridLines="0" workbookViewId="0"/>
  </sheetViews>
  <sheetFormatPr defaultRowHeight="14"/>
  <cols>
    <col min="1" max="3" width="22" customWidth="1"/>
    <col min="4" max="4" width="15" customWidth="1"/>
    <col min="5" max="5" width="25" customWidth="1"/>
    <col min="6" max="8" width="22" customWidth="1"/>
    <col min="9" max="13" width="18" customWidth="1"/>
    <col min="14" max="14" width="22" customWidth="1"/>
    <col min="15" max="15" width="15" customWidth="1"/>
    <col min="16" max="16" width="22" customWidth="1"/>
    <col min="17" max="17" width="36" customWidth="1"/>
    <col min="18" max="19" width="22" customWidth="1"/>
    <col min="20" max="21" width="18" customWidth="1"/>
  </cols>
  <sheetData>
    <row r="1" spans="1:21" ht="32" customHeight="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showGridLines="0" workbookViewId="0"/>
  </sheetViews>
  <sheetFormatPr defaultRowHeight="14"/>
  <cols>
    <col min="1" max="1" width="22" customWidth="1"/>
    <col min="2" max="2" width="34" customWidth="1"/>
    <col min="3" max="3" width="15" customWidth="1"/>
    <col min="4" max="4" width="34" customWidth="1"/>
  </cols>
  <sheetData>
    <row r="1" spans="1:4" ht="32" customHeight="1">
      <c r="A1" s="11" t="s">
        <v>0</v>
      </c>
      <c r="B1" s="11" t="s">
        <v>1659</v>
      </c>
      <c r="C1" s="11" t="s">
        <v>1660</v>
      </c>
      <c r="D1" s="11" t="s">
        <v>1661</v>
      </c>
    </row>
    <row r="2" spans="1:4" ht="18" customHeight="1">
      <c r="A2" s="10" t="s">
        <v>23</v>
      </c>
      <c r="B2" s="10" t="s">
        <v>1662</v>
      </c>
      <c r="C2" s="10">
        <v>5436428.7938038176</v>
      </c>
      <c r="D2" s="10" t="s">
        <v>1663</v>
      </c>
    </row>
    <row r="3" spans="1:4" ht="18" customHeight="1">
      <c r="A3" s="10" t="s">
        <v>23</v>
      </c>
      <c r="B3" s="10" t="s">
        <v>1664</v>
      </c>
      <c r="C3" s="10">
        <v>5436428.7938038176</v>
      </c>
      <c r="D3" s="10" t="s">
        <v>1663</v>
      </c>
    </row>
    <row r="4" spans="1:4" ht="18" customHeight="1">
      <c r="A4" s="10" t="s">
        <v>23</v>
      </c>
      <c r="B4" s="10" t="s">
        <v>1665</v>
      </c>
      <c r="C4" s="10">
        <v>0</v>
      </c>
      <c r="D4" s="10" t="s">
        <v>1663</v>
      </c>
    </row>
    <row r="5" spans="1:4" ht="18" customHeight="1">
      <c r="A5" s="10" t="s">
        <v>23</v>
      </c>
      <c r="B5" s="10" t="s">
        <v>1666</v>
      </c>
      <c r="C5" s="10" t="s">
        <v>1667</v>
      </c>
      <c r="D5" s="10" t="s">
        <v>1668</v>
      </c>
    </row>
    <row r="6" spans="1:4" ht="18" customHeight="1">
      <c r="A6" s="10" t="s">
        <v>23</v>
      </c>
      <c r="B6" s="10" t="s">
        <v>1669</v>
      </c>
      <c r="C6" s="10">
        <v>5436428.7938038176</v>
      </c>
      <c r="D6" s="10" t="s">
        <v>1663</v>
      </c>
    </row>
    <row r="7" spans="1:4" ht="18" customHeight="1">
      <c r="A7" s="10" t="s">
        <v>23</v>
      </c>
      <c r="B7" s="10" t="s">
        <v>1650</v>
      </c>
      <c r="C7" s="10">
        <v>1</v>
      </c>
      <c r="D7" s="10" t="s">
        <v>1670</v>
      </c>
    </row>
    <row r="8" spans="1:4" ht="18" customHeight="1">
      <c r="A8" s="10" t="s">
        <v>23</v>
      </c>
      <c r="B8" s="10" t="s">
        <v>1671</v>
      </c>
      <c r="C8" s="10">
        <v>393</v>
      </c>
      <c r="D8" s="10" t="s">
        <v>1672</v>
      </c>
    </row>
    <row r="9" spans="1:4" ht="18" customHeight="1">
      <c r="A9" s="10" t="s">
        <v>23</v>
      </c>
      <c r="B9" s="10" t="s">
        <v>1673</v>
      </c>
      <c r="C9" s="10">
        <v>393</v>
      </c>
      <c r="D9" s="10" t="s">
        <v>1672</v>
      </c>
    </row>
    <row r="10" spans="1:4" ht="18" customHeight="1">
      <c r="A10" s="10" t="s">
        <v>23</v>
      </c>
      <c r="B10" s="10" t="s">
        <v>1674</v>
      </c>
      <c r="C10" s="10">
        <v>0</v>
      </c>
      <c r="D10" s="10" t="s">
        <v>1672</v>
      </c>
    </row>
    <row r="11" spans="1:4" ht="18" customHeight="1">
      <c r="A11" s="10" t="s">
        <v>23</v>
      </c>
      <c r="B11" s="10" t="s">
        <v>1675</v>
      </c>
      <c r="C11" s="10">
        <v>4734727053.1209145</v>
      </c>
      <c r="D11" s="10" t="s">
        <v>1676</v>
      </c>
    </row>
    <row r="12" spans="1:4" ht="18" customHeight="1">
      <c r="A12" s="10" t="s">
        <v>23</v>
      </c>
      <c r="B12" s="10" t="s">
        <v>1677</v>
      </c>
      <c r="C12" s="10">
        <v>4734727053.1209145</v>
      </c>
      <c r="D12" s="10" t="s">
        <v>1676</v>
      </c>
    </row>
    <row r="13" spans="1:4" ht="18" customHeight="1">
      <c r="A13" s="10" t="s">
        <v>23</v>
      </c>
      <c r="B13" s="10" t="s">
        <v>1678</v>
      </c>
      <c r="C13" s="10">
        <v>4734727053.1209145</v>
      </c>
      <c r="D13" s="10" t="s">
        <v>1676</v>
      </c>
    </row>
    <row r="14" spans="1:4" ht="18" customHeight="1">
      <c r="A14" s="10" t="s">
        <v>23</v>
      </c>
      <c r="B14" s="10" t="s">
        <v>1679</v>
      </c>
      <c r="C14" s="10">
        <v>9.5367431640625E-7</v>
      </c>
      <c r="D14" s="10" t="s">
        <v>1676</v>
      </c>
    </row>
    <row r="15" spans="1:4" ht="18" customHeight="1">
      <c r="A15" s="10" t="s">
        <v>23</v>
      </c>
      <c r="B15" s="10" t="s">
        <v>1680</v>
      </c>
      <c r="C15" s="10">
        <v>0</v>
      </c>
      <c r="D15" s="10" t="s">
        <v>1676</v>
      </c>
    </row>
    <row r="16" spans="1:4" ht="18" customHeight="1">
      <c r="A16" s="10" t="s">
        <v>23</v>
      </c>
      <c r="B16" s="10" t="s">
        <v>1681</v>
      </c>
      <c r="C16" s="10" t="s">
        <v>1667</v>
      </c>
      <c r="D16" s="10" t="s">
        <v>1668</v>
      </c>
    </row>
    <row r="17" spans="1:4" ht="18" customHeight="1">
      <c r="A17" s="10" t="s">
        <v>23</v>
      </c>
      <c r="B17" s="10" t="s">
        <v>1682</v>
      </c>
      <c r="C17" s="10" t="s">
        <v>1667</v>
      </c>
      <c r="D17" s="10" t="s">
        <v>1668</v>
      </c>
    </row>
    <row r="18" spans="1:4" ht="18" customHeight="1">
      <c r="A18" s="10" t="s">
        <v>23</v>
      </c>
      <c r="B18" s="10" t="s">
        <v>1683</v>
      </c>
      <c r="C18" s="10">
        <v>0</v>
      </c>
      <c r="D18" s="10" t="s">
        <v>1672</v>
      </c>
    </row>
    <row r="19" spans="1:4" ht="18" customHeight="1">
      <c r="A19" s="10" t="s">
        <v>23</v>
      </c>
      <c r="B19" s="10" t="s">
        <v>1684</v>
      </c>
      <c r="C19" s="10">
        <v>0</v>
      </c>
      <c r="D19" s="10" t="s">
        <v>1672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showGridLines="0" workbookViewId="0"/>
  </sheetViews>
  <sheetFormatPr defaultRowHeight="14"/>
  <cols>
    <col min="1" max="1" width="31" customWidth="1"/>
    <col min="2" max="2" width="28" customWidth="1"/>
    <col min="3" max="3" width="68" customWidth="1"/>
  </cols>
  <sheetData>
    <row r="1" spans="1:3" ht="30" customHeight="1">
      <c r="A1" s="23" t="s">
        <v>1685</v>
      </c>
      <c r="B1" s="24"/>
      <c r="C1" s="24"/>
    </row>
    <row r="3" spans="1:3">
      <c r="A3" s="1" t="s">
        <v>1686</v>
      </c>
      <c r="B3" s="2" t="s">
        <v>1687</v>
      </c>
      <c r="C3" s="3" t="s">
        <v>1688</v>
      </c>
    </row>
    <row r="4" spans="1:3">
      <c r="A4" s="8" t="s">
        <v>1689</v>
      </c>
      <c r="B4" s="4" t="s">
        <v>23</v>
      </c>
      <c r="C4" s="5" t="s">
        <v>1690</v>
      </c>
    </row>
    <row r="5" spans="1:3">
      <c r="A5" s="8" t="s">
        <v>1691</v>
      </c>
      <c r="B5" s="17">
        <v>0.1</v>
      </c>
      <c r="C5" s="5" t="s">
        <v>1692</v>
      </c>
    </row>
    <row r="6" spans="1:3">
      <c r="A6" s="8" t="s">
        <v>1693</v>
      </c>
      <c r="B6" s="4">
        <v>2019</v>
      </c>
      <c r="C6" s="5" t="s">
        <v>1694</v>
      </c>
    </row>
    <row r="7" spans="1:3">
      <c r="A7" s="8" t="s">
        <v>1695</v>
      </c>
      <c r="B7" s="4" t="s">
        <v>25</v>
      </c>
      <c r="C7" s="5" t="s">
        <v>1696</v>
      </c>
    </row>
    <row r="8" spans="1:3">
      <c r="A8" s="8" t="s">
        <v>1697</v>
      </c>
      <c r="B8" s="4" t="s">
        <v>1698</v>
      </c>
      <c r="C8" s="5" t="s">
        <v>1699</v>
      </c>
    </row>
    <row r="9" spans="1:3">
      <c r="A9" s="8" t="s">
        <v>1700</v>
      </c>
      <c r="B9" s="4" t="s">
        <v>1701</v>
      </c>
      <c r="C9" s="5" t="s">
        <v>1702</v>
      </c>
    </row>
    <row r="10" spans="1:3">
      <c r="A10" s="8" t="s">
        <v>1703</v>
      </c>
      <c r="B10" s="4" t="s">
        <v>1704</v>
      </c>
      <c r="C10" s="5" t="s">
        <v>1705</v>
      </c>
    </row>
    <row r="11" spans="1:3">
      <c r="A11" s="8" t="s">
        <v>1706</v>
      </c>
      <c r="B11" s="4" t="s">
        <v>1707</v>
      </c>
      <c r="C11" s="5" t="s">
        <v>1708</v>
      </c>
    </row>
    <row r="12" spans="1:3">
      <c r="A12" s="8" t="s">
        <v>1709</v>
      </c>
      <c r="B12" s="4" t="s">
        <v>32</v>
      </c>
      <c r="C12" s="5" t="s">
        <v>1710</v>
      </c>
    </row>
    <row r="13" spans="1:3">
      <c r="A13" s="8" t="s">
        <v>1711</v>
      </c>
      <c r="B13" s="4" t="s">
        <v>42</v>
      </c>
      <c r="C13" s="5" t="s">
        <v>1712</v>
      </c>
    </row>
    <row r="14" spans="1:3">
      <c r="A14" s="8" t="s">
        <v>1713</v>
      </c>
      <c r="B14" s="4" t="s">
        <v>1714</v>
      </c>
      <c r="C14" s="5" t="s">
        <v>1715</v>
      </c>
    </row>
    <row r="15" spans="1:3">
      <c r="A15" s="9" t="s">
        <v>1716</v>
      </c>
      <c r="B15" s="6" t="s">
        <v>1717</v>
      </c>
      <c r="C15" s="7" t="s">
        <v>1718</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5"/>
  <sheetViews>
    <sheetView workbookViewId="0"/>
  </sheetViews>
  <sheetFormatPr defaultRowHeight="14"/>
  <cols>
    <col min="1" max="1" width="20" customWidth="1"/>
    <col min="2" max="2" width="24" customWidth="1"/>
    <col min="3" max="3" width="26" customWidth="1"/>
    <col min="4" max="4" width="10" customWidth="1"/>
    <col min="5" max="5" width="40" customWidth="1"/>
    <col min="6" max="6" width="55" customWidth="1"/>
    <col min="7" max="7" width="70" customWidth="1"/>
    <col min="8" max="8" width="45" customWidth="1"/>
    <col min="9" max="9" width="55" customWidth="1"/>
    <col min="10" max="10" width="45" customWidth="1"/>
    <col min="11" max="11" width="40" customWidth="1"/>
    <col min="12" max="12" width="70" customWidth="1"/>
  </cols>
  <sheetData>
    <row r="1" spans="1:12" ht="32" customHeight="1">
      <c r="A1" s="18" t="s">
        <v>1719</v>
      </c>
      <c r="B1" s="18" t="s">
        <v>1720</v>
      </c>
      <c r="C1" s="18" t="s">
        <v>6</v>
      </c>
      <c r="D1" s="18" t="s">
        <v>1721</v>
      </c>
      <c r="E1" s="18" t="s">
        <v>1722</v>
      </c>
      <c r="F1" s="18" t="s">
        <v>1723</v>
      </c>
      <c r="G1" s="18" t="s">
        <v>1724</v>
      </c>
      <c r="H1" s="18" t="s">
        <v>1725</v>
      </c>
      <c r="I1" s="18" t="s">
        <v>1726</v>
      </c>
      <c r="J1" s="18" t="s">
        <v>1727</v>
      </c>
      <c r="K1" s="18" t="s">
        <v>1728</v>
      </c>
      <c r="L1" s="18" t="s">
        <v>1729</v>
      </c>
    </row>
    <row r="2" spans="1:12" ht="140">
      <c r="A2" s="20" t="s">
        <v>1730</v>
      </c>
      <c r="B2" s="20" t="s">
        <v>1731</v>
      </c>
      <c r="C2" s="20" t="s">
        <v>1732</v>
      </c>
      <c r="D2" s="20">
        <v>4.0599999999999996</v>
      </c>
      <c r="E2" s="20" t="s">
        <v>1733</v>
      </c>
      <c r="F2" s="20" t="s">
        <v>1734</v>
      </c>
      <c r="G2" s="20" t="s">
        <v>1735</v>
      </c>
      <c r="H2" s="20" t="s">
        <v>1736</v>
      </c>
      <c r="I2" s="20" t="s">
        <v>1737</v>
      </c>
      <c r="J2" s="20" t="s">
        <v>1738</v>
      </c>
      <c r="K2" s="20" t="s">
        <v>1739</v>
      </c>
      <c r="L2" s="20" t="s">
        <v>1740</v>
      </c>
    </row>
    <row r="3" spans="1:12" ht="140">
      <c r="A3" s="20" t="s">
        <v>1730</v>
      </c>
      <c r="B3" s="20" t="s">
        <v>1731</v>
      </c>
      <c r="C3" s="20" t="s">
        <v>151</v>
      </c>
      <c r="D3" s="20">
        <v>4.45</v>
      </c>
      <c r="E3" s="20" t="s">
        <v>1741</v>
      </c>
      <c r="F3" s="20" t="s">
        <v>1742</v>
      </c>
      <c r="G3" s="20" t="s">
        <v>1743</v>
      </c>
      <c r="H3" s="20" t="s">
        <v>1736</v>
      </c>
      <c r="I3" s="20" t="s">
        <v>1737</v>
      </c>
      <c r="J3" s="20" t="s">
        <v>1738</v>
      </c>
      <c r="K3" s="20" t="s">
        <v>1739</v>
      </c>
      <c r="L3" s="20" t="s">
        <v>1740</v>
      </c>
    </row>
    <row r="4" spans="1:12" ht="140">
      <c r="A4" s="20" t="s">
        <v>1730</v>
      </c>
      <c r="B4" s="20" t="s">
        <v>1731</v>
      </c>
      <c r="C4" s="20" t="s">
        <v>336</v>
      </c>
      <c r="D4" s="20">
        <v>3.59</v>
      </c>
      <c r="E4" s="20" t="s">
        <v>1744</v>
      </c>
      <c r="F4" s="20" t="s">
        <v>1745</v>
      </c>
      <c r="G4" s="20" t="s">
        <v>1746</v>
      </c>
      <c r="H4" s="20" t="s">
        <v>1736</v>
      </c>
      <c r="I4" s="20" t="s">
        <v>1737</v>
      </c>
      <c r="J4" s="20" t="s">
        <v>1738</v>
      </c>
      <c r="K4" s="20" t="s">
        <v>1739</v>
      </c>
      <c r="L4" s="20" t="s">
        <v>1740</v>
      </c>
    </row>
    <row r="5" spans="1:12" ht="140">
      <c r="A5" s="20" t="s">
        <v>1730</v>
      </c>
      <c r="B5" s="20" t="s">
        <v>1731</v>
      </c>
      <c r="C5" s="20" t="s">
        <v>110</v>
      </c>
      <c r="D5" s="20">
        <v>4.18</v>
      </c>
      <c r="E5" s="20" t="s">
        <v>1747</v>
      </c>
      <c r="F5" s="20" t="s">
        <v>1748</v>
      </c>
      <c r="G5" s="20" t="s">
        <v>1749</v>
      </c>
      <c r="H5" s="20" t="s">
        <v>1736</v>
      </c>
      <c r="I5" s="20" t="s">
        <v>1737</v>
      </c>
      <c r="J5" s="20" t="s">
        <v>1738</v>
      </c>
      <c r="K5" s="20" t="s">
        <v>1739</v>
      </c>
      <c r="L5" s="20" t="s">
        <v>1740</v>
      </c>
    </row>
    <row r="6" spans="1:12" ht="140">
      <c r="A6" s="20" t="s">
        <v>1730</v>
      </c>
      <c r="B6" s="20" t="s">
        <v>1731</v>
      </c>
      <c r="C6" s="20" t="s">
        <v>57</v>
      </c>
      <c r="D6" s="20">
        <v>4.1399999999999997</v>
      </c>
      <c r="E6" s="20" t="s">
        <v>1750</v>
      </c>
      <c r="F6" s="20" t="s">
        <v>1751</v>
      </c>
      <c r="G6" s="20" t="s">
        <v>1752</v>
      </c>
      <c r="H6" s="20" t="s">
        <v>1736</v>
      </c>
      <c r="I6" s="20" t="s">
        <v>1737</v>
      </c>
      <c r="J6" s="20" t="s">
        <v>1738</v>
      </c>
      <c r="K6" s="20" t="s">
        <v>1739</v>
      </c>
      <c r="L6" s="20" t="s">
        <v>1740</v>
      </c>
    </row>
    <row r="7" spans="1:12" ht="140">
      <c r="A7" s="20" t="s">
        <v>1730</v>
      </c>
      <c r="B7" s="20" t="s">
        <v>1731</v>
      </c>
      <c r="C7" s="20" t="s">
        <v>118</v>
      </c>
      <c r="D7" s="20">
        <v>4.18</v>
      </c>
      <c r="E7" s="20" t="s">
        <v>1753</v>
      </c>
      <c r="F7" s="20" t="s">
        <v>1754</v>
      </c>
      <c r="G7" s="20" t="s">
        <v>1755</v>
      </c>
      <c r="H7" s="20" t="s">
        <v>1736</v>
      </c>
      <c r="I7" s="20" t="s">
        <v>1737</v>
      </c>
      <c r="J7" s="20" t="s">
        <v>1738</v>
      </c>
      <c r="K7" s="20" t="s">
        <v>1739</v>
      </c>
      <c r="L7" s="20" t="s">
        <v>1740</v>
      </c>
    </row>
    <row r="8" spans="1:12" ht="140">
      <c r="A8" s="20" t="s">
        <v>1730</v>
      </c>
      <c r="B8" s="20" t="s">
        <v>1731</v>
      </c>
      <c r="C8" s="20" t="s">
        <v>136</v>
      </c>
      <c r="D8" s="20">
        <v>4.1500000000000004</v>
      </c>
      <c r="E8" s="20" t="s">
        <v>1756</v>
      </c>
      <c r="F8" s="20" t="s">
        <v>1757</v>
      </c>
      <c r="G8" s="20" t="s">
        <v>1758</v>
      </c>
      <c r="H8" s="20" t="s">
        <v>1736</v>
      </c>
      <c r="I8" s="20" t="s">
        <v>1737</v>
      </c>
      <c r="J8" s="20" t="s">
        <v>1738</v>
      </c>
      <c r="K8" s="20" t="s">
        <v>1739</v>
      </c>
      <c r="L8" s="20" t="s">
        <v>1740</v>
      </c>
    </row>
    <row r="9" spans="1:12" ht="140">
      <c r="A9" s="20" t="s">
        <v>1730</v>
      </c>
      <c r="B9" s="20" t="s">
        <v>1731</v>
      </c>
      <c r="C9" s="20" t="s">
        <v>105</v>
      </c>
      <c r="D9" s="20">
        <v>4.1399999999999997</v>
      </c>
      <c r="E9" s="20" t="s">
        <v>1759</v>
      </c>
      <c r="F9" s="20" t="s">
        <v>1760</v>
      </c>
      <c r="G9" s="20" t="s">
        <v>1761</v>
      </c>
      <c r="H9" s="20" t="s">
        <v>1736</v>
      </c>
      <c r="I9" s="20" t="s">
        <v>1737</v>
      </c>
      <c r="J9" s="20" t="s">
        <v>1738</v>
      </c>
      <c r="K9" s="20" t="s">
        <v>1739</v>
      </c>
      <c r="L9" s="20" t="s">
        <v>1740</v>
      </c>
    </row>
    <row r="10" spans="1:12" ht="140">
      <c r="A10" s="20" t="s">
        <v>1730</v>
      </c>
      <c r="B10" s="20" t="s">
        <v>1731</v>
      </c>
      <c r="C10" s="20" t="s">
        <v>92</v>
      </c>
      <c r="D10" s="20">
        <v>3.19</v>
      </c>
      <c r="E10" s="20" t="s">
        <v>1762</v>
      </c>
      <c r="F10" s="20" t="s">
        <v>1763</v>
      </c>
      <c r="G10" s="20" t="s">
        <v>1764</v>
      </c>
      <c r="H10" s="20" t="s">
        <v>1736</v>
      </c>
      <c r="I10" s="20" t="s">
        <v>1737</v>
      </c>
      <c r="J10" s="20" t="s">
        <v>1738</v>
      </c>
      <c r="K10" s="20" t="s">
        <v>1739</v>
      </c>
      <c r="L10" s="20" t="s">
        <v>1740</v>
      </c>
    </row>
    <row r="11" spans="1:12" ht="140">
      <c r="A11" s="20" t="s">
        <v>1730</v>
      </c>
      <c r="B11" s="20" t="s">
        <v>1731</v>
      </c>
      <c r="C11" s="20" t="s">
        <v>73</v>
      </c>
      <c r="D11" s="20">
        <v>2.68</v>
      </c>
      <c r="E11" s="20" t="s">
        <v>1765</v>
      </c>
      <c r="F11" s="20" t="s">
        <v>1766</v>
      </c>
      <c r="G11" s="20" t="s">
        <v>1767</v>
      </c>
      <c r="H11" s="20" t="s">
        <v>1736</v>
      </c>
      <c r="I11" s="20" t="s">
        <v>1737</v>
      </c>
      <c r="J11" s="20" t="s">
        <v>1738</v>
      </c>
      <c r="K11" s="20" t="s">
        <v>1739</v>
      </c>
      <c r="L11" s="20" t="s">
        <v>1740</v>
      </c>
    </row>
    <row r="12" spans="1:12" ht="140">
      <c r="A12" s="20" t="s">
        <v>1730</v>
      </c>
      <c r="B12" s="20" t="s">
        <v>1731</v>
      </c>
      <c r="C12" s="20" t="s">
        <v>87</v>
      </c>
      <c r="D12" s="20">
        <v>3.88</v>
      </c>
      <c r="E12" s="20" t="s">
        <v>1768</v>
      </c>
      <c r="F12" s="20" t="s">
        <v>1769</v>
      </c>
      <c r="G12" s="20" t="s">
        <v>1770</v>
      </c>
      <c r="H12" s="20" t="s">
        <v>1736</v>
      </c>
      <c r="I12" s="20" t="s">
        <v>1737</v>
      </c>
      <c r="J12" s="20" t="s">
        <v>1738</v>
      </c>
      <c r="K12" s="20" t="s">
        <v>1739</v>
      </c>
      <c r="L12" s="20" t="s">
        <v>1740</v>
      </c>
    </row>
    <row r="13" spans="1:12" ht="140">
      <c r="A13" s="20" t="s">
        <v>1730</v>
      </c>
      <c r="B13" s="20" t="s">
        <v>1731</v>
      </c>
      <c r="C13" s="20" t="s">
        <v>50</v>
      </c>
      <c r="D13" s="20">
        <v>2</v>
      </c>
      <c r="E13" s="20" t="s">
        <v>1771</v>
      </c>
      <c r="F13" s="20" t="s">
        <v>45</v>
      </c>
      <c r="G13" s="20" t="s">
        <v>1772</v>
      </c>
      <c r="H13" s="20" t="s">
        <v>1736</v>
      </c>
      <c r="I13" s="20" t="s">
        <v>1737</v>
      </c>
      <c r="J13" s="20" t="s">
        <v>1738</v>
      </c>
      <c r="K13" s="20" t="s">
        <v>1739</v>
      </c>
      <c r="L13" s="20" t="s">
        <v>1740</v>
      </c>
    </row>
    <row r="14" spans="1:12" ht="140">
      <c r="A14" s="20" t="s">
        <v>1730</v>
      </c>
      <c r="B14" s="20" t="s">
        <v>1731</v>
      </c>
      <c r="C14" s="20" t="s">
        <v>34</v>
      </c>
      <c r="D14" s="20">
        <v>2.95</v>
      </c>
      <c r="E14" s="20" t="s">
        <v>1773</v>
      </c>
      <c r="F14" s="20" t="s">
        <v>1774</v>
      </c>
      <c r="G14" s="20" t="s">
        <v>1775</v>
      </c>
      <c r="H14" s="20" t="s">
        <v>1736</v>
      </c>
      <c r="I14" s="20" t="s">
        <v>1737</v>
      </c>
      <c r="J14" s="20" t="s">
        <v>1738</v>
      </c>
      <c r="K14" s="20" t="s">
        <v>1739</v>
      </c>
      <c r="L14" s="20" t="s">
        <v>1740</v>
      </c>
    </row>
    <row r="15" spans="1:12" ht="140">
      <c r="A15" s="20" t="s">
        <v>1730</v>
      </c>
      <c r="B15" s="20" t="s">
        <v>1731</v>
      </c>
      <c r="C15" s="20" t="s">
        <v>169</v>
      </c>
      <c r="D15" s="20">
        <v>3.49</v>
      </c>
      <c r="E15" s="20" t="s">
        <v>1776</v>
      </c>
      <c r="F15" s="20" t="s">
        <v>1777</v>
      </c>
      <c r="G15" s="20" t="s">
        <v>1778</v>
      </c>
      <c r="H15" s="20" t="s">
        <v>1736</v>
      </c>
      <c r="I15" s="20" t="s">
        <v>1737</v>
      </c>
      <c r="J15" s="20" t="s">
        <v>1738</v>
      </c>
      <c r="K15" s="20" t="s">
        <v>1739</v>
      </c>
      <c r="L15" s="20" t="s">
        <v>1740</v>
      </c>
    </row>
    <row r="16" spans="1:12" ht="140">
      <c r="A16" s="20" t="s">
        <v>1730</v>
      </c>
      <c r="B16" s="20" t="s">
        <v>1731</v>
      </c>
      <c r="C16" s="20" t="s">
        <v>322</v>
      </c>
      <c r="D16" s="20">
        <v>2.89</v>
      </c>
      <c r="E16" s="20" t="s">
        <v>1779</v>
      </c>
      <c r="F16" s="20" t="s">
        <v>1780</v>
      </c>
      <c r="G16" s="20" t="s">
        <v>1781</v>
      </c>
      <c r="H16" s="20" t="s">
        <v>1736</v>
      </c>
      <c r="I16" s="20" t="s">
        <v>1737</v>
      </c>
      <c r="J16" s="20" t="s">
        <v>1738</v>
      </c>
      <c r="K16" s="20" t="s">
        <v>1739</v>
      </c>
      <c r="L16" s="20" t="s">
        <v>1740</v>
      </c>
    </row>
    <row r="17" spans="1:12" ht="140">
      <c r="A17" s="20" t="s">
        <v>1730</v>
      </c>
      <c r="B17" s="20" t="s">
        <v>1731</v>
      </c>
      <c r="C17" s="20" t="s">
        <v>81</v>
      </c>
      <c r="D17" s="20">
        <v>3.02</v>
      </c>
      <c r="E17" s="20" t="s">
        <v>1782</v>
      </c>
      <c r="F17" s="20" t="s">
        <v>1783</v>
      </c>
      <c r="G17" s="20" t="s">
        <v>1784</v>
      </c>
      <c r="H17" s="20" t="s">
        <v>1736</v>
      </c>
      <c r="I17" s="20" t="s">
        <v>1737</v>
      </c>
      <c r="J17" s="20" t="s">
        <v>1738</v>
      </c>
      <c r="K17" s="20" t="s">
        <v>1739</v>
      </c>
      <c r="L17" s="20" t="s">
        <v>1740</v>
      </c>
    </row>
    <row r="18" spans="1:12" ht="140">
      <c r="A18" s="20" t="s">
        <v>1730</v>
      </c>
      <c r="B18" s="20" t="s">
        <v>1731</v>
      </c>
      <c r="C18" s="20" t="s">
        <v>181</v>
      </c>
      <c r="D18" s="20">
        <v>2.5499999999999998</v>
      </c>
      <c r="E18" s="20" t="s">
        <v>1785</v>
      </c>
      <c r="F18" s="20" t="s">
        <v>1786</v>
      </c>
      <c r="G18" s="20" t="s">
        <v>1787</v>
      </c>
      <c r="H18" s="20" t="s">
        <v>1736</v>
      </c>
      <c r="I18" s="20" t="s">
        <v>1737</v>
      </c>
      <c r="J18" s="20" t="s">
        <v>1738</v>
      </c>
      <c r="K18" s="20" t="s">
        <v>1739</v>
      </c>
      <c r="L18" s="20" t="s">
        <v>1740</v>
      </c>
    </row>
    <row r="19" spans="1:12" ht="140">
      <c r="A19" s="20" t="s">
        <v>1730</v>
      </c>
      <c r="B19" s="20" t="s">
        <v>1731</v>
      </c>
      <c r="C19" s="20" t="s">
        <v>126</v>
      </c>
      <c r="D19" s="20">
        <v>2.3199999999999998</v>
      </c>
      <c r="E19" s="20" t="s">
        <v>1788</v>
      </c>
      <c r="F19" s="20" t="s">
        <v>1789</v>
      </c>
      <c r="G19" s="20" t="s">
        <v>1790</v>
      </c>
      <c r="H19" s="20" t="s">
        <v>1736</v>
      </c>
      <c r="I19" s="20" t="s">
        <v>1737</v>
      </c>
      <c r="J19" s="20" t="s">
        <v>1738</v>
      </c>
      <c r="K19" s="20" t="s">
        <v>1739</v>
      </c>
      <c r="L19" s="20" t="s">
        <v>1740</v>
      </c>
    </row>
    <row r="20" spans="1:12" ht="140">
      <c r="A20" s="20" t="s">
        <v>1730</v>
      </c>
      <c r="B20" s="20" t="s">
        <v>1731</v>
      </c>
      <c r="C20" s="20" t="s">
        <v>1791</v>
      </c>
      <c r="D20" s="20">
        <v>2.02</v>
      </c>
      <c r="E20" s="20" t="s">
        <v>1792</v>
      </c>
      <c r="F20" s="20" t="s">
        <v>1793</v>
      </c>
      <c r="G20" s="20" t="s">
        <v>1794</v>
      </c>
      <c r="H20" s="20" t="s">
        <v>1736</v>
      </c>
      <c r="I20" s="20" t="s">
        <v>1737</v>
      </c>
      <c r="J20" s="20" t="s">
        <v>1738</v>
      </c>
      <c r="K20" s="20" t="s">
        <v>1739</v>
      </c>
      <c r="L20" s="20" t="s">
        <v>1740</v>
      </c>
    </row>
    <row r="21" spans="1:12" ht="140">
      <c r="A21" s="20" t="s">
        <v>1730</v>
      </c>
      <c r="B21" s="20" t="s">
        <v>1731</v>
      </c>
      <c r="C21" s="20" t="s">
        <v>296</v>
      </c>
      <c r="D21" s="20">
        <v>3.24</v>
      </c>
      <c r="E21" s="20" t="s">
        <v>1795</v>
      </c>
      <c r="F21" s="20" t="s">
        <v>1796</v>
      </c>
      <c r="G21" s="20" t="s">
        <v>1797</v>
      </c>
      <c r="H21" s="20" t="s">
        <v>1736</v>
      </c>
      <c r="I21" s="20" t="s">
        <v>1737</v>
      </c>
      <c r="J21" s="20" t="s">
        <v>1738</v>
      </c>
      <c r="K21" s="20" t="s">
        <v>1739</v>
      </c>
      <c r="L21" s="20" t="s">
        <v>1740</v>
      </c>
    </row>
    <row r="22" spans="1:12" ht="140">
      <c r="A22" s="20" t="s">
        <v>1730</v>
      </c>
      <c r="B22" s="20" t="s">
        <v>1731</v>
      </c>
      <c r="C22" s="20" t="s">
        <v>1798</v>
      </c>
      <c r="D22" s="20">
        <v>2.58</v>
      </c>
      <c r="E22" s="20" t="s">
        <v>1799</v>
      </c>
      <c r="F22" s="20" t="s">
        <v>1800</v>
      </c>
      <c r="G22" s="20" t="s">
        <v>1801</v>
      </c>
      <c r="H22" s="20" t="s">
        <v>1736</v>
      </c>
      <c r="I22" s="20" t="s">
        <v>1737</v>
      </c>
      <c r="J22" s="20" t="s">
        <v>1738</v>
      </c>
      <c r="K22" s="20" t="s">
        <v>1739</v>
      </c>
      <c r="L22" s="20" t="s">
        <v>1740</v>
      </c>
    </row>
    <row r="23" spans="1:12" ht="140">
      <c r="A23" s="20" t="s">
        <v>1730</v>
      </c>
      <c r="B23" s="20" t="s">
        <v>1731</v>
      </c>
      <c r="C23" s="20" t="s">
        <v>1802</v>
      </c>
      <c r="D23" s="20">
        <v>2</v>
      </c>
      <c r="E23" s="20" t="s">
        <v>1803</v>
      </c>
      <c r="F23" s="20" t="s">
        <v>1804</v>
      </c>
      <c r="G23" s="20" t="s">
        <v>1805</v>
      </c>
      <c r="H23" s="20" t="s">
        <v>1736</v>
      </c>
      <c r="I23" s="20" t="s">
        <v>1737</v>
      </c>
      <c r="J23" s="20" t="s">
        <v>1738</v>
      </c>
      <c r="K23" s="20" t="s">
        <v>1739</v>
      </c>
      <c r="L23" s="20" t="s">
        <v>1740</v>
      </c>
    </row>
    <row r="24" spans="1:12" ht="140">
      <c r="A24" s="20" t="s">
        <v>1730</v>
      </c>
      <c r="B24" s="20" t="s">
        <v>1731</v>
      </c>
      <c r="C24" s="20" t="s">
        <v>1806</v>
      </c>
      <c r="D24" s="20">
        <v>1</v>
      </c>
      <c r="E24" s="20" t="s">
        <v>1807</v>
      </c>
      <c r="F24" s="20" t="s">
        <v>1808</v>
      </c>
      <c r="G24" s="20" t="s">
        <v>1805</v>
      </c>
      <c r="H24" s="20" t="s">
        <v>1736</v>
      </c>
      <c r="I24" s="20" t="s">
        <v>1737</v>
      </c>
      <c r="J24" s="20" t="s">
        <v>1738</v>
      </c>
      <c r="K24" s="20" t="s">
        <v>1739</v>
      </c>
      <c r="L24" s="20" t="s">
        <v>1740</v>
      </c>
    </row>
    <row r="25" spans="1:12" ht="140">
      <c r="A25" s="20" t="s">
        <v>1730</v>
      </c>
      <c r="B25" s="20" t="s">
        <v>1731</v>
      </c>
      <c r="C25" s="20" t="s">
        <v>1809</v>
      </c>
      <c r="D25" s="20">
        <v>1</v>
      </c>
      <c r="E25" s="20" t="s">
        <v>1810</v>
      </c>
      <c r="F25" s="20" t="s">
        <v>1809</v>
      </c>
      <c r="G25" s="20" t="s">
        <v>1811</v>
      </c>
      <c r="H25" s="20" t="s">
        <v>1736</v>
      </c>
      <c r="I25" s="20" t="s">
        <v>1737</v>
      </c>
      <c r="J25" s="20" t="s">
        <v>1738</v>
      </c>
      <c r="K25" s="20" t="s">
        <v>1739</v>
      </c>
      <c r="L25" s="20" t="s">
        <v>1740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Species</vt:lpstr>
      <vt:lpstr>Commercial</vt:lpstr>
      <vt:lpstr>Functional</vt:lpstr>
      <vt:lpstr>Missing TL</vt:lpstr>
      <vt:lpstr>Validation</vt:lpstr>
      <vt:lpstr>Metadata</vt:lpstr>
      <vt:lpstr>EwE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Ido Carmel</cp:lastModifiedBy>
  <dcterms:created xsi:type="dcterms:W3CDTF">2026-09-05T07:14:42Z</dcterms:created>
  <dcterms:modified xsi:type="dcterms:W3CDTF">2026-09-05T07:47:07Z</dcterms:modified>
</cp:coreProperties>
</file>