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doca\Desktop\אישי\אקדמיה\תואר שני\מחקר\BTN\GlobalPPREstimation\skills\artifact-template-ewe-species-to-group-mapper\example outputs\"/>
    </mc:Choice>
  </mc:AlternateContent>
  <xr:revisionPtr revIDLastSave="0" documentId="8_{B846656B-4923-4D35-8E6C-9313747FE4B2}" xr6:coauthVersionLast="47" xr6:coauthVersionMax="47" xr10:uidLastSave="{00000000-0000-0000-0000-000000000000}"/>
  <bookViews>
    <workbookView xWindow="-9890" yWindow="-21710" windowWidth="38620" windowHeight="21100" xr2:uid="{00000000-000D-0000-FFFF-FFFF00000000}"/>
  </bookViews>
  <sheets>
    <sheet name="Species" sheetId="1" r:id="rId1"/>
    <sheet name="Commercial" sheetId="2" r:id="rId2"/>
    <sheet name="Functional" sheetId="3" r:id="rId3"/>
    <sheet name="Missing TL" sheetId="4" r:id="rId4"/>
    <sheet name="Validation" sheetId="5" r:id="rId5"/>
    <sheet name="Metadata" sheetId="6" r:id="rId6"/>
    <sheet name="EwE Taxonom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3" l="1"/>
  <c r="L25" i="3" s="1"/>
  <c r="K24" i="3"/>
  <c r="L24" i="3" s="1"/>
  <c r="K23" i="3"/>
  <c r="L23" i="3" s="1"/>
  <c r="K22" i="3"/>
  <c r="L22" i="3" s="1"/>
  <c r="K21" i="3"/>
  <c r="L21" i="3" s="1"/>
  <c r="K20" i="3"/>
  <c r="L20" i="3" s="1"/>
  <c r="K19" i="3"/>
  <c r="L19" i="3" s="1"/>
  <c r="K18" i="3"/>
  <c r="L18" i="3" s="1"/>
  <c r="K17" i="3"/>
  <c r="L17" i="3" s="1"/>
  <c r="K16" i="3"/>
  <c r="L16" i="3" s="1"/>
  <c r="K15" i="3"/>
  <c r="L15" i="3" s="1"/>
  <c r="K14" i="3"/>
  <c r="L14" i="3" s="1"/>
  <c r="K13" i="3"/>
  <c r="L13" i="3" s="1"/>
  <c r="K12" i="3"/>
  <c r="L12" i="3" s="1"/>
  <c r="K11" i="3"/>
  <c r="L11" i="3" s="1"/>
  <c r="K10" i="3"/>
  <c r="L10" i="3" s="1"/>
  <c r="K9" i="3"/>
  <c r="L9" i="3" s="1"/>
  <c r="K8" i="3"/>
  <c r="L8" i="3" s="1"/>
  <c r="K7" i="3"/>
  <c r="L7" i="3" s="1"/>
  <c r="K6" i="3"/>
  <c r="L6" i="3" s="1"/>
  <c r="K5" i="3"/>
  <c r="L5" i="3" s="1"/>
  <c r="K4" i="3"/>
  <c r="L4" i="3" s="1"/>
  <c r="K3" i="3"/>
  <c r="L3" i="3" s="1"/>
  <c r="K2" i="3"/>
  <c r="L2" i="3" s="1"/>
  <c r="K13" i="2"/>
  <c r="L13" i="2" s="1"/>
  <c r="K12" i="2"/>
  <c r="L12" i="2" s="1"/>
  <c r="K11" i="2"/>
  <c r="L11" i="2" s="1"/>
  <c r="K10" i="2"/>
  <c r="L10" i="2" s="1"/>
  <c r="K9" i="2"/>
  <c r="L9" i="2" s="1"/>
  <c r="K8" i="2"/>
  <c r="L8" i="2" s="1"/>
  <c r="K7" i="2"/>
  <c r="L7" i="2" s="1"/>
  <c r="K6" i="2"/>
  <c r="L6" i="2" s="1"/>
  <c r="L5" i="2"/>
  <c r="K5" i="2"/>
  <c r="K4" i="2"/>
  <c r="L4" i="2" s="1"/>
  <c r="K3" i="2"/>
  <c r="L3" i="2" s="1"/>
  <c r="K2" i="2"/>
  <c r="L2" i="2" s="1"/>
  <c r="T255" i="1"/>
  <c r="U255" i="1" s="1"/>
  <c r="T254" i="1"/>
  <c r="U254" i="1" s="1"/>
  <c r="T253" i="1"/>
  <c r="U253" i="1" s="1"/>
  <c r="T252" i="1"/>
  <c r="U252" i="1" s="1"/>
  <c r="T251" i="1"/>
  <c r="U251" i="1" s="1"/>
  <c r="T250" i="1"/>
  <c r="U250" i="1" s="1"/>
  <c r="T249" i="1"/>
  <c r="U249" i="1" s="1"/>
  <c r="T248" i="1"/>
  <c r="U248" i="1" s="1"/>
  <c r="T247" i="1"/>
  <c r="U247" i="1" s="1"/>
  <c r="T246" i="1"/>
  <c r="U246" i="1" s="1"/>
  <c r="T245" i="1"/>
  <c r="U245" i="1" s="1"/>
  <c r="T244" i="1"/>
  <c r="U244" i="1" s="1"/>
  <c r="T243" i="1"/>
  <c r="U243" i="1" s="1"/>
  <c r="T242" i="1"/>
  <c r="U242" i="1" s="1"/>
  <c r="T241" i="1"/>
  <c r="U241" i="1" s="1"/>
  <c r="T240" i="1"/>
  <c r="U240" i="1" s="1"/>
  <c r="T239" i="1"/>
  <c r="U239" i="1" s="1"/>
  <c r="T238" i="1"/>
  <c r="U238" i="1" s="1"/>
  <c r="T237" i="1"/>
  <c r="U237" i="1" s="1"/>
  <c r="T236" i="1"/>
  <c r="U236" i="1" s="1"/>
  <c r="T235" i="1"/>
  <c r="U235" i="1" s="1"/>
  <c r="T234" i="1"/>
  <c r="U234" i="1" s="1"/>
  <c r="T233" i="1"/>
  <c r="U233" i="1" s="1"/>
  <c r="T232" i="1"/>
  <c r="U232" i="1" s="1"/>
  <c r="T231" i="1"/>
  <c r="U231" i="1" s="1"/>
  <c r="T230" i="1"/>
  <c r="U230" i="1" s="1"/>
  <c r="T229" i="1"/>
  <c r="U229" i="1" s="1"/>
  <c r="T228" i="1"/>
  <c r="U228" i="1" s="1"/>
  <c r="T227" i="1"/>
  <c r="U227" i="1" s="1"/>
  <c r="T226" i="1"/>
  <c r="U226" i="1" s="1"/>
  <c r="T225" i="1"/>
  <c r="U225" i="1" s="1"/>
  <c r="T224" i="1"/>
  <c r="U224" i="1" s="1"/>
  <c r="T223" i="1"/>
  <c r="U223" i="1" s="1"/>
  <c r="T222" i="1"/>
  <c r="U222" i="1" s="1"/>
  <c r="T221" i="1"/>
  <c r="U221" i="1" s="1"/>
  <c r="T220" i="1"/>
  <c r="U220" i="1" s="1"/>
  <c r="T219" i="1"/>
  <c r="U219" i="1" s="1"/>
  <c r="T218" i="1"/>
  <c r="U218" i="1" s="1"/>
  <c r="T217" i="1"/>
  <c r="U217" i="1" s="1"/>
  <c r="T216" i="1"/>
  <c r="U216" i="1" s="1"/>
  <c r="T215" i="1"/>
  <c r="U215" i="1" s="1"/>
  <c r="T214" i="1"/>
  <c r="U214" i="1" s="1"/>
  <c r="T213" i="1"/>
  <c r="U213" i="1" s="1"/>
  <c r="T212" i="1"/>
  <c r="U212" i="1" s="1"/>
  <c r="T211" i="1"/>
  <c r="U211" i="1" s="1"/>
  <c r="T210" i="1"/>
  <c r="U210" i="1" s="1"/>
  <c r="T209" i="1"/>
  <c r="U209" i="1" s="1"/>
  <c r="T208" i="1"/>
  <c r="U208" i="1" s="1"/>
  <c r="T207" i="1"/>
  <c r="U207" i="1" s="1"/>
  <c r="T206" i="1"/>
  <c r="U206" i="1" s="1"/>
  <c r="T205" i="1"/>
  <c r="U205" i="1" s="1"/>
  <c r="T204" i="1"/>
  <c r="U204" i="1" s="1"/>
  <c r="T203" i="1"/>
  <c r="U203" i="1" s="1"/>
  <c r="T202" i="1"/>
  <c r="U202" i="1" s="1"/>
  <c r="T201" i="1"/>
  <c r="U201" i="1" s="1"/>
  <c r="T200" i="1"/>
  <c r="U200" i="1" s="1"/>
  <c r="T199" i="1"/>
  <c r="U199" i="1" s="1"/>
  <c r="T198" i="1"/>
  <c r="U198" i="1" s="1"/>
  <c r="T197" i="1"/>
  <c r="U197" i="1" s="1"/>
  <c r="I12" i="3" s="1"/>
  <c r="T196" i="1"/>
  <c r="U196" i="1" s="1"/>
  <c r="T195" i="1"/>
  <c r="U195" i="1" s="1"/>
  <c r="T194" i="1"/>
  <c r="U194" i="1" s="1"/>
  <c r="T193" i="1"/>
  <c r="U193" i="1" s="1"/>
  <c r="T192" i="1"/>
  <c r="U192" i="1" s="1"/>
  <c r="T191" i="1"/>
  <c r="U191" i="1" s="1"/>
  <c r="T190" i="1"/>
  <c r="U190" i="1" s="1"/>
  <c r="T189" i="1"/>
  <c r="U189" i="1" s="1"/>
  <c r="T188" i="1"/>
  <c r="U188" i="1" s="1"/>
  <c r="T187" i="1"/>
  <c r="U187" i="1" s="1"/>
  <c r="T186" i="1"/>
  <c r="U186" i="1" s="1"/>
  <c r="T185" i="1"/>
  <c r="U185" i="1" s="1"/>
  <c r="T184" i="1"/>
  <c r="U184" i="1" s="1"/>
  <c r="T183" i="1"/>
  <c r="U183" i="1" s="1"/>
  <c r="T182" i="1"/>
  <c r="U182" i="1" s="1"/>
  <c r="T181" i="1"/>
  <c r="U181" i="1" s="1"/>
  <c r="I8" i="3" s="1"/>
  <c r="T180" i="1"/>
  <c r="U180" i="1" s="1"/>
  <c r="T179" i="1"/>
  <c r="U179" i="1" s="1"/>
  <c r="T178" i="1"/>
  <c r="U178" i="1" s="1"/>
  <c r="T177" i="1"/>
  <c r="U177" i="1" s="1"/>
  <c r="T176" i="1"/>
  <c r="U176" i="1" s="1"/>
  <c r="T175" i="1"/>
  <c r="U175" i="1" s="1"/>
  <c r="T174" i="1"/>
  <c r="U174" i="1" s="1"/>
  <c r="T173" i="1"/>
  <c r="U173" i="1" s="1"/>
  <c r="T172" i="1"/>
  <c r="U172" i="1" s="1"/>
  <c r="T171" i="1"/>
  <c r="U171" i="1" s="1"/>
  <c r="T170" i="1"/>
  <c r="U170" i="1" s="1"/>
  <c r="T169" i="1"/>
  <c r="U169" i="1" s="1"/>
  <c r="T168" i="1"/>
  <c r="U168" i="1" s="1"/>
  <c r="T167" i="1"/>
  <c r="U167" i="1" s="1"/>
  <c r="T166" i="1"/>
  <c r="U166" i="1" s="1"/>
  <c r="T165" i="1"/>
  <c r="U165" i="1" s="1"/>
  <c r="T164" i="1"/>
  <c r="U164" i="1" s="1"/>
  <c r="T163" i="1"/>
  <c r="U163" i="1" s="1"/>
  <c r="T162" i="1"/>
  <c r="U162" i="1" s="1"/>
  <c r="T161" i="1"/>
  <c r="U161" i="1" s="1"/>
  <c r="T160" i="1"/>
  <c r="U160" i="1" s="1"/>
  <c r="T159" i="1"/>
  <c r="U159" i="1" s="1"/>
  <c r="T158" i="1"/>
  <c r="U158" i="1" s="1"/>
  <c r="T157" i="1"/>
  <c r="U157" i="1" s="1"/>
  <c r="T156" i="1"/>
  <c r="U156" i="1" s="1"/>
  <c r="T155" i="1"/>
  <c r="U155" i="1" s="1"/>
  <c r="T154" i="1"/>
  <c r="U154" i="1" s="1"/>
  <c r="T153" i="1"/>
  <c r="U153" i="1" s="1"/>
  <c r="T152" i="1"/>
  <c r="U152" i="1" s="1"/>
  <c r="T151" i="1"/>
  <c r="U151" i="1" s="1"/>
  <c r="T150" i="1"/>
  <c r="U150" i="1" s="1"/>
  <c r="T149" i="1"/>
  <c r="U149" i="1" s="1"/>
  <c r="T148" i="1"/>
  <c r="U148" i="1" s="1"/>
  <c r="T147" i="1"/>
  <c r="U147" i="1" s="1"/>
  <c r="T146" i="1"/>
  <c r="U146" i="1" s="1"/>
  <c r="I24" i="3" s="1"/>
  <c r="T145" i="1"/>
  <c r="U145" i="1" s="1"/>
  <c r="T144" i="1"/>
  <c r="U144" i="1" s="1"/>
  <c r="T143" i="1"/>
  <c r="U143" i="1" s="1"/>
  <c r="T142" i="1"/>
  <c r="U142" i="1" s="1"/>
  <c r="T141" i="1"/>
  <c r="U141" i="1" s="1"/>
  <c r="T140" i="1"/>
  <c r="U140" i="1" s="1"/>
  <c r="T139" i="1"/>
  <c r="U139" i="1" s="1"/>
  <c r="T138" i="1"/>
  <c r="U138" i="1" s="1"/>
  <c r="T137" i="1"/>
  <c r="U137" i="1" s="1"/>
  <c r="T136" i="1"/>
  <c r="U136" i="1" s="1"/>
  <c r="T135" i="1"/>
  <c r="U135" i="1" s="1"/>
  <c r="T134" i="1"/>
  <c r="U134" i="1" s="1"/>
  <c r="T133" i="1"/>
  <c r="U133" i="1" s="1"/>
  <c r="T132" i="1"/>
  <c r="U132" i="1" s="1"/>
  <c r="I19" i="3" s="1"/>
  <c r="T131" i="1"/>
  <c r="U131" i="1" s="1"/>
  <c r="T130" i="1"/>
  <c r="U130" i="1" s="1"/>
  <c r="T129" i="1"/>
  <c r="U129" i="1" s="1"/>
  <c r="T128" i="1"/>
  <c r="U128" i="1" s="1"/>
  <c r="T127" i="1"/>
  <c r="U127" i="1" s="1"/>
  <c r="T126" i="1"/>
  <c r="U126" i="1" s="1"/>
  <c r="T125" i="1"/>
  <c r="U125" i="1" s="1"/>
  <c r="T124" i="1"/>
  <c r="U124" i="1" s="1"/>
  <c r="T123" i="1"/>
  <c r="U123" i="1" s="1"/>
  <c r="T122" i="1"/>
  <c r="U122" i="1" s="1"/>
  <c r="T121" i="1"/>
  <c r="U121" i="1" s="1"/>
  <c r="I20" i="3" s="1"/>
  <c r="T120" i="1"/>
  <c r="U120" i="1" s="1"/>
  <c r="T119" i="1"/>
  <c r="U119" i="1" s="1"/>
  <c r="T118" i="1"/>
  <c r="U118" i="1" s="1"/>
  <c r="T117" i="1"/>
  <c r="U117" i="1" s="1"/>
  <c r="T116" i="1"/>
  <c r="U116" i="1" s="1"/>
  <c r="T115" i="1"/>
  <c r="U115" i="1" s="1"/>
  <c r="T114" i="1"/>
  <c r="U114" i="1" s="1"/>
  <c r="T113" i="1"/>
  <c r="U113" i="1" s="1"/>
  <c r="T112" i="1"/>
  <c r="U112" i="1" s="1"/>
  <c r="T111" i="1"/>
  <c r="U111" i="1" s="1"/>
  <c r="T110" i="1"/>
  <c r="U110" i="1" s="1"/>
  <c r="T109" i="1"/>
  <c r="U109" i="1" s="1"/>
  <c r="T108" i="1"/>
  <c r="U108" i="1" s="1"/>
  <c r="T107" i="1"/>
  <c r="U107" i="1" s="1"/>
  <c r="T106" i="1"/>
  <c r="U106" i="1" s="1"/>
  <c r="T105" i="1"/>
  <c r="U105" i="1" s="1"/>
  <c r="T104" i="1"/>
  <c r="U104" i="1" s="1"/>
  <c r="T103" i="1"/>
  <c r="U103" i="1" s="1"/>
  <c r="T102" i="1"/>
  <c r="U102" i="1" s="1"/>
  <c r="T101" i="1"/>
  <c r="U101" i="1" s="1"/>
  <c r="T100" i="1"/>
  <c r="U100" i="1" s="1"/>
  <c r="T99" i="1"/>
  <c r="U99" i="1" s="1"/>
  <c r="T98" i="1"/>
  <c r="U98" i="1" s="1"/>
  <c r="T97" i="1"/>
  <c r="U97" i="1" s="1"/>
  <c r="T96" i="1"/>
  <c r="U96" i="1" s="1"/>
  <c r="T95" i="1"/>
  <c r="U95" i="1" s="1"/>
  <c r="I11" i="2" s="1"/>
  <c r="T94" i="1"/>
  <c r="U94" i="1" s="1"/>
  <c r="T93" i="1"/>
  <c r="U93" i="1" s="1"/>
  <c r="T92" i="1"/>
  <c r="U92" i="1" s="1"/>
  <c r="T91" i="1"/>
  <c r="U91" i="1" s="1"/>
  <c r="T90" i="1"/>
  <c r="U90" i="1" s="1"/>
  <c r="T89" i="1"/>
  <c r="U89" i="1" s="1"/>
  <c r="T88" i="1"/>
  <c r="U88" i="1" s="1"/>
  <c r="T87" i="1"/>
  <c r="U87" i="1" s="1"/>
  <c r="T86" i="1"/>
  <c r="U86" i="1" s="1"/>
  <c r="T85" i="1"/>
  <c r="U85" i="1" s="1"/>
  <c r="T84" i="1"/>
  <c r="U84" i="1" s="1"/>
  <c r="T83" i="1"/>
  <c r="U83" i="1" s="1"/>
  <c r="T82" i="1"/>
  <c r="U82" i="1" s="1"/>
  <c r="T81" i="1"/>
  <c r="U81" i="1" s="1"/>
  <c r="T80" i="1"/>
  <c r="U80" i="1" s="1"/>
  <c r="T79" i="1"/>
  <c r="U79" i="1" s="1"/>
  <c r="I9" i="3" s="1"/>
  <c r="T78" i="1"/>
  <c r="U78" i="1" s="1"/>
  <c r="T77" i="1"/>
  <c r="U77" i="1" s="1"/>
  <c r="T76" i="1"/>
  <c r="U76" i="1" s="1"/>
  <c r="T75" i="1"/>
  <c r="U75" i="1" s="1"/>
  <c r="T74" i="1"/>
  <c r="U74" i="1" s="1"/>
  <c r="I6" i="3" s="1"/>
  <c r="T73" i="1"/>
  <c r="U73" i="1" s="1"/>
  <c r="T72" i="1"/>
  <c r="U72" i="1" s="1"/>
  <c r="T71" i="1"/>
  <c r="U71" i="1" s="1"/>
  <c r="T70" i="1"/>
  <c r="U70" i="1" s="1"/>
  <c r="T69" i="1"/>
  <c r="U69" i="1" s="1"/>
  <c r="T68" i="1"/>
  <c r="U68" i="1" s="1"/>
  <c r="T67" i="1"/>
  <c r="U67" i="1" s="1"/>
  <c r="T66" i="1"/>
  <c r="U66" i="1" s="1"/>
  <c r="I21" i="3" s="1"/>
  <c r="T65" i="1"/>
  <c r="U65" i="1" s="1"/>
  <c r="T64" i="1"/>
  <c r="U64" i="1" s="1"/>
  <c r="T63" i="1"/>
  <c r="U63" i="1" s="1"/>
  <c r="T62" i="1"/>
  <c r="U62" i="1" s="1"/>
  <c r="T61" i="1"/>
  <c r="U61" i="1" s="1"/>
  <c r="T60" i="1"/>
  <c r="U60" i="1" s="1"/>
  <c r="T59" i="1"/>
  <c r="U59" i="1" s="1"/>
  <c r="T58" i="1"/>
  <c r="U58" i="1" s="1"/>
  <c r="T57" i="1"/>
  <c r="U57" i="1" s="1"/>
  <c r="T56" i="1"/>
  <c r="U56" i="1" s="1"/>
  <c r="T55" i="1"/>
  <c r="U55" i="1" s="1"/>
  <c r="T54" i="1"/>
  <c r="U54" i="1" s="1"/>
  <c r="T53" i="1"/>
  <c r="U53" i="1" s="1"/>
  <c r="T52" i="1"/>
  <c r="U52" i="1" s="1"/>
  <c r="T51" i="1"/>
  <c r="U51" i="1" s="1"/>
  <c r="T50" i="1"/>
  <c r="U50" i="1" s="1"/>
  <c r="T49" i="1"/>
  <c r="U49" i="1" s="1"/>
  <c r="T48" i="1"/>
  <c r="U48" i="1" s="1"/>
  <c r="T47" i="1"/>
  <c r="U47" i="1" s="1"/>
  <c r="T46" i="1"/>
  <c r="U46" i="1" s="1"/>
  <c r="T45" i="1"/>
  <c r="U45" i="1" s="1"/>
  <c r="T44" i="1"/>
  <c r="U44" i="1" s="1"/>
  <c r="T43" i="1"/>
  <c r="U43" i="1" s="1"/>
  <c r="T42" i="1"/>
  <c r="U42" i="1" s="1"/>
  <c r="T41" i="1"/>
  <c r="U41" i="1" s="1"/>
  <c r="T40" i="1"/>
  <c r="U40" i="1" s="1"/>
  <c r="T39" i="1"/>
  <c r="U39" i="1" s="1"/>
  <c r="T38" i="1"/>
  <c r="U38" i="1" s="1"/>
  <c r="I3" i="2" s="1"/>
  <c r="T37" i="1"/>
  <c r="U37" i="1" s="1"/>
  <c r="T36" i="1"/>
  <c r="U36" i="1" s="1"/>
  <c r="T35" i="1"/>
  <c r="U35" i="1" s="1"/>
  <c r="I16" i="3" s="1"/>
  <c r="T34" i="1"/>
  <c r="U34" i="1" s="1"/>
  <c r="T33" i="1"/>
  <c r="U33" i="1" s="1"/>
  <c r="T32" i="1"/>
  <c r="U32" i="1" s="1"/>
  <c r="T31" i="1"/>
  <c r="U31" i="1" s="1"/>
  <c r="T30" i="1"/>
  <c r="U30" i="1" s="1"/>
  <c r="T29" i="1"/>
  <c r="U29" i="1" s="1"/>
  <c r="T28" i="1"/>
  <c r="U28" i="1" s="1"/>
  <c r="T27" i="1"/>
  <c r="U27" i="1" s="1"/>
  <c r="T26" i="1"/>
  <c r="U26" i="1" s="1"/>
  <c r="T25" i="1"/>
  <c r="U25" i="1" s="1"/>
  <c r="T24" i="1"/>
  <c r="U24" i="1" s="1"/>
  <c r="T23" i="1"/>
  <c r="U23" i="1" s="1"/>
  <c r="T22" i="1"/>
  <c r="U22" i="1" s="1"/>
  <c r="I7" i="3" s="1"/>
  <c r="T21" i="1"/>
  <c r="U21" i="1" s="1"/>
  <c r="T20" i="1"/>
  <c r="U20" i="1" s="1"/>
  <c r="T19" i="1"/>
  <c r="U19" i="1" s="1"/>
  <c r="T18" i="1"/>
  <c r="U18" i="1" s="1"/>
  <c r="I11" i="3" s="1"/>
  <c r="T17" i="1"/>
  <c r="U17" i="1" s="1"/>
  <c r="T16" i="1"/>
  <c r="U16" i="1" s="1"/>
  <c r="T15" i="1"/>
  <c r="U15" i="1" s="1"/>
  <c r="T14" i="1"/>
  <c r="U14" i="1" s="1"/>
  <c r="T13" i="1"/>
  <c r="U13" i="1" s="1"/>
  <c r="T12" i="1"/>
  <c r="U12" i="1" s="1"/>
  <c r="T11" i="1"/>
  <c r="U11" i="1" s="1"/>
  <c r="I5" i="3" s="1"/>
  <c r="T10" i="1"/>
  <c r="U10" i="1" s="1"/>
  <c r="I22" i="3" s="1"/>
  <c r="T9" i="1"/>
  <c r="U9" i="1" s="1"/>
  <c r="T8" i="1"/>
  <c r="U8" i="1" s="1"/>
  <c r="I13" i="3" s="1"/>
  <c r="T7" i="1"/>
  <c r="U7" i="1" s="1"/>
  <c r="T6" i="1"/>
  <c r="U6" i="1" s="1"/>
  <c r="I4" i="3" s="1"/>
  <c r="T5" i="1"/>
  <c r="U5" i="1" s="1"/>
  <c r="I9" i="2" s="1"/>
  <c r="T4" i="1"/>
  <c r="U4" i="1" s="1"/>
  <c r="T3" i="1"/>
  <c r="U3" i="1" s="1"/>
  <c r="T2" i="1"/>
  <c r="U2" i="1" s="1"/>
  <c r="N24" i="3" l="1"/>
  <c r="O24" i="3"/>
  <c r="N22" i="3"/>
  <c r="O22" i="3"/>
  <c r="N21" i="3"/>
  <c r="O21" i="3"/>
  <c r="N20" i="3"/>
  <c r="O20" i="3"/>
  <c r="N19" i="3"/>
  <c r="O19" i="3"/>
  <c r="N16" i="3"/>
  <c r="O16" i="3"/>
  <c r="N13" i="3"/>
  <c r="N12" i="3"/>
  <c r="N11" i="3"/>
  <c r="N9" i="3"/>
  <c r="N8" i="3"/>
  <c r="N7" i="3"/>
  <c r="N6" i="3"/>
  <c r="N5" i="3"/>
  <c r="N4" i="3"/>
  <c r="N11" i="2"/>
  <c r="O11" i="2"/>
  <c r="N9" i="2"/>
  <c r="N3" i="2"/>
  <c r="M12" i="3"/>
  <c r="O12" i="3" s="1"/>
  <c r="H12" i="3"/>
  <c r="M8" i="3"/>
  <c r="O8" i="3" s="1"/>
  <c r="H8" i="3"/>
  <c r="M24" i="3"/>
  <c r="H24" i="3"/>
  <c r="M19" i="3"/>
  <c r="H19" i="3"/>
  <c r="M20" i="3"/>
  <c r="H20" i="3"/>
  <c r="M11" i="2"/>
  <c r="H11" i="2"/>
  <c r="I12" i="2"/>
  <c r="N12" i="2" s="1"/>
  <c r="I10" i="3"/>
  <c r="N10" i="3" s="1"/>
  <c r="M9" i="3"/>
  <c r="O9" i="3" s="1"/>
  <c r="H9" i="3"/>
  <c r="M6" i="3"/>
  <c r="O6" i="3" s="1"/>
  <c r="H6" i="3"/>
  <c r="M21" i="3"/>
  <c r="H21" i="3"/>
  <c r="I5" i="2"/>
  <c r="N5" i="2" s="1"/>
  <c r="I25" i="3"/>
  <c r="N25" i="3" s="1"/>
  <c r="M3" i="2"/>
  <c r="O3" i="2" s="1"/>
  <c r="H3" i="2"/>
  <c r="M16" i="3"/>
  <c r="H16" i="3"/>
  <c r="M7" i="3"/>
  <c r="O7" i="3" s="1"/>
  <c r="H7" i="3"/>
  <c r="H11" i="3"/>
  <c r="M11" i="3"/>
  <c r="O11" i="3" s="1"/>
  <c r="I18" i="3"/>
  <c r="N18" i="3" s="1"/>
  <c r="I4" i="2"/>
  <c r="N4" i="2" s="1"/>
  <c r="M5" i="3"/>
  <c r="O5" i="3" s="1"/>
  <c r="H5" i="3"/>
  <c r="M22" i="3"/>
  <c r="H22" i="3"/>
  <c r="I17" i="3"/>
  <c r="N17" i="3" s="1"/>
  <c r="I7" i="2"/>
  <c r="N7" i="2" s="1"/>
  <c r="M13" i="3"/>
  <c r="O13" i="3" s="1"/>
  <c r="H13" i="3"/>
  <c r="H4" i="3"/>
  <c r="M4" i="3"/>
  <c r="O4" i="3" s="1"/>
  <c r="H9" i="2"/>
  <c r="M9" i="2"/>
  <c r="O9" i="2" s="1"/>
  <c r="I15" i="3"/>
  <c r="N15" i="3" s="1"/>
  <c r="I6" i="2"/>
  <c r="N6" i="2" s="1"/>
  <c r="I23" i="3"/>
  <c r="N23" i="3" s="1"/>
  <c r="I2" i="2"/>
  <c r="N2" i="2" s="1"/>
  <c r="I8" i="2"/>
  <c r="N8" i="2" s="1"/>
  <c r="I14" i="3"/>
  <c r="N14" i="3" s="1"/>
  <c r="I10" i="2"/>
  <c r="N10" i="2" s="1"/>
  <c r="I13" i="2"/>
  <c r="N13" i="2" s="1"/>
  <c r="I3" i="3"/>
  <c r="N3" i="3" s="1"/>
  <c r="I2" i="3"/>
  <c r="N2" i="3" s="1"/>
  <c r="M12" i="2" l="1"/>
  <c r="O12" i="2" s="1"/>
  <c r="H12" i="2"/>
  <c r="M10" i="3"/>
  <c r="O10" i="3" s="1"/>
  <c r="H10" i="3"/>
  <c r="M5" i="2"/>
  <c r="O5" i="2" s="1"/>
  <c r="H5" i="2"/>
  <c r="M25" i="3"/>
  <c r="O25" i="3" s="1"/>
  <c r="H25" i="3"/>
  <c r="M18" i="3"/>
  <c r="O18" i="3" s="1"/>
  <c r="H18" i="3"/>
  <c r="M4" i="2"/>
  <c r="O4" i="2" s="1"/>
  <c r="H4" i="2"/>
  <c r="H17" i="3"/>
  <c r="M17" i="3"/>
  <c r="O17" i="3" s="1"/>
  <c r="H7" i="2"/>
  <c r="M7" i="2"/>
  <c r="O7" i="2" s="1"/>
  <c r="M15" i="3"/>
  <c r="O15" i="3" s="1"/>
  <c r="H15" i="3"/>
  <c r="M6" i="2"/>
  <c r="O6" i="2" s="1"/>
  <c r="H6" i="2"/>
  <c r="M23" i="3"/>
  <c r="O23" i="3" s="1"/>
  <c r="H23" i="3"/>
  <c r="M2" i="2"/>
  <c r="O2" i="2" s="1"/>
  <c r="H2" i="2"/>
  <c r="M8" i="2"/>
  <c r="O8" i="2" s="1"/>
  <c r="H8" i="2"/>
  <c r="M14" i="3"/>
  <c r="O14" i="3" s="1"/>
  <c r="H14" i="3"/>
  <c r="H10" i="2"/>
  <c r="M10" i="2"/>
  <c r="O10" i="2" s="1"/>
  <c r="H13" i="2"/>
  <c r="M13" i="2"/>
  <c r="O13" i="2" s="1"/>
  <c r="H3" i="3"/>
  <c r="M3" i="3"/>
  <c r="O3" i="3" s="1"/>
  <c r="H2" i="3"/>
  <c r="M2" i="3"/>
  <c r="O2" i="3" s="1"/>
</calcChain>
</file>

<file path=xl/sharedStrings.xml><?xml version="1.0" encoding="utf-8"?>
<sst xmlns="http://schemas.openxmlformats.org/spreadsheetml/2006/main" count="4815" uniqueCount="1096">
  <si>
    <t>unit_id</t>
  </si>
  <si>
    <t>region_name</t>
  </si>
  <si>
    <t>region_type</t>
  </si>
  <si>
    <t>year</t>
  </si>
  <si>
    <t>taxon</t>
  </si>
  <si>
    <t>common_name</t>
  </si>
  <si>
    <t>functional_group</t>
  </si>
  <si>
    <t>commercial_group</t>
  </si>
  <si>
    <t>catch_tonnes</t>
  </si>
  <si>
    <t>landings_tonnes</t>
  </si>
  <si>
    <t>discards_tonnes</t>
  </si>
  <si>
    <t>reported_tonnes</t>
  </si>
  <si>
    <t>unreported_tonnes</t>
  </si>
  <si>
    <t>taxon_key</t>
  </si>
  <si>
    <t>tl</t>
  </si>
  <si>
    <t>match_method</t>
  </si>
  <si>
    <t>tl_source</t>
  </si>
  <si>
    <t>match_confidence</t>
  </si>
  <si>
    <t>reference_taxon</t>
  </si>
  <si>
    <t>sppr</t>
  </si>
  <si>
    <t>ppr</t>
  </si>
  <si>
    <t>EwE_Xu_2022_M1997</t>
  </si>
  <si>
    <t>EwE_Xu_2022_M1997_explanation</t>
  </si>
  <si>
    <t>EwE_Xu_2022_M2018</t>
  </si>
  <si>
    <t>EwE_Xu_2022_M2018_explanation</t>
  </si>
  <si>
    <t>LME_047</t>
  </si>
  <si>
    <t>East China Sea</t>
  </si>
  <si>
    <t>LME</t>
  </si>
  <si>
    <t>Marine fishes not identified</t>
  </si>
  <si>
    <t>Marine fishes nei</t>
  </si>
  <si>
    <t>Medium demersals (30 - 89 cm)</t>
  </si>
  <si>
    <t>Other fishes &amp; inverts</t>
  </si>
  <si>
    <t>marine fishes not identified</t>
  </si>
  <si>
    <t>exact_sea_around_us</t>
  </si>
  <si>
    <t>Sea Around Us exploited organisms</t>
  </si>
  <si>
    <t>high</t>
  </si>
  <si>
    <t>Unresolved</t>
  </si>
  <si>
    <t>Aggregate Sea Around Us catch category with no taxonomic resolution; spans essentially the whole model's fish-guild structure.</t>
  </si>
  <si>
    <t>Engraulis japonicus</t>
  </si>
  <si>
    <t>Japanese anchovy</t>
  </si>
  <si>
    <t>Small pelagics (&lt;30 cm)</t>
  </si>
  <si>
    <t>Anchovies</t>
  </si>
  <si>
    <t>engraulis japonicus</t>
  </si>
  <si>
    <t>exact_2020_supplement</t>
  </si>
  <si>
    <t>2020 supplement MeanTL</t>
  </si>
  <si>
    <t>Planktivores</t>
  </si>
  <si>
    <t>Engraulidae; Table S1's Planktivores membership includes three Engraulidae genera (Thryssa x3, Stolephorus commersonnii), so this family is explicitly and repeatedly represented in the group's definition. The paper states diet-matrix values (not group membership) were revised between M1997 and M2018 for this guild; the same species roster is applied to both models since Supplementary Table S1 is presented as a single, undated group list.</t>
  </si>
  <si>
    <t>Sardinops sagax</t>
  </si>
  <si>
    <t>South American pilchard</t>
  </si>
  <si>
    <t>Medium pelagics (30 - 89 cm)</t>
  </si>
  <si>
    <t>Herring-likes</t>
  </si>
  <si>
    <t>sardinops sagax</t>
  </si>
  <si>
    <t>Clupeidae filter-feeding planktivore; the family is split across guilds in this model (Sardinella aurita -&gt; Planktivores vs. Ilisha elongata -&gt; Omnivores), so genus-level ecological similarity to the Planktivores exemplar (obligate zooplankton filter-feeder) plus a lower reported trophic level (2.8-3.2, closer to Planktivores' 2.92-2.95 than Omnivores' 3.14-3.43) supports this placement over an exact taxonomic rule. The paper states diet-matrix values (not group membership) were revised between M1997 and M2018 for this guild; the same species roster is applied to both models since Supplementary Table S1 is presented as a single, undated group list.</t>
  </si>
  <si>
    <t>Scomber japonicus</t>
  </si>
  <si>
    <t>Pacific chub mackerel</t>
  </si>
  <si>
    <t>Perch-likes</t>
  </si>
  <si>
    <t>scomber japonicus</t>
  </si>
  <si>
    <t>Planktivores/Benthivores</t>
  </si>
  <si>
    <t>Exact species listed in Table S1 under this group.</t>
  </si>
  <si>
    <t>Trichiurus lepturus</t>
  </si>
  <si>
    <t>Largehead hairtail</t>
  </si>
  <si>
    <t>Large benthopelagics (&gt;=90 cm)</t>
  </si>
  <si>
    <t>trichiurus lepturus</t>
  </si>
  <si>
    <t>Hairtails</t>
  </si>
  <si>
    <t>Exact species; Hairtails is this species' dedicated group. The paper states diet-matrix values (not group membership) were revised between M1997 and M2018 for this guild; the same species roster is applied to both models since Supplementary Table S1 is presented as a single, undated group list.</t>
  </si>
  <si>
    <t>Cololabis saira</t>
  </si>
  <si>
    <t>Pacific saury</t>
  </si>
  <si>
    <t>cololabis saira</t>
  </si>
  <si>
    <t>Pacific saury; small pelagic feeder primarily on zooplankton, ecologically consistent with this guild despite a somewhat higher reported trophic level (3.71) than the group's band. The paper states diet-matrix values (not group membership) were revised between M1997 and M2018 for this guild; the same species roster is applied to both models since Supplementary Table S1 is presented as a single, undated group list.</t>
  </si>
  <si>
    <t>Larimichthys polyactis</t>
  </si>
  <si>
    <t>Yellow croaker</t>
  </si>
  <si>
    <t>Medium benthopelagics (30 - 89 cm)</t>
  </si>
  <si>
    <t>larimichthys polyactis</t>
  </si>
  <si>
    <t>Small yellow croakers</t>
  </si>
  <si>
    <t>Exact species; dedicated group.</t>
  </si>
  <si>
    <t>Pectinidae</t>
  </si>
  <si>
    <t>Scallops</t>
  </si>
  <si>
    <t>Other demersal invertebrates</t>
  </si>
  <si>
    <t>Molluscs</t>
  </si>
  <si>
    <t>pectinidae</t>
  </si>
  <si>
    <t>Mollusks</t>
  </si>
  <si>
    <t>Mollusca (bivalve or gastropod) not in Cephalopoda; Table S1 lists 'Bivalves' as the group's example composition and Cephalopods is the model's only other molluscan-lineage group, so any remaining mollusc is an unambiguous taxonomic fit to Mollusks.</t>
  </si>
  <si>
    <t>Nemipterus</t>
  </si>
  <si>
    <t>Threadfin breams</t>
  </si>
  <si>
    <t>Small demersals (&lt;30 cm)</t>
  </si>
  <si>
    <t>nemipterus</t>
  </si>
  <si>
    <t>Benthivores/piscivores</t>
  </si>
  <si>
    <t>Exact species (N. virgatus) / genus / family listed in Table S1 under this group.</t>
  </si>
  <si>
    <t>Muraenesox cinereus</t>
  </si>
  <si>
    <t>Daggertooth pike conger</t>
  </si>
  <si>
    <t>Large demersals (&gt;=90 cm)</t>
  </si>
  <si>
    <t>muraenesox cinereus</t>
  </si>
  <si>
    <t>Piscivores</t>
  </si>
  <si>
    <t>Exact species (Muraenesox cinereus) / its family, listed in Table S1 under Piscivores. The paper states diet-matrix values (not group membership) were revised between M1997 and M2018 for this guild; the same species roster is applied to both models since Supplementary Table S1 is presented as a single, undated group list.</t>
  </si>
  <si>
    <t>Acetes japonicus</t>
  </si>
  <si>
    <t>Akiami paste shrimp</t>
  </si>
  <si>
    <t>Shrimps</t>
  </si>
  <si>
    <t>Crustaceans</t>
  </si>
  <si>
    <t>acetes japonicus</t>
  </si>
  <si>
    <t>Genus Acetes is explicitly listed in Table S1 (Acetes chinensis); family Sergestidae.</t>
  </si>
  <si>
    <t>Scomber</t>
  </si>
  <si>
    <t>Chub mackerels</t>
  </si>
  <si>
    <t>scomber</t>
  </si>
  <si>
    <t>Genus of the exact Table S1 member S. japonicus.</t>
  </si>
  <si>
    <t>Penaeus chinensis</t>
  </si>
  <si>
    <t>Fleshy prawn</t>
  </si>
  <si>
    <t>penaeus chinensis</t>
  </si>
  <si>
    <t>Penaeid shrimp; Table S1's Shrimps membership is dominated by Penaeidae/Dendrobranchiata genera (Solenocera, Parapenaeus, Metapenaeus, Parapenaeopsis, Metapenaeopsis), so this suborder/family is an unambiguous taxonomic fit.</t>
  </si>
  <si>
    <t>Sciaenidae</t>
  </si>
  <si>
    <t>Drums, croakers</t>
  </si>
  <si>
    <t>sciaenidae</t>
  </si>
  <si>
    <t>Croaker family spans at least five of the model's groups depending on genus (Larimichthys crocea -&gt; Large yellow croakers, L. polyactis -&gt; Small yellow croakers, Pennahia argentata -&gt; Piscivores or Benthivores/piscivores, Miichthys miiuy/Atrobucca nibe -&gt; Benthivores/piscivores, Nibea albiflora/Collichthys lucidus -&gt; Omnivores); the family-level row carries no further identifying information.</t>
  </si>
  <si>
    <t>Miscellaneous marine crustaceans</t>
  </si>
  <si>
    <t>Marine crabs, shrimps, lobsters nei</t>
  </si>
  <si>
    <t>miscellaneous marine crustaceans</t>
  </si>
  <si>
    <t>Aggregate Sea Around Us catch category with no taxonomic resolution below 'crustacean'; could be shrimp, crab, or other decapods. Sea Around Us's own functional_group label ('Shrimps') is a size/habitat bucket, not a taxonomic identification, so it is not treated as sufficient evidence on its own.</t>
  </si>
  <si>
    <t>Pampus</t>
  </si>
  <si>
    <t>Silver pomfrets</t>
  </si>
  <si>
    <t>pampus</t>
  </si>
  <si>
    <t>Planktivores/piscivores</t>
  </si>
  <si>
    <t>Exact species (P. chinensis, P. argenteus) / genus listed in Table S1 under this group.</t>
  </si>
  <si>
    <t>Portunus trituberculatus</t>
  </si>
  <si>
    <t>Gazami crab</t>
  </si>
  <si>
    <t>Lobsters, crabs</t>
  </si>
  <si>
    <t>portunus trituberculatus</t>
  </si>
  <si>
    <t>Crabs</t>
  </si>
  <si>
    <t>Exact species listed in Table S1 under Crabs.</t>
  </si>
  <si>
    <t>Planiliza haematocheilus</t>
  </si>
  <si>
    <t>So-iny mullet</t>
  </si>
  <si>
    <t>planiliza haematocheilus</t>
  </si>
  <si>
    <t>Benthivores</t>
  </si>
  <si>
    <t>Mullet; benthic/detritivorous grazer with a low reported trophic level (2.1-2.5), closest among the model's guilds to Benthivores (2.848-2.876) even though the match is not exact.</t>
  </si>
  <si>
    <t>Pennahia argentata</t>
  </si>
  <si>
    <t>Silver croaker</t>
  </si>
  <si>
    <t>pennahia argentata</t>
  </si>
  <si>
    <t>Table S1 lists this exact spelling ('Pennahia argentata') under Piscivores, but also separately lists 'Pennahia argentatus' (almost certainly the same species) under Benthivores/piscivores -- an internal inconsistency in the supplement flagged in the EwE Taxonomy sheet. Assigned to Piscivores on the exact spelling match, but confidence is downgraded from green given the conflicting listing. The paper states diet-matrix values (not group membership) were revised between M1997 and M2018 for this guild; the same species roster is applied to both models since Supplementary Table S1 is presented as a single, undated group list.</t>
  </si>
  <si>
    <t>Trachysalambria curvirostris</t>
  </si>
  <si>
    <t>Southern rough shrimp</t>
  </si>
  <si>
    <t>trachysalambria curvirostris</t>
  </si>
  <si>
    <t>Accepted-name synonym of Table S1's 'Trachypenaeus curvirostris' (Shrimps); WoRMS treats Trachysalambria as the current genus for this species.</t>
  </si>
  <si>
    <t>Scomberomorus</t>
  </si>
  <si>
    <t>Spanish mackerels</t>
  </si>
  <si>
    <t>Large pelagics (&gt;=90 cm)</t>
  </si>
  <si>
    <t>scomberomorus</t>
  </si>
  <si>
    <t>Genus Scomberomorus has two exact species (S. niphonius, S. guttatus) in Table S1's Piscivores membership. The paper states diet-matrix values (not group membership) were revised between M1997 and M2018 for this guild; the same species roster is applied to both models since Supplementary Table S1 is presented as a single, undated group list.</t>
  </si>
  <si>
    <t>Squillidae</t>
  </si>
  <si>
    <t>Squilla mantis shrimps</t>
  </si>
  <si>
    <t>squillidae</t>
  </si>
  <si>
    <t>Mantis shrimp (Stomatopoda) are taxonomically distinct from the decapod shrimp Table S1 lists, but Sea Around Us's own functional_group bucket for these rows is 'Shrimps' and no stomatopod group exists in the model; placed by commercial/ecological analogy, not taxonomic containment.</t>
  </si>
  <si>
    <t>Teuthida</t>
  </si>
  <si>
    <t>Squids</t>
  </si>
  <si>
    <t>Cephalopods</t>
  </si>
  <si>
    <t>teuthida</t>
  </si>
  <si>
    <t>Cephalopoda; Cephalopods is the model's only cephalopod group (Table S1: Abralia, Euprymna, Loligo, Sepiella, Ommastrephes bartrami, Sepia esculenta, Octopus ocellatus, Uroteuthis, Sepioteuthis, Argonauta), so any cephalopod taxon is an unambiguous fit. Ommastrephes bartramii is the accepted-name spelling of the explicitly listed O. bartrami.</t>
  </si>
  <si>
    <t>Scyphozoa</t>
  </si>
  <si>
    <t>True jellyfishes</t>
  </si>
  <si>
    <t>Jellyfish</t>
  </si>
  <si>
    <t>scyphozoa</t>
  </si>
  <si>
    <t>Other invertebrates</t>
  </si>
  <si>
    <t>Cnidaria (scyphozoan jellyfish); Table S1 gives 'Cnidaria' as this group's composition and the 24-group model has no separate jellyfish/cnidarian group, so jellyfish taxa fall here unambiguously.</t>
  </si>
  <si>
    <t>Rhopilema esculentum</t>
  </si>
  <si>
    <t>Flame jellyfish</t>
  </si>
  <si>
    <t>rhopilema esculentum</t>
  </si>
  <si>
    <t>Seriola</t>
  </si>
  <si>
    <t>Amberjacks</t>
  </si>
  <si>
    <t>seriola</t>
  </si>
  <si>
    <t>Amberjack; fast-swimming apex piscivorous predator, high reported trophic level (4.39-4.5) consistent with, if above, the Piscivores band. The paper states diet-matrix values (not group membership) were revised between M1997 and M2018 for this guild; the same species roster is applied to both models since Supplementary Table S1 is presented as a single, undated group list.</t>
  </si>
  <si>
    <t>Harpadon nehereus</t>
  </si>
  <si>
    <t>Bombay-duck</t>
  </si>
  <si>
    <t>harpadon nehereus</t>
  </si>
  <si>
    <t>Bombay duck</t>
  </si>
  <si>
    <t>Bombay duck is the model's dedicated single-species group for this exact species (the main text states Bombay duck, hairtails and the two croakers were split out as separate high-value groups); this taxon also appears once inside Table S1's printed Piscivores list, which is treated as a copy-paste duplication in the supplement rather than a second valid membership, since a species cannot be both its own dedicated group and a member of a guild group.</t>
  </si>
  <si>
    <t>Scomberomorus niphonius</t>
  </si>
  <si>
    <t>Japanese Spanish mackerel</t>
  </si>
  <si>
    <t>scomberomorus niphonius</t>
  </si>
  <si>
    <t>Sepiida</t>
  </si>
  <si>
    <t>Cuttlefishes, bobtail squids</t>
  </si>
  <si>
    <t>sepiida</t>
  </si>
  <si>
    <t>Decapoda</t>
  </si>
  <si>
    <t>Crabs, lobsters, shrimps</t>
  </si>
  <si>
    <t>decapoda</t>
  </si>
  <si>
    <t>Order-level taxon spanning both Crabs and Shrimps (and lobsters); no further information in this row distinguishes which group it belongs to.</t>
  </si>
  <si>
    <t>Octopoda</t>
  </si>
  <si>
    <t>Octopuses, argonauts</t>
  </si>
  <si>
    <t>octopoda</t>
  </si>
  <si>
    <t>Todarodes pacificus</t>
  </si>
  <si>
    <t>Japanese flying squid</t>
  </si>
  <si>
    <t>todarodes pacificus</t>
  </si>
  <si>
    <t>Dussumieria</t>
  </si>
  <si>
    <t>Rainbow sardines</t>
  </si>
  <si>
    <t>dussumieria</t>
  </si>
  <si>
    <t>Small schooling zooplanktivorous pelagic (round herring / sandlance); not an explicit Table S1 member, but ecology and reported trophic level are consistent with this guild. The paper states diet-matrix values (not group membership) were revised between M1997 and M2018 for this guild; the same species roster is applied to both models since Supplementary Table S1 is presented as a single, undated group list.</t>
  </si>
  <si>
    <t>Monacanthidae</t>
  </si>
  <si>
    <t>Filefishes</t>
  </si>
  <si>
    <t>Medium reef assoc. fish (30 - 89 cm)</t>
  </si>
  <si>
    <t>monacanthidae</t>
  </si>
  <si>
    <t>Filefish family spans multiple groups depending on genus (Aluterus -&gt; Planktivores/piscivores, Stephanolepis -&gt; Benthivores); the family-level row carries no further identifying information.</t>
  </si>
  <si>
    <t>Nemopilema nomurai</t>
  </si>
  <si>
    <t>Nomura jelly</t>
  </si>
  <si>
    <t>nemopilema nomurai</t>
  </si>
  <si>
    <t>Sparidae</t>
  </si>
  <si>
    <t>Porgies, seabreams</t>
  </si>
  <si>
    <t>sparidae</t>
  </si>
  <si>
    <t>Omnivores</t>
  </si>
  <si>
    <t>Sparid seabream; the family's explicit Table S1 member (Acanthopagrus schlegelii, Omnivores) is a generalist benthic-invertebrate/omnivorous feeder, and reported trophic levels (3.31-3.97) are broadly consistent with this guild, though not an exact species/genus match.</t>
  </si>
  <si>
    <t>Gadus macrocephalus</t>
  </si>
  <si>
    <t>Pacific cod</t>
  </si>
  <si>
    <t>Cod-likes</t>
  </si>
  <si>
    <t>gadus macrocephalus</t>
  </si>
  <si>
    <t>Cod is not part of this model's 24-group structure and is not a characteristic East China Sea shelf species; likely marginal/incidental catch with no defensible group fit.</t>
  </si>
  <si>
    <t>Alepes</t>
  </si>
  <si>
    <t>Crevalles</t>
  </si>
  <si>
    <t>alepes</t>
  </si>
  <si>
    <t>Carangid jack; ecologically similar to the explicit Table S1 members Decapterus maruadsi and Trachurus japonicus (schooling, plankton- and small-fish-feeding pelagic predator), though this genus is not itself listed. Trophic level is broadly consistent with the group's band.</t>
  </si>
  <si>
    <t>Epinephelus</t>
  </si>
  <si>
    <t>Seabasses, hinds</t>
  </si>
  <si>
    <t>epinephelus</t>
  </si>
  <si>
    <t>Grouper; ambush piscivorous predator, and reported trophic level (3.84-4.16) sits within the Piscivores band (3.571-3.940), a close corroborating match. The paper states diet-matrix values (not group membership) were revised between M1997 and M2018 for this guild; the same species roster is applied to both models since Supplementary Table S1 is presented as a single, undated group list.</t>
  </si>
  <si>
    <t>Thunnus albacares</t>
  </si>
  <si>
    <t>Yellowfin tuna</t>
  </si>
  <si>
    <t>Tuna &amp; billfishes</t>
  </si>
  <si>
    <t>thunnus albacares</t>
  </si>
  <si>
    <t>Large highly-migratory oceanic tuna/billfish/cobia; obligate apex piscivores. Not an explicit Table S1 member (these taxa are only incidentally within the LME's Sea Around Us catch envelope), but Piscivores is the only fish-eating apex guild in the model and reported trophic levels (4.05-4.58) are consistent with, if somewhat above, the Piscivores band -- noted as a limitation given these are oceanic megafauna rather than the shelf-resident piscivores the group was built around. The paper states diet-matrix values (not group membership) were revised between M1997 and M2018 for this guild; the same species roster is applied to both models since Supplementary Table S1 is presented as a single, undated group list.</t>
  </si>
  <si>
    <t>Mugil cephalus</t>
  </si>
  <si>
    <t>Flathead grey mullet</t>
  </si>
  <si>
    <t>mugil cephalus</t>
  </si>
  <si>
    <t>Oncorhynchus</t>
  </si>
  <si>
    <t>Salmons, trouts</t>
  </si>
  <si>
    <t>Salmon, smelts, etc</t>
  </si>
  <si>
    <t>oncorhynchus</t>
  </si>
  <si>
    <t>Salmonids are anadromous cold-water fish, not represented in this model's structure and not characteristic of the ECS; likely marginal/incidental catch with no defensible group fit.</t>
  </si>
  <si>
    <t>Katsuwonus pelamis</t>
  </si>
  <si>
    <t>Skipjack tuna</t>
  </si>
  <si>
    <t>katsuwonus pelamis</t>
  </si>
  <si>
    <t>Miscellaneous aquatic invertebrates</t>
  </si>
  <si>
    <t>Aquatic invertebrates</t>
  </si>
  <si>
    <t>miscellaneous aquatic invertebrates</t>
  </si>
  <si>
    <t>Aggregate Sea Around Us catch category with no taxonomic resolution; could span several of the model's invertebrate groups.</t>
  </si>
  <si>
    <t>Ilisha elongata</t>
  </si>
  <si>
    <t>Elongate ilisha</t>
  </si>
  <si>
    <t>ilisha elongata</t>
  </si>
  <si>
    <t>Exact species listed in Table S1 under Omnivores.</t>
  </si>
  <si>
    <t>Larimichthys crocea</t>
  </si>
  <si>
    <t>Large yellow croaker</t>
  </si>
  <si>
    <t>larimichthys crocea</t>
  </si>
  <si>
    <t>Large yellow croakers</t>
  </si>
  <si>
    <t>Decapterus maruadsi</t>
  </si>
  <si>
    <t>Japanese scad</t>
  </si>
  <si>
    <t>decapterus maruadsi</t>
  </si>
  <si>
    <t>Brachyura</t>
  </si>
  <si>
    <t>Marine crabs</t>
  </si>
  <si>
    <t>brachyura</t>
  </si>
  <si>
    <t>Brachyura (true crabs); Crabs is the model's only true-crab group and Table S1's membership (Portunus/Charybdis species) is entirely Brachyura, so any true crab is an unambiguous fit.</t>
  </si>
  <si>
    <t>Pagrus major</t>
  </si>
  <si>
    <t>Japanese seabream</t>
  </si>
  <si>
    <t>pagrus major</t>
  </si>
  <si>
    <t>Cephalopoda</t>
  </si>
  <si>
    <t>Squids, cuttlefishes, octopuses</t>
  </si>
  <si>
    <t>cephalopoda</t>
  </si>
  <si>
    <t>Nemipteridae</t>
  </si>
  <si>
    <t>Threadfins, whiptail breams</t>
  </si>
  <si>
    <t>nemipteridae</t>
  </si>
  <si>
    <t>Clupeidae</t>
  </si>
  <si>
    <t>Herrings, sardines, menhadens</t>
  </si>
  <si>
    <t>clupeidae</t>
  </si>
  <si>
    <t>Herring family spans at least two of the model's groups (Sardinella aurita -&gt; Planktivores, Ilisha elongata -&gt; Omnivores); the family-level row carries no further identifying information.</t>
  </si>
  <si>
    <t>Conger myriaster</t>
  </si>
  <si>
    <t>Whitespotted conger</t>
  </si>
  <si>
    <t>conger myriaster</t>
  </si>
  <si>
    <t>Family Congridae contains the exact Table S1 member Ariosoma anago (Benthivores/piscivores).</t>
  </si>
  <si>
    <t>Portunus pelagicus</t>
  </si>
  <si>
    <t>Blue swimming crab</t>
  </si>
  <si>
    <t>portunus pelagicus</t>
  </si>
  <si>
    <t>Genus/family Portunus is explicitly represented in Table S1's Crabs membership (P. trituberculatus, P. sanguinolentus, P. argentatus), so congeners/family members are a direct taxonomic match.</t>
  </si>
  <si>
    <t>Bivalvia</t>
  </si>
  <si>
    <t>Clams</t>
  </si>
  <si>
    <t>bivalvia</t>
  </si>
  <si>
    <t>Pleuronectidae</t>
  </si>
  <si>
    <t>Righteye flounders</t>
  </si>
  <si>
    <t>Small to medium flatfishes (&lt;90 cm)</t>
  </si>
  <si>
    <t>Flatfishes</t>
  </si>
  <si>
    <t>pleuronectidae</t>
  </si>
  <si>
    <t>Righteye flounder family; classic benthic invertebrate-feeding flatfish, trophic level (3.49) somewhat above the Benthivores band but the closest ecological fit among the model's guilds. The model has no dedicated flatfish group.</t>
  </si>
  <si>
    <t>Magallana gigas</t>
  </si>
  <si>
    <t>Pacific cupped oyster</t>
  </si>
  <si>
    <t>magallana gigas</t>
  </si>
  <si>
    <t>Ruditapes philippinarum</t>
  </si>
  <si>
    <t>Japanese carpet shell</t>
  </si>
  <si>
    <t>ruditapes philippinarum</t>
  </si>
  <si>
    <t>Trachurus japonicus</t>
  </si>
  <si>
    <t>Japanese jack mackerel</t>
  </si>
  <si>
    <t>trachurus japonicus</t>
  </si>
  <si>
    <t>Miichthys miiuy</t>
  </si>
  <si>
    <t>Mi-iuy croaker</t>
  </si>
  <si>
    <t>miichthys miiuy</t>
  </si>
  <si>
    <t>Octopus</t>
  </si>
  <si>
    <t>Octopuses, pikas</t>
  </si>
  <si>
    <t>octopus</t>
  </si>
  <si>
    <t>Clupeiformes</t>
  </si>
  <si>
    <t>Herrings, shads, anchovies</t>
  </si>
  <si>
    <t>clupeiformes</t>
  </si>
  <si>
    <t>Order-level taxon spanning multiple of the model's feeding-guild groups; too broad to place without further identification.</t>
  </si>
  <si>
    <t>Ruvettus pretiosus</t>
  </si>
  <si>
    <t>Oilfish</t>
  </si>
  <si>
    <t>ruvettus pretiosus</t>
  </si>
  <si>
    <t>Oilfish (Gempylidae); ecologically similar to the explicit Table S1 Benthivores/piscivores member Rexea prometheoides, also a gempylid.</t>
  </si>
  <si>
    <t>Ammodytes personatus</t>
  </si>
  <si>
    <t>Pacific sandlance</t>
  </si>
  <si>
    <t>ammodytes personatus</t>
  </si>
  <si>
    <t>Stromateidae</t>
  </si>
  <si>
    <t>Butterfishes</t>
  </si>
  <si>
    <t>Small benthopelagics (&lt;30 cm)</t>
  </si>
  <si>
    <t>stromateidae</t>
  </si>
  <si>
    <t>Table S1 lists Psenopsis anomala under BOTH Planktivores/piscivores and Planktivores/Benthivores -- a source inconsistency flagged in the EwE Taxonomy sheet. Assigned here on trophic-level corroboration (reported TL 4.0 sits closest to Planktivores/piscivores, especially the M2018 value of 3.522) rather than treated as an unambiguous explicit match.</t>
  </si>
  <si>
    <t>Psenopsis anomala</t>
  </si>
  <si>
    <t>Pacific rudderfish</t>
  </si>
  <si>
    <t>psenopsis anomala</t>
  </si>
  <si>
    <t>Charybdis</t>
  </si>
  <si>
    <t>Whirlpool swimming crabs</t>
  </si>
  <si>
    <t>charybdis</t>
  </si>
  <si>
    <t>Genus Charybdis has three species explicitly listed in Table S1 under Crabs (C. feriatus, C. bimaculata, C. acuta), so the genus is a direct taxonomic match.</t>
  </si>
  <si>
    <t>Scombridae</t>
  </si>
  <si>
    <t>Mackerels, tunas, bonitos</t>
  </si>
  <si>
    <t>scombridae</t>
  </si>
  <si>
    <t>Mackerel/tuna family spans at least two of the model's groups depending on genus (Scomber -&gt; Planktivores/Benthivores, Scomberomorus/Auxis -&gt; Piscivores); the family-level row carries no further identifying information.</t>
  </si>
  <si>
    <t>Turbo cornutus</t>
  </si>
  <si>
    <t>Horned turban</t>
  </si>
  <si>
    <t>turbo cornutus</t>
  </si>
  <si>
    <t>Coryphaena hippurus</t>
  </si>
  <si>
    <t>Common dolphinfish</t>
  </si>
  <si>
    <t>coryphaena hippurus</t>
  </si>
  <si>
    <t>Exact species listed in Table S1 under Piscivores. The paper states diet-matrix values (not group membership) were revised between M1997 and M2018 for this guild; the same species roster is applied to both models since Supplementary Table S1 is presented as a single, undated group list.</t>
  </si>
  <si>
    <t>Gastropoda</t>
  </si>
  <si>
    <t>Sea snails</t>
  </si>
  <si>
    <t>gastropoda</t>
  </si>
  <si>
    <t>Thunnus alalunga</t>
  </si>
  <si>
    <t>Albacore</t>
  </si>
  <si>
    <t>thunnus alalunga</t>
  </si>
  <si>
    <t>Paralichthys olivaceus</t>
  </si>
  <si>
    <t>Bastard halibut</t>
  </si>
  <si>
    <t>Large flatfishes (&gt;=90 cm)</t>
  </si>
  <si>
    <t>paralichthys olivaceus</t>
  </si>
  <si>
    <t>Bastard halibut; despite being a flatfish, this species is a notably piscivorous ambush predator as an adult and carries a high reported trophic level (4.25), above even the Piscivores band, supporting a fish-eating placement over a generic benthic one. The model has no dedicated flatfish group. The paper states diet-matrix values (not group membership) were revised between M1997 and M2018 for this guild; the same species roster is applied to both models since Supplementary Table S1 is presented as a single, undated group list.</t>
  </si>
  <si>
    <t>Dendrobranchiata</t>
  </si>
  <si>
    <t>Shrimps and prawns</t>
  </si>
  <si>
    <t>dendrobranchiata</t>
  </si>
  <si>
    <t>Mollusca</t>
  </si>
  <si>
    <t>Clams, seasnails, squids, octopuses</t>
  </si>
  <si>
    <t>mollusca</t>
  </si>
  <si>
    <t>Lateolabrax japonicus</t>
  </si>
  <si>
    <t>Japanese seabass</t>
  </si>
  <si>
    <t>lateolabrax japonicus</t>
  </si>
  <si>
    <t>Japanese seabass; estuarine ambush predator on both benthic crustaceans and small fish, trophic level (3.36-3.78) fits this mixed-diet guild.</t>
  </si>
  <si>
    <t>Mytilidae</t>
  </si>
  <si>
    <t>Sea mussels</t>
  </si>
  <si>
    <t>mytilidae</t>
  </si>
  <si>
    <t>Tetraodontidae</t>
  </si>
  <si>
    <t>Puffers, tobies</t>
  </si>
  <si>
    <t>Large reef assoc. fish (&gt;=90 cm)</t>
  </si>
  <si>
    <t>tetraodontidae</t>
  </si>
  <si>
    <t>Family contains the exact Table S1 member Lagocephalus spadiceus (Benthivores/piscivores).</t>
  </si>
  <si>
    <t>Sepiidae</t>
  </si>
  <si>
    <t>Cuttlefishes</t>
  </si>
  <si>
    <t>sepiidae</t>
  </si>
  <si>
    <t>Acanthopagrus schlegelii</t>
  </si>
  <si>
    <t>Blackhead seabream</t>
  </si>
  <si>
    <t>acanthopagrus schlegelii</t>
  </si>
  <si>
    <t>Loliginidae</t>
  </si>
  <si>
    <t>Common pencil squids</t>
  </si>
  <si>
    <t>loliginidae</t>
  </si>
  <si>
    <t>Scomber australasicus</t>
  </si>
  <si>
    <t>Blue mackerel</t>
  </si>
  <si>
    <t>scomber australasicus</t>
  </si>
  <si>
    <t>Apostichopus japonicus</t>
  </si>
  <si>
    <t>Japanese sea cucumber</t>
  </si>
  <si>
    <t>apostichopus japonicus</t>
  </si>
  <si>
    <t>Echinoderms</t>
  </si>
  <si>
    <t>Echinodermata; Table S1 lists Ophiuroidea as the group's example composition and Echinoderms is the model's only echinoderm group, so any echinoderm taxon is an unambiguous fit.</t>
  </si>
  <si>
    <t>Kyphosidae</t>
  </si>
  <si>
    <t>Sea chubs, knifefishes, niblers</t>
  </si>
  <si>
    <t>kyphosidae</t>
  </si>
  <si>
    <t>Sea chub; algae/detritus grazer, ecologically closest among the model's guilds to Omnivores despite a much lower reported trophic level (2.19) than the group's band -- noted as a limitation.</t>
  </si>
  <si>
    <t>Priacanthus</t>
  </si>
  <si>
    <t>Bigeyes</t>
  </si>
  <si>
    <t>priacanthus</t>
  </si>
  <si>
    <t>Genus of the exact Table S1 member P. macracanthus.</t>
  </si>
  <si>
    <t>Oplegnathus fasciatus</t>
  </si>
  <si>
    <t>Barred knifejaw</t>
  </si>
  <si>
    <t>oplegnathus fasciatus</t>
  </si>
  <si>
    <t>Knifejaw; durophagous feeder on hard-shelled benthic invertebrates, occasionally small fish; trophic level (3.55) fits this mixed-diet guild better than the invertebrate-only Benthivores band.</t>
  </si>
  <si>
    <t>Mugilidae</t>
  </si>
  <si>
    <t>Mullets, grey mullets</t>
  </si>
  <si>
    <t>mugilidae</t>
  </si>
  <si>
    <t>Stephanolepis cirrhifer</t>
  </si>
  <si>
    <t>Threadsail filefish</t>
  </si>
  <si>
    <t>stephanolepis cirrhifer</t>
  </si>
  <si>
    <t>Filefish grazing on benthic invertebrates/algae; low trophic level (2.84) close to the Benthivores band.</t>
  </si>
  <si>
    <t>Echinoidea</t>
  </si>
  <si>
    <t>Sea urchins, sea hedgehogs</t>
  </si>
  <si>
    <t>echinoidea</t>
  </si>
  <si>
    <t>Congridae</t>
  </si>
  <si>
    <t>Conger, garden eels</t>
  </si>
  <si>
    <t>congridae</t>
  </si>
  <si>
    <t>Clupea pallasii</t>
  </si>
  <si>
    <t>Pacific herring</t>
  </si>
  <si>
    <t>clupea pallasii</t>
  </si>
  <si>
    <t>Elasmobranchii</t>
  </si>
  <si>
    <t>Sharks, rays, skates</t>
  </si>
  <si>
    <t>Large sharks (&gt;=90 cm)</t>
  </si>
  <si>
    <t>Sharks &amp; rays</t>
  </si>
  <si>
    <t>elasmobranchii</t>
  </si>
  <si>
    <t>Class/superorder spanning true sharks (-&gt; Sharks) and rays/skates, which the model places by feeding ecology rather than taxonomy (see Narcine lingula, an explicit Benthivores member); too broad to place without finer identification.</t>
  </si>
  <si>
    <t>Menidae</t>
  </si>
  <si>
    <t>Moonfishes</t>
  </si>
  <si>
    <t>menidae</t>
  </si>
  <si>
    <t>Family of the exact Table S1 member Mene maculata.</t>
  </si>
  <si>
    <t>Platycephalus indicus</t>
  </si>
  <si>
    <t>Bartail flathead</t>
  </si>
  <si>
    <t>Scorpionfishes</t>
  </si>
  <si>
    <t>platycephalus indicus</t>
  </si>
  <si>
    <t>Flathead; benthic ambush predator taking fish and crustaceans, trophic level (3.6) fits the Piscivores band well. The paper states diet-matrix values (not group membership) were revised between M1997 and M2018 for this guild; the same species roster is applied to both models since Supplementary Table S1 is presented as a single, undated group list.</t>
  </si>
  <si>
    <t>Carangidae</t>
  </si>
  <si>
    <t>Jacks, pompanos</t>
  </si>
  <si>
    <t>carangidae</t>
  </si>
  <si>
    <t>Jack family spans at least two of the model's groups depending on genus (Decapterus/Trachurus -&gt; Planktivores/piscivores, Caranx sexfasciatus -&gt; Omnivores); the family-level row carries no further identifying information.</t>
  </si>
  <si>
    <t>Paralichthyidae</t>
  </si>
  <si>
    <t>Largetooth flounders</t>
  </si>
  <si>
    <t>paralichthyidae</t>
  </si>
  <si>
    <t>Serranidae</t>
  </si>
  <si>
    <t>Basses, groupers, hinds</t>
  </si>
  <si>
    <t>serranidae</t>
  </si>
  <si>
    <t>Auxis</t>
  </si>
  <si>
    <t>Bullet and frigate tunas</t>
  </si>
  <si>
    <t>auxis</t>
  </si>
  <si>
    <t>Genus of the exact Table S1 Piscivores member A. thazard. The paper states diet-matrix values (not group membership) were revised between M1997 and M2018 for this guild; the same species roster is applied to both models since Supplementary Table S1 is presented as a single, undated group list.</t>
  </si>
  <si>
    <t>Muraenesocidae</t>
  </si>
  <si>
    <t>Pike congers</t>
  </si>
  <si>
    <t>muraenesocidae</t>
  </si>
  <si>
    <t>Sardinella zunasi</t>
  </si>
  <si>
    <t>Japanese sardinella</t>
  </si>
  <si>
    <t>sardinella zunasi</t>
  </si>
  <si>
    <t>Congener of the explicitly listed Table S1 member Sardinella aurita (Planktivores). The paper states diet-matrix values (not group membership) were revised between M1997 and M2018 for this guild; the same species roster is applied to both models since Supplementary Table S1 is presented as a single, undated group list.</t>
  </si>
  <si>
    <t>Sebastidae</t>
  </si>
  <si>
    <t>Rockfishes, rockcods, thornyheads</t>
  </si>
  <si>
    <t>sebastidae</t>
  </si>
  <si>
    <t>True rockfish; ambush predator on benthic invertebrates and fish, with a markedly higher trophic level (3.74-3.92) than the family's other explicit member Chelidonichthys kumu (Triglidae/Benthivores, a crustacean-specialist gurnard), supporting a more piscivorous mixed-diet placement.</t>
  </si>
  <si>
    <t>Thunnus obesus</t>
  </si>
  <si>
    <t>Bigeye tuna</t>
  </si>
  <si>
    <t>thunnus obesus</t>
  </si>
  <si>
    <t>Scorpaenidae</t>
  </si>
  <si>
    <t>Scorpionfishes, rockfishes</t>
  </si>
  <si>
    <t>scorpaenidae</t>
  </si>
  <si>
    <t>Chelidonichthys kumu</t>
  </si>
  <si>
    <t>Bluefin gurnard</t>
  </si>
  <si>
    <t>chelidonichthys kumu</t>
  </si>
  <si>
    <t>Exact species listed in Table S1 under Benthivores.</t>
  </si>
  <si>
    <t>Thunnus orientalis</t>
  </si>
  <si>
    <t>Pacific bluefin tuna</t>
  </si>
  <si>
    <t>thunnus orientalis</t>
  </si>
  <si>
    <t>Trachurus</t>
  </si>
  <si>
    <t>Jacks, horse mackerels</t>
  </si>
  <si>
    <t>trachurus</t>
  </si>
  <si>
    <t>Genus of the exact Table S1 member T. japonicus.</t>
  </si>
  <si>
    <t>Konosirus punctatus</t>
  </si>
  <si>
    <t>Dotted gizzard shad</t>
  </si>
  <si>
    <t>konosirus punctatus</t>
  </si>
  <si>
    <t>Exocoetidae</t>
  </si>
  <si>
    <t>Flyingfishes</t>
  </si>
  <si>
    <t>exocoetidae</t>
  </si>
  <si>
    <t>Flying fish; surface feeder on zooplankton with some omnivorous tendency, trophic level (3.4-3.7) fits the Omnivores band.</t>
  </si>
  <si>
    <t>Niphon spinosus</t>
  </si>
  <si>
    <t>Ara</t>
  </si>
  <si>
    <t>niphon spinosus</t>
  </si>
  <si>
    <t>Grouper-like ambush piscivore (Niphonidae); very high reported trophic level (4.5) consistent with an apex fish-eating placement. The paper states diet-matrix values (not group membership) were revised between M1997 and M2018 for this guild; the same species roster is applied to both models since Supplementary Table S1 is presented as a single, undated group list.</t>
  </si>
  <si>
    <t>Mytilus coruscus</t>
  </si>
  <si>
    <t>Korean mussel</t>
  </si>
  <si>
    <t>mytilus coruscus</t>
  </si>
  <si>
    <t>Coryphaena</t>
  </si>
  <si>
    <t>Dolphinfishes</t>
  </si>
  <si>
    <t>coryphaena</t>
  </si>
  <si>
    <t>Genus of the exact Table S1 Piscivores member C. hippurus. The paper states diet-matrix values (not group membership) were revised between M1997 and M2018 for this guild; the same species roster is applied to both models since Supplementary Table S1 is presented as a single, undated group list.</t>
  </si>
  <si>
    <t>Trichiuridae</t>
  </si>
  <si>
    <t>Cutlassfishes</t>
  </si>
  <si>
    <t>trichiuridae</t>
  </si>
  <si>
    <t>Family of the dedicated single-species group Trichiurus lepturus. The paper states diet-matrix values (not group membership) were revised between M1997 and M2018 for this guild; the same species roster is applied to both models since Supplementary Table S1 is presented as a single, undated group list.</t>
  </si>
  <si>
    <t>Pleurogrammus azonus</t>
  </si>
  <si>
    <t>Okhotsk atka mackerel</t>
  </si>
  <si>
    <t>pleurogrammus azonus</t>
  </si>
  <si>
    <t>Greenling; benthic feeder on invertebrates and small fish, trophic level (3.6-3.72) fits this guild; likely a cold-water species marginal to the core ECS shelf fauna.</t>
  </si>
  <si>
    <t>Haemulidae</t>
  </si>
  <si>
    <t>Grunts, sweetlips, bonnetmouths</t>
  </si>
  <si>
    <t>haemulidae</t>
  </si>
  <si>
    <t>Grunt; primarily benthic-invertebrate feeder that also takes small fish, trophic level (3.36) fits this mixed-diet guild.</t>
  </si>
  <si>
    <t>Mene maculata</t>
  </si>
  <si>
    <t>Moonfish</t>
  </si>
  <si>
    <t>mene maculata</t>
  </si>
  <si>
    <t>Exact species listed in Table S1 (as Mene maculate) under this group.</t>
  </si>
  <si>
    <t>Scomberomorus guttatus</t>
  </si>
  <si>
    <t>Indo-Pacific king mackerel</t>
  </si>
  <si>
    <t>scomberomorus guttatus</t>
  </si>
  <si>
    <t>Pampus argenteus</t>
  </si>
  <si>
    <t>Silver pomfret</t>
  </si>
  <si>
    <t>pampus argenteus</t>
  </si>
  <si>
    <t>Xiphias gladius</t>
  </si>
  <si>
    <t>Swordfish</t>
  </si>
  <si>
    <t>xiphias gladius</t>
  </si>
  <si>
    <t>Metapenaeus joyneri</t>
  </si>
  <si>
    <t>Shiba shrimp</t>
  </si>
  <si>
    <t>metapenaeus joyneri</t>
  </si>
  <si>
    <t>Exact species listed in Table S1 under Shrimps.</t>
  </si>
  <si>
    <t>Bathylagidae</t>
  </si>
  <si>
    <t>Deepsea smelts</t>
  </si>
  <si>
    <t>Small bathypelagics (&lt;30 cm)</t>
  </si>
  <si>
    <t>bathylagidae</t>
  </si>
  <si>
    <t>Deep-sea smelt (mesopelagic); not represented in this shelf-focused model's structure.</t>
  </si>
  <si>
    <t>Marine finfishes not identified</t>
  </si>
  <si>
    <t>Finfishes</t>
  </si>
  <si>
    <t>marine finfishes not identified</t>
  </si>
  <si>
    <t>Scyllaridae</t>
  </si>
  <si>
    <t>Slipper lobsters</t>
  </si>
  <si>
    <t>scyllaridae</t>
  </si>
  <si>
    <t>Slipper/spiny lobsters (Achelata) are not Brachyura, so this is not the same unambiguous taxonomic box as true crabs; the model has no separate lobster group and Sea Around Us's own commercial_group for these rows is 'Lobsters, crabs', so Crabs (the large-benthic-decapod catch-all) is the best-supported analogue. Ecological inference, not explicit or taxonomic membership.</t>
  </si>
  <si>
    <t>Chanos chanos</t>
  </si>
  <si>
    <t>Milkfish</t>
  </si>
  <si>
    <t>chanos chanos</t>
  </si>
  <si>
    <t>Milkfish; herbivorous/detritivorous grazer with a very low reported trophic level (2.03) that fits none of the model's consumer-fish guilds (all sit at trophic level 2.85 or above); no defensible group fit rather than a forced placement.</t>
  </si>
  <si>
    <t>Sebastes</t>
  </si>
  <si>
    <t>Redfishes</t>
  </si>
  <si>
    <t>sebastes</t>
  </si>
  <si>
    <t>Hyporhamphus sajori</t>
  </si>
  <si>
    <t>Japanese halfbeak</t>
  </si>
  <si>
    <t>hyporhamphus sajori</t>
  </si>
  <si>
    <t>Halfbeak; mixed diet of zooplankton and filamentous algae/seagrass, trophic level (3.4) fits the Omnivores band well.</t>
  </si>
  <si>
    <t>Penaeus japonicus</t>
  </si>
  <si>
    <t>Kuruma prawn</t>
  </si>
  <si>
    <t>penaeus japonicus</t>
  </si>
  <si>
    <t>Lateolabracidae</t>
  </si>
  <si>
    <t>Asian seaperches</t>
  </si>
  <si>
    <t>lateolabracidae</t>
  </si>
  <si>
    <t>Hemiramphidae</t>
  </si>
  <si>
    <t>Halfbeaks, garfishes</t>
  </si>
  <si>
    <t>hemiramphidae</t>
  </si>
  <si>
    <t>Priacanthus macracanthus</t>
  </si>
  <si>
    <t>Red bigeye</t>
  </si>
  <si>
    <t>priacanthus macracanthus</t>
  </si>
  <si>
    <t>Panulirus longipes</t>
  </si>
  <si>
    <t>Longlegged spiny lobster</t>
  </si>
  <si>
    <t>panulirus longipes</t>
  </si>
  <si>
    <t>Arctoscopus japonicus</t>
  </si>
  <si>
    <t>Japanese sandfish</t>
  </si>
  <si>
    <t>Small bathydemersals (&lt;30 cm)</t>
  </si>
  <si>
    <t>arctoscopus japonicus</t>
  </si>
  <si>
    <t>Sailfin sandfish; benthic ambush predator on small crustaceans and fish, trophic level (3.51) fits this guild; a cold-water species likely marginal to the ECS.</t>
  </si>
  <si>
    <t>Gadidae</t>
  </si>
  <si>
    <t>Cods, haddocks</t>
  </si>
  <si>
    <t>gadidae</t>
  </si>
  <si>
    <t>Scomberomorus commerson</t>
  </si>
  <si>
    <t>Narrow-barred Spanish mackerel</t>
  </si>
  <si>
    <t>scomberomorus commerson</t>
  </si>
  <si>
    <t>Synodontidae</t>
  </si>
  <si>
    <t>Lizardfishes, sauries</t>
  </si>
  <si>
    <t>synodontidae</t>
  </si>
  <si>
    <t>Exact species (Saurida tumbil) / its genus and family, listed in Table S1 under Piscivores. The paper states diet-matrix values (not group membership) were revised between M1997 and M2018 for this guild; the same species roster is applied to both models since Supplementary Table S1 is presented as a single, undated group list.</t>
  </si>
  <si>
    <t>Penaeidae</t>
  </si>
  <si>
    <t>Commercial shrimps and prawns</t>
  </si>
  <si>
    <t>penaeidae</t>
  </si>
  <si>
    <t>Atrobucca nibe</t>
  </si>
  <si>
    <t>Blackmouth croaker</t>
  </si>
  <si>
    <t>atrobucca nibe</t>
  </si>
  <si>
    <t>Nemipterus virgatus</t>
  </si>
  <si>
    <t>Golden threadfin bream</t>
  </si>
  <si>
    <t>nemipterus virgatus</t>
  </si>
  <si>
    <t>Beryx</t>
  </si>
  <si>
    <t>Alfonsinos</t>
  </si>
  <si>
    <t>beryx</t>
  </si>
  <si>
    <t>Alfonsino; deep-water predator on crustaceans and small fish with an elevated trophic level (3.97-4.27); Piscivores is the closest-fitting guild among the model's groups, though this bathydemersal taxon is likely marginal to the shelf-focused model. The paper states diet-matrix values (not group membership) were revised between M1997 and M2018 for this guild; the same species roster is applied to both models since Supplementary Table S1 is presented as a single, undated group list.</t>
  </si>
  <si>
    <t>Pleuronectiformes</t>
  </si>
  <si>
    <t>pleuronectiformes</t>
  </si>
  <si>
    <t>Portunidae</t>
  </si>
  <si>
    <t>Swimming crabs</t>
  </si>
  <si>
    <t>portunidae</t>
  </si>
  <si>
    <t>Liparis tanakae</t>
  </si>
  <si>
    <t>Tanaka's snailfish</t>
  </si>
  <si>
    <t>liparis tanakae</t>
  </si>
  <si>
    <t>Snailfish; benthic/demersal feeder on small invertebrates and fish, trophic level (3.42) fits this guild.</t>
  </si>
  <si>
    <t>Portunus</t>
  </si>
  <si>
    <t>Swimmer crabs</t>
  </si>
  <si>
    <t>portunus</t>
  </si>
  <si>
    <t>Sepia</t>
  </si>
  <si>
    <t>Sepia cuttlefishes</t>
  </si>
  <si>
    <t>sepia</t>
  </si>
  <si>
    <t>Holothuroidea</t>
  </si>
  <si>
    <t>Sea cucumbers</t>
  </si>
  <si>
    <t>holothuroidea</t>
  </si>
  <si>
    <t>Gobiidae</t>
  </si>
  <si>
    <t>Gobies</t>
  </si>
  <si>
    <t>Small reef assoc. fish (&lt;30 cm)</t>
  </si>
  <si>
    <t>gobiidae</t>
  </si>
  <si>
    <t>Small benthic goby feeding on small invertebrates; classic benthivore ecology and a trophic level (3.11) close to the Benthivores band.</t>
  </si>
  <si>
    <t>Mullidae</t>
  </si>
  <si>
    <t>Goatfishes</t>
  </si>
  <si>
    <t>mullidae</t>
  </si>
  <si>
    <t>Goatfish; barbel-probing benthic-invertebrate feeder, ecologically a benthivore despite a slightly elevated reported trophic level (3.22-3.46).</t>
  </si>
  <si>
    <t>Engraulidae</t>
  </si>
  <si>
    <t>Anchovies, round herrings</t>
  </si>
  <si>
    <t>engraulidae</t>
  </si>
  <si>
    <t>Perciformes</t>
  </si>
  <si>
    <t>perciformes</t>
  </si>
  <si>
    <t>Kajikia audax</t>
  </si>
  <si>
    <t>Striped marlin</t>
  </si>
  <si>
    <t>kajikia audax</t>
  </si>
  <si>
    <t>Epinephelus maculatus</t>
  </si>
  <si>
    <t>Highfin grouper</t>
  </si>
  <si>
    <t>epinephelus maculatus</t>
  </si>
  <si>
    <t>Salmonidae</t>
  </si>
  <si>
    <t>Salmonids</t>
  </si>
  <si>
    <t>salmonidae</t>
  </si>
  <si>
    <t>Gadus chalcogrammus</t>
  </si>
  <si>
    <t>Alaska pollock</t>
  </si>
  <si>
    <t>gadus chalcogrammus</t>
  </si>
  <si>
    <t>Mactridae</t>
  </si>
  <si>
    <t>Mactra surf clams</t>
  </si>
  <si>
    <t>mactridae</t>
  </si>
  <si>
    <t>Parastromateus niger</t>
  </si>
  <si>
    <t>Black pomfret</t>
  </si>
  <si>
    <t>parastromateus niger</t>
  </si>
  <si>
    <t>Epinephelus coioides</t>
  </si>
  <si>
    <t>Orange-spotted grouper</t>
  </si>
  <si>
    <t>epinephelus coioides</t>
  </si>
  <si>
    <t>Seriola dumerili</t>
  </si>
  <si>
    <t>Greater amberjack</t>
  </si>
  <si>
    <t>seriola dumerili</t>
  </si>
  <si>
    <t>Octopodidae</t>
  </si>
  <si>
    <t>Octopuses</t>
  </si>
  <si>
    <t>octopodidae</t>
  </si>
  <si>
    <t>Megalaspis cordyla</t>
  </si>
  <si>
    <t>Torpedo scad</t>
  </si>
  <si>
    <t>megalaspis cordyla</t>
  </si>
  <si>
    <t>Bramidae</t>
  </si>
  <si>
    <t>Pomfrets</t>
  </si>
  <si>
    <t>bramidae</t>
  </si>
  <si>
    <t>Pomfret; oceanic mesopelagic predator on fish and squid, high reported trophic level (4.14) consistent with Piscivores. The paper states diet-matrix values (not group membership) were revised between M1997 and M2018 for this guild; the same species roster is applied to both models since Supplementary Table S1 is presented as a single, undated group list.</t>
  </si>
  <si>
    <t>Anadara</t>
  </si>
  <si>
    <t>Arks, blood cockles</t>
  </si>
  <si>
    <t>anadara</t>
  </si>
  <si>
    <t>Chondrichthyes</t>
  </si>
  <si>
    <t>Sharks, rays, chimaeras</t>
  </si>
  <si>
    <t>chondrichthyes</t>
  </si>
  <si>
    <t>Makaira mazara</t>
  </si>
  <si>
    <t>Indo-Pacific blue marlin</t>
  </si>
  <si>
    <t>makaira mazara</t>
  </si>
  <si>
    <t>Ibacus ciliatus</t>
  </si>
  <si>
    <t>Sand Crayfish</t>
  </si>
  <si>
    <t>ibacus ciliatus</t>
  </si>
  <si>
    <t>Lethrinidae</t>
  </si>
  <si>
    <t>Emperors, scavengers</t>
  </si>
  <si>
    <t>lethrinidae</t>
  </si>
  <si>
    <t>Emperor bream; mixed benthic-invertebrate/small-fish diet, trophic level (3.4-3.59) fits the Benthivores/piscivores band.</t>
  </si>
  <si>
    <t>Decapterus</t>
  </si>
  <si>
    <t>Scads</t>
  </si>
  <si>
    <t>decapterus</t>
  </si>
  <si>
    <t>Genus of the exact Table S1 member D. maruadsi.</t>
  </si>
  <si>
    <t>Pagrus auratus</t>
  </si>
  <si>
    <t>Silver seabream</t>
  </si>
  <si>
    <t>pagrus auratus</t>
  </si>
  <si>
    <t>Haliotidae</t>
  </si>
  <si>
    <t>Abalones, ear shells</t>
  </si>
  <si>
    <t>haliotidae</t>
  </si>
  <si>
    <t>Sillaginidae</t>
  </si>
  <si>
    <t>Smelt-whitings</t>
  </si>
  <si>
    <t>sillaginidae</t>
  </si>
  <si>
    <t>Whiting/sillaginid; sand-dwelling benthic-invertebrate feeder, ecology consistent with Benthivores.</t>
  </si>
  <si>
    <t>Saurida tumbil</t>
  </si>
  <si>
    <t>Greater lizardfish</t>
  </si>
  <si>
    <t>saurida tumbil</t>
  </si>
  <si>
    <t>Lutjanidae</t>
  </si>
  <si>
    <t>Snappers</t>
  </si>
  <si>
    <t>lutjanidae</t>
  </si>
  <si>
    <t>Snapper; active predator on fish and crustaceans, high trophic level (4.02-4.27) consistent with Piscivores. The paper states diet-matrix values (not group membership) were revised between M1997 and M2018 for this guild; the same species roster is applied to both models since Supplementary Table S1 is presented as a single, undated group list.</t>
  </si>
  <si>
    <t>Oratosquilla oratoria</t>
  </si>
  <si>
    <t>Japanese squillid mantis shrimp</t>
  </si>
  <si>
    <t>oratosquilla oratoria</t>
  </si>
  <si>
    <t>Spratelloides gracilis</t>
  </si>
  <si>
    <t>Silver-stripe round herring</t>
  </si>
  <si>
    <t>spratelloides gracilis</t>
  </si>
  <si>
    <t>Hexagrammidae</t>
  </si>
  <si>
    <t>Greenlings</t>
  </si>
  <si>
    <t>hexagrammidae</t>
  </si>
  <si>
    <t>Auxis rochei</t>
  </si>
  <si>
    <t>Bullet tuna</t>
  </si>
  <si>
    <t>auxis rochei</t>
  </si>
  <si>
    <t>Ariidae</t>
  </si>
  <si>
    <t>Sea catfishes, coblers</t>
  </si>
  <si>
    <t>ariidae</t>
  </si>
  <si>
    <t>Sea catfish; benthic predator taking both invertebrates and small fish, trophic level (3.48) fits the Benthivores/piscivores band well.</t>
  </si>
  <si>
    <t>Ommastrephes bartramii</t>
  </si>
  <si>
    <t>Neon flying squid</t>
  </si>
  <si>
    <t>ommastrephes bartramii</t>
  </si>
  <si>
    <t>Sillago</t>
  </si>
  <si>
    <t>sillago</t>
  </si>
  <si>
    <t>Mola mola</t>
  </si>
  <si>
    <t>Ocean sunfish</t>
  </si>
  <si>
    <t>mola mola</t>
  </si>
  <si>
    <t>Ocean sunfish; a gelatinous-zooplankton specialist whose unusual diet does not correspond well to any of the model's guilds (nominally closest to Planktivores by diet, but its reported trophic level does not support that placement); flagged rather than forced.</t>
  </si>
  <si>
    <t>Rapana</t>
  </si>
  <si>
    <t>Rapa whelks</t>
  </si>
  <si>
    <t>rapana</t>
  </si>
  <si>
    <t>Batoidea</t>
  </si>
  <si>
    <t>Batoids, skates, rays, sawfishes</t>
  </si>
  <si>
    <t>Large rays (&gt;=90 cm)</t>
  </si>
  <si>
    <t>batoidea</t>
  </si>
  <si>
    <t>Gymnocranius</t>
  </si>
  <si>
    <t>Largeeye breams</t>
  </si>
  <si>
    <t>gymnocranius</t>
  </si>
  <si>
    <t>Metapenaeus</t>
  </si>
  <si>
    <t>Indo-Pacific prawns</t>
  </si>
  <si>
    <t>metapenaeus</t>
  </si>
  <si>
    <t>Genus Metapenaeus has an exact species (M. joyneri) in Table S1's Shrimps membership.</t>
  </si>
  <si>
    <t>Beryx splendens</t>
  </si>
  <si>
    <t>Splendid alfonsino</t>
  </si>
  <si>
    <t>beryx splendens</t>
  </si>
  <si>
    <t>Rachycentridae</t>
  </si>
  <si>
    <t>Cobias</t>
  </si>
  <si>
    <t>rachycentridae</t>
  </si>
  <si>
    <t>Ommastrephidae</t>
  </si>
  <si>
    <t>Arrow squids</t>
  </si>
  <si>
    <t>ommastrephidae</t>
  </si>
  <si>
    <t>Evynnis tumifrons</t>
  </si>
  <si>
    <t>Yellowback seabream</t>
  </si>
  <si>
    <t>evynnis tumifrons</t>
  </si>
  <si>
    <t>Meretrix lusoria</t>
  </si>
  <si>
    <t>Japanese hard clam</t>
  </si>
  <si>
    <t>meretrix lusoria</t>
  </si>
  <si>
    <t>Tegillarca granosa</t>
  </si>
  <si>
    <t>Granular ark</t>
  </si>
  <si>
    <t>tegillarca granosa</t>
  </si>
  <si>
    <t>Scorpaeniformes</t>
  </si>
  <si>
    <t>Scorpionfishes, flatheads</t>
  </si>
  <si>
    <t>scorpaeniformes</t>
  </si>
  <si>
    <t>Ostreidae</t>
  </si>
  <si>
    <t>True oysters</t>
  </si>
  <si>
    <t>ostreidae</t>
  </si>
  <si>
    <t>Sphyraenidae</t>
  </si>
  <si>
    <t>Barracudas</t>
  </si>
  <si>
    <t>sphyraenidae</t>
  </si>
  <si>
    <t>Barracuda; obligate fast-strike piscivore, high reported trophic level (4.4-4.49) consistent with an apex-fish-eating placement. The paper states diet-matrix values (not group membership) were revised between M1997 and M2018 for this guild; the same species roster is applied to both models since Supplementary Table S1 is presented as a single, undated group list.</t>
  </si>
  <si>
    <t>Pseudopleuronectes herzensteini</t>
  </si>
  <si>
    <t>Yellow striped flounder</t>
  </si>
  <si>
    <t>pseudopleuronectes herzensteini</t>
  </si>
  <si>
    <t>Righteye flounder; classic benthic invertebrate-feeding flatfish, trophic level (3.15) close to the Benthivores band. The model has no dedicated flatfish group.</t>
  </si>
  <si>
    <t>Muraenidae</t>
  </si>
  <si>
    <t>Moray eels</t>
  </si>
  <si>
    <t>muraenidae</t>
  </si>
  <si>
    <t>Moray eel; ambush piscivorous predator, trophic level (4.07) consistent with the Piscivores band. The paper states diet-matrix values (not group membership) were revised between M1997 and M2018 for this guild; the same species roster is applied to both models since Supplementary Table S1 is presented as a single, undated group list.</t>
  </si>
  <si>
    <t>Penaeus penicillatus</t>
  </si>
  <si>
    <t>Redtail prawn</t>
  </si>
  <si>
    <t>penaeus penicillatus</t>
  </si>
  <si>
    <t>Berycidae</t>
  </si>
  <si>
    <t>Alfonsinos, redfishes</t>
  </si>
  <si>
    <t>berycidae</t>
  </si>
  <si>
    <t>Zenopsis nebulosa</t>
  </si>
  <si>
    <t>Mirror dory</t>
  </si>
  <si>
    <t>Medium bathydemersals (30 - 89 cm)</t>
  </si>
  <si>
    <t>zenopsis nebulosa</t>
  </si>
  <si>
    <t>Mirror dory; ambush piscivorous predator, trophic level (3.98) close to the Piscivores band. The paper states diet-matrix values (not group membership) were revised between M1997 and M2018 for this guild; the same species roster is applied to both models since Supplementary Table S1 is presented as a single, undated group list.</t>
  </si>
  <si>
    <t>Isurus</t>
  </si>
  <si>
    <t>Mako sharks</t>
  </si>
  <si>
    <t>isurus</t>
  </si>
  <si>
    <t>Sharks</t>
  </si>
  <si>
    <t>True shark (order Lamniformes/Carcharhiniformes); Table S1's sole example (Scoliodon laticaudus) is also a true shark, and Sharks is the model's only shark group, so any true shark is an unambiguous taxonomic fit. Note this does NOT extend to rays/skates (Batoidea) -- see Elasmobranchii/Batoidea/Chondrichthyes below.</t>
  </si>
  <si>
    <t>Veneridae</t>
  </si>
  <si>
    <t>Venus clams</t>
  </si>
  <si>
    <t>veneridae</t>
  </si>
  <si>
    <t>Haliotis</t>
  </si>
  <si>
    <t>Abalones</t>
  </si>
  <si>
    <t>haliotis</t>
  </si>
  <si>
    <t>Clupanodon thrissa</t>
  </si>
  <si>
    <t>Chinese gizzard shad</t>
  </si>
  <si>
    <t>clupanodon thrissa</t>
  </si>
  <si>
    <t>Saurida</t>
  </si>
  <si>
    <t>Lizardfishes</t>
  </si>
  <si>
    <t>saurida</t>
  </si>
  <si>
    <t>Lates calcarifer</t>
  </si>
  <si>
    <t>Barramundi</t>
  </si>
  <si>
    <t>lates calcarifer</t>
  </si>
  <si>
    <t>Barramundi; apex ambush piscivore in estuarine/coastal habitats, high reported trophic level (4.35) consistent with Piscivores. The paper states diet-matrix values (not group membership) were revised between M1997 and M2018 for this guild; the same species roster is applied to both models since Supplementary Table S1 is presented as a single, undated group list.</t>
  </si>
  <si>
    <t>Mizuhopecten yessoensis</t>
  </si>
  <si>
    <t>Yesso scallop</t>
  </si>
  <si>
    <t>mizuhopecten yessoensis</t>
  </si>
  <si>
    <t>Nibea mitsukurii</t>
  </si>
  <si>
    <t>Honnibe croaker</t>
  </si>
  <si>
    <t>nibea mitsukurii</t>
  </si>
  <si>
    <t>Congener of the exact Table S1 Omnivores member N. albiflora.</t>
  </si>
  <si>
    <t>Nibea albiflora</t>
  </si>
  <si>
    <t>Yellow drum</t>
  </si>
  <si>
    <t>nibea albiflora</t>
  </si>
  <si>
    <t>Ariomma indica</t>
  </si>
  <si>
    <t>Indian driftfish</t>
  </si>
  <si>
    <t>ariomma indica</t>
  </si>
  <si>
    <t>Driftfish; small pelagic omnivore/planktivore with a niche similar to Psenopsis/Pampus, trophic level (3.63) fits the group's band.</t>
  </si>
  <si>
    <t>Scaridae</t>
  </si>
  <si>
    <t>Parrotfishes</t>
  </si>
  <si>
    <t>scaridae</t>
  </si>
  <si>
    <t>Parrotfish; herbivorous algae grazer with a very low reported trophic level (2.0) that fits none of the model's consumer-fish guilds; no defensible group fit rather than a forced placement.</t>
  </si>
  <si>
    <t>Mierspenaeopsis hardwickii</t>
  </si>
  <si>
    <t>Spear shrimp</t>
  </si>
  <si>
    <t>mierspenaeopsis hardwickii</t>
  </si>
  <si>
    <t>Near-certain spelling/genus variant of Table S1's 'Parapenaeopsis hardwickii' (same species epithet, same penaeid shrimp fauna); treated as an accepted-name match to Shrimps.</t>
  </si>
  <si>
    <t>Decapterus russelli</t>
  </si>
  <si>
    <t>Indian scad</t>
  </si>
  <si>
    <t>decapterus russelli</t>
  </si>
  <si>
    <t>Cardiidae</t>
  </si>
  <si>
    <t>Cockles</t>
  </si>
  <si>
    <t>cardiidae</t>
  </si>
  <si>
    <t>Istiophoridae</t>
  </si>
  <si>
    <t>Billfishes</t>
  </si>
  <si>
    <t>istiophoridae</t>
  </si>
  <si>
    <t>Sphyraena</t>
  </si>
  <si>
    <t>Barracudas, sennets</t>
  </si>
  <si>
    <t>sphyraena</t>
  </si>
  <si>
    <t>Scylla</t>
  </si>
  <si>
    <t>Mud crabs</t>
  </si>
  <si>
    <t>scylla</t>
  </si>
  <si>
    <t>Brachyuran mud crab; unambiguous taxonomic fit since Crabs is the model's only true-crab group.</t>
  </si>
  <si>
    <t>Platycaranx malabaricus</t>
  </si>
  <si>
    <t>Malabar trevally</t>
  </si>
  <si>
    <t>platycaranx malabaricus</t>
  </si>
  <si>
    <t>Polydactylus sexfilis</t>
  </si>
  <si>
    <t>Sixfinger threadfin</t>
  </si>
  <si>
    <t>polydactylus sexfilis</t>
  </si>
  <si>
    <t>Family Polynemidae contains the exact Table S1 member Eleutheronema tetradactylum (Omnivores).</t>
  </si>
  <si>
    <t>Cypselurus</t>
  </si>
  <si>
    <t>Cypselurid flyingfishes</t>
  </si>
  <si>
    <t>cypselurus</t>
  </si>
  <si>
    <t>Scylla serrata</t>
  </si>
  <si>
    <t>Indo-Pacific swamp crab</t>
  </si>
  <si>
    <t>scylla serrata</t>
  </si>
  <si>
    <t>Penaeus monodon</t>
  </si>
  <si>
    <t>Giant tiger prawn</t>
  </si>
  <si>
    <t>penaeus monodon</t>
  </si>
  <si>
    <t>Platycaranx talamparoides</t>
  </si>
  <si>
    <t>Imposter trevally</t>
  </si>
  <si>
    <t>platycaranx talamparoides</t>
  </si>
  <si>
    <t>Rachycentron canadum</t>
  </si>
  <si>
    <t>Cobia</t>
  </si>
  <si>
    <t>rachycentron canadum</t>
  </si>
  <si>
    <t>Sergestidae</t>
  </si>
  <si>
    <t>Sergestid shrimp</t>
  </si>
  <si>
    <t>sergestidae</t>
  </si>
  <si>
    <t>Genus/family of the explicit Table S1 member Acetes chinensis.</t>
  </si>
  <si>
    <t>Psettodes erumei</t>
  </si>
  <si>
    <t>Indian halibut</t>
  </si>
  <si>
    <t>psettodes erumei</t>
  </si>
  <si>
    <t>Spiny turbot; unlike most flatfish this primitive species is markedly predatory, and its high trophic level (4.39) confirms a piscivorous diet. The paper states diet-matrix values (not group membership) were revised between M1997 and M2018 for this guild; the same species roster is applied to both models since Supplementary Table S1 is presented as a single, undated group list.</t>
  </si>
  <si>
    <t>Istiompax indica</t>
  </si>
  <si>
    <t>Black marlin</t>
  </si>
  <si>
    <t>istiompax indica</t>
  </si>
  <si>
    <t>Sphyraena barracuda</t>
  </si>
  <si>
    <t>Great barracuda</t>
  </si>
  <si>
    <t>sphyraena barracuda</t>
  </si>
  <si>
    <t>Aluterus</t>
  </si>
  <si>
    <t>Aluterid filefishes</t>
  </si>
  <si>
    <t>aluterus</t>
  </si>
  <si>
    <t>Exact species (A. monoceros) / genus listed in Table S1 under this group.</t>
  </si>
  <si>
    <t>Epinephelus malabaricus</t>
  </si>
  <si>
    <t>Malabar grouper</t>
  </si>
  <si>
    <t>epinephelus malabaricus</t>
  </si>
  <si>
    <t>Istiophorus platypterus</t>
  </si>
  <si>
    <t>Indo-Pacific sailfish</t>
  </si>
  <si>
    <t>istiophorus platypterus</t>
  </si>
  <si>
    <t>Encrasicholina punctifer</t>
  </si>
  <si>
    <t>Buccaneer anchovy</t>
  </si>
  <si>
    <t>encrasicholina punctifer</t>
  </si>
  <si>
    <t>Auxis thazard</t>
  </si>
  <si>
    <t>Frigate tuna</t>
  </si>
  <si>
    <t>auxis thazard</t>
  </si>
  <si>
    <t>Lethrinus miniatus</t>
  </si>
  <si>
    <t>Trumpet emperor</t>
  </si>
  <si>
    <t>lethrinus miniatus</t>
  </si>
  <si>
    <t>Large emperor bream with a markedly higher trophic level (4.19) than its family's typical benthivore/piscivore niche, indicating a more strongly piscivorous diet; placed in Piscivores rather than Benthivores/piscivores on that basis. The paper states diet-matrix values (not group membership) were revised between M1997 and M2018 for this guild; the same species roster is applied to both models since Supplementary Table S1 is presented as a single, undated group list.</t>
  </si>
  <si>
    <t>Acetes</t>
  </si>
  <si>
    <t>Acetes shrimps</t>
  </si>
  <si>
    <t>acetes</t>
  </si>
  <si>
    <t>Ammodytes</t>
  </si>
  <si>
    <t>Sand eels</t>
  </si>
  <si>
    <t>ammodytes</t>
  </si>
  <si>
    <t>Hemitrygon akajei</t>
  </si>
  <si>
    <t>Whip stingray</t>
  </si>
  <si>
    <t>hemitrygon akajei</t>
  </si>
  <si>
    <t>Stingray (Batoidea); ecologically analogous to the explicit Table S1 Benthivores member Narcine lingula, which is also a benthic invertebrate-feeding ray -- true sharks, not rays, are the taxonomic basis of the model's Sharks group. Reported trophic level (3.84) is higher than the Benthivores band, a noted limitation of this ecological placement.</t>
  </si>
  <si>
    <t>Cheilopogon unicolor</t>
  </si>
  <si>
    <t>Limpidwing flyingfish</t>
  </si>
  <si>
    <t>cheilopogon unicolor</t>
  </si>
  <si>
    <t>Metapenaeus ensis</t>
  </si>
  <si>
    <t>Greasyback shrimp</t>
  </si>
  <si>
    <t>metapenaeus ensis</t>
  </si>
  <si>
    <t>Parupeneus barberinus</t>
  </si>
  <si>
    <t>Dash-and-dot goatfish</t>
  </si>
  <si>
    <t>parupeneus barberinus</t>
  </si>
  <si>
    <t>Marine pelagic fishes not identified</t>
  </si>
  <si>
    <t>Pelagic fishes</t>
  </si>
  <si>
    <t>marine pelagic fishes not identified</t>
  </si>
  <si>
    <t>Saurida undosquamis</t>
  </si>
  <si>
    <t>Brushtooth lizardfish</t>
  </si>
  <si>
    <t>saurida undosquamis</t>
  </si>
  <si>
    <t>Holothuriidae</t>
  </si>
  <si>
    <t>Fleshy sea cucumbers</t>
  </si>
  <si>
    <t>holothuriidae</t>
  </si>
  <si>
    <t>Prionace glauca</t>
  </si>
  <si>
    <t>Blue shark</t>
  </si>
  <si>
    <t>prionace glauca</t>
  </si>
  <si>
    <t>Sillago sihama</t>
  </si>
  <si>
    <t>Silver sillago</t>
  </si>
  <si>
    <t>sillago sihama</t>
  </si>
  <si>
    <t>Lutjanus bohar</t>
  </si>
  <si>
    <t>Two-spot red snapper</t>
  </si>
  <si>
    <t>lutjanus bohar</t>
  </si>
  <si>
    <t>Lutjanus</t>
  </si>
  <si>
    <t>lutjanus</t>
  </si>
  <si>
    <t>Dussumieria elopsoides</t>
  </si>
  <si>
    <t>Slender rainbow sardine</t>
  </si>
  <si>
    <t>dussumieria elopsoides</t>
  </si>
  <si>
    <t>Carcharhinus falciformis</t>
  </si>
  <si>
    <t>Silky shark</t>
  </si>
  <si>
    <t>carcharhinus falciformis</t>
  </si>
  <si>
    <t>Rhopilema hispidum</t>
  </si>
  <si>
    <t>Sand jellyfish</t>
  </si>
  <si>
    <t>rhopilema hispidum</t>
  </si>
  <si>
    <t>Chionoecetes japonicus</t>
  </si>
  <si>
    <t>Red snow crab</t>
  </si>
  <si>
    <t>chionoecetes japonicus</t>
  </si>
  <si>
    <t>Brachyuran snow crab; unambiguous taxonomic fit since Crabs is the model's only true-crab group.</t>
  </si>
  <si>
    <t>Tripneustes gratilla</t>
  </si>
  <si>
    <t>Shortspine urchin</t>
  </si>
  <si>
    <t>tripneustes gratilla</t>
  </si>
  <si>
    <t>Acanthocybium solandri</t>
  </si>
  <si>
    <t>Wahoo</t>
  </si>
  <si>
    <t>acanthocybium solandri</t>
  </si>
  <si>
    <t>Chionoecetes opilio</t>
  </si>
  <si>
    <t>Snow crab</t>
  </si>
  <si>
    <t>chionoecetes opilio</t>
  </si>
  <si>
    <t>Carcharhinus longimanus</t>
  </si>
  <si>
    <t>Oceanic whitetip shark</t>
  </si>
  <si>
    <t>carcharhinus longimanus</t>
  </si>
  <si>
    <t>Alopias</t>
  </si>
  <si>
    <t>Thresher sharks</t>
  </si>
  <si>
    <t>alopias</t>
  </si>
  <si>
    <t>Isurus oxyrinchus</t>
  </si>
  <si>
    <t>Shortfin mako</t>
  </si>
  <si>
    <t>isurus oxyrinchus</t>
  </si>
  <si>
    <t>Sphyrna</t>
  </si>
  <si>
    <t>Hammerhead sharks</t>
  </si>
  <si>
    <t>sphyrna</t>
  </si>
  <si>
    <t>taxon_count_total</t>
  </si>
  <si>
    <t>taxon_count_matched</t>
  </si>
  <si>
    <t>catch_tonnes_total</t>
  </si>
  <si>
    <t>catch_tonnes_matched</t>
  </si>
  <si>
    <t>catch_tonnes_missing_tl</t>
  </si>
  <si>
    <t>catch_coverage_fraction</t>
  </si>
  <si>
    <t>sppr_correct</t>
  </si>
  <si>
    <t>ppr_correct</t>
  </si>
  <si>
    <t>tl_weighted_jensen</t>
  </si>
  <si>
    <t>sppr_jensen</t>
  </si>
  <si>
    <t>ppr_jensen</t>
  </si>
  <si>
    <t>jensen_difference</t>
  </si>
  <si>
    <t>jensen_ratio_correct_to_error</t>
  </si>
  <si>
    <t>jensen_percent_difference</t>
  </si>
  <si>
    <t>check</t>
  </si>
  <si>
    <t>value</t>
  </si>
  <si>
    <t>unit</t>
  </si>
  <si>
    <t>raw_filtered_tonnes</t>
  </si>
  <si>
    <t>tonnes</t>
  </si>
  <si>
    <t>species_catch_tonnes</t>
  </si>
  <si>
    <t>catch_difference_tonnes</t>
  </si>
  <si>
    <t>catch_reconciled</t>
  </si>
  <si>
    <t>True</t>
  </si>
  <si>
    <t>boolean</t>
  </si>
  <si>
    <t>matched_catch_tonnes</t>
  </si>
  <si>
    <t>fraction</t>
  </si>
  <si>
    <t>taxa_count</t>
  </si>
  <si>
    <t>count</t>
  </si>
  <si>
    <t>matched_taxa_count</t>
  </si>
  <si>
    <t>unmatched_taxa_count</t>
  </si>
  <si>
    <t>species_ppr</t>
  </si>
  <si>
    <t>tonnes_primary_production_equivalent</t>
  </si>
  <si>
    <t>commercial_ppr</t>
  </si>
  <si>
    <t>functional_ppr</t>
  </si>
  <si>
    <t>commercial_ppr_difference</t>
  </si>
  <si>
    <t>functional_ppr_difference</t>
  </si>
  <si>
    <t>commercial_ppr_reconciled</t>
  </si>
  <si>
    <t>functional_ppr_reconciled</t>
  </si>
  <si>
    <t>commercial_jensen_violations</t>
  </si>
  <si>
    <t>functional_jensen_violations</t>
  </si>
  <si>
    <t>LME_047 - East China Sea</t>
  </si>
  <si>
    <t>Field</t>
  </si>
  <si>
    <t>Value</t>
  </si>
  <si>
    <t>Notes / source</t>
  </si>
  <si>
    <t>Unit ID</t>
  </si>
  <si>
    <t>Sea Around Us region identifier</t>
  </si>
  <si>
    <t>Transfer efficiency</t>
  </si>
  <si>
    <t>Used by every SPPR formula</t>
  </si>
  <si>
    <t>Year</t>
  </si>
  <si>
    <t>Latest year common to all 84 datasets</t>
  </si>
  <si>
    <t>Region type</t>
  </si>
  <si>
    <t>Sea Around Us spatial classification</t>
  </si>
  <si>
    <t>Catch scope</t>
  </si>
  <si>
    <t>Landings + Discards</t>
  </si>
  <si>
    <t>Reported + unreported; all sectors, gears, entities, and end uses</t>
  </si>
  <si>
    <t>SPPR formula</t>
  </si>
  <si>
    <t>(1 / TE)^(TL - 1)</t>
  </si>
  <si>
    <t>TE is the Metadata!B5 value</t>
  </si>
  <si>
    <t>PPR formula</t>
  </si>
  <si>
    <t>Catch tonnes × SPPR</t>
  </si>
  <si>
    <t>Unit: tonnes primary-production equivalent</t>
  </si>
  <si>
    <t>Wet-weight/carbon divisor</t>
  </si>
  <si>
    <t>Not applied</t>
  </si>
  <si>
    <t>The paper's /9 conversion is intentionally omitted</t>
  </si>
  <si>
    <t>Primary TL source</t>
  </si>
  <si>
    <t>No SPPR regression from the supplement is used</t>
  </si>
  <si>
    <t>Secondary TL source</t>
  </si>
  <si>
    <t>Exact taxon matches, followed by documented fallbacks</t>
  </si>
  <si>
    <t>Catch data URL</t>
  </si>
  <si>
    <t>https://www.seaaroundus.org/data/</t>
  </si>
  <si>
    <t>Frozen archive: raw_data/SAU_downloads/LME_047-catch.zip</t>
  </si>
  <si>
    <t>Method source</t>
  </si>
  <si>
    <t>Pauly &amp; Christensen (1995)</t>
  </si>
  <si>
    <t>Nature 374:255-257</t>
  </si>
  <si>
    <t>paper</t>
  </si>
  <si>
    <t>model</t>
  </si>
  <si>
    <t>model_tl</t>
  </si>
  <si>
    <t>grouping_basis</t>
  </si>
  <si>
    <t>reported_or_supporting_taxa</t>
  </si>
  <si>
    <t>evidence_note</t>
  </si>
  <si>
    <t>primary_source</t>
  </si>
  <si>
    <t>supporting_source</t>
  </si>
  <si>
    <t>primary_url</t>
  </si>
  <si>
    <t>supporting_url</t>
  </si>
  <si>
    <t>supplement_status</t>
  </si>
  <si>
    <t>Xu et al. (2022), Frontiers in Marine Science 9:865645, doi:10.3389/fmars.2022.865645</t>
  </si>
  <si>
    <t>M1997 (1997-2000)</t>
  </si>
  <si>
    <t>Phytoplankton</t>
  </si>
  <si>
    <t>Non-living/primary-producer compartment</t>
  </si>
  <si>
    <t>-</t>
  </si>
  <si>
    <t>Explicit species membership from Supplementary Table S1 ('Description of the functional groups for the East China Sea (ECS) ecosystem model in M2018'), applied to both models since the paper presents a single undated group-composition table and only diet-matrix values are stated to differ between years.</t>
  </si>
  <si>
    <t>Xu et al. (2022), Frontiers in Marine Science 9:865645, doi:10.3389/fmars.2022.865645; Table 1 (group list, TL, biomass, P/B, Q/B, EE) and Supplementary Table S1 (species composition per group), DataSheet_1.docx.</t>
  </si>
  <si>
    <t>None used beyond the focal paper and its own supplement.</t>
  </si>
  <si>
    <t>https://doi.org/10.3389/fmars.2022.865645</t>
  </si>
  <si>
    <t>https://public-pages-files-2025.frontiersin.org/articles/865645/file/Data_Sheet_1.docx/865645_supplementary-materials_datasheets_1_docx/3</t>
  </si>
  <si>
    <t>Data_Sheet_1.docx recovered from the Frontiers article page and read directly (python-docx); Table 3 in that file is Supplementary Table S1 (Functional Group | Species, 24 rows).</t>
  </si>
  <si>
    <t>Zooplankton</t>
  </si>
  <si>
    <t>Taxonomic (planktonic crustaceans/gelatinous zooplankton)</t>
  </si>
  <si>
    <t>Copepods, Pelagic larva, Chaetognatha, Amphipoda</t>
  </si>
  <si>
    <t>Polychaetes</t>
  </si>
  <si>
    <t>Taxonomic</t>
  </si>
  <si>
    <t>Nereis succinea</t>
  </si>
  <si>
    <t>Taxonomic (residual: all Mollusca not in Cephalopods)</t>
  </si>
  <si>
    <t>Bivalves</t>
  </si>
  <si>
    <t>Benthic Crustaceans</t>
  </si>
  <si>
    <t>Taxonomic (small benthic peracarid crustaceans)</t>
  </si>
  <si>
    <t>Gammaridea, Cumacea</t>
  </si>
  <si>
    <t>Ophiuroidea</t>
  </si>
  <si>
    <t>Taxonomic (Cnidaria; residual invertebrate pool)</t>
  </si>
  <si>
    <t>Cnidaria</t>
  </si>
  <si>
    <t>Taxonomic (Brachyura)</t>
  </si>
  <si>
    <t>Portunus trituberculatus, Charybdis feriatus, Charybdis bimaculata, Portunus sanguinolentus, Charybdis acuta, Portunus argentatus</t>
  </si>
  <si>
    <t>Taxonomic (Penaeidae/Dendrobranchiata)</t>
  </si>
  <si>
    <t>Solenocera crassicornis, Trachypenaeus curvirostris, Solenocera alticarinata, Parapenaeus fissuroides, Metapenaeus joyneri, Parapenaeopsis hardwickii, Metapenaeopsis barbata, Solenocera koelbeli, Alpheus japonicus, Solenocera melantho, Plesionika izumiae, Parapenaeopsis tenella, Acetes chinensis</t>
  </si>
  <si>
    <t>Abralia multihamata, Euprymna berryi, Loligo beka, Sepiella maindroni, Ommastrephes bartrami, Sepia esculenta, Octopus ocellatus, Uroteuthis edulis, Sepioteuthis lessoniana, Argonauta argo</t>
  </si>
  <si>
    <t>Feeding guild (zooplanktivorous small pelagics)</t>
  </si>
  <si>
    <t>Benthosema pterotum, Bregmaceros macclellandii, Acropoma japonicum, Secutor ruconius, Thryssa dussumieri, Thryssa vitrirostris, Thryssa kammalensis, Apogon lineatus, Regalecus russelii, Stolephorus commersonnii, Sardinella aurita, Erisphex pottii</t>
  </si>
  <si>
    <t>Explicit species membership from Supplementary Table S1 ('Description of the functional groups for the East China Sea (ECS) ecosystem model in M2018'), applied to both models since the paper presents a single undated group-composition table and only diet-matrix values are stated to differ between years. Diet-matrix values (not membership) reportedly changed between M1997 and M2018 per main text (Section 2.2.1).</t>
  </si>
  <si>
    <t>Feeding guild (benthic invertebrate feeders)</t>
  </si>
  <si>
    <t>Johnius belangerii, Johnius distinctus, Uroconger lepturus, Narcine lingula, Polydactylus sextarius, Acanthocepola limbata, Parapercis sexfasciata, Rhynchoconger ectenurus, Chelidonichthys kumu, Dasyatis zugei, Lepidotrigla hime, Ostorhinchus angustatus, Diodon holocanthus, Uranoscopus japonicus</t>
  </si>
  <si>
    <t>Feeding guild (fish-eating predators)</t>
  </si>
  <si>
    <t>Scomberomorus niphonius, Harpadon nehereus, Antennarius striatus, Lepturacanthus savala, Fistularia petimba, Coelorinchus multispinulosus, Sphyraena pinguis, Muraenesox cinereus, Sphyraena japonica, Pennahia argentata, Scomberomorus guttatus, Coryphaena hippurus, Auxis thazard, Tentoriceps cristatus, Saurida tumbil</t>
  </si>
  <si>
    <t>Explicit species membership from Supplementary Table S1 ('Description of the functional groups for the East China Sea (ECS) ecosystem model in M2018'), applied to both models since the paper presents a single undated group-composition table and only diet-matrix values are stated to differ between years. Diet-matrix values (not membership) reportedly changed between M1997 and M2018 per main text (Section 2.2.1). Table S1 also lists Harpadon nehereus a second time inside this group's row, alongside its own dedicated Bombay duck group -- treated as a copy-paste duplication in the supplement, not a second valid membership. Pennahia argentata (here) vs. Pennahia argentatus (Benthivores/piscivores) is a separate, likely-duplicate listing of the same species across two groups.</t>
  </si>
  <si>
    <t>Commercial single-species group (high economic value, per main text)</t>
  </si>
  <si>
    <t>Explicit species membership from Supplementary Table S1 ('Description of the functional groups for the East China Sea (ECS) ecosystem model in M2018'), applied to both models since the paper presents a single undated group-composition table and only diet-matrix values are stated to differ between years. Main text states Bombay duck (Harpadon nehereus), Hairtails, and both yellow croakers were split out as separate high-economic-value groups even though they would otherwise fall inside a guild group. Table S1 also lists Harpadon nehereus inside the Piscivores row, treated as a duplication artefact.</t>
  </si>
  <si>
    <t>Feeding guild (mixed plankton + benthic-invertebrate diet)</t>
  </si>
  <si>
    <t>Setipinna tenuifilis, Psenopsis anomala, Scomber japonicus, Regalecus glesne, Remora remora</t>
  </si>
  <si>
    <t>Explicit species membership from Supplementary Table S1 ('Description of the functional groups for the East China Sea (ECS) ecosystem model in M2018'), applied to both models since the paper presents a single undated group-composition table and only diet-matrix values are stated to differ between years. See Planktivores/piscivores note: Psenopsis anomala is duplicated across both groups in Table S1.</t>
  </si>
  <si>
    <t>Feeding guild (mixed plankton + fish diet)</t>
  </si>
  <si>
    <t>Decapterus maruadsi, Trachurus japonicus, Psenopsis anomala, Parastromateus niger, Pampus chinensis, Pampus argenteus, Mene maculata, Aluterus monoceros</t>
  </si>
  <si>
    <t>Explicit species membership from Supplementary Table S1 ('Description of the functional groups for the East China Sea (ECS) ecosystem model in M2018'), applied to both models since the paper presents a single undated group-composition table and only diet-matrix values are stated to differ between years. Psenopsis anomala is listed here AND under Planktivores/Benthivores in Table S1 -- an internal inconsistency in the supplement; assigned to this group in the workbook on trophic-level corroboration.</t>
  </si>
  <si>
    <t>Feeding guild (mixed benthic-invertebrate + fish diet)</t>
  </si>
  <si>
    <t>Pennahia argentatus, Nemipterus virgatus, Pisodonophis cancrivorus, Atrobucca nibe, Miichthys miiuy, Ariosoma anago, Priacanthus macracanthus, Cynoglossus joyneri, Rexea prometheoides, Lagocephalus spadiceus</t>
  </si>
  <si>
    <t>Explicit species membership from Supplementary Table S1 ('Description of the functional groups for the East China Sea (ECS) ecosystem model in M2018'), applied to both models since the paper presents a single undated group-composition table and only diet-matrix values are stated to differ between years. Pennahia argentatus here is almost certainly the same species as Piscivores' Pennahia argentata -- Table S1 lists it under both groups; the workbook keeps Piscivores as the assigned group for that species and flags the conflict there.</t>
  </si>
  <si>
    <t>Feeding guild (mixed/generalist diet)</t>
  </si>
  <si>
    <t>Ilisha elongata, Nibea albiflora, Ostorhinchus fasciatus, Eleutheronema tetradactylum, Acanthopagrus schlegelii, Synagrops japonicus, Collichthys lucidus, Caranx sexfasciatus</t>
  </si>
  <si>
    <t>Taxonomic (true sharks only; rays/skates are placed by feeding ecology, not this group -- see Benthivores/Narcine lingula)</t>
  </si>
  <si>
    <t>Scoliodon laticaudus</t>
  </si>
  <si>
    <t>Marine mammals</t>
  </si>
  <si>
    <t>Sousa chinensis</t>
  </si>
  <si>
    <t>Detritus</t>
  </si>
  <si>
    <t>Non-living compartment</t>
  </si>
  <si>
    <t>M2018 (2018-2019)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</si>
</sst>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8">
    <font>
      <sz val="11"/>
      <name val="Carlito"/>
    </font>
    <font>
      <b/>
      <sz val="16"/>
      <color rgb="FFFFFFFF"/>
      <name val="Aptos Display"/>
    </font>
    <font>
      <sz val="10"/>
      <name val="Aptos"/>
    </font>
    <font>
      <b/>
      <sz val="10"/>
      <color rgb="FFFFFFFF"/>
      <name val="Aptos"/>
    </font>
    <font>
      <b/>
      <sz val="10"/>
      <color rgb="FF17324D"/>
      <name val="Aptos"/>
    </font>
    <font>
      <sz val="9"/>
      <color rgb="FF1D2939"/>
      <name val="Aptos"/>
    </font>
    <font>
      <b/>
      <sz val="10"/>
      <color rgb="FFFFFFFF"/>
      <name val="Aptos Display"/>
    </font>
    <font>
      <b/>
      <sz val="11"/>
      <color rgb="FFFFFFFF"/>
      <name val="Aptos Display"/>
    </font>
  </fonts>
  <fills count="7">
    <fill>
      <patternFill patternType="none"/>
    </fill>
    <fill>
      <patternFill patternType="gray125"/>
    </fill>
    <fill>
      <patternFill patternType="solid">
        <fgColor rgb="FF17324D"/>
      </patternFill>
    </fill>
    <fill>
      <patternFill patternType="solid">
        <fgColor rgb="FF147D92"/>
      </patternFill>
    </fill>
    <fill>
      <patternFill patternType="solid">
        <fgColor rgb="FFFFC7CE"/>
      </patternFill>
    </fill>
    <fill>
      <patternFill patternType="solid">
        <fgColor rgb="FFC6EFCE"/>
      </patternFill>
    </fill>
    <fill>
      <patternFill patternType="solid">
        <fgColor rgb="FFFFEB9C"/>
      </patternFill>
    </fill>
  </fills>
  <borders count="12">
    <border>
      <left/>
      <right/>
      <top/>
      <bottom/>
      <diagonal/>
    </border>
    <border>
      <left/>
      <right/>
      <top/>
      <bottom/>
      <diagonal/>
    </border>
    <border>
      <left/>
      <right style="thin">
        <color rgb="FFD0D5DD"/>
      </right>
      <top/>
      <bottom style="thin">
        <color rgb="FFD0D5DD"/>
      </bottom>
      <diagonal/>
    </border>
    <border>
      <left style="thin">
        <color rgb="FFD0D5DD"/>
      </left>
      <right style="thin">
        <color rgb="FFD0D5DD"/>
      </right>
      <top/>
      <bottom style="thin">
        <color rgb="FFD0D5DD"/>
      </bottom>
      <diagonal/>
    </border>
    <border>
      <left style="thin">
        <color rgb="FFD0D5DD"/>
      </left>
      <right/>
      <top/>
      <bottom style="thin">
        <color rgb="FFD0D5DD"/>
      </bottom>
      <diagonal/>
    </border>
    <border>
      <left/>
      <right style="thin">
        <color rgb="FFD0D5DD"/>
      </right>
      <top style="thin">
        <color rgb="FFD0D5DD"/>
      </top>
      <bottom style="thin">
        <color rgb="FFD0D5DD"/>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style="thin">
        <color rgb="FFD0D5DD"/>
      </right>
      <top style="thin">
        <color rgb="FFD0D5DD"/>
      </top>
      <bottom/>
      <diagonal/>
    </border>
    <border>
      <left style="thin">
        <color rgb="FFD0D5DD"/>
      </left>
      <right style="thin">
        <color rgb="FFD0D5DD"/>
      </right>
      <top style="thin">
        <color rgb="FFD0D5DD"/>
      </top>
      <bottom/>
      <diagonal/>
    </border>
    <border>
      <left style="thin">
        <color rgb="FFD0D5DD"/>
      </left>
      <right/>
      <top style="thin">
        <color rgb="FFD0D5DD"/>
      </top>
      <bottom/>
      <diagonal/>
    </border>
    <border>
      <left/>
      <right/>
      <top/>
      <bottom style="medium">
        <color rgb="FF147D92"/>
      </bottom>
      <diagonal/>
    </border>
  </borders>
  <cellStyleXfs count="1">
    <xf numFmtId="0" fontId="0" fillId="0" borderId="1"/>
  </cellStyleXfs>
  <cellXfs count="25">
    <xf numFmtId="0" fontId="0" fillId="0" borderId="0" xfId="0" applyBorder="1"/>
    <xf numFmtId="0" fontId="3" fillId="3" borderId="2" xfId="0" applyFont="1" applyFill="1" applyBorder="1"/>
    <xf numFmtId="0" fontId="3" fillId="3" borderId="3" xfId="0" applyFont="1" applyFill="1" applyBorder="1"/>
    <xf numFmtId="0" fontId="3" fillId="3" borderId="4" xfId="0" applyFont="1" applyFill="1" applyBorder="1"/>
    <xf numFmtId="0" fontId="2" fillId="0" borderId="6" xfId="0" applyFont="1" applyBorder="1" applyAlignment="1">
      <alignment wrapText="1"/>
    </xf>
    <xf numFmtId="0" fontId="2" fillId="0" borderId="7" xfId="0" applyFont="1" applyBorder="1" applyAlignment="1">
      <alignment wrapText="1"/>
    </xf>
    <xf numFmtId="0" fontId="2" fillId="0" borderId="9" xfId="0" applyFont="1" applyBorder="1" applyAlignment="1">
      <alignment wrapText="1"/>
    </xf>
    <xf numFmtId="0" fontId="2" fillId="0" borderId="10" xfId="0" applyFont="1" applyBorder="1" applyAlignment="1">
      <alignment wrapText="1"/>
    </xf>
    <xf numFmtId="0" fontId="4" fillId="0" borderId="5" xfId="0" applyFont="1" applyBorder="1" applyAlignment="1">
      <alignment wrapText="1"/>
    </xf>
    <xf numFmtId="0" fontId="4" fillId="0" borderId="8" xfId="0" applyFont="1" applyBorder="1" applyAlignment="1">
      <alignment wrapText="1"/>
    </xf>
    <xf numFmtId="0" fontId="5" fillId="0" borderId="0" xfId="0" applyFont="1" applyBorder="1"/>
    <xf numFmtId="0" fontId="6" fillId="2" borderId="11" xfId="0" applyFont="1" applyFill="1" applyBorder="1" applyAlignment="1">
      <alignment vertical="center" wrapText="1"/>
    </xf>
    <xf numFmtId="1" fontId="5" fillId="0" borderId="0" xfId="0" applyNumberFormat="1" applyFont="1" applyBorder="1"/>
    <xf numFmtId="4" fontId="5" fillId="0" borderId="0" xfId="0" applyNumberFormat="1" applyFont="1" applyBorder="1"/>
    <xf numFmtId="164" fontId="5" fillId="0" borderId="0" xfId="0" applyNumberFormat="1" applyFont="1" applyBorder="1"/>
    <xf numFmtId="3" fontId="5" fillId="0" borderId="0" xfId="0" applyNumberFormat="1" applyFont="1" applyBorder="1"/>
    <xf numFmtId="10" fontId="5" fillId="0" borderId="0" xfId="0" applyNumberFormat="1" applyFont="1" applyBorder="1"/>
    <xf numFmtId="165" fontId="2" fillId="0" borderId="6" xfId="0" applyNumberFormat="1" applyFont="1" applyBorder="1" applyAlignment="1">
      <alignment wrapText="1"/>
    </xf>
    <xf numFmtId="0" fontId="7" fillId="2" borderId="0" xfId="0" applyFont="1" applyFill="1" applyBorder="1"/>
    <xf numFmtId="0" fontId="0" fillId="4" borderId="0" xfId="0" applyFill="1" applyBorder="1" applyAlignment="1">
      <alignment horizontal="left" vertical="top"/>
    </xf>
    <xf numFmtId="0" fontId="0" fillId="0" borderId="0" xfId="0" applyBorder="1" applyAlignment="1">
      <alignment horizontal="left" vertical="top" wrapText="1"/>
    </xf>
    <xf numFmtId="0" fontId="0" fillId="5" borderId="0" xfId="0" applyFill="1" applyBorder="1" applyAlignment="1">
      <alignment horizontal="left" vertical="top"/>
    </xf>
    <xf numFmtId="0" fontId="0" fillId="6" borderId="0" xfId="0" applyFill="1" applyBorder="1" applyAlignment="1">
      <alignment horizontal="left" vertical="top"/>
    </xf>
    <xf numFmtId="0" fontId="1" fillId="2" borderId="1" xfId="0" applyFont="1" applyFill="1"/>
    <xf numFmtId="0" fontId="0" fillId="0" borderId="1" xfId="0"/>
  </cellXfs>
  <cellStyles count="1">
    <cellStyle name="Normal" xfId="0" builtinId="0"/>
  </cellStyles>
  <dxfs count="3">
    <dxf>
      <font>
        <b/>
        <color rgb="FFB42318"/>
      </font>
      <fill>
        <patternFill patternType="solid">
          <bgColor rgb="FFFEE4E2"/>
        </patternFill>
      </fill>
    </dxf>
    <dxf>
      <font>
        <b/>
        <color rgb="FFB42318"/>
      </font>
      <fill>
        <patternFill patternType="solid">
          <bgColor rgb="FFFEE4E2"/>
        </patternFill>
      </fill>
    </dxf>
    <dxf>
      <font>
        <color rgb="FF9A3412"/>
      </font>
      <fill>
        <patternFill patternType="solid">
          <bgColor rgb="FFFCEA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ME047SpeciesTable" displayName="LME047SpeciesTable" ref="A1:U255" totalsRowShown="0">
  <autoFilter ref="A1:U255" xr:uid="{00000000-0009-0000-0100-000001000000}"/>
  <tableColumns count="21">
    <tableColumn id="1" xr3:uid="{00000000-0010-0000-0000-000001000000}" name="unit_id"/>
    <tableColumn id="2" xr3:uid="{00000000-0010-0000-0000-000002000000}" name="region_name"/>
    <tableColumn id="3" xr3:uid="{00000000-0010-0000-0000-000003000000}" name="region_type"/>
    <tableColumn id="4" xr3:uid="{00000000-0010-0000-0000-000004000000}" name="year"/>
    <tableColumn id="5" xr3:uid="{00000000-0010-0000-0000-000005000000}" name="taxon"/>
    <tableColumn id="6" xr3:uid="{00000000-0010-0000-0000-000006000000}" name="common_name"/>
    <tableColumn id="7" xr3:uid="{00000000-0010-0000-0000-000007000000}" name="functional_group"/>
    <tableColumn id="8" xr3:uid="{00000000-0010-0000-0000-000008000000}" name="commercial_group"/>
    <tableColumn id="9" xr3:uid="{00000000-0010-0000-0000-000009000000}" name="catch_tonnes"/>
    <tableColumn id="10" xr3:uid="{00000000-0010-0000-0000-00000A000000}" name="landings_tonnes"/>
    <tableColumn id="11" xr3:uid="{00000000-0010-0000-0000-00000B000000}" name="discards_tonnes"/>
    <tableColumn id="12" xr3:uid="{00000000-0010-0000-0000-00000C000000}" name="reported_tonnes"/>
    <tableColumn id="13" xr3:uid="{00000000-0010-0000-0000-00000D000000}" name="unreported_tonnes"/>
    <tableColumn id="14" xr3:uid="{00000000-0010-0000-0000-00000E000000}" name="taxon_key"/>
    <tableColumn id="15" xr3:uid="{00000000-0010-0000-0000-00000F000000}" name="tl"/>
    <tableColumn id="16" xr3:uid="{00000000-0010-0000-0000-000010000000}" name="match_method"/>
    <tableColumn id="17" xr3:uid="{00000000-0010-0000-0000-000011000000}" name="tl_source"/>
    <tableColumn id="18" xr3:uid="{00000000-0010-0000-0000-000012000000}" name="match_confidence"/>
    <tableColumn id="19" xr3:uid="{00000000-0010-0000-0000-000013000000}" name="reference_taxon"/>
    <tableColumn id="20" xr3:uid="{00000000-0010-0000-0000-000014000000}" name="sppr"/>
    <tableColumn id="21" xr3:uid="{00000000-0010-0000-0000-000015000000}" name="pp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ME047CommercialTable" displayName="LME047CommercialTable" ref="A1:O13" totalsRowShown="0">
  <autoFilter ref="A1:O13" xr:uid="{00000000-0009-0000-0100-000002000000}"/>
  <tableColumns count="15">
    <tableColumn id="1" xr3:uid="{00000000-0010-0000-0100-000001000000}" name="commercial_group"/>
    <tableColumn id="2" xr3:uid="{00000000-0010-0000-0100-000002000000}" name="taxon_count_total"/>
    <tableColumn id="3" xr3:uid="{00000000-0010-0000-0100-000003000000}" name="taxon_count_matched"/>
    <tableColumn id="4" xr3:uid="{00000000-0010-0000-0100-000004000000}" name="catch_tonnes_total"/>
    <tableColumn id="5" xr3:uid="{00000000-0010-0000-0100-000005000000}" name="catch_tonnes_matched"/>
    <tableColumn id="6" xr3:uid="{00000000-0010-0000-0100-000006000000}" name="catch_tonnes_missing_tl"/>
    <tableColumn id="7" xr3:uid="{00000000-0010-0000-0100-000007000000}" name="catch_coverage_fraction"/>
    <tableColumn id="8" xr3:uid="{00000000-0010-0000-0100-000008000000}" name="sppr_correct"/>
    <tableColumn id="9" xr3:uid="{00000000-0010-0000-0100-000009000000}" name="ppr_correct"/>
    <tableColumn id="10" xr3:uid="{00000000-0010-0000-0100-00000A000000}" name="tl_weighted_jensen"/>
    <tableColumn id="11" xr3:uid="{00000000-0010-0000-0100-00000B000000}" name="sppr_jensen"/>
    <tableColumn id="12" xr3:uid="{00000000-0010-0000-0100-00000C000000}" name="ppr_jensen"/>
    <tableColumn id="13" xr3:uid="{00000000-0010-0000-0100-00000D000000}" name="jensen_difference"/>
    <tableColumn id="14" xr3:uid="{00000000-0010-0000-0100-00000E000000}" name="jensen_ratio_correct_to_error"/>
    <tableColumn id="15" xr3:uid="{00000000-0010-0000-0100-00000F000000}" name="jensen_percent_differ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ME047FunctionalTable" displayName="LME047FunctionalTable" ref="A1:O25" totalsRowShown="0">
  <autoFilter ref="A1:O25" xr:uid="{00000000-0009-0000-0100-000003000000}"/>
  <tableColumns count="15">
    <tableColumn id="1" xr3:uid="{00000000-0010-0000-0200-000001000000}" name="functional_group"/>
    <tableColumn id="2" xr3:uid="{00000000-0010-0000-0200-000002000000}" name="taxon_count_total"/>
    <tableColumn id="3" xr3:uid="{00000000-0010-0000-0200-000003000000}" name="taxon_count_matched"/>
    <tableColumn id="4" xr3:uid="{00000000-0010-0000-0200-000004000000}" name="catch_tonnes_total"/>
    <tableColumn id="5" xr3:uid="{00000000-0010-0000-0200-000005000000}" name="catch_tonnes_matched"/>
    <tableColumn id="6" xr3:uid="{00000000-0010-0000-0200-000006000000}" name="catch_tonnes_missing_tl"/>
    <tableColumn id="7" xr3:uid="{00000000-0010-0000-0200-000007000000}" name="catch_coverage_fraction"/>
    <tableColumn id="8" xr3:uid="{00000000-0010-0000-0200-000008000000}" name="sppr_correct"/>
    <tableColumn id="9" xr3:uid="{00000000-0010-0000-0200-000009000000}" name="ppr_correct"/>
    <tableColumn id="10" xr3:uid="{00000000-0010-0000-0200-00000A000000}" name="tl_weighted_jensen"/>
    <tableColumn id="11" xr3:uid="{00000000-0010-0000-0200-00000B000000}" name="sppr_jensen"/>
    <tableColumn id="12" xr3:uid="{00000000-0010-0000-0200-00000C000000}" name="ppr_jensen"/>
    <tableColumn id="13" xr3:uid="{00000000-0010-0000-0200-00000D000000}" name="jensen_difference"/>
    <tableColumn id="14" xr3:uid="{00000000-0010-0000-0200-00000E000000}" name="jensen_ratio_correct_to_error"/>
    <tableColumn id="15" xr3:uid="{00000000-0010-0000-0200-00000F000000}" name="jensen_percent_differ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ME047ValidationTable" displayName="LME047ValidationTable" ref="A1:D19" totalsRowShown="0">
  <autoFilter ref="A1:D19" xr:uid="{00000000-0009-0000-0100-000004000000}"/>
  <tableColumns count="4">
    <tableColumn id="1" xr3:uid="{00000000-0010-0000-0300-000001000000}" name="unit_id"/>
    <tableColumn id="2" xr3:uid="{00000000-0010-0000-0300-000002000000}" name="check"/>
    <tableColumn id="3" xr3:uid="{00000000-0010-0000-0300-000003000000}" name="value"/>
    <tableColumn id="4" xr3:uid="{00000000-0010-0000-0300-000004000000}" name="un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55"/>
  <sheetViews>
    <sheetView showGridLines="0" tabSelected="1" topLeftCell="W1" zoomScale="181" workbookViewId="0">
      <selection activeCell="W3" sqref="W3"/>
    </sheetView>
  </sheetViews>
  <sheetFormatPr defaultColWidth="8.83203125" defaultRowHeight="14"/>
  <cols>
    <col min="1" max="3" width="22" customWidth="1"/>
    <col min="4" max="4" width="15" customWidth="1"/>
    <col min="5" max="5" width="25" customWidth="1"/>
    <col min="6" max="6" width="23" customWidth="1"/>
    <col min="7" max="7" width="30" customWidth="1"/>
    <col min="8" max="8" width="24" customWidth="1"/>
    <col min="9" max="13" width="18" customWidth="1"/>
    <col min="14" max="14" width="22" customWidth="1"/>
    <col min="15" max="15" width="15" customWidth="1"/>
    <col min="16" max="16" width="22" customWidth="1"/>
    <col min="17" max="17" width="40" customWidth="1"/>
    <col min="18" max="18" width="22" customWidth="1"/>
    <col min="19" max="19" width="25" customWidth="1"/>
    <col min="20" max="21" width="18" customWidth="1"/>
    <col min="22" max="22" width="34" customWidth="1"/>
    <col min="23" max="23" width="70" customWidth="1"/>
    <col min="24" max="24" width="34" customWidth="1"/>
    <col min="25" max="25" width="70" customWidth="1"/>
  </cols>
  <sheetData>
    <row r="1" spans="1:25" ht="32" customHeigh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8" t="s">
        <v>21</v>
      </c>
      <c r="W1" s="18" t="s">
        <v>22</v>
      </c>
      <c r="X1" s="18" t="s">
        <v>23</v>
      </c>
      <c r="Y1" s="18" t="s">
        <v>24</v>
      </c>
    </row>
    <row r="2" spans="1:25" ht="18" customHeight="1">
      <c r="A2" s="10" t="s">
        <v>25</v>
      </c>
      <c r="B2" s="10" t="s">
        <v>26</v>
      </c>
      <c r="C2" s="10" t="s">
        <v>27</v>
      </c>
      <c r="D2" s="12">
        <v>2019</v>
      </c>
      <c r="E2" s="10" t="s">
        <v>28</v>
      </c>
      <c r="F2" s="10" t="s">
        <v>29</v>
      </c>
      <c r="G2" s="10" t="s">
        <v>30</v>
      </c>
      <c r="H2" s="10" t="s">
        <v>31</v>
      </c>
      <c r="I2" s="13">
        <v>541116.40418108343</v>
      </c>
      <c r="J2" s="13">
        <v>444671.08826368308</v>
      </c>
      <c r="K2" s="13">
        <v>96445.315917400294</v>
      </c>
      <c r="L2" s="13">
        <v>341947.58491966658</v>
      </c>
      <c r="M2" s="13">
        <v>199168.81926141679</v>
      </c>
      <c r="N2" s="10" t="s">
        <v>32</v>
      </c>
      <c r="O2" s="14">
        <v>3.28</v>
      </c>
      <c r="P2" s="10" t="s">
        <v>33</v>
      </c>
      <c r="Q2" s="14" t="s">
        <v>34</v>
      </c>
      <c r="R2" s="10" t="s">
        <v>35</v>
      </c>
      <c r="S2" s="10" t="s">
        <v>28</v>
      </c>
      <c r="T2" s="14">
        <f>IF(O2="","",(1/Metadata!$B$5)^(O2-1))</f>
        <v>190.54607179632481</v>
      </c>
      <c r="U2" s="13">
        <f t="shared" ref="U2:U65" si="0">IF(T2="","",I2*T2)</f>
        <v>103107605.20125784</v>
      </c>
      <c r="V2" s="19" t="s">
        <v>36</v>
      </c>
      <c r="W2" s="20" t="s">
        <v>37</v>
      </c>
      <c r="X2" s="19" t="s">
        <v>36</v>
      </c>
      <c r="Y2" s="20" t="s">
        <v>37</v>
      </c>
    </row>
    <row r="3" spans="1:25" ht="18" customHeight="1">
      <c r="A3" s="10" t="s">
        <v>25</v>
      </c>
      <c r="B3" s="10" t="s">
        <v>26</v>
      </c>
      <c r="C3" s="10" t="s">
        <v>27</v>
      </c>
      <c r="D3" s="12">
        <v>2019</v>
      </c>
      <c r="E3" s="10" t="s">
        <v>38</v>
      </c>
      <c r="F3" s="10" t="s">
        <v>39</v>
      </c>
      <c r="G3" s="10" t="s">
        <v>40</v>
      </c>
      <c r="H3" s="10" t="s">
        <v>41</v>
      </c>
      <c r="I3" s="13">
        <v>454179.67547043978</v>
      </c>
      <c r="J3" s="13">
        <v>449066.32122771372</v>
      </c>
      <c r="K3" s="13">
        <v>5113.3542427261</v>
      </c>
      <c r="L3" s="13">
        <v>448265.5765932271</v>
      </c>
      <c r="M3" s="13">
        <v>5914.0988772127002</v>
      </c>
      <c r="N3" s="10" t="s">
        <v>42</v>
      </c>
      <c r="O3" s="14">
        <v>3.14</v>
      </c>
      <c r="P3" s="10" t="s">
        <v>43</v>
      </c>
      <c r="Q3" s="14" t="s">
        <v>44</v>
      </c>
      <c r="R3" s="10" t="s">
        <v>35</v>
      </c>
      <c r="S3" s="10" t="s">
        <v>38</v>
      </c>
      <c r="T3" s="14">
        <f>IF(O3="","",(1/Metadata!$B$5)^(O3-1))</f>
        <v>138.0384264602886</v>
      </c>
      <c r="U3" s="13">
        <f t="shared" si="0"/>
        <v>62694247.732184045</v>
      </c>
      <c r="V3" s="21" t="s">
        <v>45</v>
      </c>
      <c r="W3" s="20" t="s">
        <v>46</v>
      </c>
      <c r="X3" s="21" t="s">
        <v>45</v>
      </c>
      <c r="Y3" s="20" t="s">
        <v>46</v>
      </c>
    </row>
    <row r="4" spans="1:25" ht="18" customHeight="1">
      <c r="A4" s="10" t="s">
        <v>25</v>
      </c>
      <c r="B4" s="10" t="s">
        <v>26</v>
      </c>
      <c r="C4" s="10" t="s">
        <v>27</v>
      </c>
      <c r="D4" s="12">
        <v>2019</v>
      </c>
      <c r="E4" s="10" t="s">
        <v>47</v>
      </c>
      <c r="F4" s="10" t="s">
        <v>48</v>
      </c>
      <c r="G4" s="10" t="s">
        <v>49</v>
      </c>
      <c r="H4" s="10" t="s">
        <v>50</v>
      </c>
      <c r="I4" s="13">
        <v>443565.53536511923</v>
      </c>
      <c r="J4" s="13">
        <v>443296.82663466391</v>
      </c>
      <c r="K4" s="13">
        <v>268.70873045529999</v>
      </c>
      <c r="L4" s="13">
        <v>443215.80611957773</v>
      </c>
      <c r="M4" s="13">
        <v>349.72924554150001</v>
      </c>
      <c r="N4" s="10" t="s">
        <v>51</v>
      </c>
      <c r="O4" s="14">
        <v>2.84</v>
      </c>
      <c r="P4" s="10" t="s">
        <v>43</v>
      </c>
      <c r="Q4" s="14" t="s">
        <v>44</v>
      </c>
      <c r="R4" s="10" t="s">
        <v>35</v>
      </c>
      <c r="S4" s="10" t="s">
        <v>47</v>
      </c>
      <c r="T4" s="14">
        <f>IF(O4="","",(1/Metadata!$B$5)^(O4-1))</f>
        <v>69.183097091893657</v>
      </c>
      <c r="U4" s="13">
        <f t="shared" si="0"/>
        <v>30687237.499782834</v>
      </c>
      <c r="V4" s="22" t="s">
        <v>45</v>
      </c>
      <c r="W4" s="20" t="s">
        <v>52</v>
      </c>
      <c r="X4" s="22" t="s">
        <v>45</v>
      </c>
      <c r="Y4" s="20" t="s">
        <v>52</v>
      </c>
    </row>
    <row r="5" spans="1:25" ht="18" customHeight="1">
      <c r="A5" s="10" t="s">
        <v>25</v>
      </c>
      <c r="B5" s="10" t="s">
        <v>26</v>
      </c>
      <c r="C5" s="10" t="s">
        <v>27</v>
      </c>
      <c r="D5" s="12">
        <v>2019</v>
      </c>
      <c r="E5" s="10" t="s">
        <v>53</v>
      </c>
      <c r="F5" s="10" t="s">
        <v>54</v>
      </c>
      <c r="G5" s="10" t="s">
        <v>49</v>
      </c>
      <c r="H5" s="10" t="s">
        <v>55</v>
      </c>
      <c r="I5" s="13">
        <v>427018.30036166729</v>
      </c>
      <c r="J5" s="13">
        <v>426743.93432487571</v>
      </c>
      <c r="K5" s="13">
        <v>274.36603679159998</v>
      </c>
      <c r="L5" s="13">
        <v>415457.931493585</v>
      </c>
      <c r="M5" s="13">
        <v>11560.3688680823</v>
      </c>
      <c r="N5" s="10" t="s">
        <v>56</v>
      </c>
      <c r="O5" s="14">
        <v>3.38</v>
      </c>
      <c r="P5" s="10" t="s">
        <v>43</v>
      </c>
      <c r="Q5" s="14" t="s">
        <v>44</v>
      </c>
      <c r="R5" s="10" t="s">
        <v>35</v>
      </c>
      <c r="S5" s="10" t="s">
        <v>53</v>
      </c>
      <c r="T5" s="14">
        <f>IF(O5="","",(1/Metadata!$B$5)^(O5-1))</f>
        <v>239.88329190194912</v>
      </c>
      <c r="U5" s="13">
        <f t="shared" si="0"/>
        <v>102434555.59313202</v>
      </c>
      <c r="V5" s="21" t="s">
        <v>57</v>
      </c>
      <c r="W5" s="20" t="s">
        <v>58</v>
      </c>
      <c r="X5" s="21" t="s">
        <v>57</v>
      </c>
      <c r="Y5" s="20" t="s">
        <v>58</v>
      </c>
    </row>
    <row r="6" spans="1:25" ht="18" customHeight="1">
      <c r="A6" s="10" t="s">
        <v>25</v>
      </c>
      <c r="B6" s="10" t="s">
        <v>26</v>
      </c>
      <c r="C6" s="10" t="s">
        <v>27</v>
      </c>
      <c r="D6" s="12">
        <v>2019</v>
      </c>
      <c r="E6" s="10" t="s">
        <v>59</v>
      </c>
      <c r="F6" s="10" t="s">
        <v>60</v>
      </c>
      <c r="G6" s="10" t="s">
        <v>61</v>
      </c>
      <c r="H6" s="10" t="s">
        <v>55</v>
      </c>
      <c r="I6" s="13">
        <v>355462.8292509914</v>
      </c>
      <c r="J6" s="13">
        <v>354199.81219143618</v>
      </c>
      <c r="K6" s="13">
        <v>1263.0170595551999</v>
      </c>
      <c r="L6" s="13">
        <v>352251.79834171751</v>
      </c>
      <c r="M6" s="13">
        <v>3211.0309092738999</v>
      </c>
      <c r="N6" s="10" t="s">
        <v>62</v>
      </c>
      <c r="O6" s="14">
        <v>4.42</v>
      </c>
      <c r="P6" s="10" t="s">
        <v>43</v>
      </c>
      <c r="Q6" s="14" t="s">
        <v>44</v>
      </c>
      <c r="R6" s="10" t="s">
        <v>35</v>
      </c>
      <c r="S6" s="10" t="s">
        <v>59</v>
      </c>
      <c r="T6" s="14">
        <f>IF(O6="","",(1/Metadata!$B$5)^(O6-1))</f>
        <v>2630.2679918953822</v>
      </c>
      <c r="U6" s="13">
        <f t="shared" si="0"/>
        <v>934962502.08745635</v>
      </c>
      <c r="V6" s="21" t="s">
        <v>63</v>
      </c>
      <c r="W6" s="20" t="s">
        <v>64</v>
      </c>
      <c r="X6" s="21" t="s">
        <v>63</v>
      </c>
      <c r="Y6" s="20" t="s">
        <v>64</v>
      </c>
    </row>
    <row r="7" spans="1:25" ht="18" customHeight="1">
      <c r="A7" s="10" t="s">
        <v>25</v>
      </c>
      <c r="B7" s="10" t="s">
        <v>26</v>
      </c>
      <c r="C7" s="10" t="s">
        <v>27</v>
      </c>
      <c r="D7" s="12">
        <v>2019</v>
      </c>
      <c r="E7" s="10" t="s">
        <v>65</v>
      </c>
      <c r="F7" s="10" t="s">
        <v>66</v>
      </c>
      <c r="G7" s="10" t="s">
        <v>49</v>
      </c>
      <c r="H7" s="10" t="s">
        <v>31</v>
      </c>
      <c r="I7" s="13">
        <v>230694.4589490451</v>
      </c>
      <c r="J7" s="13">
        <v>227887.1805618316</v>
      </c>
      <c r="K7" s="13">
        <v>2807.2783872135001</v>
      </c>
      <c r="L7" s="13">
        <v>204040.58285285009</v>
      </c>
      <c r="M7" s="13">
        <v>26653.876096194999</v>
      </c>
      <c r="N7" s="10" t="s">
        <v>67</v>
      </c>
      <c r="O7" s="14">
        <v>3.71</v>
      </c>
      <c r="P7" s="10" t="s">
        <v>43</v>
      </c>
      <c r="Q7" s="14" t="s">
        <v>44</v>
      </c>
      <c r="R7" s="10" t="s">
        <v>35</v>
      </c>
      <c r="S7" s="10" t="s">
        <v>65</v>
      </c>
      <c r="T7" s="14">
        <f>IF(O7="","",(1/Metadata!$B$5)^(O7-1))</f>
        <v>512.86138399136519</v>
      </c>
      <c r="U7" s="13">
        <f t="shared" si="0"/>
        <v>118314279.49574645</v>
      </c>
      <c r="V7" s="22" t="s">
        <v>45</v>
      </c>
      <c r="W7" s="20" t="s">
        <v>68</v>
      </c>
      <c r="X7" s="22" t="s">
        <v>45</v>
      </c>
      <c r="Y7" s="20" t="s">
        <v>68</v>
      </c>
    </row>
    <row r="8" spans="1:25" ht="18" customHeight="1">
      <c r="A8" s="10" t="s">
        <v>25</v>
      </c>
      <c r="B8" s="10" t="s">
        <v>26</v>
      </c>
      <c r="C8" s="10" t="s">
        <v>27</v>
      </c>
      <c r="D8" s="12">
        <v>2019</v>
      </c>
      <c r="E8" s="10" t="s">
        <v>69</v>
      </c>
      <c r="F8" s="10" t="s">
        <v>70</v>
      </c>
      <c r="G8" s="10" t="s">
        <v>71</v>
      </c>
      <c r="H8" s="10" t="s">
        <v>55</v>
      </c>
      <c r="I8" s="13">
        <v>197176.5988946415</v>
      </c>
      <c r="J8" s="13">
        <v>196148.2457708462</v>
      </c>
      <c r="K8" s="13">
        <v>1028.3531237953</v>
      </c>
      <c r="L8" s="13">
        <v>193802.4084775568</v>
      </c>
      <c r="M8" s="13">
        <v>3374.1904170847001</v>
      </c>
      <c r="N8" s="10" t="s">
        <v>72</v>
      </c>
      <c r="O8" s="14">
        <v>3.64</v>
      </c>
      <c r="P8" s="10" t="s">
        <v>43</v>
      </c>
      <c r="Q8" s="14" t="s">
        <v>44</v>
      </c>
      <c r="R8" s="10" t="s">
        <v>35</v>
      </c>
      <c r="S8" s="10" t="s">
        <v>69</v>
      </c>
      <c r="T8" s="14">
        <f>IF(O8="","",(1/Metadata!$B$5)^(O8-1))</f>
        <v>436.51583224016622</v>
      </c>
      <c r="U8" s="13">
        <f t="shared" si="0"/>
        <v>86070707.164779872</v>
      </c>
      <c r="V8" s="21" t="s">
        <v>73</v>
      </c>
      <c r="W8" s="20" t="s">
        <v>74</v>
      </c>
      <c r="X8" s="21" t="s">
        <v>73</v>
      </c>
      <c r="Y8" s="20" t="s">
        <v>74</v>
      </c>
    </row>
    <row r="9" spans="1:25" ht="18" customHeight="1">
      <c r="A9" s="10" t="s">
        <v>25</v>
      </c>
      <c r="B9" s="10" t="s">
        <v>26</v>
      </c>
      <c r="C9" s="10" t="s">
        <v>27</v>
      </c>
      <c r="D9" s="12">
        <v>2019</v>
      </c>
      <c r="E9" s="10" t="s">
        <v>75</v>
      </c>
      <c r="F9" s="10" t="s">
        <v>76</v>
      </c>
      <c r="G9" s="10" t="s">
        <v>77</v>
      </c>
      <c r="H9" s="10" t="s">
        <v>78</v>
      </c>
      <c r="I9" s="13">
        <v>167843.22632905381</v>
      </c>
      <c r="J9" s="13">
        <v>131725.06208038569</v>
      </c>
      <c r="K9" s="13">
        <v>36118.164248668101</v>
      </c>
      <c r="L9" s="13">
        <v>131725.06208038569</v>
      </c>
      <c r="M9" s="13">
        <v>36118.164248668101</v>
      </c>
      <c r="N9" s="10" t="s">
        <v>79</v>
      </c>
      <c r="O9" s="14">
        <v>2</v>
      </c>
      <c r="P9" s="10" t="s">
        <v>33</v>
      </c>
      <c r="Q9" s="14" t="s">
        <v>34</v>
      </c>
      <c r="R9" s="10" t="s">
        <v>35</v>
      </c>
      <c r="S9" s="10" t="s">
        <v>75</v>
      </c>
      <c r="T9" s="14">
        <f>IF(O9="","",(1/Metadata!$B$5)^(O9-1))</f>
        <v>10</v>
      </c>
      <c r="U9" s="13">
        <f t="shared" si="0"/>
        <v>1678432.263290538</v>
      </c>
      <c r="V9" s="21" t="s">
        <v>80</v>
      </c>
      <c r="W9" s="20" t="s">
        <v>81</v>
      </c>
      <c r="X9" s="21" t="s">
        <v>80</v>
      </c>
      <c r="Y9" s="20" t="s">
        <v>81</v>
      </c>
    </row>
    <row r="10" spans="1:25" ht="18" customHeight="1">
      <c r="A10" s="10" t="s">
        <v>25</v>
      </c>
      <c r="B10" s="10" t="s">
        <v>26</v>
      </c>
      <c r="C10" s="10" t="s">
        <v>27</v>
      </c>
      <c r="D10" s="12">
        <v>2019</v>
      </c>
      <c r="E10" s="10" t="s">
        <v>82</v>
      </c>
      <c r="F10" s="10" t="s">
        <v>83</v>
      </c>
      <c r="G10" s="10" t="s">
        <v>84</v>
      </c>
      <c r="H10" s="10" t="s">
        <v>55</v>
      </c>
      <c r="I10" s="13">
        <v>116853.51556053229</v>
      </c>
      <c r="J10" s="13">
        <v>116535.001403034</v>
      </c>
      <c r="K10" s="13">
        <v>318.51415749830011</v>
      </c>
      <c r="L10" s="13">
        <v>115758.06895328729</v>
      </c>
      <c r="M10" s="13">
        <v>1095.446607245</v>
      </c>
      <c r="N10" s="10" t="s">
        <v>85</v>
      </c>
      <c r="O10" s="14">
        <v>3.72</v>
      </c>
      <c r="P10" s="10" t="s">
        <v>33</v>
      </c>
      <c r="Q10" s="14" t="s">
        <v>34</v>
      </c>
      <c r="R10" s="10" t="s">
        <v>35</v>
      </c>
      <c r="S10" s="10" t="s">
        <v>82</v>
      </c>
      <c r="T10" s="14">
        <f>IF(O10="","",(1/Metadata!$B$5)^(O10-1))</f>
        <v>524.80746024977293</v>
      </c>
      <c r="U10" s="13">
        <f t="shared" si="0"/>
        <v>61325596.722580276</v>
      </c>
      <c r="V10" s="21" t="s">
        <v>86</v>
      </c>
      <c r="W10" s="20" t="s">
        <v>87</v>
      </c>
      <c r="X10" s="21" t="s">
        <v>86</v>
      </c>
      <c r="Y10" s="20" t="s">
        <v>87</v>
      </c>
    </row>
    <row r="11" spans="1:25" ht="18" customHeight="1">
      <c r="A11" s="10" t="s">
        <v>25</v>
      </c>
      <c r="B11" s="10" t="s">
        <v>26</v>
      </c>
      <c r="C11" s="10" t="s">
        <v>27</v>
      </c>
      <c r="D11" s="12">
        <v>2019</v>
      </c>
      <c r="E11" s="10" t="s">
        <v>88</v>
      </c>
      <c r="F11" s="10" t="s">
        <v>89</v>
      </c>
      <c r="G11" s="10" t="s">
        <v>90</v>
      </c>
      <c r="H11" s="10" t="s">
        <v>31</v>
      </c>
      <c r="I11" s="13">
        <v>114956.7721681152</v>
      </c>
      <c r="J11" s="13">
        <v>114571.52754120481</v>
      </c>
      <c r="K11" s="13">
        <v>385.24462691039997</v>
      </c>
      <c r="L11" s="13">
        <v>114350.9317589627</v>
      </c>
      <c r="M11" s="13">
        <v>605.8404091525</v>
      </c>
      <c r="N11" s="10" t="s">
        <v>91</v>
      </c>
      <c r="O11" s="14">
        <v>4.38</v>
      </c>
      <c r="P11" s="10" t="s">
        <v>43</v>
      </c>
      <c r="Q11" s="14" t="s">
        <v>44</v>
      </c>
      <c r="R11" s="10" t="s">
        <v>35</v>
      </c>
      <c r="S11" s="10" t="s">
        <v>88</v>
      </c>
      <c r="T11" s="14">
        <f>IF(O11="","",(1/Metadata!$B$5)^(O11-1))</f>
        <v>2398.8329190194918</v>
      </c>
      <c r="U11" s="13">
        <f t="shared" si="0"/>
        <v>275762089.34109849</v>
      </c>
      <c r="V11" s="21" t="s">
        <v>92</v>
      </c>
      <c r="W11" s="20" t="s">
        <v>93</v>
      </c>
      <c r="X11" s="21" t="s">
        <v>92</v>
      </c>
      <c r="Y11" s="20" t="s">
        <v>93</v>
      </c>
    </row>
    <row r="12" spans="1:25" ht="18" customHeight="1">
      <c r="A12" s="10" t="s">
        <v>25</v>
      </c>
      <c r="B12" s="10" t="s">
        <v>26</v>
      </c>
      <c r="C12" s="10" t="s">
        <v>27</v>
      </c>
      <c r="D12" s="12">
        <v>2019</v>
      </c>
      <c r="E12" s="10" t="s">
        <v>94</v>
      </c>
      <c r="F12" s="10" t="s">
        <v>95</v>
      </c>
      <c r="G12" s="10" t="s">
        <v>96</v>
      </c>
      <c r="H12" s="10" t="s">
        <v>97</v>
      </c>
      <c r="I12" s="13">
        <v>110894.41542930339</v>
      </c>
      <c r="J12" s="13">
        <v>110196.04008680041</v>
      </c>
      <c r="K12" s="13">
        <v>698.37534250299996</v>
      </c>
      <c r="L12" s="13">
        <v>109751.39687615589</v>
      </c>
      <c r="M12" s="13">
        <v>1143.0185531474999</v>
      </c>
      <c r="N12" s="10" t="s">
        <v>98</v>
      </c>
      <c r="O12" s="14">
        <v>2.54</v>
      </c>
      <c r="P12" s="10" t="s">
        <v>33</v>
      </c>
      <c r="Q12" s="14" t="s">
        <v>34</v>
      </c>
      <c r="R12" s="10" t="s">
        <v>35</v>
      </c>
      <c r="S12" s="10" t="s">
        <v>94</v>
      </c>
      <c r="T12" s="14">
        <f>IF(O12="","",(1/Metadata!$B$5)^(O12-1))</f>
        <v>34.67368504525318</v>
      </c>
      <c r="U12" s="13">
        <f t="shared" si="0"/>
        <v>3845118.0338731306</v>
      </c>
      <c r="V12" s="21" t="s">
        <v>96</v>
      </c>
      <c r="W12" s="20" t="s">
        <v>99</v>
      </c>
      <c r="X12" s="21" t="s">
        <v>96</v>
      </c>
      <c r="Y12" s="20" t="s">
        <v>99</v>
      </c>
    </row>
    <row r="13" spans="1:25" ht="18" customHeight="1">
      <c r="A13" s="10" t="s">
        <v>25</v>
      </c>
      <c r="B13" s="10" t="s">
        <v>26</v>
      </c>
      <c r="C13" s="10" t="s">
        <v>27</v>
      </c>
      <c r="D13" s="12">
        <v>2019</v>
      </c>
      <c r="E13" s="10" t="s">
        <v>100</v>
      </c>
      <c r="F13" s="10" t="s">
        <v>101</v>
      </c>
      <c r="G13" s="10" t="s">
        <v>49</v>
      </c>
      <c r="H13" s="10" t="s">
        <v>55</v>
      </c>
      <c r="I13" s="13">
        <v>108540.0639924213</v>
      </c>
      <c r="J13" s="13">
        <v>107400.5200798732</v>
      </c>
      <c r="K13" s="13">
        <v>1139.5439125481</v>
      </c>
      <c r="L13" s="13">
        <v>102099.7172197294</v>
      </c>
      <c r="M13" s="13">
        <v>6440.3467726918998</v>
      </c>
      <c r="N13" s="10" t="s">
        <v>102</v>
      </c>
      <c r="O13" s="14">
        <v>3.65</v>
      </c>
      <c r="P13" s="10" t="s">
        <v>33</v>
      </c>
      <c r="Q13" s="14" t="s">
        <v>34</v>
      </c>
      <c r="R13" s="10" t="s">
        <v>35</v>
      </c>
      <c r="S13" s="10" t="s">
        <v>100</v>
      </c>
      <c r="T13" s="14">
        <f>IF(O13="","",(1/Metadata!$B$5)^(O13-1))</f>
        <v>446.68359215096331</v>
      </c>
      <c r="U13" s="13">
        <f t="shared" si="0"/>
        <v>48483065.676430173</v>
      </c>
      <c r="V13" s="21" t="s">
        <v>57</v>
      </c>
      <c r="W13" s="20" t="s">
        <v>103</v>
      </c>
      <c r="X13" s="21" t="s">
        <v>57</v>
      </c>
      <c r="Y13" s="20" t="s">
        <v>103</v>
      </c>
    </row>
    <row r="14" spans="1:25" ht="18" customHeight="1">
      <c r="A14" s="10" t="s">
        <v>25</v>
      </c>
      <c r="B14" s="10" t="s">
        <v>26</v>
      </c>
      <c r="C14" s="10" t="s">
        <v>27</v>
      </c>
      <c r="D14" s="12">
        <v>2019</v>
      </c>
      <c r="E14" s="10" t="s">
        <v>104</v>
      </c>
      <c r="F14" s="10" t="s">
        <v>105</v>
      </c>
      <c r="G14" s="10" t="s">
        <v>96</v>
      </c>
      <c r="H14" s="10" t="s">
        <v>97</v>
      </c>
      <c r="I14" s="13">
        <v>107938.025532131</v>
      </c>
      <c r="J14" s="13">
        <v>107616.99305812579</v>
      </c>
      <c r="K14" s="13">
        <v>321.03247400520002</v>
      </c>
      <c r="L14" s="13">
        <v>107517.0932218534</v>
      </c>
      <c r="M14" s="13">
        <v>420.93231027759998</v>
      </c>
      <c r="N14" s="10" t="s">
        <v>106</v>
      </c>
      <c r="O14" s="14">
        <v>2</v>
      </c>
      <c r="P14" s="10" t="s">
        <v>33</v>
      </c>
      <c r="Q14" s="14" t="s">
        <v>34</v>
      </c>
      <c r="R14" s="10" t="s">
        <v>35</v>
      </c>
      <c r="S14" s="10" t="s">
        <v>104</v>
      </c>
      <c r="T14" s="14">
        <f>IF(O14="","",(1/Metadata!$B$5)^(O14-1))</f>
        <v>10</v>
      </c>
      <c r="U14" s="13">
        <f t="shared" si="0"/>
        <v>1079380.2553213099</v>
      </c>
      <c r="V14" s="21" t="s">
        <v>96</v>
      </c>
      <c r="W14" s="20" t="s">
        <v>107</v>
      </c>
      <c r="X14" s="21" t="s">
        <v>96</v>
      </c>
      <c r="Y14" s="20" t="s">
        <v>107</v>
      </c>
    </row>
    <row r="15" spans="1:25" ht="18" customHeight="1">
      <c r="A15" s="10" t="s">
        <v>25</v>
      </c>
      <c r="B15" s="10" t="s">
        <v>26</v>
      </c>
      <c r="C15" s="10" t="s">
        <v>27</v>
      </c>
      <c r="D15" s="12">
        <v>2019</v>
      </c>
      <c r="E15" s="10" t="s">
        <v>108</v>
      </c>
      <c r="F15" s="10" t="s">
        <v>109</v>
      </c>
      <c r="G15" s="10" t="s">
        <v>30</v>
      </c>
      <c r="H15" s="10" t="s">
        <v>55</v>
      </c>
      <c r="I15" s="13">
        <v>104287.68627548451</v>
      </c>
      <c r="J15" s="13">
        <v>103745.43927688729</v>
      </c>
      <c r="K15" s="13">
        <v>542.24699859719999</v>
      </c>
      <c r="L15" s="13">
        <v>102641.54840528429</v>
      </c>
      <c r="M15" s="13">
        <v>1646.1378702002</v>
      </c>
      <c r="N15" s="10" t="s">
        <v>110</v>
      </c>
      <c r="O15" s="14">
        <v>3.76</v>
      </c>
      <c r="P15" s="10" t="s">
        <v>33</v>
      </c>
      <c r="Q15" s="14" t="s">
        <v>34</v>
      </c>
      <c r="R15" s="10" t="s">
        <v>35</v>
      </c>
      <c r="S15" s="10" t="s">
        <v>108</v>
      </c>
      <c r="T15" s="14">
        <f>IF(O15="","",(1/Metadata!$B$5)^(O15-1))</f>
        <v>575.43993733715706</v>
      </c>
      <c r="U15" s="13">
        <f t="shared" si="0"/>
        <v>60011299.6554019</v>
      </c>
      <c r="V15" s="19" t="s">
        <v>36</v>
      </c>
      <c r="W15" s="20" t="s">
        <v>111</v>
      </c>
      <c r="X15" s="19" t="s">
        <v>36</v>
      </c>
      <c r="Y15" s="20" t="s">
        <v>111</v>
      </c>
    </row>
    <row r="16" spans="1:25" ht="18" customHeight="1">
      <c r="A16" s="10" t="s">
        <v>25</v>
      </c>
      <c r="B16" s="10" t="s">
        <v>26</v>
      </c>
      <c r="C16" s="10" t="s">
        <v>27</v>
      </c>
      <c r="D16" s="12">
        <v>2019</v>
      </c>
      <c r="E16" s="10" t="s">
        <v>112</v>
      </c>
      <c r="F16" s="10" t="s">
        <v>113</v>
      </c>
      <c r="G16" s="10" t="s">
        <v>96</v>
      </c>
      <c r="H16" s="10" t="s">
        <v>97</v>
      </c>
      <c r="I16" s="13">
        <v>102287.53606203551</v>
      </c>
      <c r="J16" s="13">
        <v>101308.39300186461</v>
      </c>
      <c r="K16" s="13">
        <v>979.14306017089996</v>
      </c>
      <c r="L16" s="13">
        <v>100111.22109361029</v>
      </c>
      <c r="M16" s="13">
        <v>2176.3149684251998</v>
      </c>
      <c r="N16" s="10" t="s">
        <v>114</v>
      </c>
      <c r="O16" s="14">
        <v>2.7</v>
      </c>
      <c r="P16" s="10" t="s">
        <v>33</v>
      </c>
      <c r="Q16" s="14" t="s">
        <v>34</v>
      </c>
      <c r="R16" s="10" t="s">
        <v>35</v>
      </c>
      <c r="S16" s="10" t="s">
        <v>112</v>
      </c>
      <c r="T16" s="14">
        <f>IF(O16="","",(1/Metadata!$B$5)^(O16-1))</f>
        <v>50.118723362727259</v>
      </c>
      <c r="U16" s="13">
        <f t="shared" si="0"/>
        <v>5126520.7233481463</v>
      </c>
      <c r="V16" s="19" t="s">
        <v>36</v>
      </c>
      <c r="W16" s="20" t="s">
        <v>115</v>
      </c>
      <c r="X16" s="19" t="s">
        <v>36</v>
      </c>
      <c r="Y16" s="20" t="s">
        <v>115</v>
      </c>
    </row>
    <row r="17" spans="1:25" ht="18" customHeight="1">
      <c r="A17" s="10" t="s">
        <v>25</v>
      </c>
      <c r="B17" s="10" t="s">
        <v>26</v>
      </c>
      <c r="C17" s="10" t="s">
        <v>27</v>
      </c>
      <c r="D17" s="12">
        <v>2019</v>
      </c>
      <c r="E17" s="10" t="s">
        <v>116</v>
      </c>
      <c r="F17" s="10" t="s">
        <v>117</v>
      </c>
      <c r="G17" s="10" t="s">
        <v>71</v>
      </c>
      <c r="H17" s="10" t="s">
        <v>55</v>
      </c>
      <c r="I17" s="13">
        <v>99753.958861045496</v>
      </c>
      <c r="J17" s="13">
        <v>99389.278055626302</v>
      </c>
      <c r="K17" s="13">
        <v>364.6808054192</v>
      </c>
      <c r="L17" s="13">
        <v>99239.363545494096</v>
      </c>
      <c r="M17" s="13">
        <v>514.59531555139995</v>
      </c>
      <c r="N17" s="10" t="s">
        <v>118</v>
      </c>
      <c r="O17" s="14">
        <v>3.41</v>
      </c>
      <c r="P17" s="10" t="s">
        <v>33</v>
      </c>
      <c r="Q17" s="14" t="s">
        <v>34</v>
      </c>
      <c r="R17" s="10" t="s">
        <v>35</v>
      </c>
      <c r="S17" s="10" t="s">
        <v>116</v>
      </c>
      <c r="T17" s="14">
        <f>IF(O17="","",(1/Metadata!$B$5)^(O17-1))</f>
        <v>257.03957827688663</v>
      </c>
      <c r="U17" s="13">
        <f t="shared" si="0"/>
        <v>25640715.517093033</v>
      </c>
      <c r="V17" s="21" t="s">
        <v>119</v>
      </c>
      <c r="W17" s="20" t="s">
        <v>120</v>
      </c>
      <c r="X17" s="21" t="s">
        <v>119</v>
      </c>
      <c r="Y17" s="20" t="s">
        <v>120</v>
      </c>
    </row>
    <row r="18" spans="1:25" ht="18" customHeight="1">
      <c r="A18" s="10" t="s">
        <v>25</v>
      </c>
      <c r="B18" s="10" t="s">
        <v>26</v>
      </c>
      <c r="C18" s="10" t="s">
        <v>27</v>
      </c>
      <c r="D18" s="12">
        <v>2019</v>
      </c>
      <c r="E18" s="10" t="s">
        <v>121</v>
      </c>
      <c r="F18" s="10" t="s">
        <v>122</v>
      </c>
      <c r="G18" s="10" t="s">
        <v>123</v>
      </c>
      <c r="H18" s="10" t="s">
        <v>97</v>
      </c>
      <c r="I18" s="13">
        <v>94979.790325489099</v>
      </c>
      <c r="J18" s="13">
        <v>94009.865900487392</v>
      </c>
      <c r="K18" s="13">
        <v>969.9244250017</v>
      </c>
      <c r="L18" s="13">
        <v>93474.952278831595</v>
      </c>
      <c r="M18" s="13">
        <v>1504.8380466574999</v>
      </c>
      <c r="N18" s="10" t="s">
        <v>124</v>
      </c>
      <c r="O18" s="14">
        <v>3.73</v>
      </c>
      <c r="P18" s="10" t="s">
        <v>33</v>
      </c>
      <c r="Q18" s="14" t="s">
        <v>34</v>
      </c>
      <c r="R18" s="10" t="s">
        <v>35</v>
      </c>
      <c r="S18" s="10" t="s">
        <v>121</v>
      </c>
      <c r="T18" s="14">
        <f>IF(O18="","",(1/Metadata!$B$5)^(O18-1))</f>
        <v>537.03179637025301</v>
      </c>
      <c r="U18" s="13">
        <f t="shared" si="0"/>
        <v>51007167.417367391</v>
      </c>
      <c r="V18" s="21" t="s">
        <v>125</v>
      </c>
      <c r="W18" s="20" t="s">
        <v>126</v>
      </c>
      <c r="X18" s="21" t="s">
        <v>125</v>
      </c>
      <c r="Y18" s="20" t="s">
        <v>126</v>
      </c>
    </row>
    <row r="19" spans="1:25" ht="18" customHeight="1">
      <c r="A19" s="10" t="s">
        <v>25</v>
      </c>
      <c r="B19" s="10" t="s">
        <v>26</v>
      </c>
      <c r="C19" s="10" t="s">
        <v>27</v>
      </c>
      <c r="D19" s="12">
        <v>2019</v>
      </c>
      <c r="E19" s="10" t="s">
        <v>127</v>
      </c>
      <c r="F19" s="10" t="s">
        <v>128</v>
      </c>
      <c r="G19" s="10" t="s">
        <v>30</v>
      </c>
      <c r="H19" s="10" t="s">
        <v>55</v>
      </c>
      <c r="I19" s="13">
        <v>94545.858468138802</v>
      </c>
      <c r="J19" s="13">
        <v>94329.667323079702</v>
      </c>
      <c r="K19" s="13">
        <v>216.19114505909999</v>
      </c>
      <c r="L19" s="13">
        <v>94057.633511655309</v>
      </c>
      <c r="M19" s="13">
        <v>488.22495648350002</v>
      </c>
      <c r="N19" s="10" t="s">
        <v>129</v>
      </c>
      <c r="O19" s="14">
        <v>2.5</v>
      </c>
      <c r="P19" s="10" t="s">
        <v>33</v>
      </c>
      <c r="Q19" s="14" t="s">
        <v>34</v>
      </c>
      <c r="R19" s="10" t="s">
        <v>35</v>
      </c>
      <c r="S19" s="10" t="s">
        <v>127</v>
      </c>
      <c r="T19" s="14">
        <f>IF(O19="","",(1/Metadata!$B$5)^(O19-1))</f>
        <v>31.622776601683803</v>
      </c>
      <c r="U19" s="13">
        <f t="shared" si="0"/>
        <v>2989802.5609523682</v>
      </c>
      <c r="V19" s="22" t="s">
        <v>130</v>
      </c>
      <c r="W19" s="20" t="s">
        <v>131</v>
      </c>
      <c r="X19" s="22" t="s">
        <v>130</v>
      </c>
      <c r="Y19" s="20" t="s">
        <v>131</v>
      </c>
    </row>
    <row r="20" spans="1:25" ht="18" customHeight="1">
      <c r="A20" s="10" t="s">
        <v>25</v>
      </c>
      <c r="B20" s="10" t="s">
        <v>26</v>
      </c>
      <c r="C20" s="10" t="s">
        <v>27</v>
      </c>
      <c r="D20" s="12">
        <v>2019</v>
      </c>
      <c r="E20" s="10" t="s">
        <v>132</v>
      </c>
      <c r="F20" s="10" t="s">
        <v>133</v>
      </c>
      <c r="G20" s="10" t="s">
        <v>71</v>
      </c>
      <c r="H20" s="10" t="s">
        <v>55</v>
      </c>
      <c r="I20" s="13">
        <v>81103.185247309695</v>
      </c>
      <c r="J20" s="13">
        <v>80625.208199122499</v>
      </c>
      <c r="K20" s="13">
        <v>477.97704818720001</v>
      </c>
      <c r="L20" s="13">
        <v>80283.072393743802</v>
      </c>
      <c r="M20" s="13">
        <v>820.11285356589997</v>
      </c>
      <c r="N20" s="10" t="s">
        <v>134</v>
      </c>
      <c r="O20" s="14">
        <v>3.47</v>
      </c>
      <c r="P20" s="10" t="s">
        <v>43</v>
      </c>
      <c r="Q20" s="14" t="s">
        <v>44</v>
      </c>
      <c r="R20" s="10" t="s">
        <v>35</v>
      </c>
      <c r="S20" s="10" t="s">
        <v>132</v>
      </c>
      <c r="T20" s="14">
        <f>IF(O20="","",(1/Metadata!$B$5)^(O20-1))</f>
        <v>295.12092266663893</v>
      </c>
      <c r="U20" s="13">
        <f t="shared" si="0"/>
        <v>23935246.861389376</v>
      </c>
      <c r="V20" s="22" t="s">
        <v>92</v>
      </c>
      <c r="W20" s="20" t="s">
        <v>135</v>
      </c>
      <c r="X20" s="22" t="s">
        <v>92</v>
      </c>
      <c r="Y20" s="20" t="s">
        <v>135</v>
      </c>
    </row>
    <row r="21" spans="1:25" ht="18" customHeight="1">
      <c r="A21" s="10" t="s">
        <v>25</v>
      </c>
      <c r="B21" s="10" t="s">
        <v>26</v>
      </c>
      <c r="C21" s="10" t="s">
        <v>27</v>
      </c>
      <c r="D21" s="12">
        <v>2019</v>
      </c>
      <c r="E21" s="10" t="s">
        <v>136</v>
      </c>
      <c r="F21" s="10" t="s">
        <v>137</v>
      </c>
      <c r="G21" s="10" t="s">
        <v>96</v>
      </c>
      <c r="H21" s="10" t="s">
        <v>97</v>
      </c>
      <c r="I21" s="13">
        <v>79332.337103182203</v>
      </c>
      <c r="J21" s="13">
        <v>78499.472814744498</v>
      </c>
      <c r="K21" s="13">
        <v>832.8642884377</v>
      </c>
      <c r="L21" s="13">
        <v>78325.962953280003</v>
      </c>
      <c r="M21" s="13">
        <v>1006.3741499022</v>
      </c>
      <c r="N21" s="10" t="s">
        <v>138</v>
      </c>
      <c r="O21" s="14">
        <v>2.7</v>
      </c>
      <c r="P21" s="10" t="s">
        <v>33</v>
      </c>
      <c r="Q21" s="14" t="s">
        <v>34</v>
      </c>
      <c r="R21" s="10" t="s">
        <v>35</v>
      </c>
      <c r="S21" s="10" t="s">
        <v>136</v>
      </c>
      <c r="T21" s="14">
        <f>IF(O21="","",(1/Metadata!$B$5)^(O21-1))</f>
        <v>50.118723362727259</v>
      </c>
      <c r="U21" s="13">
        <f t="shared" si="0"/>
        <v>3976035.4569930122</v>
      </c>
      <c r="V21" s="21" t="s">
        <v>96</v>
      </c>
      <c r="W21" s="20" t="s">
        <v>139</v>
      </c>
      <c r="X21" s="21" t="s">
        <v>96</v>
      </c>
      <c r="Y21" s="20" t="s">
        <v>139</v>
      </c>
    </row>
    <row r="22" spans="1:25" ht="18" customHeight="1">
      <c r="A22" s="10" t="s">
        <v>25</v>
      </c>
      <c r="B22" s="10" t="s">
        <v>26</v>
      </c>
      <c r="C22" s="10" t="s">
        <v>27</v>
      </c>
      <c r="D22" s="12">
        <v>2019</v>
      </c>
      <c r="E22" s="10" t="s">
        <v>140</v>
      </c>
      <c r="F22" s="10" t="s">
        <v>141</v>
      </c>
      <c r="G22" s="10" t="s">
        <v>142</v>
      </c>
      <c r="H22" s="10" t="s">
        <v>55</v>
      </c>
      <c r="I22" s="13">
        <v>77656.610030845201</v>
      </c>
      <c r="J22" s="13">
        <v>77411.443508154101</v>
      </c>
      <c r="K22" s="13">
        <v>245.1665226911</v>
      </c>
      <c r="L22" s="13">
        <v>76986.611186816895</v>
      </c>
      <c r="M22" s="13">
        <v>669.99884402830003</v>
      </c>
      <c r="N22" s="10" t="s">
        <v>143</v>
      </c>
      <c r="O22" s="14">
        <v>4.3499999999999996</v>
      </c>
      <c r="P22" s="10" t="s">
        <v>33</v>
      </c>
      <c r="Q22" s="14" t="s">
        <v>34</v>
      </c>
      <c r="R22" s="10" t="s">
        <v>35</v>
      </c>
      <c r="S22" s="10" t="s">
        <v>140</v>
      </c>
      <c r="T22" s="14">
        <f>IF(O22="","",(1/Metadata!$B$5)^(O22-1))</f>
        <v>2238.7211385683395</v>
      </c>
      <c r="U22" s="13">
        <f t="shared" si="0"/>
        <v>173851494.42561129</v>
      </c>
      <c r="V22" s="21" t="s">
        <v>92</v>
      </c>
      <c r="W22" s="20" t="s">
        <v>144</v>
      </c>
      <c r="X22" s="21" t="s">
        <v>92</v>
      </c>
      <c r="Y22" s="20" t="s">
        <v>144</v>
      </c>
    </row>
    <row r="23" spans="1:25" ht="18" customHeight="1">
      <c r="A23" s="10" t="s">
        <v>25</v>
      </c>
      <c r="B23" s="10" t="s">
        <v>26</v>
      </c>
      <c r="C23" s="10" t="s">
        <v>27</v>
      </c>
      <c r="D23" s="12">
        <v>2019</v>
      </c>
      <c r="E23" s="10" t="s">
        <v>145</v>
      </c>
      <c r="F23" s="10" t="s">
        <v>146</v>
      </c>
      <c r="G23" s="10" t="s">
        <v>96</v>
      </c>
      <c r="H23" s="10" t="s">
        <v>97</v>
      </c>
      <c r="I23" s="13">
        <v>75778.096547401394</v>
      </c>
      <c r="J23" s="13">
        <v>75634.530329259695</v>
      </c>
      <c r="K23" s="13">
        <v>143.56621814170001</v>
      </c>
      <c r="L23" s="13">
        <v>75535.845628410607</v>
      </c>
      <c r="M23" s="13">
        <v>242.25091899079999</v>
      </c>
      <c r="N23" s="10" t="s">
        <v>147</v>
      </c>
      <c r="O23" s="14">
        <v>3.5</v>
      </c>
      <c r="P23" s="10" t="s">
        <v>33</v>
      </c>
      <c r="Q23" s="14" t="s">
        <v>34</v>
      </c>
      <c r="R23" s="10" t="s">
        <v>35</v>
      </c>
      <c r="S23" s="10" t="s">
        <v>145</v>
      </c>
      <c r="T23" s="14">
        <f>IF(O23="","",(1/Metadata!$B$5)^(O23-1))</f>
        <v>316.22776601683825</v>
      </c>
      <c r="U23" s="13">
        <f t="shared" si="0"/>
        <v>23963138.184193026</v>
      </c>
      <c r="V23" s="22" t="s">
        <v>96</v>
      </c>
      <c r="W23" s="20" t="s">
        <v>148</v>
      </c>
      <c r="X23" s="22" t="s">
        <v>96</v>
      </c>
      <c r="Y23" s="20" t="s">
        <v>148</v>
      </c>
    </row>
    <row r="24" spans="1:25" ht="18" customHeight="1">
      <c r="A24" s="10" t="s">
        <v>25</v>
      </c>
      <c r="B24" s="10" t="s">
        <v>26</v>
      </c>
      <c r="C24" s="10" t="s">
        <v>27</v>
      </c>
      <c r="D24" s="12">
        <v>2019</v>
      </c>
      <c r="E24" s="10" t="s">
        <v>149</v>
      </c>
      <c r="F24" s="10" t="s">
        <v>150</v>
      </c>
      <c r="G24" s="10" t="s">
        <v>151</v>
      </c>
      <c r="H24" s="10" t="s">
        <v>31</v>
      </c>
      <c r="I24" s="13">
        <v>66237.303210740894</v>
      </c>
      <c r="J24" s="13">
        <v>65868.220571525497</v>
      </c>
      <c r="K24" s="13">
        <v>369.08263921539998</v>
      </c>
      <c r="L24" s="13">
        <v>65367.446318074901</v>
      </c>
      <c r="M24" s="13">
        <v>869.85689266600002</v>
      </c>
      <c r="N24" s="10" t="s">
        <v>152</v>
      </c>
      <c r="O24" s="14">
        <v>4.13</v>
      </c>
      <c r="P24" s="10" t="s">
        <v>33</v>
      </c>
      <c r="Q24" s="14" t="s">
        <v>34</v>
      </c>
      <c r="R24" s="10" t="s">
        <v>35</v>
      </c>
      <c r="S24" s="10" t="s">
        <v>149</v>
      </c>
      <c r="T24" s="14">
        <f>IF(O24="","",(1/Metadata!$B$5)^(O24-1))</f>
        <v>1348.9628825916541</v>
      </c>
      <c r="U24" s="13">
        <f t="shared" si="0"/>
        <v>89351663.474258468</v>
      </c>
      <c r="V24" s="21" t="s">
        <v>151</v>
      </c>
      <c r="W24" s="20" t="s">
        <v>153</v>
      </c>
      <c r="X24" s="21" t="s">
        <v>151</v>
      </c>
      <c r="Y24" s="20" t="s">
        <v>153</v>
      </c>
    </row>
    <row r="25" spans="1:25" ht="18" customHeight="1">
      <c r="A25" s="10" t="s">
        <v>25</v>
      </c>
      <c r="B25" s="10" t="s">
        <v>26</v>
      </c>
      <c r="C25" s="10" t="s">
        <v>27</v>
      </c>
      <c r="D25" s="12">
        <v>2019</v>
      </c>
      <c r="E25" s="10" t="s">
        <v>154</v>
      </c>
      <c r="F25" s="10" t="s">
        <v>155</v>
      </c>
      <c r="G25" s="10" t="s">
        <v>156</v>
      </c>
      <c r="H25" s="10" t="s">
        <v>31</v>
      </c>
      <c r="I25" s="13">
        <v>64205.573340650997</v>
      </c>
      <c r="J25" s="13">
        <v>64150.716207269601</v>
      </c>
      <c r="K25" s="13">
        <v>54.857133381399997</v>
      </c>
      <c r="L25" s="13">
        <v>64150.716207269601</v>
      </c>
      <c r="M25" s="13">
        <v>54.857133381399997</v>
      </c>
      <c r="N25" s="10" t="s">
        <v>157</v>
      </c>
      <c r="O25" s="14">
        <v>3.46</v>
      </c>
      <c r="P25" s="10" t="s">
        <v>33</v>
      </c>
      <c r="Q25" s="14" t="s">
        <v>34</v>
      </c>
      <c r="R25" s="10" t="s">
        <v>35</v>
      </c>
      <c r="S25" s="10" t="s">
        <v>154</v>
      </c>
      <c r="T25" s="14">
        <f>IF(O25="","",(1/Metadata!$B$5)^(O25-1))</f>
        <v>288.40315031266073</v>
      </c>
      <c r="U25" s="13">
        <f t="shared" si="0"/>
        <v>18517089.619074333</v>
      </c>
      <c r="V25" s="21" t="s">
        <v>158</v>
      </c>
      <c r="W25" s="20" t="s">
        <v>159</v>
      </c>
      <c r="X25" s="21" t="s">
        <v>158</v>
      </c>
      <c r="Y25" s="20" t="s">
        <v>159</v>
      </c>
    </row>
    <row r="26" spans="1:25" ht="18" customHeight="1">
      <c r="A26" s="10" t="s">
        <v>25</v>
      </c>
      <c r="B26" s="10" t="s">
        <v>26</v>
      </c>
      <c r="C26" s="10" t="s">
        <v>27</v>
      </c>
      <c r="D26" s="12">
        <v>2019</v>
      </c>
      <c r="E26" s="10" t="s">
        <v>160</v>
      </c>
      <c r="F26" s="10" t="s">
        <v>161</v>
      </c>
      <c r="G26" s="10" t="s">
        <v>156</v>
      </c>
      <c r="H26" s="10" t="s">
        <v>31</v>
      </c>
      <c r="I26" s="13">
        <v>56849.6706913366</v>
      </c>
      <c r="J26" s="13">
        <v>56849.6706913366</v>
      </c>
      <c r="K26" s="13">
        <v>0</v>
      </c>
      <c r="L26" s="13">
        <v>55936.874654539497</v>
      </c>
      <c r="M26" s="13">
        <v>912.79603679709999</v>
      </c>
      <c r="N26" s="10" t="s">
        <v>162</v>
      </c>
      <c r="O26" s="14">
        <v>3.01</v>
      </c>
      <c r="P26" s="10" t="s">
        <v>33</v>
      </c>
      <c r="Q26" s="14" t="s">
        <v>34</v>
      </c>
      <c r="R26" s="10" t="s">
        <v>35</v>
      </c>
      <c r="S26" s="10" t="s">
        <v>160</v>
      </c>
      <c r="T26" s="14">
        <f>IF(O26="","",(1/Metadata!$B$5)^(O26-1))</f>
        <v>102.32929922807544</v>
      </c>
      <c r="U26" s="13">
        <f t="shared" si="0"/>
        <v>5817386.9631913332</v>
      </c>
      <c r="V26" s="21" t="s">
        <v>158</v>
      </c>
      <c r="W26" s="20" t="s">
        <v>159</v>
      </c>
      <c r="X26" s="21" t="s">
        <v>158</v>
      </c>
      <c r="Y26" s="20" t="s">
        <v>159</v>
      </c>
    </row>
    <row r="27" spans="1:25" ht="18" customHeight="1">
      <c r="A27" s="10" t="s">
        <v>25</v>
      </c>
      <c r="B27" s="10" t="s">
        <v>26</v>
      </c>
      <c r="C27" s="10" t="s">
        <v>27</v>
      </c>
      <c r="D27" s="12">
        <v>2019</v>
      </c>
      <c r="E27" s="10" t="s">
        <v>163</v>
      </c>
      <c r="F27" s="10" t="s">
        <v>164</v>
      </c>
      <c r="G27" s="10" t="s">
        <v>61</v>
      </c>
      <c r="H27" s="10" t="s">
        <v>55</v>
      </c>
      <c r="I27" s="13">
        <v>56096.325796098499</v>
      </c>
      <c r="J27" s="13">
        <v>55007.261246538503</v>
      </c>
      <c r="K27" s="13">
        <v>1089.0645495599999</v>
      </c>
      <c r="L27" s="13">
        <v>53609.443705724101</v>
      </c>
      <c r="M27" s="13">
        <v>2486.8820903743999</v>
      </c>
      <c r="N27" s="10" t="s">
        <v>165</v>
      </c>
      <c r="O27" s="14">
        <v>4.3899999999999997</v>
      </c>
      <c r="P27" s="10" t="s">
        <v>33</v>
      </c>
      <c r="Q27" s="14" t="s">
        <v>34</v>
      </c>
      <c r="R27" s="10" t="s">
        <v>35</v>
      </c>
      <c r="S27" s="10" t="s">
        <v>163</v>
      </c>
      <c r="T27" s="14">
        <f>IF(O27="","",(1/Metadata!$B$5)^(O27-1))</f>
        <v>2454.7089156850293</v>
      </c>
      <c r="U27" s="13">
        <f t="shared" si="0"/>
        <v>137700151.06885508</v>
      </c>
      <c r="V27" s="22" t="s">
        <v>92</v>
      </c>
      <c r="W27" s="20" t="s">
        <v>166</v>
      </c>
      <c r="X27" s="22" t="s">
        <v>92</v>
      </c>
      <c r="Y27" s="20" t="s">
        <v>166</v>
      </c>
    </row>
    <row r="28" spans="1:25" ht="18" customHeight="1">
      <c r="A28" s="10" t="s">
        <v>25</v>
      </c>
      <c r="B28" s="10" t="s">
        <v>26</v>
      </c>
      <c r="C28" s="10" t="s">
        <v>27</v>
      </c>
      <c r="D28" s="12">
        <v>2019</v>
      </c>
      <c r="E28" s="10" t="s">
        <v>167</v>
      </c>
      <c r="F28" s="10" t="s">
        <v>168</v>
      </c>
      <c r="G28" s="10" t="s">
        <v>71</v>
      </c>
      <c r="H28" s="10" t="s">
        <v>31</v>
      </c>
      <c r="I28" s="13">
        <v>52888.200828748202</v>
      </c>
      <c r="J28" s="13">
        <v>52888.200828748202</v>
      </c>
      <c r="K28" s="13">
        <v>0</v>
      </c>
      <c r="L28" s="13">
        <v>1977.7773766813</v>
      </c>
      <c r="M28" s="13">
        <v>50910.423452066898</v>
      </c>
      <c r="N28" s="10" t="s">
        <v>169</v>
      </c>
      <c r="O28" s="14">
        <v>4.2</v>
      </c>
      <c r="P28" s="10" t="s">
        <v>43</v>
      </c>
      <c r="Q28" s="14" t="s">
        <v>44</v>
      </c>
      <c r="R28" s="10" t="s">
        <v>35</v>
      </c>
      <c r="S28" s="10" t="s">
        <v>167</v>
      </c>
      <c r="T28" s="14">
        <f>IF(O28="","",(1/Metadata!$B$5)^(O28-1))</f>
        <v>1584.8931924611156</v>
      </c>
      <c r="U28" s="13">
        <f t="shared" si="0"/>
        <v>83822149.454999357</v>
      </c>
      <c r="V28" s="21" t="s">
        <v>170</v>
      </c>
      <c r="W28" s="20" t="s">
        <v>171</v>
      </c>
      <c r="X28" s="21" t="s">
        <v>170</v>
      </c>
      <c r="Y28" s="20" t="s">
        <v>171</v>
      </c>
    </row>
    <row r="29" spans="1:25" ht="18" customHeight="1">
      <c r="A29" s="10" t="s">
        <v>25</v>
      </c>
      <c r="B29" s="10" t="s">
        <v>26</v>
      </c>
      <c r="C29" s="10" t="s">
        <v>27</v>
      </c>
      <c r="D29" s="12">
        <v>2019</v>
      </c>
      <c r="E29" s="10" t="s">
        <v>172</v>
      </c>
      <c r="F29" s="10" t="s">
        <v>173</v>
      </c>
      <c r="G29" s="10" t="s">
        <v>142</v>
      </c>
      <c r="H29" s="10" t="s">
        <v>55</v>
      </c>
      <c r="I29" s="13">
        <v>50589.8213596274</v>
      </c>
      <c r="J29" s="13">
        <v>50259.066788717202</v>
      </c>
      <c r="K29" s="13">
        <v>330.75457091020002</v>
      </c>
      <c r="L29" s="13">
        <v>50259.066788717202</v>
      </c>
      <c r="M29" s="13">
        <v>330.75457091020002</v>
      </c>
      <c r="N29" s="10" t="s">
        <v>174</v>
      </c>
      <c r="O29" s="14">
        <v>4.5</v>
      </c>
      <c r="P29" s="10" t="s">
        <v>43</v>
      </c>
      <c r="Q29" s="14" t="s">
        <v>44</v>
      </c>
      <c r="R29" s="10" t="s">
        <v>35</v>
      </c>
      <c r="S29" s="10" t="s">
        <v>172</v>
      </c>
      <c r="T29" s="14">
        <f>IF(O29="","",(1/Metadata!$B$5)^(O29-1))</f>
        <v>3162.2776601683804</v>
      </c>
      <c r="U29" s="13">
        <f t="shared" si="0"/>
        <v>159979061.91745889</v>
      </c>
      <c r="V29" s="21" t="s">
        <v>92</v>
      </c>
      <c r="W29" s="20" t="s">
        <v>144</v>
      </c>
      <c r="X29" s="21" t="s">
        <v>92</v>
      </c>
      <c r="Y29" s="20" t="s">
        <v>144</v>
      </c>
    </row>
    <row r="30" spans="1:25" ht="18" customHeight="1">
      <c r="A30" s="10" t="s">
        <v>25</v>
      </c>
      <c r="B30" s="10" t="s">
        <v>26</v>
      </c>
      <c r="C30" s="10" t="s">
        <v>27</v>
      </c>
      <c r="D30" s="12">
        <v>2019</v>
      </c>
      <c r="E30" s="10" t="s">
        <v>175</v>
      </c>
      <c r="F30" s="10" t="s">
        <v>176</v>
      </c>
      <c r="G30" s="10" t="s">
        <v>151</v>
      </c>
      <c r="H30" s="10" t="s">
        <v>31</v>
      </c>
      <c r="I30" s="13">
        <v>49141.938479972399</v>
      </c>
      <c r="J30" s="13">
        <v>48861.115848602902</v>
      </c>
      <c r="K30" s="13">
        <v>280.82263136950002</v>
      </c>
      <c r="L30" s="13">
        <v>48785.0938642287</v>
      </c>
      <c r="M30" s="13">
        <v>356.84461574369999</v>
      </c>
      <c r="N30" s="10" t="s">
        <v>177</v>
      </c>
      <c r="O30" s="14">
        <v>3.7</v>
      </c>
      <c r="P30" s="10" t="s">
        <v>33</v>
      </c>
      <c r="Q30" s="14" t="s">
        <v>34</v>
      </c>
      <c r="R30" s="10" t="s">
        <v>35</v>
      </c>
      <c r="S30" s="10" t="s">
        <v>175</v>
      </c>
      <c r="T30" s="14">
        <f>IF(O30="","",(1/Metadata!$B$5)^(O30-1))</f>
        <v>501.18723362727269</v>
      </c>
      <c r="U30" s="13">
        <f t="shared" si="0"/>
        <v>24629312.20185899</v>
      </c>
      <c r="V30" s="21" t="s">
        <v>151</v>
      </c>
      <c r="W30" s="20" t="s">
        <v>153</v>
      </c>
      <c r="X30" s="21" t="s">
        <v>151</v>
      </c>
      <c r="Y30" s="20" t="s">
        <v>153</v>
      </c>
    </row>
    <row r="31" spans="1:25" ht="18" customHeight="1">
      <c r="A31" s="10" t="s">
        <v>25</v>
      </c>
      <c r="B31" s="10" t="s">
        <v>26</v>
      </c>
      <c r="C31" s="10" t="s">
        <v>27</v>
      </c>
      <c r="D31" s="12">
        <v>2019</v>
      </c>
      <c r="E31" s="10" t="s">
        <v>178</v>
      </c>
      <c r="F31" s="10" t="s">
        <v>179</v>
      </c>
      <c r="G31" s="10" t="s">
        <v>123</v>
      </c>
      <c r="H31" s="10" t="s">
        <v>97</v>
      </c>
      <c r="I31" s="13">
        <v>48910.066727256402</v>
      </c>
      <c r="J31" s="13">
        <v>47646.437540525003</v>
      </c>
      <c r="K31" s="13">
        <v>1263.6291867314001</v>
      </c>
      <c r="L31" s="13">
        <v>47495.964124922597</v>
      </c>
      <c r="M31" s="13">
        <v>1414.1026023338</v>
      </c>
      <c r="N31" s="10" t="s">
        <v>180</v>
      </c>
      <c r="O31" s="14">
        <v>3.43</v>
      </c>
      <c r="P31" s="10" t="s">
        <v>33</v>
      </c>
      <c r="Q31" s="14" t="s">
        <v>34</v>
      </c>
      <c r="R31" s="10" t="s">
        <v>35</v>
      </c>
      <c r="S31" s="10" t="s">
        <v>178</v>
      </c>
      <c r="T31" s="14">
        <f>IF(O31="","",(1/Metadata!$B$5)^(O31-1))</f>
        <v>269.15348039269179</v>
      </c>
      <c r="U31" s="13">
        <f t="shared" si="0"/>
        <v>13164314.685879853</v>
      </c>
      <c r="V31" s="19" t="s">
        <v>36</v>
      </c>
      <c r="W31" s="20" t="s">
        <v>181</v>
      </c>
      <c r="X31" s="19" t="s">
        <v>36</v>
      </c>
      <c r="Y31" s="20" t="s">
        <v>181</v>
      </c>
    </row>
    <row r="32" spans="1:25" ht="18" customHeight="1">
      <c r="A32" s="10" t="s">
        <v>25</v>
      </c>
      <c r="B32" s="10" t="s">
        <v>26</v>
      </c>
      <c r="C32" s="10" t="s">
        <v>27</v>
      </c>
      <c r="D32" s="12">
        <v>2019</v>
      </c>
      <c r="E32" s="10" t="s">
        <v>182</v>
      </c>
      <c r="F32" s="10" t="s">
        <v>183</v>
      </c>
      <c r="G32" s="10" t="s">
        <v>151</v>
      </c>
      <c r="H32" s="10" t="s">
        <v>31</v>
      </c>
      <c r="I32" s="13">
        <v>45834.891667501797</v>
      </c>
      <c r="J32" s="13">
        <v>43646.338853794201</v>
      </c>
      <c r="K32" s="13">
        <v>2188.5528137075999</v>
      </c>
      <c r="L32" s="13">
        <v>43320.595081192798</v>
      </c>
      <c r="M32" s="13">
        <v>2514.2965863089998</v>
      </c>
      <c r="N32" s="10" t="s">
        <v>184</v>
      </c>
      <c r="O32" s="14">
        <v>3.58</v>
      </c>
      <c r="P32" s="10" t="s">
        <v>33</v>
      </c>
      <c r="Q32" s="14" t="s">
        <v>34</v>
      </c>
      <c r="R32" s="10" t="s">
        <v>35</v>
      </c>
      <c r="S32" s="10" t="s">
        <v>182</v>
      </c>
      <c r="T32" s="14">
        <f>IF(O32="","",(1/Metadata!$B$5)^(O32-1))</f>
        <v>380.18939632056163</v>
      </c>
      <c r="U32" s="13">
        <f t="shared" si="0"/>
        <v>17425939.79348585</v>
      </c>
      <c r="V32" s="21" t="s">
        <v>151</v>
      </c>
      <c r="W32" s="20" t="s">
        <v>153</v>
      </c>
      <c r="X32" s="21" t="s">
        <v>151</v>
      </c>
      <c r="Y32" s="20" t="s">
        <v>153</v>
      </c>
    </row>
    <row r="33" spans="1:25" ht="18" customHeight="1">
      <c r="A33" s="10" t="s">
        <v>25</v>
      </c>
      <c r="B33" s="10" t="s">
        <v>26</v>
      </c>
      <c r="C33" s="10" t="s">
        <v>27</v>
      </c>
      <c r="D33" s="12">
        <v>2019</v>
      </c>
      <c r="E33" s="10" t="s">
        <v>185</v>
      </c>
      <c r="F33" s="10" t="s">
        <v>186</v>
      </c>
      <c r="G33" s="10" t="s">
        <v>151</v>
      </c>
      <c r="H33" s="10" t="s">
        <v>31</v>
      </c>
      <c r="I33" s="13">
        <v>44135.1138345945</v>
      </c>
      <c r="J33" s="13">
        <v>43508.721266144297</v>
      </c>
      <c r="K33" s="13">
        <v>626.39256845019997</v>
      </c>
      <c r="L33" s="13">
        <v>43417.809261914197</v>
      </c>
      <c r="M33" s="13">
        <v>717.3045726803</v>
      </c>
      <c r="N33" s="10" t="s">
        <v>187</v>
      </c>
      <c r="O33" s="14">
        <v>4.28</v>
      </c>
      <c r="P33" s="10" t="s">
        <v>43</v>
      </c>
      <c r="Q33" s="14" t="s">
        <v>44</v>
      </c>
      <c r="R33" s="10" t="s">
        <v>35</v>
      </c>
      <c r="S33" s="10" t="s">
        <v>185</v>
      </c>
      <c r="T33" s="14">
        <f>IF(O33="","",(1/Metadata!$B$5)^(O33-1))</f>
        <v>1905.4607179632501</v>
      </c>
      <c r="U33" s="13">
        <f t="shared" si="0"/>
        <v>84097725.694656208</v>
      </c>
      <c r="V33" s="21" t="s">
        <v>151</v>
      </c>
      <c r="W33" s="20" t="s">
        <v>153</v>
      </c>
      <c r="X33" s="21" t="s">
        <v>151</v>
      </c>
      <c r="Y33" s="20" t="s">
        <v>153</v>
      </c>
    </row>
    <row r="34" spans="1:25" ht="18" customHeight="1">
      <c r="A34" s="10" t="s">
        <v>25</v>
      </c>
      <c r="B34" s="10" t="s">
        <v>26</v>
      </c>
      <c r="C34" s="10" t="s">
        <v>27</v>
      </c>
      <c r="D34" s="12">
        <v>2019</v>
      </c>
      <c r="E34" s="10" t="s">
        <v>188</v>
      </c>
      <c r="F34" s="10" t="s">
        <v>189</v>
      </c>
      <c r="G34" s="10" t="s">
        <v>40</v>
      </c>
      <c r="H34" s="10" t="s">
        <v>50</v>
      </c>
      <c r="I34" s="13">
        <v>44130.817762989303</v>
      </c>
      <c r="J34" s="13">
        <v>43662.867134253698</v>
      </c>
      <c r="K34" s="13">
        <v>467.95062873559999</v>
      </c>
      <c r="L34" s="13">
        <v>43662.867134253698</v>
      </c>
      <c r="M34" s="13">
        <v>467.95062873559999</v>
      </c>
      <c r="N34" s="10" t="s">
        <v>190</v>
      </c>
      <c r="O34" s="14">
        <v>3.4</v>
      </c>
      <c r="P34" s="10" t="s">
        <v>33</v>
      </c>
      <c r="Q34" s="14" t="s">
        <v>34</v>
      </c>
      <c r="R34" s="10" t="s">
        <v>35</v>
      </c>
      <c r="S34" s="10" t="s">
        <v>188</v>
      </c>
      <c r="T34" s="14">
        <f>IF(O34="","",(1/Metadata!$B$5)^(O34-1))</f>
        <v>251.18864315095806</v>
      </c>
      <c r="U34" s="13">
        <f t="shared" si="0"/>
        <v>11085160.235027481</v>
      </c>
      <c r="V34" s="22" t="s">
        <v>45</v>
      </c>
      <c r="W34" s="20" t="s">
        <v>191</v>
      </c>
      <c r="X34" s="22" t="s">
        <v>45</v>
      </c>
      <c r="Y34" s="20" t="s">
        <v>191</v>
      </c>
    </row>
    <row r="35" spans="1:25" ht="18" customHeight="1">
      <c r="A35" s="10" t="s">
        <v>25</v>
      </c>
      <c r="B35" s="10" t="s">
        <v>26</v>
      </c>
      <c r="C35" s="10" t="s">
        <v>27</v>
      </c>
      <c r="D35" s="12">
        <v>2019</v>
      </c>
      <c r="E35" s="10" t="s">
        <v>192</v>
      </c>
      <c r="F35" s="10" t="s">
        <v>193</v>
      </c>
      <c r="G35" s="10" t="s">
        <v>194</v>
      </c>
      <c r="H35" s="10" t="s">
        <v>31</v>
      </c>
      <c r="I35" s="13">
        <v>43439.963984110698</v>
      </c>
      <c r="J35" s="13">
        <v>43227.688222775301</v>
      </c>
      <c r="K35" s="13">
        <v>212.27576133540001</v>
      </c>
      <c r="L35" s="13">
        <v>43138.909144285397</v>
      </c>
      <c r="M35" s="13">
        <v>301.05483982530001</v>
      </c>
      <c r="N35" s="10" t="s">
        <v>195</v>
      </c>
      <c r="O35" s="14">
        <v>3</v>
      </c>
      <c r="P35" s="10" t="s">
        <v>33</v>
      </c>
      <c r="Q35" s="14" t="s">
        <v>34</v>
      </c>
      <c r="R35" s="10" t="s">
        <v>35</v>
      </c>
      <c r="S35" s="10" t="s">
        <v>192</v>
      </c>
      <c r="T35" s="14">
        <f>IF(O35="","",(1/Metadata!$B$5)^(O35-1))</f>
        <v>100</v>
      </c>
      <c r="U35" s="13">
        <f t="shared" si="0"/>
        <v>4343996.39841107</v>
      </c>
      <c r="V35" s="19" t="s">
        <v>36</v>
      </c>
      <c r="W35" s="20" t="s">
        <v>196</v>
      </c>
      <c r="X35" s="19" t="s">
        <v>36</v>
      </c>
      <c r="Y35" s="20" t="s">
        <v>196</v>
      </c>
    </row>
    <row r="36" spans="1:25" ht="18" customHeight="1">
      <c r="A36" s="10" t="s">
        <v>25</v>
      </c>
      <c r="B36" s="10" t="s">
        <v>26</v>
      </c>
      <c r="C36" s="10" t="s">
        <v>27</v>
      </c>
      <c r="D36" s="12">
        <v>2019</v>
      </c>
      <c r="E36" s="10" t="s">
        <v>197</v>
      </c>
      <c r="F36" s="10" t="s">
        <v>198</v>
      </c>
      <c r="G36" s="10" t="s">
        <v>156</v>
      </c>
      <c r="H36" s="10" t="s">
        <v>31</v>
      </c>
      <c r="I36" s="13">
        <v>41058.535862529498</v>
      </c>
      <c r="J36" s="13">
        <v>41058.535862529498</v>
      </c>
      <c r="K36" s="13">
        <v>0</v>
      </c>
      <c r="L36" s="13">
        <v>0</v>
      </c>
      <c r="M36" s="13">
        <v>41058.535862529498</v>
      </c>
      <c r="N36" s="10" t="s">
        <v>199</v>
      </c>
      <c r="O36" s="14">
        <v>3.57</v>
      </c>
      <c r="P36" s="10" t="s">
        <v>33</v>
      </c>
      <c r="Q36" s="14" t="s">
        <v>34</v>
      </c>
      <c r="R36" s="10" t="s">
        <v>35</v>
      </c>
      <c r="S36" s="10" t="s">
        <v>197</v>
      </c>
      <c r="T36" s="14">
        <f>IF(O36="","",(1/Metadata!$B$5)^(O36-1))</f>
        <v>371.53522909717265</v>
      </c>
      <c r="U36" s="13">
        <f t="shared" si="0"/>
        <v>15254692.528079376</v>
      </c>
      <c r="V36" s="21" t="s">
        <v>158</v>
      </c>
      <c r="W36" s="20" t="s">
        <v>159</v>
      </c>
      <c r="X36" s="21" t="s">
        <v>158</v>
      </c>
      <c r="Y36" s="20" t="s">
        <v>159</v>
      </c>
    </row>
    <row r="37" spans="1:25" ht="18" customHeight="1">
      <c r="A37" s="10" t="s">
        <v>25</v>
      </c>
      <c r="B37" s="10" t="s">
        <v>26</v>
      </c>
      <c r="C37" s="10" t="s">
        <v>27</v>
      </c>
      <c r="D37" s="12">
        <v>2019</v>
      </c>
      <c r="E37" s="10" t="s">
        <v>200</v>
      </c>
      <c r="F37" s="10" t="s">
        <v>201</v>
      </c>
      <c r="G37" s="10" t="s">
        <v>71</v>
      </c>
      <c r="H37" s="10" t="s">
        <v>55</v>
      </c>
      <c r="I37" s="13">
        <v>39624.727087618703</v>
      </c>
      <c r="J37" s="13">
        <v>39357.657964680096</v>
      </c>
      <c r="K37" s="13">
        <v>267.0691229386</v>
      </c>
      <c r="L37" s="13">
        <v>36897.970776100898</v>
      </c>
      <c r="M37" s="13">
        <v>2726.7563115178</v>
      </c>
      <c r="N37" s="10" t="s">
        <v>202</v>
      </c>
      <c r="O37" s="14">
        <v>3.31</v>
      </c>
      <c r="P37" s="10" t="s">
        <v>33</v>
      </c>
      <c r="Q37" s="14" t="s">
        <v>34</v>
      </c>
      <c r="R37" s="10" t="s">
        <v>35</v>
      </c>
      <c r="S37" s="10" t="s">
        <v>200</v>
      </c>
      <c r="T37" s="14">
        <f>IF(O37="","",(1/Metadata!$B$5)^(O37-1))</f>
        <v>204.17379446695315</v>
      </c>
      <c r="U37" s="13">
        <f t="shared" si="0"/>
        <v>8090330.884196572</v>
      </c>
      <c r="V37" s="22" t="s">
        <v>203</v>
      </c>
      <c r="W37" s="20" t="s">
        <v>204</v>
      </c>
      <c r="X37" s="22" t="s">
        <v>203</v>
      </c>
      <c r="Y37" s="20" t="s">
        <v>204</v>
      </c>
    </row>
    <row r="38" spans="1:25" ht="18" customHeight="1">
      <c r="A38" s="10" t="s">
        <v>25</v>
      </c>
      <c r="B38" s="10" t="s">
        <v>26</v>
      </c>
      <c r="C38" s="10" t="s">
        <v>27</v>
      </c>
      <c r="D38" s="12">
        <v>2019</v>
      </c>
      <c r="E38" s="10" t="s">
        <v>205</v>
      </c>
      <c r="F38" s="10" t="s">
        <v>206</v>
      </c>
      <c r="G38" s="10" t="s">
        <v>90</v>
      </c>
      <c r="H38" s="10" t="s">
        <v>207</v>
      </c>
      <c r="I38" s="13">
        <v>37357.069022064003</v>
      </c>
      <c r="J38" s="13">
        <v>32856.320347279703</v>
      </c>
      <c r="K38" s="13">
        <v>4500.7486747843004</v>
      </c>
      <c r="L38" s="13">
        <v>32846.029638091197</v>
      </c>
      <c r="M38" s="13">
        <v>4511.0393839728004</v>
      </c>
      <c r="N38" s="10" t="s">
        <v>208</v>
      </c>
      <c r="O38" s="14">
        <v>4.16</v>
      </c>
      <c r="P38" s="10" t="s">
        <v>43</v>
      </c>
      <c r="Q38" s="14" t="s">
        <v>44</v>
      </c>
      <c r="R38" s="10" t="s">
        <v>35</v>
      </c>
      <c r="S38" s="10" t="s">
        <v>205</v>
      </c>
      <c r="T38" s="14">
        <f>IF(O38="","",(1/Metadata!$B$5)^(O38-1))</f>
        <v>1445.4397707459289</v>
      </c>
      <c r="U38" s="13">
        <f t="shared" si="0"/>
        <v>53997393.282992035</v>
      </c>
      <c r="V38" s="19" t="s">
        <v>36</v>
      </c>
      <c r="W38" s="20" t="s">
        <v>209</v>
      </c>
      <c r="X38" s="19" t="s">
        <v>36</v>
      </c>
      <c r="Y38" s="20" t="s">
        <v>209</v>
      </c>
    </row>
    <row r="39" spans="1:25" ht="18" customHeight="1">
      <c r="A39" s="10" t="s">
        <v>25</v>
      </c>
      <c r="B39" s="10" t="s">
        <v>26</v>
      </c>
      <c r="C39" s="10" t="s">
        <v>27</v>
      </c>
      <c r="D39" s="12">
        <v>2019</v>
      </c>
      <c r="E39" s="10" t="s">
        <v>210</v>
      </c>
      <c r="F39" s="10" t="s">
        <v>211</v>
      </c>
      <c r="G39" s="10" t="s">
        <v>194</v>
      </c>
      <c r="H39" s="10" t="s">
        <v>55</v>
      </c>
      <c r="I39" s="13">
        <v>35881.1472364324</v>
      </c>
      <c r="J39" s="13">
        <v>35844.334466394597</v>
      </c>
      <c r="K39" s="13">
        <v>36.8127700378</v>
      </c>
      <c r="L39" s="13">
        <v>35716.092845773099</v>
      </c>
      <c r="M39" s="13">
        <v>165.0543906593</v>
      </c>
      <c r="N39" s="10" t="s">
        <v>212</v>
      </c>
      <c r="O39" s="14">
        <v>3.32</v>
      </c>
      <c r="P39" s="10" t="s">
        <v>33</v>
      </c>
      <c r="Q39" s="14" t="s">
        <v>34</v>
      </c>
      <c r="R39" s="10" t="s">
        <v>35</v>
      </c>
      <c r="S39" s="10" t="s">
        <v>210</v>
      </c>
      <c r="T39" s="14">
        <f>IF(O39="","",(1/Metadata!$B$5)^(O39-1))</f>
        <v>208.92961308540396</v>
      </c>
      <c r="U39" s="13">
        <f t="shared" si="0"/>
        <v>7496634.209168233</v>
      </c>
      <c r="V39" s="22" t="s">
        <v>119</v>
      </c>
      <c r="W39" s="20" t="s">
        <v>213</v>
      </c>
      <c r="X39" s="22" t="s">
        <v>119</v>
      </c>
      <c r="Y39" s="20" t="s">
        <v>213</v>
      </c>
    </row>
    <row r="40" spans="1:25" ht="18" customHeight="1">
      <c r="A40" s="10" t="s">
        <v>25</v>
      </c>
      <c r="B40" s="10" t="s">
        <v>26</v>
      </c>
      <c r="C40" s="10" t="s">
        <v>27</v>
      </c>
      <c r="D40" s="12">
        <v>2019</v>
      </c>
      <c r="E40" s="10" t="s">
        <v>214</v>
      </c>
      <c r="F40" s="10" t="s">
        <v>215</v>
      </c>
      <c r="G40" s="10" t="s">
        <v>194</v>
      </c>
      <c r="H40" s="10" t="s">
        <v>55</v>
      </c>
      <c r="I40" s="13">
        <v>34598.558672417603</v>
      </c>
      <c r="J40" s="13">
        <v>34313.464251044701</v>
      </c>
      <c r="K40" s="13">
        <v>285.0944213729</v>
      </c>
      <c r="L40" s="13">
        <v>33556.7347638418</v>
      </c>
      <c r="M40" s="13">
        <v>1041.8239085758</v>
      </c>
      <c r="N40" s="10" t="s">
        <v>216</v>
      </c>
      <c r="O40" s="14">
        <v>3.84</v>
      </c>
      <c r="P40" s="10" t="s">
        <v>33</v>
      </c>
      <c r="Q40" s="14" t="s">
        <v>34</v>
      </c>
      <c r="R40" s="10" t="s">
        <v>35</v>
      </c>
      <c r="S40" s="10" t="s">
        <v>214</v>
      </c>
      <c r="T40" s="14">
        <f>IF(O40="","",(1/Metadata!$B$5)^(O40-1))</f>
        <v>691.83097091893671</v>
      </c>
      <c r="U40" s="13">
        <f t="shared" si="0"/>
        <v>23936354.438734468</v>
      </c>
      <c r="V40" s="22" t="s">
        <v>92</v>
      </c>
      <c r="W40" s="20" t="s">
        <v>217</v>
      </c>
      <c r="X40" s="22" t="s">
        <v>92</v>
      </c>
      <c r="Y40" s="20" t="s">
        <v>217</v>
      </c>
    </row>
    <row r="41" spans="1:25" ht="18" customHeight="1">
      <c r="A41" s="10" t="s">
        <v>25</v>
      </c>
      <c r="B41" s="10" t="s">
        <v>26</v>
      </c>
      <c r="C41" s="10" t="s">
        <v>27</v>
      </c>
      <c r="D41" s="12">
        <v>2019</v>
      </c>
      <c r="E41" s="10" t="s">
        <v>218</v>
      </c>
      <c r="F41" s="10" t="s">
        <v>219</v>
      </c>
      <c r="G41" s="10" t="s">
        <v>142</v>
      </c>
      <c r="H41" s="10" t="s">
        <v>220</v>
      </c>
      <c r="I41" s="13">
        <v>27967.6970243176</v>
      </c>
      <c r="J41" s="13">
        <v>27941.8775953113</v>
      </c>
      <c r="K41" s="13">
        <v>25.819429006299998</v>
      </c>
      <c r="L41" s="13">
        <v>27941.8775953113</v>
      </c>
      <c r="M41" s="13">
        <v>25.819429006299998</v>
      </c>
      <c r="N41" s="10" t="s">
        <v>221</v>
      </c>
      <c r="O41" s="14">
        <v>4.41</v>
      </c>
      <c r="P41" s="10" t="s">
        <v>43</v>
      </c>
      <c r="Q41" s="14" t="s">
        <v>44</v>
      </c>
      <c r="R41" s="10" t="s">
        <v>35</v>
      </c>
      <c r="S41" s="10" t="s">
        <v>218</v>
      </c>
      <c r="T41" s="14">
        <f>IF(O41="","",(1/Metadata!$B$5)^(O41-1))</f>
        <v>2570.3957827688669</v>
      </c>
      <c r="U41" s="13">
        <f t="shared" si="0"/>
        <v>71888050.485063344</v>
      </c>
      <c r="V41" s="22" t="s">
        <v>92</v>
      </c>
      <c r="W41" s="20" t="s">
        <v>222</v>
      </c>
      <c r="X41" s="22" t="s">
        <v>92</v>
      </c>
      <c r="Y41" s="20" t="s">
        <v>222</v>
      </c>
    </row>
    <row r="42" spans="1:25" ht="18" customHeight="1">
      <c r="A42" s="10" t="s">
        <v>25</v>
      </c>
      <c r="B42" s="10" t="s">
        <v>26</v>
      </c>
      <c r="C42" s="10" t="s">
        <v>27</v>
      </c>
      <c r="D42" s="12">
        <v>2019</v>
      </c>
      <c r="E42" s="10" t="s">
        <v>223</v>
      </c>
      <c r="F42" s="10" t="s">
        <v>224</v>
      </c>
      <c r="G42" s="10" t="s">
        <v>61</v>
      </c>
      <c r="H42" s="10" t="s">
        <v>55</v>
      </c>
      <c r="I42" s="13">
        <v>27950.513579196599</v>
      </c>
      <c r="J42" s="13">
        <v>27830.6219240258</v>
      </c>
      <c r="K42" s="13">
        <v>119.89165517079999</v>
      </c>
      <c r="L42" s="13">
        <v>27375.159179075101</v>
      </c>
      <c r="M42" s="13">
        <v>575.35440012150002</v>
      </c>
      <c r="N42" s="10" t="s">
        <v>225</v>
      </c>
      <c r="O42" s="14">
        <v>2.14</v>
      </c>
      <c r="P42" s="10" t="s">
        <v>43</v>
      </c>
      <c r="Q42" s="14" t="s">
        <v>44</v>
      </c>
      <c r="R42" s="10" t="s">
        <v>35</v>
      </c>
      <c r="S42" s="10" t="s">
        <v>223</v>
      </c>
      <c r="T42" s="14">
        <f>IF(O42="","",(1/Metadata!$B$5)^(O42-1))</f>
        <v>13.803842646028857</v>
      </c>
      <c r="U42" s="13">
        <f t="shared" si="0"/>
        <v>385824.49132292264</v>
      </c>
      <c r="V42" s="22" t="s">
        <v>130</v>
      </c>
      <c r="W42" s="20" t="s">
        <v>131</v>
      </c>
      <c r="X42" s="22" t="s">
        <v>130</v>
      </c>
      <c r="Y42" s="20" t="s">
        <v>131</v>
      </c>
    </row>
    <row r="43" spans="1:25" ht="18" customHeight="1">
      <c r="A43" s="10" t="s">
        <v>25</v>
      </c>
      <c r="B43" s="10" t="s">
        <v>26</v>
      </c>
      <c r="C43" s="10" t="s">
        <v>27</v>
      </c>
      <c r="D43" s="12">
        <v>2019</v>
      </c>
      <c r="E43" s="10" t="s">
        <v>226</v>
      </c>
      <c r="F43" s="10" t="s">
        <v>227</v>
      </c>
      <c r="G43" s="10" t="s">
        <v>61</v>
      </c>
      <c r="H43" s="10" t="s">
        <v>228</v>
      </c>
      <c r="I43" s="13">
        <v>24016.3352546489</v>
      </c>
      <c r="J43" s="13">
        <v>19314.013223912902</v>
      </c>
      <c r="K43" s="13">
        <v>4702.3220307359998</v>
      </c>
      <c r="L43" s="13">
        <v>19314.013223912902</v>
      </c>
      <c r="M43" s="13">
        <v>4702.3220307359998</v>
      </c>
      <c r="N43" s="10" t="s">
        <v>229</v>
      </c>
      <c r="O43" s="14">
        <v>3.95</v>
      </c>
      <c r="P43" s="10" t="s">
        <v>33</v>
      </c>
      <c r="Q43" s="14" t="s">
        <v>34</v>
      </c>
      <c r="R43" s="10" t="s">
        <v>35</v>
      </c>
      <c r="S43" s="10" t="s">
        <v>226</v>
      </c>
      <c r="T43" s="14">
        <f>IF(O43="","",(1/Metadata!$B$5)^(O43-1))</f>
        <v>891.25093813374656</v>
      </c>
      <c r="U43" s="13">
        <f t="shared" si="0"/>
        <v>21404581.326240402</v>
      </c>
      <c r="V43" s="19" t="s">
        <v>36</v>
      </c>
      <c r="W43" s="20" t="s">
        <v>230</v>
      </c>
      <c r="X43" s="19" t="s">
        <v>36</v>
      </c>
      <c r="Y43" s="20" t="s">
        <v>230</v>
      </c>
    </row>
    <row r="44" spans="1:25" ht="18" customHeight="1">
      <c r="A44" s="10" t="s">
        <v>25</v>
      </c>
      <c r="B44" s="10" t="s">
        <v>26</v>
      </c>
      <c r="C44" s="10" t="s">
        <v>27</v>
      </c>
      <c r="D44" s="12">
        <v>2019</v>
      </c>
      <c r="E44" s="10" t="s">
        <v>231</v>
      </c>
      <c r="F44" s="10" t="s">
        <v>232</v>
      </c>
      <c r="G44" s="10" t="s">
        <v>142</v>
      </c>
      <c r="H44" s="10" t="s">
        <v>220</v>
      </c>
      <c r="I44" s="13">
        <v>23281.9246016012</v>
      </c>
      <c r="J44" s="13">
        <v>23174.172542087101</v>
      </c>
      <c r="K44" s="13">
        <v>107.7520595141</v>
      </c>
      <c r="L44" s="13">
        <v>22996.563017449</v>
      </c>
      <c r="M44" s="13">
        <v>285.36158415220001</v>
      </c>
      <c r="N44" s="10" t="s">
        <v>233</v>
      </c>
      <c r="O44" s="14">
        <v>4.43</v>
      </c>
      <c r="P44" s="10" t="s">
        <v>43</v>
      </c>
      <c r="Q44" s="14" t="s">
        <v>44</v>
      </c>
      <c r="R44" s="10" t="s">
        <v>35</v>
      </c>
      <c r="S44" s="10" t="s">
        <v>231</v>
      </c>
      <c r="T44" s="14">
        <f>IF(O44="","",(1/Metadata!$B$5)^(O44-1))</f>
        <v>2691.5348039269161</v>
      </c>
      <c r="U44" s="13">
        <f t="shared" si="0"/>
        <v>62664110.36761193</v>
      </c>
      <c r="V44" s="22" t="s">
        <v>92</v>
      </c>
      <c r="W44" s="20" t="s">
        <v>222</v>
      </c>
      <c r="X44" s="22" t="s">
        <v>92</v>
      </c>
      <c r="Y44" s="20" t="s">
        <v>222</v>
      </c>
    </row>
    <row r="45" spans="1:25" ht="18" customHeight="1">
      <c r="A45" s="10" t="s">
        <v>25</v>
      </c>
      <c r="B45" s="10" t="s">
        <v>26</v>
      </c>
      <c r="C45" s="10" t="s">
        <v>27</v>
      </c>
      <c r="D45" s="12">
        <v>2019</v>
      </c>
      <c r="E45" s="10" t="s">
        <v>234</v>
      </c>
      <c r="F45" s="10" t="s">
        <v>235</v>
      </c>
      <c r="G45" s="10" t="s">
        <v>77</v>
      </c>
      <c r="H45" s="10" t="s">
        <v>31</v>
      </c>
      <c r="I45" s="13">
        <v>22309.6745690633</v>
      </c>
      <c r="J45" s="13">
        <v>22006.4364394736</v>
      </c>
      <c r="K45" s="13">
        <v>303.23812958970001</v>
      </c>
      <c r="L45" s="13">
        <v>22003.857049555099</v>
      </c>
      <c r="M45" s="13">
        <v>305.81751950820001</v>
      </c>
      <c r="N45" s="10" t="s">
        <v>236</v>
      </c>
      <c r="O45" s="14">
        <v>2.4300000000000002</v>
      </c>
      <c r="P45" s="10" t="s">
        <v>33</v>
      </c>
      <c r="Q45" s="14" t="s">
        <v>34</v>
      </c>
      <c r="R45" s="10" t="s">
        <v>35</v>
      </c>
      <c r="S45" s="10" t="s">
        <v>234</v>
      </c>
      <c r="T45" s="14">
        <f>IF(O45="","",(1/Metadata!$B$5)^(O45-1))</f>
        <v>26.915348039269173</v>
      </c>
      <c r="U45" s="13">
        <f t="shared" si="0"/>
        <v>600472.65566917125</v>
      </c>
      <c r="V45" s="19" t="s">
        <v>36</v>
      </c>
      <c r="W45" s="20" t="s">
        <v>237</v>
      </c>
      <c r="X45" s="19" t="s">
        <v>36</v>
      </c>
      <c r="Y45" s="20" t="s">
        <v>237</v>
      </c>
    </row>
    <row r="46" spans="1:25" ht="18" customHeight="1">
      <c r="A46" s="10" t="s">
        <v>25</v>
      </c>
      <c r="B46" s="10" t="s">
        <v>26</v>
      </c>
      <c r="C46" s="10" t="s">
        <v>27</v>
      </c>
      <c r="D46" s="12">
        <v>2019</v>
      </c>
      <c r="E46" s="10" t="s">
        <v>238</v>
      </c>
      <c r="F46" s="10" t="s">
        <v>239</v>
      </c>
      <c r="G46" s="10" t="s">
        <v>49</v>
      </c>
      <c r="H46" s="10" t="s">
        <v>50</v>
      </c>
      <c r="I46" s="13">
        <v>19975.066278380498</v>
      </c>
      <c r="J46" s="13">
        <v>19900.224625903498</v>
      </c>
      <c r="K46" s="13">
        <v>74.841652476999997</v>
      </c>
      <c r="L46" s="13">
        <v>19858.750619723301</v>
      </c>
      <c r="M46" s="13">
        <v>116.3156586572</v>
      </c>
      <c r="N46" s="10" t="s">
        <v>240</v>
      </c>
      <c r="O46" s="14">
        <v>3.79</v>
      </c>
      <c r="P46" s="10" t="s">
        <v>43</v>
      </c>
      <c r="Q46" s="14" t="s">
        <v>44</v>
      </c>
      <c r="R46" s="10" t="s">
        <v>35</v>
      </c>
      <c r="S46" s="10" t="s">
        <v>238</v>
      </c>
      <c r="T46" s="14">
        <f>IF(O46="","",(1/Metadata!$B$5)^(O46-1))</f>
        <v>616.59500186148273</v>
      </c>
      <c r="U46" s="13">
        <f t="shared" si="0"/>
        <v>12316526.029101264</v>
      </c>
      <c r="V46" s="21" t="s">
        <v>203</v>
      </c>
      <c r="W46" s="20" t="s">
        <v>241</v>
      </c>
      <c r="X46" s="21" t="s">
        <v>203</v>
      </c>
      <c r="Y46" s="20" t="s">
        <v>241</v>
      </c>
    </row>
    <row r="47" spans="1:25" ht="18" customHeight="1">
      <c r="A47" s="10" t="s">
        <v>25</v>
      </c>
      <c r="B47" s="10" t="s">
        <v>26</v>
      </c>
      <c r="C47" s="10" t="s">
        <v>27</v>
      </c>
      <c r="D47" s="12">
        <v>2019</v>
      </c>
      <c r="E47" s="10" t="s">
        <v>242</v>
      </c>
      <c r="F47" s="10" t="s">
        <v>243</v>
      </c>
      <c r="G47" s="10" t="s">
        <v>71</v>
      </c>
      <c r="H47" s="10" t="s">
        <v>55</v>
      </c>
      <c r="I47" s="13">
        <v>18497.546598198001</v>
      </c>
      <c r="J47" s="13">
        <v>18145.120036663098</v>
      </c>
      <c r="K47" s="13">
        <v>352.42656153489997</v>
      </c>
      <c r="L47" s="13">
        <v>17191.6254655136</v>
      </c>
      <c r="M47" s="13">
        <v>1305.9211326843999</v>
      </c>
      <c r="N47" s="10" t="s">
        <v>244</v>
      </c>
      <c r="O47" s="14">
        <v>3.72</v>
      </c>
      <c r="P47" s="10" t="s">
        <v>43</v>
      </c>
      <c r="Q47" s="14" t="s">
        <v>44</v>
      </c>
      <c r="R47" s="10" t="s">
        <v>35</v>
      </c>
      <c r="S47" s="10" t="s">
        <v>242</v>
      </c>
      <c r="T47" s="14">
        <f>IF(O47="","",(1/Metadata!$B$5)^(O47-1))</f>
        <v>524.80746024977293</v>
      </c>
      <c r="U47" s="13">
        <f t="shared" si="0"/>
        <v>9707650.45105212</v>
      </c>
      <c r="V47" s="21" t="s">
        <v>245</v>
      </c>
      <c r="W47" s="20" t="s">
        <v>74</v>
      </c>
      <c r="X47" s="21" t="s">
        <v>245</v>
      </c>
      <c r="Y47" s="20" t="s">
        <v>74</v>
      </c>
    </row>
    <row r="48" spans="1:25" ht="18" customHeight="1">
      <c r="A48" s="10" t="s">
        <v>25</v>
      </c>
      <c r="B48" s="10" t="s">
        <v>26</v>
      </c>
      <c r="C48" s="10" t="s">
        <v>27</v>
      </c>
      <c r="D48" s="12">
        <v>2019</v>
      </c>
      <c r="E48" s="10" t="s">
        <v>246</v>
      </c>
      <c r="F48" s="10" t="s">
        <v>247</v>
      </c>
      <c r="G48" s="10" t="s">
        <v>40</v>
      </c>
      <c r="H48" s="10" t="s">
        <v>55</v>
      </c>
      <c r="I48" s="13">
        <v>18277.138338941098</v>
      </c>
      <c r="J48" s="13">
        <v>17580.365583562001</v>
      </c>
      <c r="K48" s="13">
        <v>696.77275537909998</v>
      </c>
      <c r="L48" s="13">
        <v>15698.829032997801</v>
      </c>
      <c r="M48" s="13">
        <v>2578.3093059432999</v>
      </c>
      <c r="N48" s="10" t="s">
        <v>248</v>
      </c>
      <c r="O48" s="14">
        <v>3.4</v>
      </c>
      <c r="P48" s="10" t="s">
        <v>43</v>
      </c>
      <c r="Q48" s="14" t="s">
        <v>44</v>
      </c>
      <c r="R48" s="10" t="s">
        <v>35</v>
      </c>
      <c r="S48" s="10" t="s">
        <v>246</v>
      </c>
      <c r="T48" s="14">
        <f>IF(O48="","",(1/Metadata!$B$5)^(O48-1))</f>
        <v>251.18864315095806</v>
      </c>
      <c r="U48" s="13">
        <f t="shared" si="0"/>
        <v>4591009.5800409699</v>
      </c>
      <c r="V48" s="21" t="s">
        <v>119</v>
      </c>
      <c r="W48" s="20" t="s">
        <v>58</v>
      </c>
      <c r="X48" s="21" t="s">
        <v>119</v>
      </c>
      <c r="Y48" s="20" t="s">
        <v>58</v>
      </c>
    </row>
    <row r="49" spans="1:25" ht="18" customHeight="1">
      <c r="A49" s="10" t="s">
        <v>25</v>
      </c>
      <c r="B49" s="10" t="s">
        <v>26</v>
      </c>
      <c r="C49" s="10" t="s">
        <v>27</v>
      </c>
      <c r="D49" s="12">
        <v>2019</v>
      </c>
      <c r="E49" s="10" t="s">
        <v>249</v>
      </c>
      <c r="F49" s="10" t="s">
        <v>250</v>
      </c>
      <c r="G49" s="10" t="s">
        <v>123</v>
      </c>
      <c r="H49" s="10" t="s">
        <v>97</v>
      </c>
      <c r="I49" s="13">
        <v>17860.713393211299</v>
      </c>
      <c r="J49" s="13">
        <v>17738.706131229101</v>
      </c>
      <c r="K49" s="13">
        <v>122.00726198220001</v>
      </c>
      <c r="L49" s="13">
        <v>17703.573846006599</v>
      </c>
      <c r="M49" s="13">
        <v>157.13954720469999</v>
      </c>
      <c r="N49" s="10" t="s">
        <v>251</v>
      </c>
      <c r="O49" s="14">
        <v>2.6</v>
      </c>
      <c r="P49" s="10" t="s">
        <v>33</v>
      </c>
      <c r="Q49" s="14" t="s">
        <v>34</v>
      </c>
      <c r="R49" s="10" t="s">
        <v>35</v>
      </c>
      <c r="S49" s="10" t="s">
        <v>249</v>
      </c>
      <c r="T49" s="14">
        <f>IF(O49="","",(1/Metadata!$B$5)^(O49-1))</f>
        <v>39.810717055349755</v>
      </c>
      <c r="U49" s="13">
        <f t="shared" si="0"/>
        <v>711047.80730383086</v>
      </c>
      <c r="V49" s="21" t="s">
        <v>125</v>
      </c>
      <c r="W49" s="20" t="s">
        <v>252</v>
      </c>
      <c r="X49" s="21" t="s">
        <v>125</v>
      </c>
      <c r="Y49" s="20" t="s">
        <v>252</v>
      </c>
    </row>
    <row r="50" spans="1:25" ht="18" customHeight="1">
      <c r="A50" s="10" t="s">
        <v>25</v>
      </c>
      <c r="B50" s="10" t="s">
        <v>26</v>
      </c>
      <c r="C50" s="10" t="s">
        <v>27</v>
      </c>
      <c r="D50" s="12">
        <v>2019</v>
      </c>
      <c r="E50" s="10" t="s">
        <v>253</v>
      </c>
      <c r="F50" s="10" t="s">
        <v>254</v>
      </c>
      <c r="G50" s="10" t="s">
        <v>90</v>
      </c>
      <c r="H50" s="10" t="s">
        <v>55</v>
      </c>
      <c r="I50" s="13">
        <v>17619.824398595301</v>
      </c>
      <c r="J50" s="13">
        <v>16006.345389632799</v>
      </c>
      <c r="K50" s="13">
        <v>1613.4790089625001</v>
      </c>
      <c r="L50" s="13">
        <v>6766.5305791794999</v>
      </c>
      <c r="M50" s="13">
        <v>10853.2938194158</v>
      </c>
      <c r="N50" s="10" t="s">
        <v>255</v>
      </c>
      <c r="O50" s="14">
        <v>3.7</v>
      </c>
      <c r="P50" s="10" t="s">
        <v>43</v>
      </c>
      <c r="Q50" s="14" t="s">
        <v>44</v>
      </c>
      <c r="R50" s="10" t="s">
        <v>35</v>
      </c>
      <c r="S50" s="10" t="s">
        <v>253</v>
      </c>
      <c r="T50" s="14">
        <f>IF(O50="","",(1/Metadata!$B$5)^(O50-1))</f>
        <v>501.18723362727269</v>
      </c>
      <c r="U50" s="13">
        <f t="shared" si="0"/>
        <v>8830831.0473303031</v>
      </c>
      <c r="V50" s="22" t="s">
        <v>203</v>
      </c>
      <c r="W50" s="20" t="s">
        <v>204</v>
      </c>
      <c r="X50" s="22" t="s">
        <v>203</v>
      </c>
      <c r="Y50" s="20" t="s">
        <v>204</v>
      </c>
    </row>
    <row r="51" spans="1:25" ht="18" customHeight="1">
      <c r="A51" s="10" t="s">
        <v>25</v>
      </c>
      <c r="B51" s="10" t="s">
        <v>26</v>
      </c>
      <c r="C51" s="10" t="s">
        <v>27</v>
      </c>
      <c r="D51" s="12">
        <v>2019</v>
      </c>
      <c r="E51" s="10" t="s">
        <v>256</v>
      </c>
      <c r="F51" s="10" t="s">
        <v>257</v>
      </c>
      <c r="G51" s="10" t="s">
        <v>151</v>
      </c>
      <c r="H51" s="10" t="s">
        <v>31</v>
      </c>
      <c r="I51" s="13">
        <v>17264.714765226901</v>
      </c>
      <c r="J51" s="13">
        <v>16538.800736504501</v>
      </c>
      <c r="K51" s="13">
        <v>725.91402872239996</v>
      </c>
      <c r="L51" s="13">
        <v>11584.9570280812</v>
      </c>
      <c r="M51" s="13">
        <v>5679.7577371456991</v>
      </c>
      <c r="N51" s="10" t="s">
        <v>258</v>
      </c>
      <c r="O51" s="14">
        <v>3.81</v>
      </c>
      <c r="P51" s="10" t="s">
        <v>33</v>
      </c>
      <c r="Q51" s="14" t="s">
        <v>34</v>
      </c>
      <c r="R51" s="10" t="s">
        <v>35</v>
      </c>
      <c r="S51" s="10" t="s">
        <v>256</v>
      </c>
      <c r="T51" s="14">
        <f>IF(O51="","",(1/Metadata!$B$5)^(O51-1))</f>
        <v>645.65422903465594</v>
      </c>
      <c r="U51" s="13">
        <f t="shared" si="0"/>
        <v>11147036.101245817</v>
      </c>
      <c r="V51" s="21" t="s">
        <v>151</v>
      </c>
      <c r="W51" s="20" t="s">
        <v>153</v>
      </c>
      <c r="X51" s="21" t="s">
        <v>151</v>
      </c>
      <c r="Y51" s="20" t="s">
        <v>153</v>
      </c>
    </row>
    <row r="52" spans="1:25" ht="18" customHeight="1">
      <c r="A52" s="10" t="s">
        <v>25</v>
      </c>
      <c r="B52" s="10" t="s">
        <v>26</v>
      </c>
      <c r="C52" s="10" t="s">
        <v>27</v>
      </c>
      <c r="D52" s="12">
        <v>2019</v>
      </c>
      <c r="E52" s="10" t="s">
        <v>259</v>
      </c>
      <c r="F52" s="10" t="s">
        <v>260</v>
      </c>
      <c r="G52" s="10" t="s">
        <v>84</v>
      </c>
      <c r="H52" s="10" t="s">
        <v>55</v>
      </c>
      <c r="I52" s="13">
        <v>17176.462733903802</v>
      </c>
      <c r="J52" s="13">
        <v>17176.462733903802</v>
      </c>
      <c r="K52" s="13">
        <v>0</v>
      </c>
      <c r="L52" s="13">
        <v>4430.4621372013999</v>
      </c>
      <c r="M52" s="13">
        <v>12746.000596702401</v>
      </c>
      <c r="N52" s="10" t="s">
        <v>261</v>
      </c>
      <c r="O52" s="14">
        <v>3.51</v>
      </c>
      <c r="P52" s="10" t="s">
        <v>33</v>
      </c>
      <c r="Q52" s="14" t="s">
        <v>34</v>
      </c>
      <c r="R52" s="10" t="s">
        <v>35</v>
      </c>
      <c r="S52" s="10" t="s">
        <v>259</v>
      </c>
      <c r="T52" s="14">
        <f>IF(O52="","",(1/Metadata!$B$5)^(O52-1))</f>
        <v>323.59365692962825</v>
      </c>
      <c r="U52" s="13">
        <f t="shared" si="0"/>
        <v>5558194.3891794113</v>
      </c>
      <c r="V52" s="21" t="s">
        <v>86</v>
      </c>
      <c r="W52" s="20" t="s">
        <v>87</v>
      </c>
      <c r="X52" s="21" t="s">
        <v>86</v>
      </c>
      <c r="Y52" s="20" t="s">
        <v>87</v>
      </c>
    </row>
    <row r="53" spans="1:25" ht="18" customHeight="1">
      <c r="A53" s="10" t="s">
        <v>25</v>
      </c>
      <c r="B53" s="10" t="s">
        <v>26</v>
      </c>
      <c r="C53" s="10" t="s">
        <v>27</v>
      </c>
      <c r="D53" s="12">
        <v>2019</v>
      </c>
      <c r="E53" s="10" t="s">
        <v>262</v>
      </c>
      <c r="F53" s="10" t="s">
        <v>263</v>
      </c>
      <c r="G53" s="10" t="s">
        <v>40</v>
      </c>
      <c r="H53" s="10" t="s">
        <v>50</v>
      </c>
      <c r="I53" s="13">
        <v>16896.179395014002</v>
      </c>
      <c r="J53" s="13">
        <v>14266.417905939699</v>
      </c>
      <c r="K53" s="13">
        <v>2629.7614890742998</v>
      </c>
      <c r="L53" s="13">
        <v>12634.890290621899</v>
      </c>
      <c r="M53" s="13">
        <v>4261.2891043920999</v>
      </c>
      <c r="N53" s="10" t="s">
        <v>264</v>
      </c>
      <c r="O53" s="14">
        <v>3.16</v>
      </c>
      <c r="P53" s="10" t="s">
        <v>33</v>
      </c>
      <c r="Q53" s="14" t="s">
        <v>34</v>
      </c>
      <c r="R53" s="10" t="s">
        <v>35</v>
      </c>
      <c r="S53" s="10" t="s">
        <v>262</v>
      </c>
      <c r="T53" s="14">
        <f>IF(O53="","",(1/Metadata!$B$5)^(O53-1))</f>
        <v>144.54397707459285</v>
      </c>
      <c r="U53" s="13">
        <f t="shared" si="0"/>
        <v>2442240.9671211117</v>
      </c>
      <c r="V53" s="19" t="s">
        <v>36</v>
      </c>
      <c r="W53" s="20" t="s">
        <v>265</v>
      </c>
      <c r="X53" s="19" t="s">
        <v>36</v>
      </c>
      <c r="Y53" s="20" t="s">
        <v>265</v>
      </c>
    </row>
    <row r="54" spans="1:25" ht="18" customHeight="1">
      <c r="A54" s="10" t="s">
        <v>25</v>
      </c>
      <c r="B54" s="10" t="s">
        <v>26</v>
      </c>
      <c r="C54" s="10" t="s">
        <v>27</v>
      </c>
      <c r="D54" s="12">
        <v>2019</v>
      </c>
      <c r="E54" s="10" t="s">
        <v>266</v>
      </c>
      <c r="F54" s="10" t="s">
        <v>267</v>
      </c>
      <c r="G54" s="10" t="s">
        <v>30</v>
      </c>
      <c r="H54" s="10" t="s">
        <v>31</v>
      </c>
      <c r="I54" s="13">
        <v>16878.991708567399</v>
      </c>
      <c r="J54" s="13">
        <v>16693.023078255701</v>
      </c>
      <c r="K54" s="13">
        <v>185.9686303117</v>
      </c>
      <c r="L54" s="13">
        <v>16673.714795121599</v>
      </c>
      <c r="M54" s="13">
        <v>205.27691344580001</v>
      </c>
      <c r="N54" s="10" t="s">
        <v>268</v>
      </c>
      <c r="O54" s="14">
        <v>3.98</v>
      </c>
      <c r="P54" s="10" t="s">
        <v>43</v>
      </c>
      <c r="Q54" s="14" t="s">
        <v>44</v>
      </c>
      <c r="R54" s="10" t="s">
        <v>35</v>
      </c>
      <c r="S54" s="10" t="s">
        <v>266</v>
      </c>
      <c r="T54" s="14">
        <f>IF(O54="","",(1/Metadata!$B$5)^(O54-1))</f>
        <v>954.99258602143675</v>
      </c>
      <c r="U54" s="13">
        <f t="shared" si="0"/>
        <v>16119311.941199169</v>
      </c>
      <c r="V54" s="21" t="s">
        <v>86</v>
      </c>
      <c r="W54" s="20" t="s">
        <v>269</v>
      </c>
      <c r="X54" s="21" t="s">
        <v>86</v>
      </c>
      <c r="Y54" s="20" t="s">
        <v>269</v>
      </c>
    </row>
    <row r="55" spans="1:25" ht="18" customHeight="1">
      <c r="A55" s="10" t="s">
        <v>25</v>
      </c>
      <c r="B55" s="10" t="s">
        <v>26</v>
      </c>
      <c r="C55" s="10" t="s">
        <v>27</v>
      </c>
      <c r="D55" s="12">
        <v>2019</v>
      </c>
      <c r="E55" s="10" t="s">
        <v>270</v>
      </c>
      <c r="F55" s="10" t="s">
        <v>271</v>
      </c>
      <c r="G55" s="10" t="s">
        <v>123</v>
      </c>
      <c r="H55" s="10" t="s">
        <v>97</v>
      </c>
      <c r="I55" s="13">
        <v>15940.357791172501</v>
      </c>
      <c r="J55" s="13">
        <v>15769.347863118801</v>
      </c>
      <c r="K55" s="13">
        <v>171.00992805370001</v>
      </c>
      <c r="L55" s="13">
        <v>15725.972368954301</v>
      </c>
      <c r="M55" s="13">
        <v>214.38542221820001</v>
      </c>
      <c r="N55" s="10" t="s">
        <v>272</v>
      </c>
      <c r="O55" s="14">
        <v>2.48</v>
      </c>
      <c r="P55" s="10" t="s">
        <v>43</v>
      </c>
      <c r="Q55" s="14" t="s">
        <v>44</v>
      </c>
      <c r="R55" s="10" t="s">
        <v>35</v>
      </c>
      <c r="S55" s="10" t="s">
        <v>270</v>
      </c>
      <c r="T55" s="14">
        <f>IF(O55="","",(1/Metadata!$B$5)^(O55-1))</f>
        <v>30.199517204020164</v>
      </c>
      <c r="U55" s="13">
        <f t="shared" si="0"/>
        <v>481391.10935275082</v>
      </c>
      <c r="V55" s="21" t="s">
        <v>125</v>
      </c>
      <c r="W55" s="20" t="s">
        <v>273</v>
      </c>
      <c r="X55" s="21" t="s">
        <v>125</v>
      </c>
      <c r="Y55" s="20" t="s">
        <v>273</v>
      </c>
    </row>
    <row r="56" spans="1:25" ht="18" customHeight="1">
      <c r="A56" s="10" t="s">
        <v>25</v>
      </c>
      <c r="B56" s="10" t="s">
        <v>26</v>
      </c>
      <c r="C56" s="10" t="s">
        <v>27</v>
      </c>
      <c r="D56" s="12">
        <v>2019</v>
      </c>
      <c r="E56" s="10" t="s">
        <v>274</v>
      </c>
      <c r="F56" s="10" t="s">
        <v>275</v>
      </c>
      <c r="G56" s="10" t="s">
        <v>77</v>
      </c>
      <c r="H56" s="10" t="s">
        <v>78</v>
      </c>
      <c r="I56" s="13">
        <v>14347.8303042596</v>
      </c>
      <c r="J56" s="13">
        <v>12730.061549132901</v>
      </c>
      <c r="K56" s="13">
        <v>1617.7687551266999</v>
      </c>
      <c r="L56" s="13">
        <v>11070.532864892601</v>
      </c>
      <c r="M56" s="13">
        <v>3277.2974393670002</v>
      </c>
      <c r="N56" s="10" t="s">
        <v>276</v>
      </c>
      <c r="O56" s="14">
        <v>2.23</v>
      </c>
      <c r="P56" s="10" t="s">
        <v>33</v>
      </c>
      <c r="Q56" s="14" t="s">
        <v>34</v>
      </c>
      <c r="R56" s="10" t="s">
        <v>35</v>
      </c>
      <c r="S56" s="10" t="s">
        <v>274</v>
      </c>
      <c r="T56" s="14">
        <f>IF(O56="","",(1/Metadata!$B$5)^(O56-1))</f>
        <v>16.982436524617448</v>
      </c>
      <c r="U56" s="13">
        <f t="shared" si="0"/>
        <v>243661.1174080713</v>
      </c>
      <c r="V56" s="21" t="s">
        <v>80</v>
      </c>
      <c r="W56" s="20" t="s">
        <v>81</v>
      </c>
      <c r="X56" s="21" t="s">
        <v>80</v>
      </c>
      <c r="Y56" s="20" t="s">
        <v>81</v>
      </c>
    </row>
    <row r="57" spans="1:25" ht="18" customHeight="1">
      <c r="A57" s="10" t="s">
        <v>25</v>
      </c>
      <c r="B57" s="10" t="s">
        <v>26</v>
      </c>
      <c r="C57" s="10" t="s">
        <v>27</v>
      </c>
      <c r="D57" s="12">
        <v>2019</v>
      </c>
      <c r="E57" s="10" t="s">
        <v>277</v>
      </c>
      <c r="F57" s="10" t="s">
        <v>278</v>
      </c>
      <c r="G57" s="10" t="s">
        <v>279</v>
      </c>
      <c r="H57" s="10" t="s">
        <v>280</v>
      </c>
      <c r="I57" s="13">
        <v>13897.478523601199</v>
      </c>
      <c r="J57" s="13">
        <v>10418.5060839987</v>
      </c>
      <c r="K57" s="13">
        <v>3478.9724396024999</v>
      </c>
      <c r="L57" s="13">
        <v>8463.9194068509005</v>
      </c>
      <c r="M57" s="13">
        <v>5433.5591167502998</v>
      </c>
      <c r="N57" s="10" t="s">
        <v>281</v>
      </c>
      <c r="O57" s="14">
        <v>3.49</v>
      </c>
      <c r="P57" s="10" t="s">
        <v>33</v>
      </c>
      <c r="Q57" s="14" t="s">
        <v>34</v>
      </c>
      <c r="R57" s="10" t="s">
        <v>35</v>
      </c>
      <c r="S57" s="10" t="s">
        <v>277</v>
      </c>
      <c r="T57" s="14">
        <f>IF(O57="","",(1/Metadata!$B$5)^(O57-1))</f>
        <v>309.02954325135937</v>
      </c>
      <c r="U57" s="13">
        <f t="shared" si="0"/>
        <v>4294731.4404940549</v>
      </c>
      <c r="V57" s="22" t="s">
        <v>130</v>
      </c>
      <c r="W57" s="20" t="s">
        <v>282</v>
      </c>
      <c r="X57" s="22" t="s">
        <v>130</v>
      </c>
      <c r="Y57" s="20" t="s">
        <v>282</v>
      </c>
    </row>
    <row r="58" spans="1:25" ht="18" customHeight="1">
      <c r="A58" s="10" t="s">
        <v>25</v>
      </c>
      <c r="B58" s="10" t="s">
        <v>26</v>
      </c>
      <c r="C58" s="10" t="s">
        <v>27</v>
      </c>
      <c r="D58" s="12">
        <v>2019</v>
      </c>
      <c r="E58" s="10" t="s">
        <v>283</v>
      </c>
      <c r="F58" s="10" t="s">
        <v>284</v>
      </c>
      <c r="G58" s="10" t="s">
        <v>77</v>
      </c>
      <c r="H58" s="10" t="s">
        <v>78</v>
      </c>
      <c r="I58" s="13">
        <v>13757.843103139799</v>
      </c>
      <c r="J58" s="13">
        <v>13757.843103139799</v>
      </c>
      <c r="K58" s="13">
        <v>0</v>
      </c>
      <c r="L58" s="13">
        <v>13732.770007355801</v>
      </c>
      <c r="M58" s="13">
        <v>25.073095783999999</v>
      </c>
      <c r="N58" s="10" t="s">
        <v>285</v>
      </c>
      <c r="O58" s="14">
        <v>2</v>
      </c>
      <c r="P58" s="10" t="s">
        <v>33</v>
      </c>
      <c r="Q58" s="14" t="s">
        <v>34</v>
      </c>
      <c r="R58" s="10" t="s">
        <v>35</v>
      </c>
      <c r="S58" s="10" t="s">
        <v>283</v>
      </c>
      <c r="T58" s="14">
        <f>IF(O58="","",(1/Metadata!$B$5)^(O58-1))</f>
        <v>10</v>
      </c>
      <c r="U58" s="13">
        <f t="shared" si="0"/>
        <v>137578.43103139801</v>
      </c>
      <c r="V58" s="21" t="s">
        <v>80</v>
      </c>
      <c r="W58" s="20" t="s">
        <v>81</v>
      </c>
      <c r="X58" s="21" t="s">
        <v>80</v>
      </c>
      <c r="Y58" s="20" t="s">
        <v>81</v>
      </c>
    </row>
    <row r="59" spans="1:25" ht="18" customHeight="1">
      <c r="A59" s="10" t="s">
        <v>25</v>
      </c>
      <c r="B59" s="10" t="s">
        <v>26</v>
      </c>
      <c r="C59" s="10" t="s">
        <v>27</v>
      </c>
      <c r="D59" s="12">
        <v>2019</v>
      </c>
      <c r="E59" s="10" t="s">
        <v>286</v>
      </c>
      <c r="F59" s="10" t="s">
        <v>287</v>
      </c>
      <c r="G59" s="10" t="s">
        <v>77</v>
      </c>
      <c r="H59" s="10" t="s">
        <v>78</v>
      </c>
      <c r="I59" s="13">
        <v>13152.499824279001</v>
      </c>
      <c r="J59" s="13">
        <v>13148.6282828522</v>
      </c>
      <c r="K59" s="13">
        <v>3.8715414267999999</v>
      </c>
      <c r="L59" s="13">
        <v>13148.6282828522</v>
      </c>
      <c r="M59" s="13">
        <v>3.8715414267999999</v>
      </c>
      <c r="N59" s="10" t="s">
        <v>288</v>
      </c>
      <c r="O59" s="14">
        <v>2</v>
      </c>
      <c r="P59" s="10" t="s">
        <v>33</v>
      </c>
      <c r="Q59" s="14" t="s">
        <v>34</v>
      </c>
      <c r="R59" s="10" t="s">
        <v>35</v>
      </c>
      <c r="S59" s="10" t="s">
        <v>286</v>
      </c>
      <c r="T59" s="14">
        <f>IF(O59="","",(1/Metadata!$B$5)^(O59-1))</f>
        <v>10</v>
      </c>
      <c r="U59" s="13">
        <f t="shared" si="0"/>
        <v>131524.99824279</v>
      </c>
      <c r="V59" s="21" t="s">
        <v>80</v>
      </c>
      <c r="W59" s="20" t="s">
        <v>81</v>
      </c>
      <c r="X59" s="21" t="s">
        <v>80</v>
      </c>
      <c r="Y59" s="20" t="s">
        <v>81</v>
      </c>
    </row>
    <row r="60" spans="1:25" ht="18" customHeight="1">
      <c r="A60" s="10" t="s">
        <v>25</v>
      </c>
      <c r="B60" s="10" t="s">
        <v>26</v>
      </c>
      <c r="C60" s="10" t="s">
        <v>27</v>
      </c>
      <c r="D60" s="12">
        <v>2019</v>
      </c>
      <c r="E60" s="10" t="s">
        <v>289</v>
      </c>
      <c r="F60" s="10" t="s">
        <v>290</v>
      </c>
      <c r="G60" s="10" t="s">
        <v>30</v>
      </c>
      <c r="H60" s="10" t="s">
        <v>55</v>
      </c>
      <c r="I60" s="13">
        <v>11928.084846441499</v>
      </c>
      <c r="J60" s="13">
        <v>11521.435788557799</v>
      </c>
      <c r="K60" s="13">
        <v>406.64905788369998</v>
      </c>
      <c r="L60" s="13">
        <v>10749.270476335199</v>
      </c>
      <c r="M60" s="13">
        <v>1178.8143701063</v>
      </c>
      <c r="N60" s="10" t="s">
        <v>291</v>
      </c>
      <c r="O60" s="14">
        <v>3.4</v>
      </c>
      <c r="P60" s="10" t="s">
        <v>43</v>
      </c>
      <c r="Q60" s="14" t="s">
        <v>44</v>
      </c>
      <c r="R60" s="10" t="s">
        <v>35</v>
      </c>
      <c r="S60" s="10" t="s">
        <v>289</v>
      </c>
      <c r="T60" s="14">
        <f>IF(O60="","",(1/Metadata!$B$5)^(O60-1))</f>
        <v>251.18864315095806</v>
      </c>
      <c r="U60" s="13">
        <f t="shared" si="0"/>
        <v>2996199.4479671442</v>
      </c>
      <c r="V60" s="21" t="s">
        <v>119</v>
      </c>
      <c r="W60" s="20" t="s">
        <v>58</v>
      </c>
      <c r="X60" s="21" t="s">
        <v>119</v>
      </c>
      <c r="Y60" s="20" t="s">
        <v>58</v>
      </c>
    </row>
    <row r="61" spans="1:25" ht="18" customHeight="1">
      <c r="A61" s="10" t="s">
        <v>25</v>
      </c>
      <c r="B61" s="10" t="s">
        <v>26</v>
      </c>
      <c r="C61" s="10" t="s">
        <v>27</v>
      </c>
      <c r="D61" s="12">
        <v>2019</v>
      </c>
      <c r="E61" s="10" t="s">
        <v>292</v>
      </c>
      <c r="F61" s="10" t="s">
        <v>293</v>
      </c>
      <c r="G61" s="10" t="s">
        <v>30</v>
      </c>
      <c r="H61" s="10" t="s">
        <v>55</v>
      </c>
      <c r="I61" s="13">
        <v>11696.9400180099</v>
      </c>
      <c r="J61" s="13">
        <v>11665.246723765</v>
      </c>
      <c r="K61" s="13">
        <v>31.693294244899999</v>
      </c>
      <c r="L61" s="13">
        <v>11613.7805606481</v>
      </c>
      <c r="M61" s="13">
        <v>83.159457361800008</v>
      </c>
      <c r="N61" s="10" t="s">
        <v>294</v>
      </c>
      <c r="O61" s="14">
        <v>3.5</v>
      </c>
      <c r="P61" s="10" t="s">
        <v>43</v>
      </c>
      <c r="Q61" s="14" t="s">
        <v>44</v>
      </c>
      <c r="R61" s="10" t="s">
        <v>35</v>
      </c>
      <c r="S61" s="10" t="s">
        <v>292</v>
      </c>
      <c r="T61" s="14">
        <f>IF(O61="","",(1/Metadata!$B$5)^(O61-1))</f>
        <v>316.22776601683825</v>
      </c>
      <c r="U61" s="13">
        <f t="shared" si="0"/>
        <v>3698897.2111282265</v>
      </c>
      <c r="V61" s="21" t="s">
        <v>86</v>
      </c>
      <c r="W61" s="20" t="s">
        <v>58</v>
      </c>
      <c r="X61" s="21" t="s">
        <v>86</v>
      </c>
      <c r="Y61" s="20" t="s">
        <v>58</v>
      </c>
    </row>
    <row r="62" spans="1:25" ht="18" customHeight="1">
      <c r="A62" s="10" t="s">
        <v>25</v>
      </c>
      <c r="B62" s="10" t="s">
        <v>26</v>
      </c>
      <c r="C62" s="10" t="s">
        <v>27</v>
      </c>
      <c r="D62" s="12">
        <v>2019</v>
      </c>
      <c r="E62" s="10" t="s">
        <v>295</v>
      </c>
      <c r="F62" s="10" t="s">
        <v>296</v>
      </c>
      <c r="G62" s="10" t="s">
        <v>151</v>
      </c>
      <c r="H62" s="10" t="s">
        <v>31</v>
      </c>
      <c r="I62" s="13">
        <v>11594.255772405</v>
      </c>
      <c r="J62" s="13">
        <v>11594.255772405</v>
      </c>
      <c r="K62" s="13">
        <v>0</v>
      </c>
      <c r="L62" s="13">
        <v>11592.9096384232</v>
      </c>
      <c r="M62" s="13">
        <v>1.3461339818</v>
      </c>
      <c r="N62" s="10" t="s">
        <v>297</v>
      </c>
      <c r="O62" s="14">
        <v>3.8</v>
      </c>
      <c r="P62" s="10" t="s">
        <v>33</v>
      </c>
      <c r="Q62" s="14" t="s">
        <v>34</v>
      </c>
      <c r="R62" s="10" t="s">
        <v>35</v>
      </c>
      <c r="S62" s="10" t="s">
        <v>295</v>
      </c>
      <c r="T62" s="14">
        <f>IF(O62="","",(1/Metadata!$B$5)^(O62-1))</f>
        <v>630.95734448019323</v>
      </c>
      <c r="U62" s="13">
        <f t="shared" si="0"/>
        <v>7315480.8333808109</v>
      </c>
      <c r="V62" s="21" t="s">
        <v>151</v>
      </c>
      <c r="W62" s="20" t="s">
        <v>153</v>
      </c>
      <c r="X62" s="21" t="s">
        <v>151</v>
      </c>
      <c r="Y62" s="20" t="s">
        <v>153</v>
      </c>
    </row>
    <row r="63" spans="1:25" ht="18" customHeight="1">
      <c r="A63" s="10" t="s">
        <v>25</v>
      </c>
      <c r="B63" s="10" t="s">
        <v>26</v>
      </c>
      <c r="C63" s="10" t="s">
        <v>27</v>
      </c>
      <c r="D63" s="12">
        <v>2019</v>
      </c>
      <c r="E63" s="10" t="s">
        <v>298</v>
      </c>
      <c r="F63" s="10" t="s">
        <v>299</v>
      </c>
      <c r="G63" s="10" t="s">
        <v>40</v>
      </c>
      <c r="H63" s="10" t="s">
        <v>31</v>
      </c>
      <c r="I63" s="13">
        <v>10312.7702595266</v>
      </c>
      <c r="J63" s="13">
        <v>10312.7702595266</v>
      </c>
      <c r="K63" s="13">
        <v>0</v>
      </c>
      <c r="L63" s="13">
        <v>10082.9122740966</v>
      </c>
      <c r="M63" s="13">
        <v>229.85798543000001</v>
      </c>
      <c r="N63" s="10" t="s">
        <v>300</v>
      </c>
      <c r="O63" s="14">
        <v>3.24</v>
      </c>
      <c r="P63" s="10" t="s">
        <v>33</v>
      </c>
      <c r="Q63" s="14" t="s">
        <v>34</v>
      </c>
      <c r="R63" s="10" t="s">
        <v>35</v>
      </c>
      <c r="S63" s="10" t="s">
        <v>298</v>
      </c>
      <c r="T63" s="14">
        <f>IF(O63="","",(1/Metadata!$B$5)^(O63-1))</f>
        <v>173.78008287493768</v>
      </c>
      <c r="U63" s="13">
        <f t="shared" si="0"/>
        <v>1792154.0703707251</v>
      </c>
      <c r="V63" s="19" t="s">
        <v>36</v>
      </c>
      <c r="W63" s="20" t="s">
        <v>301</v>
      </c>
      <c r="X63" s="19" t="s">
        <v>36</v>
      </c>
      <c r="Y63" s="20" t="s">
        <v>301</v>
      </c>
    </row>
    <row r="64" spans="1:25" ht="18" customHeight="1">
      <c r="A64" s="10" t="s">
        <v>25</v>
      </c>
      <c r="B64" s="10" t="s">
        <v>26</v>
      </c>
      <c r="C64" s="10" t="s">
        <v>27</v>
      </c>
      <c r="D64" s="12">
        <v>2019</v>
      </c>
      <c r="E64" s="10" t="s">
        <v>302</v>
      </c>
      <c r="F64" s="10" t="s">
        <v>303</v>
      </c>
      <c r="G64" s="10" t="s">
        <v>61</v>
      </c>
      <c r="H64" s="10" t="s">
        <v>55</v>
      </c>
      <c r="I64" s="13">
        <v>10020.6111454988</v>
      </c>
      <c r="J64" s="13">
        <v>9996.4037855708011</v>
      </c>
      <c r="K64" s="13">
        <v>24.207359927999999</v>
      </c>
      <c r="L64" s="13">
        <v>8001.8661774656002</v>
      </c>
      <c r="M64" s="13">
        <v>2018.7449680331999</v>
      </c>
      <c r="N64" s="10" t="s">
        <v>304</v>
      </c>
      <c r="O64" s="14">
        <v>4.18</v>
      </c>
      <c r="P64" s="10" t="s">
        <v>43</v>
      </c>
      <c r="Q64" s="14" t="s">
        <v>44</v>
      </c>
      <c r="R64" s="10" t="s">
        <v>35</v>
      </c>
      <c r="S64" s="10" t="s">
        <v>302</v>
      </c>
      <c r="T64" s="14">
        <f>IF(O64="","",(1/Metadata!$B$5)^(O64-1))</f>
        <v>1513.561248436208</v>
      </c>
      <c r="U64" s="13">
        <f t="shared" si="0"/>
        <v>15166808.715474945</v>
      </c>
      <c r="V64" s="22" t="s">
        <v>86</v>
      </c>
      <c r="W64" s="20" t="s">
        <v>305</v>
      </c>
      <c r="X64" s="22" t="s">
        <v>86</v>
      </c>
      <c r="Y64" s="20" t="s">
        <v>305</v>
      </c>
    </row>
    <row r="65" spans="1:25" ht="18" customHeight="1">
      <c r="A65" s="10" t="s">
        <v>25</v>
      </c>
      <c r="B65" s="10" t="s">
        <v>26</v>
      </c>
      <c r="C65" s="10" t="s">
        <v>27</v>
      </c>
      <c r="D65" s="12">
        <v>2019</v>
      </c>
      <c r="E65" s="10" t="s">
        <v>306</v>
      </c>
      <c r="F65" s="10" t="s">
        <v>307</v>
      </c>
      <c r="G65" s="10" t="s">
        <v>84</v>
      </c>
      <c r="H65" s="10" t="s">
        <v>55</v>
      </c>
      <c r="I65" s="13">
        <v>9823.7778330353995</v>
      </c>
      <c r="J65" s="13">
        <v>9294.5698842534002</v>
      </c>
      <c r="K65" s="13">
        <v>529.2079487819999</v>
      </c>
      <c r="L65" s="13">
        <v>9294.5698842534002</v>
      </c>
      <c r="M65" s="13">
        <v>529.2079487819999</v>
      </c>
      <c r="N65" s="10" t="s">
        <v>308</v>
      </c>
      <c r="O65" s="14">
        <v>3</v>
      </c>
      <c r="P65" s="10" t="s">
        <v>33</v>
      </c>
      <c r="Q65" s="14" t="s">
        <v>34</v>
      </c>
      <c r="R65" s="10" t="s">
        <v>35</v>
      </c>
      <c r="S65" s="10" t="s">
        <v>306</v>
      </c>
      <c r="T65" s="14">
        <f>IF(O65="","",(1/Metadata!$B$5)^(O65-1))</f>
        <v>100</v>
      </c>
      <c r="U65" s="13">
        <f t="shared" si="0"/>
        <v>982377.78330353997</v>
      </c>
      <c r="V65" s="22" t="s">
        <v>45</v>
      </c>
      <c r="W65" s="20" t="s">
        <v>191</v>
      </c>
      <c r="X65" s="22" t="s">
        <v>45</v>
      </c>
      <c r="Y65" s="20" t="s">
        <v>191</v>
      </c>
    </row>
    <row r="66" spans="1:25" ht="18" customHeight="1">
      <c r="A66" s="10" t="s">
        <v>25</v>
      </c>
      <c r="B66" s="10" t="s">
        <v>26</v>
      </c>
      <c r="C66" s="10" t="s">
        <v>27</v>
      </c>
      <c r="D66" s="12">
        <v>2019</v>
      </c>
      <c r="E66" s="10" t="s">
        <v>309</v>
      </c>
      <c r="F66" s="10" t="s">
        <v>310</v>
      </c>
      <c r="G66" s="10" t="s">
        <v>311</v>
      </c>
      <c r="H66" s="10" t="s">
        <v>55</v>
      </c>
      <c r="I66" s="13">
        <v>9613.6197028127008</v>
      </c>
      <c r="J66" s="13">
        <v>9613.6197028127008</v>
      </c>
      <c r="K66" s="13">
        <v>0</v>
      </c>
      <c r="L66" s="13">
        <v>7716.7290760157994</v>
      </c>
      <c r="M66" s="13">
        <v>1896.8906267969001</v>
      </c>
      <c r="N66" s="10" t="s">
        <v>312</v>
      </c>
      <c r="O66" s="14">
        <v>3.62</v>
      </c>
      <c r="P66" s="10" t="s">
        <v>33</v>
      </c>
      <c r="Q66" s="14" t="s">
        <v>34</v>
      </c>
      <c r="R66" s="10" t="s">
        <v>35</v>
      </c>
      <c r="S66" s="10" t="s">
        <v>309</v>
      </c>
      <c r="T66" s="14">
        <f>IF(O66="","",(1/Metadata!$B$5)^(O66-1))</f>
        <v>416.86938347033572</v>
      </c>
      <c r="U66" s="13">
        <f t="shared" ref="U66:U129" si="1">IF(T66="","",I66*T66)</f>
        <v>4007623.7184298025</v>
      </c>
      <c r="V66" s="22" t="s">
        <v>119</v>
      </c>
      <c r="W66" s="20" t="s">
        <v>313</v>
      </c>
      <c r="X66" s="22" t="s">
        <v>119</v>
      </c>
      <c r="Y66" s="20" t="s">
        <v>313</v>
      </c>
    </row>
    <row r="67" spans="1:25" ht="18" customHeight="1">
      <c r="A67" s="10" t="s">
        <v>25</v>
      </c>
      <c r="B67" s="10" t="s">
        <v>26</v>
      </c>
      <c r="C67" s="10" t="s">
        <v>27</v>
      </c>
      <c r="D67" s="12">
        <v>2019</v>
      </c>
      <c r="E67" s="10" t="s">
        <v>314</v>
      </c>
      <c r="F67" s="10" t="s">
        <v>315</v>
      </c>
      <c r="G67" s="10" t="s">
        <v>311</v>
      </c>
      <c r="H67" s="10" t="s">
        <v>55</v>
      </c>
      <c r="I67" s="13">
        <v>9168.4368781713001</v>
      </c>
      <c r="J67" s="13">
        <v>8867.0207448520996</v>
      </c>
      <c r="K67" s="13">
        <v>301.41613331920001</v>
      </c>
      <c r="L67" s="13">
        <v>6761.2677683866996</v>
      </c>
      <c r="M67" s="13">
        <v>2407.1691097846001</v>
      </c>
      <c r="N67" s="10" t="s">
        <v>316</v>
      </c>
      <c r="O67" s="14">
        <v>4</v>
      </c>
      <c r="P67" s="10" t="s">
        <v>43</v>
      </c>
      <c r="Q67" s="14" t="s">
        <v>44</v>
      </c>
      <c r="R67" s="10" t="s">
        <v>35</v>
      </c>
      <c r="S67" s="10" t="s">
        <v>314</v>
      </c>
      <c r="T67" s="14">
        <f>IF(O67="","",(1/Metadata!$B$5)^(O67-1))</f>
        <v>1000</v>
      </c>
      <c r="U67" s="13">
        <f t="shared" si="1"/>
        <v>9168436.8781713005</v>
      </c>
      <c r="V67" s="22" t="s">
        <v>119</v>
      </c>
      <c r="W67" s="20" t="s">
        <v>313</v>
      </c>
      <c r="X67" s="22" t="s">
        <v>119</v>
      </c>
      <c r="Y67" s="20" t="s">
        <v>313</v>
      </c>
    </row>
    <row r="68" spans="1:25" ht="18" customHeight="1">
      <c r="A68" s="10" t="s">
        <v>25</v>
      </c>
      <c r="B68" s="10" t="s">
        <v>26</v>
      </c>
      <c r="C68" s="10" t="s">
        <v>27</v>
      </c>
      <c r="D68" s="12">
        <v>2019</v>
      </c>
      <c r="E68" s="10" t="s">
        <v>317</v>
      </c>
      <c r="F68" s="10" t="s">
        <v>318</v>
      </c>
      <c r="G68" s="10" t="s">
        <v>123</v>
      </c>
      <c r="H68" s="10" t="s">
        <v>97</v>
      </c>
      <c r="I68" s="13">
        <v>9070.3780201808004</v>
      </c>
      <c r="J68" s="13">
        <v>8557.1588486543005</v>
      </c>
      <c r="K68" s="13">
        <v>513.21917152649996</v>
      </c>
      <c r="L68" s="13">
        <v>8531.1462614685006</v>
      </c>
      <c r="M68" s="13">
        <v>539.23175871230001</v>
      </c>
      <c r="N68" s="10" t="s">
        <v>319</v>
      </c>
      <c r="O68" s="14">
        <v>2.7</v>
      </c>
      <c r="P68" s="10" t="s">
        <v>33</v>
      </c>
      <c r="Q68" s="14" t="s">
        <v>34</v>
      </c>
      <c r="R68" s="10" t="s">
        <v>35</v>
      </c>
      <c r="S68" s="10" t="s">
        <v>317</v>
      </c>
      <c r="T68" s="14">
        <f>IF(O68="","",(1/Metadata!$B$5)^(O68-1))</f>
        <v>50.118723362727259</v>
      </c>
      <c r="U68" s="13">
        <f t="shared" si="1"/>
        <v>454595.76678880327</v>
      </c>
      <c r="V68" s="21" t="s">
        <v>125</v>
      </c>
      <c r="W68" s="20" t="s">
        <v>320</v>
      </c>
      <c r="X68" s="21" t="s">
        <v>125</v>
      </c>
      <c r="Y68" s="20" t="s">
        <v>320</v>
      </c>
    </row>
    <row r="69" spans="1:25" ht="18" customHeight="1">
      <c r="A69" s="10" t="s">
        <v>25</v>
      </c>
      <c r="B69" s="10" t="s">
        <v>26</v>
      </c>
      <c r="C69" s="10" t="s">
        <v>27</v>
      </c>
      <c r="D69" s="12">
        <v>2019</v>
      </c>
      <c r="E69" s="10" t="s">
        <v>321</v>
      </c>
      <c r="F69" s="10" t="s">
        <v>322</v>
      </c>
      <c r="G69" s="10" t="s">
        <v>49</v>
      </c>
      <c r="H69" s="10" t="s">
        <v>55</v>
      </c>
      <c r="I69" s="13">
        <v>8979.2835819838001</v>
      </c>
      <c r="J69" s="13">
        <v>8713.7718832193004</v>
      </c>
      <c r="K69" s="13">
        <v>265.51169876450001</v>
      </c>
      <c r="L69" s="13">
        <v>8355.9126801179991</v>
      </c>
      <c r="M69" s="13">
        <v>623.37090186579996</v>
      </c>
      <c r="N69" s="10" t="s">
        <v>323</v>
      </c>
      <c r="O69" s="14">
        <v>4.26</v>
      </c>
      <c r="P69" s="10" t="s">
        <v>33</v>
      </c>
      <c r="Q69" s="14" t="s">
        <v>34</v>
      </c>
      <c r="R69" s="10" t="s">
        <v>35</v>
      </c>
      <c r="S69" s="10" t="s">
        <v>321</v>
      </c>
      <c r="T69" s="14">
        <f>IF(O69="","",(1/Metadata!$B$5)^(O69-1))</f>
        <v>1819.7008586099832</v>
      </c>
      <c r="U69" s="13">
        <f t="shared" si="1"/>
        <v>16339610.043838447</v>
      </c>
      <c r="V69" s="19" t="s">
        <v>36</v>
      </c>
      <c r="W69" s="20" t="s">
        <v>324</v>
      </c>
      <c r="X69" s="19" t="s">
        <v>36</v>
      </c>
      <c r="Y69" s="20" t="s">
        <v>324</v>
      </c>
    </row>
    <row r="70" spans="1:25" ht="18" customHeight="1">
      <c r="A70" s="10" t="s">
        <v>25</v>
      </c>
      <c r="B70" s="10" t="s">
        <v>26</v>
      </c>
      <c r="C70" s="10" t="s">
        <v>27</v>
      </c>
      <c r="D70" s="12">
        <v>2019</v>
      </c>
      <c r="E70" s="10" t="s">
        <v>325</v>
      </c>
      <c r="F70" s="10" t="s">
        <v>326</v>
      </c>
      <c r="G70" s="10" t="s">
        <v>77</v>
      </c>
      <c r="H70" s="10" t="s">
        <v>78</v>
      </c>
      <c r="I70" s="13">
        <v>8155.7647528985999</v>
      </c>
      <c r="J70" s="13">
        <v>7950.4527018514</v>
      </c>
      <c r="K70" s="13">
        <v>205.31205104719999</v>
      </c>
      <c r="L70" s="13">
        <v>7942.5433485274998</v>
      </c>
      <c r="M70" s="13">
        <v>213.22140437109999</v>
      </c>
      <c r="N70" s="10" t="s">
        <v>327</v>
      </c>
      <c r="O70" s="14">
        <v>2</v>
      </c>
      <c r="P70" s="10" t="s">
        <v>33</v>
      </c>
      <c r="Q70" s="14" t="s">
        <v>34</v>
      </c>
      <c r="R70" s="10" t="s">
        <v>35</v>
      </c>
      <c r="S70" s="10" t="s">
        <v>325</v>
      </c>
      <c r="T70" s="14">
        <f>IF(O70="","",(1/Metadata!$B$5)^(O70-1))</f>
        <v>10</v>
      </c>
      <c r="U70" s="13">
        <f t="shared" si="1"/>
        <v>81557.647528985995</v>
      </c>
      <c r="V70" s="21" t="s">
        <v>80</v>
      </c>
      <c r="W70" s="20" t="s">
        <v>81</v>
      </c>
      <c r="X70" s="21" t="s">
        <v>80</v>
      </c>
      <c r="Y70" s="20" t="s">
        <v>81</v>
      </c>
    </row>
    <row r="71" spans="1:25" ht="18" customHeight="1">
      <c r="A71" s="10" t="s">
        <v>25</v>
      </c>
      <c r="B71" s="10" t="s">
        <v>26</v>
      </c>
      <c r="C71" s="10" t="s">
        <v>27</v>
      </c>
      <c r="D71" s="12">
        <v>2019</v>
      </c>
      <c r="E71" s="10" t="s">
        <v>328</v>
      </c>
      <c r="F71" s="10" t="s">
        <v>329</v>
      </c>
      <c r="G71" s="10" t="s">
        <v>142</v>
      </c>
      <c r="H71" s="10" t="s">
        <v>55</v>
      </c>
      <c r="I71" s="13">
        <v>7585.5763329912998</v>
      </c>
      <c r="J71" s="13">
        <v>7566.9216232556</v>
      </c>
      <c r="K71" s="13">
        <v>18.654709735699999</v>
      </c>
      <c r="L71" s="13">
        <v>6284.3089986689001</v>
      </c>
      <c r="M71" s="13">
        <v>1301.2673343224001</v>
      </c>
      <c r="N71" s="10" t="s">
        <v>330</v>
      </c>
      <c r="O71" s="14">
        <v>4.37</v>
      </c>
      <c r="P71" s="10" t="s">
        <v>43</v>
      </c>
      <c r="Q71" s="14" t="s">
        <v>44</v>
      </c>
      <c r="R71" s="10" t="s">
        <v>35</v>
      </c>
      <c r="S71" s="10" t="s">
        <v>328</v>
      </c>
      <c r="T71" s="14">
        <f>IF(O71="","",(1/Metadata!$B$5)^(O71-1))</f>
        <v>2344.2288153199238</v>
      </c>
      <c r="U71" s="13">
        <f t="shared" si="1"/>
        <v>17782326.620607045</v>
      </c>
      <c r="V71" s="21" t="s">
        <v>92</v>
      </c>
      <c r="W71" s="20" t="s">
        <v>331</v>
      </c>
      <c r="X71" s="21" t="s">
        <v>92</v>
      </c>
      <c r="Y71" s="20" t="s">
        <v>331</v>
      </c>
    </row>
    <row r="72" spans="1:25" ht="18" customHeight="1">
      <c r="A72" s="10" t="s">
        <v>25</v>
      </c>
      <c r="B72" s="10" t="s">
        <v>26</v>
      </c>
      <c r="C72" s="10" t="s">
        <v>27</v>
      </c>
      <c r="D72" s="12">
        <v>2019</v>
      </c>
      <c r="E72" s="10" t="s">
        <v>332</v>
      </c>
      <c r="F72" s="10" t="s">
        <v>333</v>
      </c>
      <c r="G72" s="10" t="s">
        <v>77</v>
      </c>
      <c r="H72" s="10" t="s">
        <v>78</v>
      </c>
      <c r="I72" s="13">
        <v>6582.2851614753999</v>
      </c>
      <c r="J72" s="13">
        <v>6579.7359606501996</v>
      </c>
      <c r="K72" s="13">
        <v>2.5492008251999998</v>
      </c>
      <c r="L72" s="13">
        <v>6516.6899353243998</v>
      </c>
      <c r="M72" s="13">
        <v>65.595226151000006</v>
      </c>
      <c r="N72" s="10" t="s">
        <v>334</v>
      </c>
      <c r="O72" s="14">
        <v>3.06</v>
      </c>
      <c r="P72" s="10" t="s">
        <v>33</v>
      </c>
      <c r="Q72" s="14" t="s">
        <v>34</v>
      </c>
      <c r="R72" s="10" t="s">
        <v>35</v>
      </c>
      <c r="S72" s="10" t="s">
        <v>332</v>
      </c>
      <c r="T72" s="14">
        <f>IF(O72="","",(1/Metadata!$B$5)^(O72-1))</f>
        <v>114.81536214968835</v>
      </c>
      <c r="U72" s="13">
        <f t="shared" si="1"/>
        <v>755747.45458731789</v>
      </c>
      <c r="V72" s="21" t="s">
        <v>80</v>
      </c>
      <c r="W72" s="20" t="s">
        <v>81</v>
      </c>
      <c r="X72" s="21" t="s">
        <v>80</v>
      </c>
      <c r="Y72" s="20" t="s">
        <v>81</v>
      </c>
    </row>
    <row r="73" spans="1:25" ht="18" customHeight="1">
      <c r="A73" s="10" t="s">
        <v>25</v>
      </c>
      <c r="B73" s="10" t="s">
        <v>26</v>
      </c>
      <c r="C73" s="10" t="s">
        <v>27</v>
      </c>
      <c r="D73" s="12">
        <v>2019</v>
      </c>
      <c r="E73" s="10" t="s">
        <v>335</v>
      </c>
      <c r="F73" s="10" t="s">
        <v>336</v>
      </c>
      <c r="G73" s="10" t="s">
        <v>142</v>
      </c>
      <c r="H73" s="10" t="s">
        <v>220</v>
      </c>
      <c r="I73" s="13">
        <v>6472.8074290320001</v>
      </c>
      <c r="J73" s="13">
        <v>6465.2771616102</v>
      </c>
      <c r="K73" s="13">
        <v>7.5302674218000014</v>
      </c>
      <c r="L73" s="13">
        <v>6465.2771616102</v>
      </c>
      <c r="M73" s="13">
        <v>7.5302674218000014</v>
      </c>
      <c r="N73" s="10" t="s">
        <v>337</v>
      </c>
      <c r="O73" s="14">
        <v>4.3</v>
      </c>
      <c r="P73" s="10" t="s">
        <v>43</v>
      </c>
      <c r="Q73" s="14" t="s">
        <v>44</v>
      </c>
      <c r="R73" s="10" t="s">
        <v>35</v>
      </c>
      <c r="S73" s="10" t="s">
        <v>335</v>
      </c>
      <c r="T73" s="14">
        <f>IF(O73="","",(1/Metadata!$B$5)^(O73-1))</f>
        <v>1995.2623149688804</v>
      </c>
      <c r="U73" s="13">
        <f t="shared" si="1"/>
        <v>12914948.735198155</v>
      </c>
      <c r="V73" s="22" t="s">
        <v>92</v>
      </c>
      <c r="W73" s="20" t="s">
        <v>222</v>
      </c>
      <c r="X73" s="22" t="s">
        <v>92</v>
      </c>
      <c r="Y73" s="20" t="s">
        <v>222</v>
      </c>
    </row>
    <row r="74" spans="1:25" ht="18" customHeight="1">
      <c r="A74" s="10" t="s">
        <v>25</v>
      </c>
      <c r="B74" s="10" t="s">
        <v>26</v>
      </c>
      <c r="C74" s="10" t="s">
        <v>27</v>
      </c>
      <c r="D74" s="12">
        <v>2019</v>
      </c>
      <c r="E74" s="10" t="s">
        <v>338</v>
      </c>
      <c r="F74" s="10" t="s">
        <v>339</v>
      </c>
      <c r="G74" s="10" t="s">
        <v>340</v>
      </c>
      <c r="H74" s="10" t="s">
        <v>280</v>
      </c>
      <c r="I74" s="13">
        <v>6225.5744773235001</v>
      </c>
      <c r="J74" s="13">
        <v>6086.2528983798002</v>
      </c>
      <c r="K74" s="13">
        <v>139.32157894369999</v>
      </c>
      <c r="L74" s="13">
        <v>5958.5451548757001</v>
      </c>
      <c r="M74" s="13">
        <v>267.02932244779998</v>
      </c>
      <c r="N74" s="10" t="s">
        <v>341</v>
      </c>
      <c r="O74" s="14">
        <v>4.25</v>
      </c>
      <c r="P74" s="10" t="s">
        <v>43</v>
      </c>
      <c r="Q74" s="14" t="s">
        <v>44</v>
      </c>
      <c r="R74" s="10" t="s">
        <v>35</v>
      </c>
      <c r="S74" s="10" t="s">
        <v>338</v>
      </c>
      <c r="T74" s="14">
        <f>IF(O74="","",(1/Metadata!$B$5)^(O74-1))</f>
        <v>1778.2794100389244</v>
      </c>
      <c r="U74" s="13">
        <f t="shared" si="1"/>
        <v>11070810.908688219</v>
      </c>
      <c r="V74" s="22" t="s">
        <v>92</v>
      </c>
      <c r="W74" s="20" t="s">
        <v>342</v>
      </c>
      <c r="X74" s="22" t="s">
        <v>92</v>
      </c>
      <c r="Y74" s="20" t="s">
        <v>342</v>
      </c>
    </row>
    <row r="75" spans="1:25" ht="18" customHeight="1">
      <c r="A75" s="10" t="s">
        <v>25</v>
      </c>
      <c r="B75" s="10" t="s">
        <v>26</v>
      </c>
      <c r="C75" s="10" t="s">
        <v>27</v>
      </c>
      <c r="D75" s="12">
        <v>2019</v>
      </c>
      <c r="E75" s="10" t="s">
        <v>343</v>
      </c>
      <c r="F75" s="10" t="s">
        <v>344</v>
      </c>
      <c r="G75" s="10" t="s">
        <v>96</v>
      </c>
      <c r="H75" s="10" t="s">
        <v>97</v>
      </c>
      <c r="I75" s="13">
        <v>5799.3782344798992</v>
      </c>
      <c r="J75" s="13">
        <v>5699.4626663708996</v>
      </c>
      <c r="K75" s="13">
        <v>99.915568108999992</v>
      </c>
      <c r="L75" s="13">
        <v>2492.4398438889998</v>
      </c>
      <c r="M75" s="13">
        <v>3306.9383905908999</v>
      </c>
      <c r="N75" s="10" t="s">
        <v>345</v>
      </c>
      <c r="O75" s="14">
        <v>3.24</v>
      </c>
      <c r="P75" s="10" t="s">
        <v>33</v>
      </c>
      <c r="Q75" s="14" t="s">
        <v>34</v>
      </c>
      <c r="R75" s="10" t="s">
        <v>35</v>
      </c>
      <c r="S75" s="10" t="s">
        <v>343</v>
      </c>
      <c r="T75" s="14">
        <f>IF(O75="","",(1/Metadata!$B$5)^(O75-1))</f>
        <v>173.78008287493768</v>
      </c>
      <c r="U75" s="13">
        <f t="shared" si="1"/>
        <v>1007816.4302110267</v>
      </c>
      <c r="V75" s="21" t="s">
        <v>96</v>
      </c>
      <c r="W75" s="20" t="s">
        <v>107</v>
      </c>
      <c r="X75" s="21" t="s">
        <v>96</v>
      </c>
      <c r="Y75" s="20" t="s">
        <v>107</v>
      </c>
    </row>
    <row r="76" spans="1:25" ht="18" customHeight="1">
      <c r="A76" s="10" t="s">
        <v>25</v>
      </c>
      <c r="B76" s="10" t="s">
        <v>26</v>
      </c>
      <c r="C76" s="10" t="s">
        <v>27</v>
      </c>
      <c r="D76" s="12">
        <v>2019</v>
      </c>
      <c r="E76" s="10" t="s">
        <v>346</v>
      </c>
      <c r="F76" s="10" t="s">
        <v>347</v>
      </c>
      <c r="G76" s="10" t="s">
        <v>77</v>
      </c>
      <c r="H76" s="10" t="s">
        <v>78</v>
      </c>
      <c r="I76" s="13">
        <v>5752.0967867744002</v>
      </c>
      <c r="J76" s="13">
        <v>2028.321392928</v>
      </c>
      <c r="K76" s="13">
        <v>3723.7753938464002</v>
      </c>
      <c r="L76" s="13">
        <v>484.52025564420001</v>
      </c>
      <c r="M76" s="13">
        <v>5267.5765311302002</v>
      </c>
      <c r="N76" s="10" t="s">
        <v>348</v>
      </c>
      <c r="O76" s="14">
        <v>2.1</v>
      </c>
      <c r="P76" s="10" t="s">
        <v>33</v>
      </c>
      <c r="Q76" s="14" t="s">
        <v>34</v>
      </c>
      <c r="R76" s="10" t="s">
        <v>35</v>
      </c>
      <c r="S76" s="10" t="s">
        <v>346</v>
      </c>
      <c r="T76" s="14">
        <f>IF(O76="","",(1/Metadata!$B$5)^(O76-1))</f>
        <v>12.58925411794168</v>
      </c>
      <c r="U76" s="13">
        <f t="shared" si="1"/>
        <v>72414.608159698721</v>
      </c>
      <c r="V76" s="21" t="s">
        <v>80</v>
      </c>
      <c r="W76" s="20" t="s">
        <v>81</v>
      </c>
      <c r="X76" s="21" t="s">
        <v>80</v>
      </c>
      <c r="Y76" s="20" t="s">
        <v>81</v>
      </c>
    </row>
    <row r="77" spans="1:25" ht="18" customHeight="1">
      <c r="A77" s="10" t="s">
        <v>25</v>
      </c>
      <c r="B77" s="10" t="s">
        <v>26</v>
      </c>
      <c r="C77" s="10" t="s">
        <v>27</v>
      </c>
      <c r="D77" s="12">
        <v>2019</v>
      </c>
      <c r="E77" s="10" t="s">
        <v>349</v>
      </c>
      <c r="F77" s="10" t="s">
        <v>350</v>
      </c>
      <c r="G77" s="10" t="s">
        <v>194</v>
      </c>
      <c r="H77" s="10" t="s">
        <v>55</v>
      </c>
      <c r="I77" s="13">
        <v>4893.0255562532002</v>
      </c>
      <c r="J77" s="13">
        <v>4138.5346392744996</v>
      </c>
      <c r="K77" s="13">
        <v>754.49091697869994</v>
      </c>
      <c r="L77" s="13">
        <v>3047.736150406</v>
      </c>
      <c r="M77" s="13">
        <v>1845.2894058472</v>
      </c>
      <c r="N77" s="10" t="s">
        <v>351</v>
      </c>
      <c r="O77" s="14">
        <v>3.36</v>
      </c>
      <c r="P77" s="10" t="s">
        <v>43</v>
      </c>
      <c r="Q77" s="14" t="s">
        <v>44</v>
      </c>
      <c r="R77" s="10" t="s">
        <v>35</v>
      </c>
      <c r="S77" s="10" t="s">
        <v>349</v>
      </c>
      <c r="T77" s="14">
        <f>IF(O77="","",(1/Metadata!$B$5)^(O77-1))</f>
        <v>229.08676527677744</v>
      </c>
      <c r="U77" s="13">
        <f t="shared" si="1"/>
        <v>1120927.3970986502</v>
      </c>
      <c r="V77" s="22" t="s">
        <v>86</v>
      </c>
      <c r="W77" s="20" t="s">
        <v>352</v>
      </c>
      <c r="X77" s="22" t="s">
        <v>86</v>
      </c>
      <c r="Y77" s="20" t="s">
        <v>352</v>
      </c>
    </row>
    <row r="78" spans="1:25" ht="18" customHeight="1">
      <c r="A78" s="10" t="s">
        <v>25</v>
      </c>
      <c r="B78" s="10" t="s">
        <v>26</v>
      </c>
      <c r="C78" s="10" t="s">
        <v>27</v>
      </c>
      <c r="D78" s="12">
        <v>2019</v>
      </c>
      <c r="E78" s="10" t="s">
        <v>353</v>
      </c>
      <c r="F78" s="10" t="s">
        <v>354</v>
      </c>
      <c r="G78" s="10" t="s">
        <v>77</v>
      </c>
      <c r="H78" s="10" t="s">
        <v>78</v>
      </c>
      <c r="I78" s="13">
        <v>4855.7963694343998</v>
      </c>
      <c r="J78" s="13">
        <v>4853.8815393645</v>
      </c>
      <c r="K78" s="13">
        <v>1.9148300699</v>
      </c>
      <c r="L78" s="13">
        <v>4853.8815393645</v>
      </c>
      <c r="M78" s="13">
        <v>1.9148300699</v>
      </c>
      <c r="N78" s="10" t="s">
        <v>355</v>
      </c>
      <c r="O78" s="14">
        <v>2</v>
      </c>
      <c r="P78" s="10" t="s">
        <v>33</v>
      </c>
      <c r="Q78" s="14" t="s">
        <v>34</v>
      </c>
      <c r="R78" s="10" t="s">
        <v>35</v>
      </c>
      <c r="S78" s="10" t="s">
        <v>353</v>
      </c>
      <c r="T78" s="14">
        <f>IF(O78="","",(1/Metadata!$B$5)^(O78-1))</f>
        <v>10</v>
      </c>
      <c r="U78" s="13">
        <f t="shared" si="1"/>
        <v>48557.963694343998</v>
      </c>
      <c r="V78" s="21" t="s">
        <v>80</v>
      </c>
      <c r="W78" s="20" t="s">
        <v>81</v>
      </c>
      <c r="X78" s="21" t="s">
        <v>80</v>
      </c>
      <c r="Y78" s="20" t="s">
        <v>81</v>
      </c>
    </row>
    <row r="79" spans="1:25" ht="18" customHeight="1">
      <c r="A79" s="10" t="s">
        <v>25</v>
      </c>
      <c r="B79" s="10" t="s">
        <v>26</v>
      </c>
      <c r="C79" s="10" t="s">
        <v>27</v>
      </c>
      <c r="D79" s="12">
        <v>2019</v>
      </c>
      <c r="E79" s="10" t="s">
        <v>356</v>
      </c>
      <c r="F79" s="10" t="s">
        <v>357</v>
      </c>
      <c r="G79" s="10" t="s">
        <v>358</v>
      </c>
      <c r="H79" s="10" t="s">
        <v>31</v>
      </c>
      <c r="I79" s="13">
        <v>4849.1617477427999</v>
      </c>
      <c r="J79" s="13">
        <v>4544.6227432267997</v>
      </c>
      <c r="K79" s="13">
        <v>304.53900451599998</v>
      </c>
      <c r="L79" s="13">
        <v>4476.4793865954998</v>
      </c>
      <c r="M79" s="13">
        <v>372.68236114730001</v>
      </c>
      <c r="N79" s="10" t="s">
        <v>359</v>
      </c>
      <c r="O79" s="14">
        <v>3.5</v>
      </c>
      <c r="P79" s="10" t="s">
        <v>33</v>
      </c>
      <c r="Q79" s="14" t="s">
        <v>34</v>
      </c>
      <c r="R79" s="10" t="s">
        <v>35</v>
      </c>
      <c r="S79" s="10" t="s">
        <v>356</v>
      </c>
      <c r="T79" s="14">
        <f>IF(O79="","",(1/Metadata!$B$5)^(O79-1))</f>
        <v>316.22776601683825</v>
      </c>
      <c r="U79" s="13">
        <f t="shared" si="1"/>
        <v>1533439.5865430126</v>
      </c>
      <c r="V79" s="21" t="s">
        <v>86</v>
      </c>
      <c r="W79" s="20" t="s">
        <v>360</v>
      </c>
      <c r="X79" s="21" t="s">
        <v>86</v>
      </c>
      <c r="Y79" s="20" t="s">
        <v>360</v>
      </c>
    </row>
    <row r="80" spans="1:25" ht="18" customHeight="1">
      <c r="A80" s="10" t="s">
        <v>25</v>
      </c>
      <c r="B80" s="10" t="s">
        <v>26</v>
      </c>
      <c r="C80" s="10" t="s">
        <v>27</v>
      </c>
      <c r="D80" s="12">
        <v>2019</v>
      </c>
      <c r="E80" s="10" t="s">
        <v>361</v>
      </c>
      <c r="F80" s="10" t="s">
        <v>362</v>
      </c>
      <c r="G80" s="10" t="s">
        <v>151</v>
      </c>
      <c r="H80" s="10" t="s">
        <v>31</v>
      </c>
      <c r="I80" s="13">
        <v>4838.0853947815003</v>
      </c>
      <c r="J80" s="13">
        <v>3901.6060772267001</v>
      </c>
      <c r="K80" s="13">
        <v>936.47931755479999</v>
      </c>
      <c r="L80" s="13">
        <v>3817.3235105608001</v>
      </c>
      <c r="M80" s="13">
        <v>1020.7618842207</v>
      </c>
      <c r="N80" s="10" t="s">
        <v>363</v>
      </c>
      <c r="O80" s="14">
        <v>3.6</v>
      </c>
      <c r="P80" s="10" t="s">
        <v>33</v>
      </c>
      <c r="Q80" s="14" t="s">
        <v>34</v>
      </c>
      <c r="R80" s="10" t="s">
        <v>35</v>
      </c>
      <c r="S80" s="10" t="s">
        <v>361</v>
      </c>
      <c r="T80" s="14">
        <f>IF(O80="","",(1/Metadata!$B$5)^(O80-1))</f>
        <v>398.10717055349761</v>
      </c>
      <c r="U80" s="13">
        <f t="shared" si="1"/>
        <v>1926076.4874126646</v>
      </c>
      <c r="V80" s="21" t="s">
        <v>151</v>
      </c>
      <c r="W80" s="20" t="s">
        <v>153</v>
      </c>
      <c r="X80" s="21" t="s">
        <v>151</v>
      </c>
      <c r="Y80" s="20" t="s">
        <v>153</v>
      </c>
    </row>
    <row r="81" spans="1:25" ht="18" customHeight="1">
      <c r="A81" s="10" t="s">
        <v>25</v>
      </c>
      <c r="B81" s="10" t="s">
        <v>26</v>
      </c>
      <c r="C81" s="10" t="s">
        <v>27</v>
      </c>
      <c r="D81" s="12">
        <v>2019</v>
      </c>
      <c r="E81" s="10" t="s">
        <v>364</v>
      </c>
      <c r="F81" s="10" t="s">
        <v>365</v>
      </c>
      <c r="G81" s="10" t="s">
        <v>30</v>
      </c>
      <c r="H81" s="10" t="s">
        <v>55</v>
      </c>
      <c r="I81" s="13">
        <v>4762.8987794754003</v>
      </c>
      <c r="J81" s="13">
        <v>4744.7537959619003</v>
      </c>
      <c r="K81" s="13">
        <v>18.144983513500001</v>
      </c>
      <c r="L81" s="13">
        <v>603.41067399070005</v>
      </c>
      <c r="M81" s="13">
        <v>4159.4881054847001</v>
      </c>
      <c r="N81" s="10" t="s">
        <v>366</v>
      </c>
      <c r="O81" s="14">
        <v>3.24</v>
      </c>
      <c r="P81" s="10" t="s">
        <v>43</v>
      </c>
      <c r="Q81" s="14" t="s">
        <v>44</v>
      </c>
      <c r="R81" s="10" t="s">
        <v>35</v>
      </c>
      <c r="S81" s="10" t="s">
        <v>364</v>
      </c>
      <c r="T81" s="14">
        <f>IF(O81="","",(1/Metadata!$B$5)^(O81-1))</f>
        <v>173.78008287493768</v>
      </c>
      <c r="U81" s="13">
        <f t="shared" si="1"/>
        <v>827696.9446221746</v>
      </c>
      <c r="V81" s="21" t="s">
        <v>203</v>
      </c>
      <c r="W81" s="20" t="s">
        <v>241</v>
      </c>
      <c r="X81" s="21" t="s">
        <v>203</v>
      </c>
      <c r="Y81" s="20" t="s">
        <v>241</v>
      </c>
    </row>
    <row r="82" spans="1:25" ht="18" customHeight="1">
      <c r="A82" s="10" t="s">
        <v>25</v>
      </c>
      <c r="B82" s="10" t="s">
        <v>26</v>
      </c>
      <c r="C82" s="10" t="s">
        <v>27</v>
      </c>
      <c r="D82" s="12">
        <v>2019</v>
      </c>
      <c r="E82" s="10" t="s">
        <v>367</v>
      </c>
      <c r="F82" s="10" t="s">
        <v>368</v>
      </c>
      <c r="G82" s="10" t="s">
        <v>151</v>
      </c>
      <c r="H82" s="10" t="s">
        <v>31</v>
      </c>
      <c r="I82" s="13">
        <v>4331.4490683473996</v>
      </c>
      <c r="J82" s="13">
        <v>4139.9303709168998</v>
      </c>
      <c r="K82" s="13">
        <v>191.5186974305</v>
      </c>
      <c r="L82" s="13">
        <v>4119.2233122854996</v>
      </c>
      <c r="M82" s="13">
        <v>212.2257560619</v>
      </c>
      <c r="N82" s="10" t="s">
        <v>369</v>
      </c>
      <c r="O82" s="14">
        <v>3.9</v>
      </c>
      <c r="P82" s="10" t="s">
        <v>33</v>
      </c>
      <c r="Q82" s="14" t="s">
        <v>34</v>
      </c>
      <c r="R82" s="10" t="s">
        <v>35</v>
      </c>
      <c r="S82" s="10" t="s">
        <v>367</v>
      </c>
      <c r="T82" s="14">
        <f>IF(O82="","",(1/Metadata!$B$5)^(O82-1))</f>
        <v>794.32823472428208</v>
      </c>
      <c r="U82" s="13">
        <f t="shared" si="1"/>
        <v>3440592.2922585262</v>
      </c>
      <c r="V82" s="21" t="s">
        <v>151</v>
      </c>
      <c r="W82" s="20" t="s">
        <v>153</v>
      </c>
      <c r="X82" s="21" t="s">
        <v>151</v>
      </c>
      <c r="Y82" s="20" t="s">
        <v>153</v>
      </c>
    </row>
    <row r="83" spans="1:25" ht="18" customHeight="1">
      <c r="A83" s="10" t="s">
        <v>25</v>
      </c>
      <c r="B83" s="10" t="s">
        <v>26</v>
      </c>
      <c r="C83" s="10" t="s">
        <v>27</v>
      </c>
      <c r="D83" s="12">
        <v>2019</v>
      </c>
      <c r="E83" s="10" t="s">
        <v>370</v>
      </c>
      <c r="F83" s="10" t="s">
        <v>371</v>
      </c>
      <c r="G83" s="10" t="s">
        <v>49</v>
      </c>
      <c r="H83" s="10" t="s">
        <v>55</v>
      </c>
      <c r="I83" s="13">
        <v>4005.9273097159999</v>
      </c>
      <c r="J83" s="13">
        <v>0</v>
      </c>
      <c r="K83" s="13">
        <v>4005.9273097159999</v>
      </c>
      <c r="L83" s="13">
        <v>0</v>
      </c>
      <c r="M83" s="13">
        <v>4005.9273097159999</v>
      </c>
      <c r="N83" s="10" t="s">
        <v>372</v>
      </c>
      <c r="O83" s="14">
        <v>4.2300000000000004</v>
      </c>
      <c r="P83" s="10" t="s">
        <v>43</v>
      </c>
      <c r="Q83" s="14" t="s">
        <v>44</v>
      </c>
      <c r="R83" s="10" t="s">
        <v>35</v>
      </c>
      <c r="S83" s="10" t="s">
        <v>370</v>
      </c>
      <c r="T83" s="14">
        <f>IF(O83="","",(1/Metadata!$B$5)^(O83-1))</f>
        <v>1698.2436524617478</v>
      </c>
      <c r="U83" s="13">
        <f t="shared" si="1"/>
        <v>6803040.625948363</v>
      </c>
      <c r="V83" s="21" t="s">
        <v>57</v>
      </c>
      <c r="W83" s="20" t="s">
        <v>103</v>
      </c>
      <c r="X83" s="21" t="s">
        <v>57</v>
      </c>
      <c r="Y83" s="20" t="s">
        <v>103</v>
      </c>
    </row>
    <row r="84" spans="1:25" ht="18" customHeight="1">
      <c r="A84" s="10" t="s">
        <v>25</v>
      </c>
      <c r="B84" s="10" t="s">
        <v>26</v>
      </c>
      <c r="C84" s="10" t="s">
        <v>27</v>
      </c>
      <c r="D84" s="12">
        <v>2019</v>
      </c>
      <c r="E84" s="10" t="s">
        <v>373</v>
      </c>
      <c r="F84" s="10" t="s">
        <v>374</v>
      </c>
      <c r="G84" s="10" t="s">
        <v>77</v>
      </c>
      <c r="H84" s="10" t="s">
        <v>31</v>
      </c>
      <c r="I84" s="13">
        <v>3947.7166805174002</v>
      </c>
      <c r="J84" s="13">
        <v>3946.8292586764001</v>
      </c>
      <c r="K84" s="13">
        <v>0.88742184099999999</v>
      </c>
      <c r="L84" s="13">
        <v>3946.8292586764001</v>
      </c>
      <c r="M84" s="13">
        <v>0.88742184099999999</v>
      </c>
      <c r="N84" s="10" t="s">
        <v>375</v>
      </c>
      <c r="O84" s="14">
        <v>2.2999999999999998</v>
      </c>
      <c r="P84" s="10" t="s">
        <v>33</v>
      </c>
      <c r="Q84" s="14" t="s">
        <v>34</v>
      </c>
      <c r="R84" s="10" t="s">
        <v>35</v>
      </c>
      <c r="S84" s="10" t="s">
        <v>373</v>
      </c>
      <c r="T84" s="14">
        <f>IF(O84="","",(1/Metadata!$B$5)^(O84-1))</f>
        <v>19.952623149688797</v>
      </c>
      <c r="U84" s="13">
        <f t="shared" si="1"/>
        <v>78767.303228104094</v>
      </c>
      <c r="V84" s="21" t="s">
        <v>376</v>
      </c>
      <c r="W84" s="20" t="s">
        <v>377</v>
      </c>
      <c r="X84" s="21" t="s">
        <v>376</v>
      </c>
      <c r="Y84" s="20" t="s">
        <v>377</v>
      </c>
    </row>
    <row r="85" spans="1:25" ht="18" customHeight="1">
      <c r="A85" s="10" t="s">
        <v>25</v>
      </c>
      <c r="B85" s="10" t="s">
        <v>26</v>
      </c>
      <c r="C85" s="10" t="s">
        <v>27</v>
      </c>
      <c r="D85" s="12">
        <v>2019</v>
      </c>
      <c r="E85" s="10" t="s">
        <v>378</v>
      </c>
      <c r="F85" s="10" t="s">
        <v>379</v>
      </c>
      <c r="G85" s="10" t="s">
        <v>194</v>
      </c>
      <c r="H85" s="10" t="s">
        <v>55</v>
      </c>
      <c r="I85" s="13">
        <v>3849.8733103784002</v>
      </c>
      <c r="J85" s="13">
        <v>3849.8733103784002</v>
      </c>
      <c r="K85" s="13">
        <v>0</v>
      </c>
      <c r="L85" s="13">
        <v>0</v>
      </c>
      <c r="M85" s="13">
        <v>3849.8733103784002</v>
      </c>
      <c r="N85" s="10" t="s">
        <v>380</v>
      </c>
      <c r="O85" s="14">
        <v>2.19</v>
      </c>
      <c r="P85" s="10" t="s">
        <v>33</v>
      </c>
      <c r="Q85" s="14" t="s">
        <v>34</v>
      </c>
      <c r="R85" s="10" t="s">
        <v>35</v>
      </c>
      <c r="S85" s="10" t="s">
        <v>378</v>
      </c>
      <c r="T85" s="14">
        <f>IF(O85="","",(1/Metadata!$B$5)^(O85-1))</f>
        <v>15.488166189124817</v>
      </c>
      <c r="U85" s="13">
        <f t="shared" si="1"/>
        <v>59627.477638216769</v>
      </c>
      <c r="V85" s="22" t="s">
        <v>203</v>
      </c>
      <c r="W85" s="20" t="s">
        <v>381</v>
      </c>
      <c r="X85" s="22" t="s">
        <v>203</v>
      </c>
      <c r="Y85" s="20" t="s">
        <v>381</v>
      </c>
    </row>
    <row r="86" spans="1:25" ht="18" customHeight="1">
      <c r="A86" s="10" t="s">
        <v>25</v>
      </c>
      <c r="B86" s="10" t="s">
        <v>26</v>
      </c>
      <c r="C86" s="10" t="s">
        <v>27</v>
      </c>
      <c r="D86" s="12">
        <v>2019</v>
      </c>
      <c r="E86" s="10" t="s">
        <v>382</v>
      </c>
      <c r="F86" s="10" t="s">
        <v>383</v>
      </c>
      <c r="G86" s="10" t="s">
        <v>194</v>
      </c>
      <c r="H86" s="10" t="s">
        <v>55</v>
      </c>
      <c r="I86" s="13">
        <v>3732.0364401167999</v>
      </c>
      <c r="J86" s="13">
        <v>3732.0364401167999</v>
      </c>
      <c r="K86" s="13">
        <v>0</v>
      </c>
      <c r="L86" s="13">
        <v>962.21834268500004</v>
      </c>
      <c r="M86" s="13">
        <v>2769.8180974318002</v>
      </c>
      <c r="N86" s="10" t="s">
        <v>384</v>
      </c>
      <c r="O86" s="14">
        <v>3.81</v>
      </c>
      <c r="P86" s="10" t="s">
        <v>33</v>
      </c>
      <c r="Q86" s="14" t="s">
        <v>34</v>
      </c>
      <c r="R86" s="10" t="s">
        <v>35</v>
      </c>
      <c r="S86" s="10" t="s">
        <v>382</v>
      </c>
      <c r="T86" s="14">
        <f>IF(O86="","",(1/Metadata!$B$5)^(O86-1))</f>
        <v>645.65422903465594</v>
      </c>
      <c r="U86" s="13">
        <f t="shared" si="1"/>
        <v>2409605.1104728542</v>
      </c>
      <c r="V86" s="21" t="s">
        <v>86</v>
      </c>
      <c r="W86" s="20" t="s">
        <v>385</v>
      </c>
      <c r="X86" s="21" t="s">
        <v>86</v>
      </c>
      <c r="Y86" s="20" t="s">
        <v>385</v>
      </c>
    </row>
    <row r="87" spans="1:25" ht="18" customHeight="1">
      <c r="A87" s="10" t="s">
        <v>25</v>
      </c>
      <c r="B87" s="10" t="s">
        <v>26</v>
      </c>
      <c r="C87" s="10" t="s">
        <v>27</v>
      </c>
      <c r="D87" s="12">
        <v>2019</v>
      </c>
      <c r="E87" s="10" t="s">
        <v>386</v>
      </c>
      <c r="F87" s="10" t="s">
        <v>387</v>
      </c>
      <c r="G87" s="10" t="s">
        <v>194</v>
      </c>
      <c r="H87" s="10" t="s">
        <v>55</v>
      </c>
      <c r="I87" s="13">
        <v>3586.6654938439001</v>
      </c>
      <c r="J87" s="13">
        <v>3586.6654938439001</v>
      </c>
      <c r="K87" s="13">
        <v>0</v>
      </c>
      <c r="L87" s="13">
        <v>0</v>
      </c>
      <c r="M87" s="13">
        <v>3586.6654938439001</v>
      </c>
      <c r="N87" s="10" t="s">
        <v>388</v>
      </c>
      <c r="O87" s="14">
        <v>3.55</v>
      </c>
      <c r="P87" s="10" t="s">
        <v>43</v>
      </c>
      <c r="Q87" s="14" t="s">
        <v>44</v>
      </c>
      <c r="R87" s="10" t="s">
        <v>35</v>
      </c>
      <c r="S87" s="10" t="s">
        <v>386</v>
      </c>
      <c r="T87" s="14">
        <f>IF(O87="","",(1/Metadata!$B$5)^(O87-1))</f>
        <v>354.81338923357566</v>
      </c>
      <c r="U87" s="13">
        <f t="shared" si="1"/>
        <v>1272596.9399178706</v>
      </c>
      <c r="V87" s="22" t="s">
        <v>86</v>
      </c>
      <c r="W87" s="20" t="s">
        <v>389</v>
      </c>
      <c r="X87" s="22" t="s">
        <v>86</v>
      </c>
      <c r="Y87" s="20" t="s">
        <v>389</v>
      </c>
    </row>
    <row r="88" spans="1:25" ht="18" customHeight="1">
      <c r="A88" s="10" t="s">
        <v>25</v>
      </c>
      <c r="B88" s="10" t="s">
        <v>26</v>
      </c>
      <c r="C88" s="10" t="s">
        <v>27</v>
      </c>
      <c r="D88" s="12">
        <v>2019</v>
      </c>
      <c r="E88" s="10" t="s">
        <v>390</v>
      </c>
      <c r="F88" s="10" t="s">
        <v>391</v>
      </c>
      <c r="G88" s="10" t="s">
        <v>194</v>
      </c>
      <c r="H88" s="10" t="s">
        <v>55</v>
      </c>
      <c r="I88" s="13">
        <v>3401.7376591078</v>
      </c>
      <c r="J88" s="13">
        <v>3401.7376591078</v>
      </c>
      <c r="K88" s="13">
        <v>0</v>
      </c>
      <c r="L88" s="13">
        <v>0</v>
      </c>
      <c r="M88" s="13">
        <v>3401.7376591078</v>
      </c>
      <c r="N88" s="10" t="s">
        <v>392</v>
      </c>
      <c r="O88" s="14">
        <v>2.5299999999999998</v>
      </c>
      <c r="P88" s="10" t="s">
        <v>33</v>
      </c>
      <c r="Q88" s="14" t="s">
        <v>34</v>
      </c>
      <c r="R88" s="10" t="s">
        <v>35</v>
      </c>
      <c r="S88" s="10" t="s">
        <v>390</v>
      </c>
      <c r="T88" s="14">
        <f>IF(O88="","",(1/Metadata!$B$5)^(O88-1))</f>
        <v>33.884415613920254</v>
      </c>
      <c r="U88" s="13">
        <f t="shared" si="1"/>
        <v>115265.89265073287</v>
      </c>
      <c r="V88" s="22" t="s">
        <v>130</v>
      </c>
      <c r="W88" s="20" t="s">
        <v>131</v>
      </c>
      <c r="X88" s="22" t="s">
        <v>130</v>
      </c>
      <c r="Y88" s="20" t="s">
        <v>131</v>
      </c>
    </row>
    <row r="89" spans="1:25" ht="18" customHeight="1">
      <c r="A89" s="10" t="s">
        <v>25</v>
      </c>
      <c r="B89" s="10" t="s">
        <v>26</v>
      </c>
      <c r="C89" s="10" t="s">
        <v>27</v>
      </c>
      <c r="D89" s="12">
        <v>2019</v>
      </c>
      <c r="E89" s="10" t="s">
        <v>393</v>
      </c>
      <c r="F89" s="10" t="s">
        <v>394</v>
      </c>
      <c r="G89" s="10" t="s">
        <v>84</v>
      </c>
      <c r="H89" s="10" t="s">
        <v>31</v>
      </c>
      <c r="I89" s="13">
        <v>3297.2996737460999</v>
      </c>
      <c r="J89" s="13">
        <v>3284.8050558239001</v>
      </c>
      <c r="K89" s="13">
        <v>12.4946179222</v>
      </c>
      <c r="L89" s="13">
        <v>3107.8522161274</v>
      </c>
      <c r="M89" s="13">
        <v>189.44745761870001</v>
      </c>
      <c r="N89" s="10" t="s">
        <v>395</v>
      </c>
      <c r="O89" s="14">
        <v>2.84</v>
      </c>
      <c r="P89" s="10" t="s">
        <v>43</v>
      </c>
      <c r="Q89" s="14" t="s">
        <v>44</v>
      </c>
      <c r="R89" s="10" t="s">
        <v>35</v>
      </c>
      <c r="S89" s="10" t="s">
        <v>393</v>
      </c>
      <c r="T89" s="14">
        <f>IF(O89="","",(1/Metadata!$B$5)^(O89-1))</f>
        <v>69.183097091893657</v>
      </c>
      <c r="U89" s="13">
        <f t="shared" si="1"/>
        <v>228117.40346984571</v>
      </c>
      <c r="V89" s="22" t="s">
        <v>130</v>
      </c>
      <c r="W89" s="20" t="s">
        <v>396</v>
      </c>
      <c r="X89" s="22" t="s">
        <v>130</v>
      </c>
      <c r="Y89" s="20" t="s">
        <v>396</v>
      </c>
    </row>
    <row r="90" spans="1:25" ht="18" customHeight="1">
      <c r="A90" s="10" t="s">
        <v>25</v>
      </c>
      <c r="B90" s="10" t="s">
        <v>26</v>
      </c>
      <c r="C90" s="10" t="s">
        <v>27</v>
      </c>
      <c r="D90" s="12">
        <v>2019</v>
      </c>
      <c r="E90" s="10" t="s">
        <v>397</v>
      </c>
      <c r="F90" s="10" t="s">
        <v>398</v>
      </c>
      <c r="G90" s="10" t="s">
        <v>77</v>
      </c>
      <c r="H90" s="10" t="s">
        <v>31</v>
      </c>
      <c r="I90" s="13">
        <v>3141.0279720518001</v>
      </c>
      <c r="J90" s="13">
        <v>2937.9282765844</v>
      </c>
      <c r="K90" s="13">
        <v>203.09969546740001</v>
      </c>
      <c r="L90" s="13">
        <v>2937.8275106157998</v>
      </c>
      <c r="M90" s="13">
        <v>203.20046143600001</v>
      </c>
      <c r="N90" s="10" t="s">
        <v>399</v>
      </c>
      <c r="O90" s="14">
        <v>2.5099999999999998</v>
      </c>
      <c r="P90" s="10" t="s">
        <v>33</v>
      </c>
      <c r="Q90" s="14" t="s">
        <v>34</v>
      </c>
      <c r="R90" s="10" t="s">
        <v>35</v>
      </c>
      <c r="S90" s="10" t="s">
        <v>397</v>
      </c>
      <c r="T90" s="14">
        <f>IF(O90="","",(1/Metadata!$B$5)^(O90-1))</f>
        <v>32.359365692962818</v>
      </c>
      <c r="U90" s="13">
        <f t="shared" si="1"/>
        <v>101641.67279944959</v>
      </c>
      <c r="V90" s="21" t="s">
        <v>376</v>
      </c>
      <c r="W90" s="20" t="s">
        <v>377</v>
      </c>
      <c r="X90" s="21" t="s">
        <v>376</v>
      </c>
      <c r="Y90" s="20" t="s">
        <v>377</v>
      </c>
    </row>
    <row r="91" spans="1:25" ht="18" customHeight="1">
      <c r="A91" s="10" t="s">
        <v>25</v>
      </c>
      <c r="B91" s="10" t="s">
        <v>26</v>
      </c>
      <c r="C91" s="10" t="s">
        <v>27</v>
      </c>
      <c r="D91" s="12">
        <v>2019</v>
      </c>
      <c r="E91" s="10" t="s">
        <v>400</v>
      </c>
      <c r="F91" s="10" t="s">
        <v>401</v>
      </c>
      <c r="G91" s="10" t="s">
        <v>90</v>
      </c>
      <c r="H91" s="10" t="s">
        <v>31</v>
      </c>
      <c r="I91" s="13">
        <v>2893.0826649074002</v>
      </c>
      <c r="J91" s="13">
        <v>1798.6869390398999</v>
      </c>
      <c r="K91" s="13">
        <v>1094.3957258675</v>
      </c>
      <c r="L91" s="13">
        <v>1389.3488768130001</v>
      </c>
      <c r="M91" s="13">
        <v>1503.7337880944001</v>
      </c>
      <c r="N91" s="10" t="s">
        <v>402</v>
      </c>
      <c r="O91" s="14">
        <v>4.18</v>
      </c>
      <c r="P91" s="10" t="s">
        <v>33</v>
      </c>
      <c r="Q91" s="14" t="s">
        <v>34</v>
      </c>
      <c r="R91" s="10" t="s">
        <v>35</v>
      </c>
      <c r="S91" s="10" t="s">
        <v>400</v>
      </c>
      <c r="T91" s="14">
        <f>IF(O91="","",(1/Metadata!$B$5)^(O91-1))</f>
        <v>1513.561248436208</v>
      </c>
      <c r="U91" s="13">
        <f t="shared" si="1"/>
        <v>4378857.8101263959</v>
      </c>
      <c r="V91" s="21" t="s">
        <v>86</v>
      </c>
      <c r="W91" s="20" t="s">
        <v>269</v>
      </c>
      <c r="X91" s="21" t="s">
        <v>86</v>
      </c>
      <c r="Y91" s="20" t="s">
        <v>269</v>
      </c>
    </row>
    <row r="92" spans="1:25" ht="18" customHeight="1">
      <c r="A92" s="10" t="s">
        <v>25</v>
      </c>
      <c r="B92" s="10" t="s">
        <v>26</v>
      </c>
      <c r="C92" s="10" t="s">
        <v>27</v>
      </c>
      <c r="D92" s="12">
        <v>2019</v>
      </c>
      <c r="E92" s="10" t="s">
        <v>403</v>
      </c>
      <c r="F92" s="10" t="s">
        <v>404</v>
      </c>
      <c r="G92" s="10" t="s">
        <v>49</v>
      </c>
      <c r="H92" s="10" t="s">
        <v>50</v>
      </c>
      <c r="I92" s="13">
        <v>2780.1022240442999</v>
      </c>
      <c r="J92" s="13">
        <v>2770.1581039544999</v>
      </c>
      <c r="K92" s="13">
        <v>9.9441200898000002</v>
      </c>
      <c r="L92" s="13">
        <v>2770.1581039544999</v>
      </c>
      <c r="M92" s="13">
        <v>9.9441200898000002</v>
      </c>
      <c r="N92" s="10" t="s">
        <v>405</v>
      </c>
      <c r="O92" s="14">
        <v>3.16</v>
      </c>
      <c r="P92" s="10" t="s">
        <v>33</v>
      </c>
      <c r="Q92" s="14" t="s">
        <v>34</v>
      </c>
      <c r="R92" s="10" t="s">
        <v>35</v>
      </c>
      <c r="S92" s="10" t="s">
        <v>403</v>
      </c>
      <c r="T92" s="14">
        <f>IF(O92="","",(1/Metadata!$B$5)^(O92-1))</f>
        <v>144.54397707459285</v>
      </c>
      <c r="U92" s="13">
        <f t="shared" si="1"/>
        <v>401847.03213728388</v>
      </c>
      <c r="V92" s="22" t="s">
        <v>45</v>
      </c>
      <c r="W92" s="20" t="s">
        <v>52</v>
      </c>
      <c r="X92" s="22" t="s">
        <v>45</v>
      </c>
      <c r="Y92" s="20" t="s">
        <v>52</v>
      </c>
    </row>
    <row r="93" spans="1:25" ht="18" customHeight="1">
      <c r="A93" s="10" t="s">
        <v>25</v>
      </c>
      <c r="B93" s="10" t="s">
        <v>26</v>
      </c>
      <c r="C93" s="10" t="s">
        <v>27</v>
      </c>
      <c r="D93" s="12">
        <v>2019</v>
      </c>
      <c r="E93" s="10" t="s">
        <v>406</v>
      </c>
      <c r="F93" s="10" t="s">
        <v>407</v>
      </c>
      <c r="G93" s="10" t="s">
        <v>408</v>
      </c>
      <c r="H93" s="10" t="s">
        <v>409</v>
      </c>
      <c r="I93" s="13">
        <v>2627.9618089764999</v>
      </c>
      <c r="J93" s="13">
        <v>2578.1111784161999</v>
      </c>
      <c r="K93" s="13">
        <v>49.850630560299997</v>
      </c>
      <c r="L93" s="13">
        <v>2359.6065843031001</v>
      </c>
      <c r="M93" s="13">
        <v>268.35522467340002</v>
      </c>
      <c r="N93" s="10" t="s">
        <v>410</v>
      </c>
      <c r="O93" s="14">
        <v>4.05</v>
      </c>
      <c r="P93" s="10" t="s">
        <v>33</v>
      </c>
      <c r="Q93" s="14" t="s">
        <v>34</v>
      </c>
      <c r="R93" s="10" t="s">
        <v>35</v>
      </c>
      <c r="S93" s="10" t="s">
        <v>406</v>
      </c>
      <c r="T93" s="14">
        <f>IF(O93="","",(1/Metadata!$B$5)^(O93-1))</f>
        <v>1122.0184543019636</v>
      </c>
      <c r="U93" s="13">
        <f t="shared" si="1"/>
        <v>2948621.6468724045</v>
      </c>
      <c r="V93" s="19" t="s">
        <v>36</v>
      </c>
      <c r="W93" s="20" t="s">
        <v>411</v>
      </c>
      <c r="X93" s="19" t="s">
        <v>36</v>
      </c>
      <c r="Y93" s="20" t="s">
        <v>411</v>
      </c>
    </row>
    <row r="94" spans="1:25" ht="18" customHeight="1">
      <c r="A94" s="10" t="s">
        <v>25</v>
      </c>
      <c r="B94" s="10" t="s">
        <v>26</v>
      </c>
      <c r="C94" s="10" t="s">
        <v>27</v>
      </c>
      <c r="D94" s="12">
        <v>2019</v>
      </c>
      <c r="E94" s="10" t="s">
        <v>412</v>
      </c>
      <c r="F94" s="10" t="s">
        <v>413</v>
      </c>
      <c r="G94" s="10" t="s">
        <v>194</v>
      </c>
      <c r="H94" s="10" t="s">
        <v>55</v>
      </c>
      <c r="I94" s="13">
        <v>2548.7230557685998</v>
      </c>
      <c r="J94" s="13">
        <v>2544.8299256467999</v>
      </c>
      <c r="K94" s="13">
        <v>3.8931301218000001</v>
      </c>
      <c r="L94" s="13">
        <v>2536.2429768077</v>
      </c>
      <c r="M94" s="13">
        <v>12.4800789609</v>
      </c>
      <c r="N94" s="10" t="s">
        <v>414</v>
      </c>
      <c r="O94" s="14">
        <v>3.45</v>
      </c>
      <c r="P94" s="10" t="s">
        <v>33</v>
      </c>
      <c r="Q94" s="14" t="s">
        <v>34</v>
      </c>
      <c r="R94" s="10" t="s">
        <v>35</v>
      </c>
      <c r="S94" s="10" t="s">
        <v>412</v>
      </c>
      <c r="T94" s="14">
        <f>IF(O94="","",(1/Metadata!$B$5)^(O94-1))</f>
        <v>281.83829312644554</v>
      </c>
      <c r="U94" s="13">
        <f t="shared" si="1"/>
        <v>718327.75568984065</v>
      </c>
      <c r="V94" s="21" t="s">
        <v>119</v>
      </c>
      <c r="W94" s="20" t="s">
        <v>415</v>
      </c>
      <c r="X94" s="21" t="s">
        <v>119</v>
      </c>
      <c r="Y94" s="20" t="s">
        <v>415</v>
      </c>
    </row>
    <row r="95" spans="1:25" ht="18" customHeight="1">
      <c r="A95" s="10" t="s">
        <v>25</v>
      </c>
      <c r="B95" s="10" t="s">
        <v>26</v>
      </c>
      <c r="C95" s="10" t="s">
        <v>27</v>
      </c>
      <c r="D95" s="12">
        <v>2019</v>
      </c>
      <c r="E95" s="10" t="s">
        <v>416</v>
      </c>
      <c r="F95" s="10" t="s">
        <v>417</v>
      </c>
      <c r="G95" s="10" t="s">
        <v>30</v>
      </c>
      <c r="H95" s="10" t="s">
        <v>418</v>
      </c>
      <c r="I95" s="13">
        <v>2538.0702985631001</v>
      </c>
      <c r="J95" s="13">
        <v>1756.5636489294</v>
      </c>
      <c r="K95" s="13">
        <v>781.50664963370002</v>
      </c>
      <c r="L95" s="13">
        <v>1756.1373510840001</v>
      </c>
      <c r="M95" s="13">
        <v>781.93294747909999</v>
      </c>
      <c r="N95" s="10" t="s">
        <v>419</v>
      </c>
      <c r="O95" s="14">
        <v>3.6</v>
      </c>
      <c r="P95" s="10" t="s">
        <v>43</v>
      </c>
      <c r="Q95" s="14" t="s">
        <v>44</v>
      </c>
      <c r="R95" s="10" t="s">
        <v>35</v>
      </c>
      <c r="S95" s="10" t="s">
        <v>416</v>
      </c>
      <c r="T95" s="14">
        <f>IF(O95="","",(1/Metadata!$B$5)^(O95-1))</f>
        <v>398.10717055349761</v>
      </c>
      <c r="U95" s="13">
        <f t="shared" si="1"/>
        <v>1010423.9852268267</v>
      </c>
      <c r="V95" s="22" t="s">
        <v>92</v>
      </c>
      <c r="W95" s="20" t="s">
        <v>420</v>
      </c>
      <c r="X95" s="22" t="s">
        <v>92</v>
      </c>
      <c r="Y95" s="20" t="s">
        <v>420</v>
      </c>
    </row>
    <row r="96" spans="1:25" ht="18" customHeight="1">
      <c r="A96" s="10" t="s">
        <v>25</v>
      </c>
      <c r="B96" s="10" t="s">
        <v>26</v>
      </c>
      <c r="C96" s="10" t="s">
        <v>27</v>
      </c>
      <c r="D96" s="12">
        <v>2019</v>
      </c>
      <c r="E96" s="10" t="s">
        <v>421</v>
      </c>
      <c r="F96" s="10" t="s">
        <v>422</v>
      </c>
      <c r="G96" s="10" t="s">
        <v>49</v>
      </c>
      <c r="H96" s="10" t="s">
        <v>55</v>
      </c>
      <c r="I96" s="13">
        <v>2522.5308172046002</v>
      </c>
      <c r="J96" s="13">
        <v>2521.7690151636002</v>
      </c>
      <c r="K96" s="13">
        <v>0.76180204099999993</v>
      </c>
      <c r="L96" s="13">
        <v>752.67992171460003</v>
      </c>
      <c r="M96" s="13">
        <v>1769.8508954900001</v>
      </c>
      <c r="N96" s="10" t="s">
        <v>423</v>
      </c>
      <c r="O96" s="14">
        <v>4.05</v>
      </c>
      <c r="P96" s="10" t="s">
        <v>33</v>
      </c>
      <c r="Q96" s="14" t="s">
        <v>34</v>
      </c>
      <c r="R96" s="10" t="s">
        <v>35</v>
      </c>
      <c r="S96" s="10" t="s">
        <v>421</v>
      </c>
      <c r="T96" s="14">
        <f>IF(O96="","",(1/Metadata!$B$5)^(O96-1))</f>
        <v>1122.0184543019636</v>
      </c>
      <c r="U96" s="13">
        <f t="shared" si="1"/>
        <v>2830326.1284489748</v>
      </c>
      <c r="V96" s="19" t="s">
        <v>36</v>
      </c>
      <c r="W96" s="20" t="s">
        <v>424</v>
      </c>
      <c r="X96" s="19" t="s">
        <v>36</v>
      </c>
      <c r="Y96" s="20" t="s">
        <v>424</v>
      </c>
    </row>
    <row r="97" spans="1:25" ht="18" customHeight="1">
      <c r="A97" s="10" t="s">
        <v>25</v>
      </c>
      <c r="B97" s="10" t="s">
        <v>26</v>
      </c>
      <c r="C97" s="10" t="s">
        <v>27</v>
      </c>
      <c r="D97" s="12">
        <v>2019</v>
      </c>
      <c r="E97" s="10" t="s">
        <v>425</v>
      </c>
      <c r="F97" s="10" t="s">
        <v>426</v>
      </c>
      <c r="G97" s="10" t="s">
        <v>279</v>
      </c>
      <c r="H97" s="10" t="s">
        <v>280</v>
      </c>
      <c r="I97" s="13">
        <v>2427.7622914545</v>
      </c>
      <c r="J97" s="13">
        <v>1997.7453216581</v>
      </c>
      <c r="K97" s="13">
        <v>430.01696979640002</v>
      </c>
      <c r="L97" s="13">
        <v>0</v>
      </c>
      <c r="M97" s="13">
        <v>2427.7622914545</v>
      </c>
      <c r="N97" s="10" t="s">
        <v>427</v>
      </c>
      <c r="O97" s="14">
        <v>4.0599999999999996</v>
      </c>
      <c r="P97" s="10" t="s">
        <v>33</v>
      </c>
      <c r="Q97" s="14" t="s">
        <v>34</v>
      </c>
      <c r="R97" s="10" t="s">
        <v>35</v>
      </c>
      <c r="S97" s="10" t="s">
        <v>425</v>
      </c>
      <c r="T97" s="14">
        <f>IF(O97="","",(1/Metadata!$B$5)^(O97-1))</f>
        <v>1148.1536214968828</v>
      </c>
      <c r="U97" s="13">
        <f t="shared" si="1"/>
        <v>2787444.067067055</v>
      </c>
      <c r="V97" s="22" t="s">
        <v>92</v>
      </c>
      <c r="W97" s="20" t="s">
        <v>342</v>
      </c>
      <c r="X97" s="22" t="s">
        <v>92</v>
      </c>
      <c r="Y97" s="20" t="s">
        <v>342</v>
      </c>
    </row>
    <row r="98" spans="1:25" ht="18" customHeight="1">
      <c r="A98" s="10" t="s">
        <v>25</v>
      </c>
      <c r="B98" s="10" t="s">
        <v>26</v>
      </c>
      <c r="C98" s="10" t="s">
        <v>27</v>
      </c>
      <c r="D98" s="12">
        <v>2019</v>
      </c>
      <c r="E98" s="10" t="s">
        <v>428</v>
      </c>
      <c r="F98" s="10" t="s">
        <v>429</v>
      </c>
      <c r="G98" s="10" t="s">
        <v>194</v>
      </c>
      <c r="H98" s="10" t="s">
        <v>55</v>
      </c>
      <c r="I98" s="13">
        <v>2402.3504238390001</v>
      </c>
      <c r="J98" s="13">
        <v>2398.0948342303</v>
      </c>
      <c r="K98" s="13">
        <v>4.2555896086999994</v>
      </c>
      <c r="L98" s="13">
        <v>540.64958070700004</v>
      </c>
      <c r="M98" s="13">
        <v>1861.700843132</v>
      </c>
      <c r="N98" s="10" t="s">
        <v>430</v>
      </c>
      <c r="O98" s="14">
        <v>3.98</v>
      </c>
      <c r="P98" s="10" t="s">
        <v>33</v>
      </c>
      <c r="Q98" s="14" t="s">
        <v>34</v>
      </c>
      <c r="R98" s="10" t="s">
        <v>35</v>
      </c>
      <c r="S98" s="10" t="s">
        <v>428</v>
      </c>
      <c r="T98" s="14">
        <f>IF(O98="","",(1/Metadata!$B$5)^(O98-1))</f>
        <v>954.99258602143675</v>
      </c>
      <c r="U98" s="13">
        <f t="shared" si="1"/>
        <v>2294226.8437917014</v>
      </c>
      <c r="V98" s="22" t="s">
        <v>92</v>
      </c>
      <c r="W98" s="20" t="s">
        <v>217</v>
      </c>
      <c r="X98" s="22" t="s">
        <v>92</v>
      </c>
      <c r="Y98" s="20" t="s">
        <v>217</v>
      </c>
    </row>
    <row r="99" spans="1:25" ht="18" customHeight="1">
      <c r="A99" s="10" t="s">
        <v>25</v>
      </c>
      <c r="B99" s="10" t="s">
        <v>26</v>
      </c>
      <c r="C99" s="10" t="s">
        <v>27</v>
      </c>
      <c r="D99" s="12">
        <v>2019</v>
      </c>
      <c r="E99" s="10" t="s">
        <v>431</v>
      </c>
      <c r="F99" s="10" t="s">
        <v>432</v>
      </c>
      <c r="G99" s="10" t="s">
        <v>49</v>
      </c>
      <c r="H99" s="10" t="s">
        <v>220</v>
      </c>
      <c r="I99" s="13">
        <v>2370.2137909572998</v>
      </c>
      <c r="J99" s="13">
        <v>2066.3178951281002</v>
      </c>
      <c r="K99" s="13">
        <v>303.89589582920001</v>
      </c>
      <c r="L99" s="13">
        <v>1706.6092234513001</v>
      </c>
      <c r="M99" s="13">
        <v>663.60456750599997</v>
      </c>
      <c r="N99" s="10" t="s">
        <v>433</v>
      </c>
      <c r="O99" s="14">
        <v>4.24</v>
      </c>
      <c r="P99" s="10" t="s">
        <v>33</v>
      </c>
      <c r="Q99" s="14" t="s">
        <v>34</v>
      </c>
      <c r="R99" s="10" t="s">
        <v>35</v>
      </c>
      <c r="S99" s="10" t="s">
        <v>431</v>
      </c>
      <c r="T99" s="14">
        <f>IF(O99="","",(1/Metadata!$B$5)^(O99-1))</f>
        <v>1737.8008287493772</v>
      </c>
      <c r="U99" s="13">
        <f t="shared" si="1"/>
        <v>4118959.4902387988</v>
      </c>
      <c r="V99" s="21" t="s">
        <v>92</v>
      </c>
      <c r="W99" s="20" t="s">
        <v>434</v>
      </c>
      <c r="X99" s="21" t="s">
        <v>92</v>
      </c>
      <c r="Y99" s="20" t="s">
        <v>434</v>
      </c>
    </row>
    <row r="100" spans="1:25" ht="18" customHeight="1">
      <c r="A100" s="10" t="s">
        <v>25</v>
      </c>
      <c r="B100" s="10" t="s">
        <v>26</v>
      </c>
      <c r="C100" s="10" t="s">
        <v>27</v>
      </c>
      <c r="D100" s="12">
        <v>2019</v>
      </c>
      <c r="E100" s="10" t="s">
        <v>435</v>
      </c>
      <c r="F100" s="10" t="s">
        <v>436</v>
      </c>
      <c r="G100" s="10" t="s">
        <v>90</v>
      </c>
      <c r="H100" s="10" t="s">
        <v>31</v>
      </c>
      <c r="I100" s="13">
        <v>2152.6465249163998</v>
      </c>
      <c r="J100" s="13">
        <v>2152.6465249163998</v>
      </c>
      <c r="K100" s="13">
        <v>0</v>
      </c>
      <c r="L100" s="13">
        <v>555.88282455249998</v>
      </c>
      <c r="M100" s="13">
        <v>1596.7637003638999</v>
      </c>
      <c r="N100" s="10" t="s">
        <v>437</v>
      </c>
      <c r="O100" s="14">
        <v>3.9</v>
      </c>
      <c r="P100" s="10" t="s">
        <v>33</v>
      </c>
      <c r="Q100" s="14" t="s">
        <v>34</v>
      </c>
      <c r="R100" s="10" t="s">
        <v>35</v>
      </c>
      <c r="S100" s="10" t="s">
        <v>435</v>
      </c>
      <c r="T100" s="14">
        <f>IF(O100="","",(1/Metadata!$B$5)^(O100-1))</f>
        <v>794.32823472428208</v>
      </c>
      <c r="U100" s="13">
        <f t="shared" si="1"/>
        <v>1709907.9141222041</v>
      </c>
      <c r="V100" s="21" t="s">
        <v>92</v>
      </c>
      <c r="W100" s="20" t="s">
        <v>93</v>
      </c>
      <c r="X100" s="21" t="s">
        <v>92</v>
      </c>
      <c r="Y100" s="20" t="s">
        <v>93</v>
      </c>
    </row>
    <row r="101" spans="1:25" ht="18" customHeight="1">
      <c r="A101" s="10" t="s">
        <v>25</v>
      </c>
      <c r="B101" s="10" t="s">
        <v>26</v>
      </c>
      <c r="C101" s="10" t="s">
        <v>27</v>
      </c>
      <c r="D101" s="12">
        <v>2019</v>
      </c>
      <c r="E101" s="10" t="s">
        <v>438</v>
      </c>
      <c r="F101" s="10" t="s">
        <v>439</v>
      </c>
      <c r="G101" s="10" t="s">
        <v>40</v>
      </c>
      <c r="H101" s="10" t="s">
        <v>50</v>
      </c>
      <c r="I101" s="13">
        <v>2140.6734137958001</v>
      </c>
      <c r="J101" s="13">
        <v>2134.7967368210002</v>
      </c>
      <c r="K101" s="13">
        <v>5.8766769748000014</v>
      </c>
      <c r="L101" s="13">
        <v>2134.5538422545001</v>
      </c>
      <c r="M101" s="13">
        <v>6.1195715413</v>
      </c>
      <c r="N101" s="10" t="s">
        <v>440</v>
      </c>
      <c r="O101" s="14">
        <v>3.12</v>
      </c>
      <c r="P101" s="10" t="s">
        <v>43</v>
      </c>
      <c r="Q101" s="14" t="s">
        <v>44</v>
      </c>
      <c r="R101" s="10" t="s">
        <v>35</v>
      </c>
      <c r="S101" s="10" t="s">
        <v>438</v>
      </c>
      <c r="T101" s="14">
        <f>IF(O101="","",(1/Metadata!$B$5)^(O101-1))</f>
        <v>131.82567385564084</v>
      </c>
      <c r="U101" s="13">
        <f t="shared" si="1"/>
        <v>282195.71527848643</v>
      </c>
      <c r="V101" s="21" t="s">
        <v>45</v>
      </c>
      <c r="W101" s="20" t="s">
        <v>441</v>
      </c>
      <c r="X101" s="21" t="s">
        <v>45</v>
      </c>
      <c r="Y101" s="20" t="s">
        <v>441</v>
      </c>
    </row>
    <row r="102" spans="1:25" ht="18" customHeight="1">
      <c r="A102" s="10" t="s">
        <v>25</v>
      </c>
      <c r="B102" s="10" t="s">
        <v>26</v>
      </c>
      <c r="C102" s="10" t="s">
        <v>27</v>
      </c>
      <c r="D102" s="12">
        <v>2019</v>
      </c>
      <c r="E102" s="10" t="s">
        <v>442</v>
      </c>
      <c r="F102" s="10" t="s">
        <v>443</v>
      </c>
      <c r="G102" s="10" t="s">
        <v>30</v>
      </c>
      <c r="H102" s="10" t="s">
        <v>418</v>
      </c>
      <c r="I102" s="13">
        <v>2115.5921285186</v>
      </c>
      <c r="J102" s="13">
        <v>2115.5921285186</v>
      </c>
      <c r="K102" s="13">
        <v>0</v>
      </c>
      <c r="L102" s="13">
        <v>333.7767991087</v>
      </c>
      <c r="M102" s="13">
        <v>1781.8153294099</v>
      </c>
      <c r="N102" s="10" t="s">
        <v>444</v>
      </c>
      <c r="O102" s="14">
        <v>3.74</v>
      </c>
      <c r="P102" s="10" t="s">
        <v>33</v>
      </c>
      <c r="Q102" s="14" t="s">
        <v>34</v>
      </c>
      <c r="R102" s="10" t="s">
        <v>35</v>
      </c>
      <c r="S102" s="10" t="s">
        <v>442</v>
      </c>
      <c r="T102" s="14">
        <f>IF(O102="","",(1/Metadata!$B$5)^(O102-1))</f>
        <v>549.54087385762534</v>
      </c>
      <c r="U102" s="13">
        <f t="shared" si="1"/>
        <v>1162604.347032425</v>
      </c>
      <c r="V102" s="22" t="s">
        <v>86</v>
      </c>
      <c r="W102" s="20" t="s">
        <v>445</v>
      </c>
      <c r="X102" s="22" t="s">
        <v>86</v>
      </c>
      <c r="Y102" s="20" t="s">
        <v>445</v>
      </c>
    </row>
    <row r="103" spans="1:25" ht="18" customHeight="1">
      <c r="A103" s="10" t="s">
        <v>25</v>
      </c>
      <c r="B103" s="10" t="s">
        <v>26</v>
      </c>
      <c r="C103" s="10" t="s">
        <v>27</v>
      </c>
      <c r="D103" s="12">
        <v>2019</v>
      </c>
      <c r="E103" s="10" t="s">
        <v>446</v>
      </c>
      <c r="F103" s="10" t="s">
        <v>447</v>
      </c>
      <c r="G103" s="10" t="s">
        <v>142</v>
      </c>
      <c r="H103" s="10" t="s">
        <v>220</v>
      </c>
      <c r="I103" s="13">
        <v>2090.6083425617999</v>
      </c>
      <c r="J103" s="13">
        <v>2090.3058660604001</v>
      </c>
      <c r="K103" s="13">
        <v>0.30247650139999999</v>
      </c>
      <c r="L103" s="13">
        <v>2090.3058660604001</v>
      </c>
      <c r="M103" s="13">
        <v>0.30247650139999999</v>
      </c>
      <c r="N103" s="10" t="s">
        <v>448</v>
      </c>
      <c r="O103" s="14">
        <v>4.49</v>
      </c>
      <c r="P103" s="10" t="s">
        <v>43</v>
      </c>
      <c r="Q103" s="14" t="s">
        <v>44</v>
      </c>
      <c r="R103" s="10" t="s">
        <v>35</v>
      </c>
      <c r="S103" s="10" t="s">
        <v>446</v>
      </c>
      <c r="T103" s="14">
        <f>IF(O103="","",(1/Metadata!$B$5)^(O103-1))</f>
        <v>3090.295432513592</v>
      </c>
      <c r="U103" s="13">
        <f t="shared" si="1"/>
        <v>6460597.4121935414</v>
      </c>
      <c r="V103" s="22" t="s">
        <v>92</v>
      </c>
      <c r="W103" s="20" t="s">
        <v>222</v>
      </c>
      <c r="X103" s="22" t="s">
        <v>92</v>
      </c>
      <c r="Y103" s="20" t="s">
        <v>222</v>
      </c>
    </row>
    <row r="104" spans="1:25" ht="18" customHeight="1">
      <c r="A104" s="10" t="s">
        <v>25</v>
      </c>
      <c r="B104" s="10" t="s">
        <v>26</v>
      </c>
      <c r="C104" s="10" t="s">
        <v>27</v>
      </c>
      <c r="D104" s="12">
        <v>2019</v>
      </c>
      <c r="E104" s="10" t="s">
        <v>449</v>
      </c>
      <c r="F104" s="10" t="s">
        <v>450</v>
      </c>
      <c r="G104" s="10" t="s">
        <v>358</v>
      </c>
      <c r="H104" s="10" t="s">
        <v>418</v>
      </c>
      <c r="I104" s="13">
        <v>2014.0289126793</v>
      </c>
      <c r="J104" s="13">
        <v>2014.0289126793</v>
      </c>
      <c r="K104" s="13">
        <v>0</v>
      </c>
      <c r="L104" s="13">
        <v>2014.0289126793</v>
      </c>
      <c r="M104" s="13">
        <v>0</v>
      </c>
      <c r="N104" s="10" t="s">
        <v>451</v>
      </c>
      <c r="O104" s="14">
        <v>3.92</v>
      </c>
      <c r="P104" s="10" t="s">
        <v>33</v>
      </c>
      <c r="Q104" s="14" t="s">
        <v>34</v>
      </c>
      <c r="R104" s="10" t="s">
        <v>35</v>
      </c>
      <c r="S104" s="10" t="s">
        <v>449</v>
      </c>
      <c r="T104" s="14">
        <f>IF(O104="","",(1/Metadata!$B$5)^(O104-1))</f>
        <v>831.7637711026714</v>
      </c>
      <c r="U104" s="13">
        <f t="shared" si="1"/>
        <v>1675196.2835199474</v>
      </c>
      <c r="V104" s="22" t="s">
        <v>86</v>
      </c>
      <c r="W104" s="20" t="s">
        <v>445</v>
      </c>
      <c r="X104" s="22" t="s">
        <v>86</v>
      </c>
      <c r="Y104" s="20" t="s">
        <v>445</v>
      </c>
    </row>
    <row r="105" spans="1:25" ht="18" customHeight="1">
      <c r="A105" s="10" t="s">
        <v>25</v>
      </c>
      <c r="B105" s="10" t="s">
        <v>26</v>
      </c>
      <c r="C105" s="10" t="s">
        <v>27</v>
      </c>
      <c r="D105" s="12">
        <v>2019</v>
      </c>
      <c r="E105" s="10" t="s">
        <v>452</v>
      </c>
      <c r="F105" s="10" t="s">
        <v>453</v>
      </c>
      <c r="G105" s="10" t="s">
        <v>30</v>
      </c>
      <c r="H105" s="10" t="s">
        <v>418</v>
      </c>
      <c r="I105" s="13">
        <v>2012.5286839442001</v>
      </c>
      <c r="J105" s="13">
        <v>2010.0392010119999</v>
      </c>
      <c r="K105" s="13">
        <v>2.4894829322000001</v>
      </c>
      <c r="L105" s="13">
        <v>2008.4609659944001</v>
      </c>
      <c r="M105" s="13">
        <v>4.0677179497999996</v>
      </c>
      <c r="N105" s="10" t="s">
        <v>454</v>
      </c>
      <c r="O105" s="14">
        <v>3.68</v>
      </c>
      <c r="P105" s="10" t="s">
        <v>43</v>
      </c>
      <c r="Q105" s="14" t="s">
        <v>44</v>
      </c>
      <c r="R105" s="10" t="s">
        <v>35</v>
      </c>
      <c r="S105" s="10" t="s">
        <v>452</v>
      </c>
      <c r="T105" s="14">
        <f>IF(O105="","",(1/Metadata!$B$5)^(O105-1))</f>
        <v>478.63009232263886</v>
      </c>
      <c r="U105" s="13">
        <f t="shared" si="1"/>
        <v>963256.78979817138</v>
      </c>
      <c r="V105" s="21" t="s">
        <v>130</v>
      </c>
      <c r="W105" s="20" t="s">
        <v>455</v>
      </c>
      <c r="X105" s="21" t="s">
        <v>130</v>
      </c>
      <c r="Y105" s="20" t="s">
        <v>455</v>
      </c>
    </row>
    <row r="106" spans="1:25" ht="18" customHeight="1">
      <c r="A106" s="10" t="s">
        <v>25</v>
      </c>
      <c r="B106" s="10" t="s">
        <v>26</v>
      </c>
      <c r="C106" s="10" t="s">
        <v>27</v>
      </c>
      <c r="D106" s="12">
        <v>2019</v>
      </c>
      <c r="E106" s="10" t="s">
        <v>456</v>
      </c>
      <c r="F106" s="10" t="s">
        <v>457</v>
      </c>
      <c r="G106" s="10" t="s">
        <v>142</v>
      </c>
      <c r="H106" s="10" t="s">
        <v>220</v>
      </c>
      <c r="I106" s="13">
        <v>1860.6373401041999</v>
      </c>
      <c r="J106" s="13">
        <v>1833.4556703431001</v>
      </c>
      <c r="K106" s="13">
        <v>27.1816697611</v>
      </c>
      <c r="L106" s="13">
        <v>1833.4556703431001</v>
      </c>
      <c r="M106" s="13">
        <v>27.1816697611</v>
      </c>
      <c r="N106" s="10" t="s">
        <v>458</v>
      </c>
      <c r="O106" s="14">
        <v>4.05</v>
      </c>
      <c r="P106" s="10" t="s">
        <v>43</v>
      </c>
      <c r="Q106" s="14" t="s">
        <v>44</v>
      </c>
      <c r="R106" s="10" t="s">
        <v>35</v>
      </c>
      <c r="S106" s="10" t="s">
        <v>456</v>
      </c>
      <c r="T106" s="14">
        <f>IF(O106="","",(1/Metadata!$B$5)^(O106-1))</f>
        <v>1122.0184543019636</v>
      </c>
      <c r="U106" s="13">
        <f t="shared" si="1"/>
        <v>2087669.4323602314</v>
      </c>
      <c r="V106" s="22" t="s">
        <v>92</v>
      </c>
      <c r="W106" s="20" t="s">
        <v>222</v>
      </c>
      <c r="X106" s="22" t="s">
        <v>92</v>
      </c>
      <c r="Y106" s="20" t="s">
        <v>222</v>
      </c>
    </row>
    <row r="107" spans="1:25" ht="18" customHeight="1">
      <c r="A107" s="10" t="s">
        <v>25</v>
      </c>
      <c r="B107" s="10" t="s">
        <v>26</v>
      </c>
      <c r="C107" s="10" t="s">
        <v>27</v>
      </c>
      <c r="D107" s="12">
        <v>2019</v>
      </c>
      <c r="E107" s="10" t="s">
        <v>459</v>
      </c>
      <c r="F107" s="10" t="s">
        <v>460</v>
      </c>
      <c r="G107" s="10" t="s">
        <v>49</v>
      </c>
      <c r="H107" s="10" t="s">
        <v>55</v>
      </c>
      <c r="I107" s="13">
        <v>1736.1208305624</v>
      </c>
      <c r="J107" s="13">
        <v>1736.1208305624</v>
      </c>
      <c r="K107" s="13">
        <v>0</v>
      </c>
      <c r="L107" s="13">
        <v>1736.1208305624</v>
      </c>
      <c r="M107" s="13">
        <v>0</v>
      </c>
      <c r="N107" s="10" t="s">
        <v>461</v>
      </c>
      <c r="O107" s="14">
        <v>3.69</v>
      </c>
      <c r="P107" s="10" t="s">
        <v>33</v>
      </c>
      <c r="Q107" s="14" t="s">
        <v>34</v>
      </c>
      <c r="R107" s="10" t="s">
        <v>35</v>
      </c>
      <c r="S107" s="10" t="s">
        <v>459</v>
      </c>
      <c r="T107" s="14">
        <f>IF(O107="","",(1/Metadata!$B$5)^(O107-1))</f>
        <v>489.77881936844625</v>
      </c>
      <c r="U107" s="13">
        <f t="shared" si="1"/>
        <v>850315.2106738186</v>
      </c>
      <c r="V107" s="21" t="s">
        <v>119</v>
      </c>
      <c r="W107" s="20" t="s">
        <v>462</v>
      </c>
      <c r="X107" s="21" t="s">
        <v>119</v>
      </c>
      <c r="Y107" s="20" t="s">
        <v>462</v>
      </c>
    </row>
    <row r="108" spans="1:25" ht="18" customHeight="1">
      <c r="A108" s="10" t="s">
        <v>25</v>
      </c>
      <c r="B108" s="10" t="s">
        <v>26</v>
      </c>
      <c r="C108" s="10" t="s">
        <v>27</v>
      </c>
      <c r="D108" s="12">
        <v>2019</v>
      </c>
      <c r="E108" s="10" t="s">
        <v>463</v>
      </c>
      <c r="F108" s="10" t="s">
        <v>464</v>
      </c>
      <c r="G108" s="10" t="s">
        <v>40</v>
      </c>
      <c r="H108" s="10" t="s">
        <v>50</v>
      </c>
      <c r="I108" s="13">
        <v>1649.4679704283001</v>
      </c>
      <c r="J108" s="13">
        <v>1614.4730440321</v>
      </c>
      <c r="K108" s="13">
        <v>34.9949263962</v>
      </c>
      <c r="L108" s="13">
        <v>1614.4730440321</v>
      </c>
      <c r="M108" s="13">
        <v>34.9949263962</v>
      </c>
      <c r="N108" s="10" t="s">
        <v>465</v>
      </c>
      <c r="O108" s="14">
        <v>2.87</v>
      </c>
      <c r="P108" s="10" t="s">
        <v>43</v>
      </c>
      <c r="Q108" s="14" t="s">
        <v>44</v>
      </c>
      <c r="R108" s="10" t="s">
        <v>35</v>
      </c>
      <c r="S108" s="10" t="s">
        <v>463</v>
      </c>
      <c r="T108" s="14">
        <f>IF(O108="","",(1/Metadata!$B$5)^(O108-1))</f>
        <v>74.131024130091816</v>
      </c>
      <c r="U108" s="13">
        <f t="shared" si="1"/>
        <v>122276.74991763389</v>
      </c>
      <c r="V108" s="22" t="s">
        <v>45</v>
      </c>
      <c r="W108" s="20" t="s">
        <v>52</v>
      </c>
      <c r="X108" s="22" t="s">
        <v>45</v>
      </c>
      <c r="Y108" s="20" t="s">
        <v>52</v>
      </c>
    </row>
    <row r="109" spans="1:25" ht="18" customHeight="1">
      <c r="A109" s="10" t="s">
        <v>25</v>
      </c>
      <c r="B109" s="10" t="s">
        <v>26</v>
      </c>
      <c r="C109" s="10" t="s">
        <v>27</v>
      </c>
      <c r="D109" s="12">
        <v>2019</v>
      </c>
      <c r="E109" s="10" t="s">
        <v>466</v>
      </c>
      <c r="F109" s="10" t="s">
        <v>467</v>
      </c>
      <c r="G109" s="10" t="s">
        <v>40</v>
      </c>
      <c r="H109" s="10" t="s">
        <v>31</v>
      </c>
      <c r="I109" s="13">
        <v>1637.3054406177</v>
      </c>
      <c r="J109" s="13">
        <v>1394.6075788353</v>
      </c>
      <c r="K109" s="13">
        <v>242.6978617824</v>
      </c>
      <c r="L109" s="13">
        <v>1381.5199812429</v>
      </c>
      <c r="M109" s="13">
        <v>255.78545937480001</v>
      </c>
      <c r="N109" s="10" t="s">
        <v>468</v>
      </c>
      <c r="O109" s="14">
        <v>3.57</v>
      </c>
      <c r="P109" s="10" t="s">
        <v>33</v>
      </c>
      <c r="Q109" s="14" t="s">
        <v>34</v>
      </c>
      <c r="R109" s="10" t="s">
        <v>35</v>
      </c>
      <c r="S109" s="10" t="s">
        <v>466</v>
      </c>
      <c r="T109" s="14">
        <f>IF(O109="","",(1/Metadata!$B$5)^(O109-1))</f>
        <v>371.53522909717265</v>
      </c>
      <c r="U109" s="13">
        <f t="shared" si="1"/>
        <v>608316.65198194433</v>
      </c>
      <c r="V109" s="22" t="s">
        <v>203</v>
      </c>
      <c r="W109" s="20" t="s">
        <v>469</v>
      </c>
      <c r="X109" s="22" t="s">
        <v>203</v>
      </c>
      <c r="Y109" s="20" t="s">
        <v>469</v>
      </c>
    </row>
    <row r="110" spans="1:25" ht="18" customHeight="1">
      <c r="A110" s="10" t="s">
        <v>25</v>
      </c>
      <c r="B110" s="10" t="s">
        <v>26</v>
      </c>
      <c r="C110" s="10" t="s">
        <v>27</v>
      </c>
      <c r="D110" s="12">
        <v>2019</v>
      </c>
      <c r="E110" s="10" t="s">
        <v>470</v>
      </c>
      <c r="F110" s="10" t="s">
        <v>471</v>
      </c>
      <c r="G110" s="10" t="s">
        <v>30</v>
      </c>
      <c r="H110" s="10" t="s">
        <v>55</v>
      </c>
      <c r="I110" s="13">
        <v>1626.5606142112999</v>
      </c>
      <c r="J110" s="13">
        <v>1626.5606142112999</v>
      </c>
      <c r="K110" s="13">
        <v>0</v>
      </c>
      <c r="L110" s="13">
        <v>0</v>
      </c>
      <c r="M110" s="13">
        <v>1626.5606142112999</v>
      </c>
      <c r="N110" s="10" t="s">
        <v>472</v>
      </c>
      <c r="O110" s="14">
        <v>4.5</v>
      </c>
      <c r="P110" s="10" t="s">
        <v>43</v>
      </c>
      <c r="Q110" s="14" t="s">
        <v>44</v>
      </c>
      <c r="R110" s="10" t="s">
        <v>35</v>
      </c>
      <c r="S110" s="10" t="s">
        <v>470</v>
      </c>
      <c r="T110" s="14">
        <f>IF(O110="","",(1/Metadata!$B$5)^(O110-1))</f>
        <v>3162.2776601683804</v>
      </c>
      <c r="U110" s="13">
        <f t="shared" si="1"/>
        <v>5143636.2932301536</v>
      </c>
      <c r="V110" s="22" t="s">
        <v>92</v>
      </c>
      <c r="W110" s="20" t="s">
        <v>473</v>
      </c>
      <c r="X110" s="22" t="s">
        <v>92</v>
      </c>
      <c r="Y110" s="20" t="s">
        <v>473</v>
      </c>
    </row>
    <row r="111" spans="1:25" ht="18" customHeight="1">
      <c r="A111" s="10" t="s">
        <v>25</v>
      </c>
      <c r="B111" s="10" t="s">
        <v>26</v>
      </c>
      <c r="C111" s="10" t="s">
        <v>27</v>
      </c>
      <c r="D111" s="12">
        <v>2019</v>
      </c>
      <c r="E111" s="10" t="s">
        <v>474</v>
      </c>
      <c r="F111" s="10" t="s">
        <v>475</v>
      </c>
      <c r="G111" s="10" t="s">
        <v>77</v>
      </c>
      <c r="H111" s="10" t="s">
        <v>78</v>
      </c>
      <c r="I111" s="13">
        <v>1624.2778211110999</v>
      </c>
      <c r="J111" s="13">
        <v>1619.8005776015</v>
      </c>
      <c r="K111" s="13">
        <v>4.4772435096000001</v>
      </c>
      <c r="L111" s="13">
        <v>1619.8005776015</v>
      </c>
      <c r="M111" s="13">
        <v>4.4772435096000001</v>
      </c>
      <c r="N111" s="10" t="s">
        <v>476</v>
      </c>
      <c r="O111" s="14">
        <v>2</v>
      </c>
      <c r="P111" s="10" t="s">
        <v>33</v>
      </c>
      <c r="Q111" s="14" t="s">
        <v>34</v>
      </c>
      <c r="R111" s="10" t="s">
        <v>35</v>
      </c>
      <c r="S111" s="10" t="s">
        <v>474</v>
      </c>
      <c r="T111" s="14">
        <f>IF(O111="","",(1/Metadata!$B$5)^(O111-1))</f>
        <v>10</v>
      </c>
      <c r="U111" s="13">
        <f t="shared" si="1"/>
        <v>16242.778211110999</v>
      </c>
      <c r="V111" s="21" t="s">
        <v>80</v>
      </c>
      <c r="W111" s="20" t="s">
        <v>81</v>
      </c>
      <c r="X111" s="21" t="s">
        <v>80</v>
      </c>
      <c r="Y111" s="20" t="s">
        <v>81</v>
      </c>
    </row>
    <row r="112" spans="1:25" ht="18" customHeight="1">
      <c r="A112" s="10" t="s">
        <v>25</v>
      </c>
      <c r="B112" s="10" t="s">
        <v>26</v>
      </c>
      <c r="C112" s="10" t="s">
        <v>27</v>
      </c>
      <c r="D112" s="12">
        <v>2019</v>
      </c>
      <c r="E112" s="10" t="s">
        <v>477</v>
      </c>
      <c r="F112" s="10" t="s">
        <v>478</v>
      </c>
      <c r="G112" s="10" t="s">
        <v>142</v>
      </c>
      <c r="H112" s="10" t="s">
        <v>55</v>
      </c>
      <c r="I112" s="13">
        <v>1599.6196330943999</v>
      </c>
      <c r="J112" s="13">
        <v>1418.8238213029999</v>
      </c>
      <c r="K112" s="13">
        <v>180.79581179140001</v>
      </c>
      <c r="L112" s="13">
        <v>1261.8947617527001</v>
      </c>
      <c r="M112" s="13">
        <v>337.72487134170001</v>
      </c>
      <c r="N112" s="10" t="s">
        <v>479</v>
      </c>
      <c r="O112" s="14">
        <v>4.49</v>
      </c>
      <c r="P112" s="10" t="s">
        <v>33</v>
      </c>
      <c r="Q112" s="14" t="s">
        <v>34</v>
      </c>
      <c r="R112" s="10" t="s">
        <v>35</v>
      </c>
      <c r="S112" s="10" t="s">
        <v>477</v>
      </c>
      <c r="T112" s="14">
        <f>IF(O112="","",(1/Metadata!$B$5)^(O112-1))</f>
        <v>3090.295432513592</v>
      </c>
      <c r="U112" s="13">
        <f t="shared" si="1"/>
        <v>4943297.245910692</v>
      </c>
      <c r="V112" s="21" t="s">
        <v>92</v>
      </c>
      <c r="W112" s="20" t="s">
        <v>480</v>
      </c>
      <c r="X112" s="21" t="s">
        <v>92</v>
      </c>
      <c r="Y112" s="20" t="s">
        <v>480</v>
      </c>
    </row>
    <row r="113" spans="1:25" ht="18" customHeight="1">
      <c r="A113" s="10" t="s">
        <v>25</v>
      </c>
      <c r="B113" s="10" t="s">
        <v>26</v>
      </c>
      <c r="C113" s="10" t="s">
        <v>27</v>
      </c>
      <c r="D113" s="12">
        <v>2019</v>
      </c>
      <c r="E113" s="10" t="s">
        <v>481</v>
      </c>
      <c r="F113" s="10" t="s">
        <v>482</v>
      </c>
      <c r="G113" s="10" t="s">
        <v>61</v>
      </c>
      <c r="H113" s="10" t="s">
        <v>55</v>
      </c>
      <c r="I113" s="13">
        <v>1441.7597277432001</v>
      </c>
      <c r="J113" s="13">
        <v>1441.7597277432001</v>
      </c>
      <c r="K113" s="13">
        <v>0</v>
      </c>
      <c r="L113" s="13">
        <v>368.35085561339997</v>
      </c>
      <c r="M113" s="13">
        <v>1073.4088721298001</v>
      </c>
      <c r="N113" s="10" t="s">
        <v>483</v>
      </c>
      <c r="O113" s="14">
        <v>4.1500000000000004</v>
      </c>
      <c r="P113" s="10" t="s">
        <v>33</v>
      </c>
      <c r="Q113" s="14" t="s">
        <v>34</v>
      </c>
      <c r="R113" s="10" t="s">
        <v>35</v>
      </c>
      <c r="S113" s="10" t="s">
        <v>481</v>
      </c>
      <c r="T113" s="14">
        <f>IF(O113="","",(1/Metadata!$B$5)^(O113-1))</f>
        <v>1412.537544622757</v>
      </c>
      <c r="U113" s="13">
        <f t="shared" si="1"/>
        <v>2036539.7457623545</v>
      </c>
      <c r="V113" s="21" t="s">
        <v>63</v>
      </c>
      <c r="W113" s="20" t="s">
        <v>484</v>
      </c>
      <c r="X113" s="21" t="s">
        <v>63</v>
      </c>
      <c r="Y113" s="20" t="s">
        <v>484</v>
      </c>
    </row>
    <row r="114" spans="1:25" ht="18" customHeight="1">
      <c r="A114" s="10" t="s">
        <v>25</v>
      </c>
      <c r="B114" s="10" t="s">
        <v>26</v>
      </c>
      <c r="C114" s="10" t="s">
        <v>27</v>
      </c>
      <c r="D114" s="12">
        <v>2019</v>
      </c>
      <c r="E114" s="10" t="s">
        <v>485</v>
      </c>
      <c r="F114" s="10" t="s">
        <v>486</v>
      </c>
      <c r="G114" s="10" t="s">
        <v>30</v>
      </c>
      <c r="H114" s="10" t="s">
        <v>418</v>
      </c>
      <c r="I114" s="13">
        <v>1395.0972473710999</v>
      </c>
      <c r="J114" s="13">
        <v>1062.9673618874001</v>
      </c>
      <c r="K114" s="13">
        <v>332.12988548369998</v>
      </c>
      <c r="L114" s="13">
        <v>1062.9673618874001</v>
      </c>
      <c r="M114" s="13">
        <v>332.12988548369998</v>
      </c>
      <c r="N114" s="10" t="s">
        <v>487</v>
      </c>
      <c r="O114" s="14">
        <v>3.6</v>
      </c>
      <c r="P114" s="10" t="s">
        <v>43</v>
      </c>
      <c r="Q114" s="14" t="s">
        <v>44</v>
      </c>
      <c r="R114" s="10" t="s">
        <v>35</v>
      </c>
      <c r="S114" s="10" t="s">
        <v>485</v>
      </c>
      <c r="T114" s="14">
        <f>IF(O114="","",(1/Metadata!$B$5)^(O114-1))</f>
        <v>398.10717055349761</v>
      </c>
      <c r="U114" s="13">
        <f t="shared" si="1"/>
        <v>555398.21779788157</v>
      </c>
      <c r="V114" s="22" t="s">
        <v>86</v>
      </c>
      <c r="W114" s="20" t="s">
        <v>488</v>
      </c>
      <c r="X114" s="22" t="s">
        <v>86</v>
      </c>
      <c r="Y114" s="20" t="s">
        <v>488</v>
      </c>
    </row>
    <row r="115" spans="1:25" ht="18" customHeight="1">
      <c r="A115" s="10" t="s">
        <v>25</v>
      </c>
      <c r="B115" s="10" t="s">
        <v>26</v>
      </c>
      <c r="C115" s="10" t="s">
        <v>27</v>
      </c>
      <c r="D115" s="12">
        <v>2019</v>
      </c>
      <c r="E115" s="10" t="s">
        <v>489</v>
      </c>
      <c r="F115" s="10" t="s">
        <v>490</v>
      </c>
      <c r="G115" s="10" t="s">
        <v>30</v>
      </c>
      <c r="H115" s="10" t="s">
        <v>55</v>
      </c>
      <c r="I115" s="13">
        <v>1390.1707184884001</v>
      </c>
      <c r="J115" s="13">
        <v>1390.1707184884001</v>
      </c>
      <c r="K115" s="13">
        <v>0</v>
      </c>
      <c r="L115" s="13">
        <v>997.05991333079999</v>
      </c>
      <c r="M115" s="13">
        <v>393.1108051576</v>
      </c>
      <c r="N115" s="10" t="s">
        <v>491</v>
      </c>
      <c r="O115" s="14">
        <v>3.36</v>
      </c>
      <c r="P115" s="10" t="s">
        <v>33</v>
      </c>
      <c r="Q115" s="14" t="s">
        <v>34</v>
      </c>
      <c r="R115" s="10" t="s">
        <v>35</v>
      </c>
      <c r="S115" s="10" t="s">
        <v>489</v>
      </c>
      <c r="T115" s="14">
        <f>IF(O115="","",(1/Metadata!$B$5)^(O115-1))</f>
        <v>229.08676527677744</v>
      </c>
      <c r="U115" s="13">
        <f t="shared" si="1"/>
        <v>318469.71308100119</v>
      </c>
      <c r="V115" s="22" t="s">
        <v>86</v>
      </c>
      <c r="W115" s="20" t="s">
        <v>492</v>
      </c>
      <c r="X115" s="22" t="s">
        <v>86</v>
      </c>
      <c r="Y115" s="20" t="s">
        <v>492</v>
      </c>
    </row>
    <row r="116" spans="1:25" ht="18" customHeight="1">
      <c r="A116" s="10" t="s">
        <v>25</v>
      </c>
      <c r="B116" s="10" t="s">
        <v>26</v>
      </c>
      <c r="C116" s="10" t="s">
        <v>27</v>
      </c>
      <c r="D116" s="12">
        <v>2019</v>
      </c>
      <c r="E116" s="10" t="s">
        <v>493</v>
      </c>
      <c r="F116" s="10" t="s">
        <v>494</v>
      </c>
      <c r="G116" s="10" t="s">
        <v>194</v>
      </c>
      <c r="H116" s="10" t="s">
        <v>55</v>
      </c>
      <c r="I116" s="13">
        <v>1258.2618423903</v>
      </c>
      <c r="J116" s="13">
        <v>1134.4700827085001</v>
      </c>
      <c r="K116" s="13">
        <v>123.7917596818</v>
      </c>
      <c r="L116" s="13">
        <v>463.53718727879999</v>
      </c>
      <c r="M116" s="13">
        <v>794.72465511149994</v>
      </c>
      <c r="N116" s="10" t="s">
        <v>495</v>
      </c>
      <c r="O116" s="14">
        <v>3.45</v>
      </c>
      <c r="P116" s="10" t="s">
        <v>43</v>
      </c>
      <c r="Q116" s="14" t="s">
        <v>44</v>
      </c>
      <c r="R116" s="10" t="s">
        <v>35</v>
      </c>
      <c r="S116" s="10" t="s">
        <v>493</v>
      </c>
      <c r="T116" s="14">
        <f>IF(O116="","",(1/Metadata!$B$5)^(O116-1))</f>
        <v>281.83829312644554</v>
      </c>
      <c r="U116" s="13">
        <f t="shared" si="1"/>
        <v>354626.36996541877</v>
      </c>
      <c r="V116" s="21" t="s">
        <v>119</v>
      </c>
      <c r="W116" s="20" t="s">
        <v>496</v>
      </c>
      <c r="X116" s="21" t="s">
        <v>119</v>
      </c>
      <c r="Y116" s="20" t="s">
        <v>496</v>
      </c>
    </row>
    <row r="117" spans="1:25" ht="18" customHeight="1">
      <c r="A117" s="10" t="s">
        <v>25</v>
      </c>
      <c r="B117" s="10" t="s">
        <v>26</v>
      </c>
      <c r="C117" s="10" t="s">
        <v>27</v>
      </c>
      <c r="D117" s="12">
        <v>2019</v>
      </c>
      <c r="E117" s="10" t="s">
        <v>497</v>
      </c>
      <c r="F117" s="10" t="s">
        <v>498</v>
      </c>
      <c r="G117" s="10" t="s">
        <v>49</v>
      </c>
      <c r="H117" s="10" t="s">
        <v>55</v>
      </c>
      <c r="I117" s="13">
        <v>1166.0358033215</v>
      </c>
      <c r="J117" s="13">
        <v>1165.4120112177</v>
      </c>
      <c r="K117" s="13">
        <v>0.62379210379999994</v>
      </c>
      <c r="L117" s="13">
        <v>403.95272528209989</v>
      </c>
      <c r="M117" s="13">
        <v>762.08307803939988</v>
      </c>
      <c r="N117" s="10" t="s">
        <v>499</v>
      </c>
      <c r="O117" s="14">
        <v>4.28</v>
      </c>
      <c r="P117" s="10" t="s">
        <v>43</v>
      </c>
      <c r="Q117" s="14" t="s">
        <v>44</v>
      </c>
      <c r="R117" s="10" t="s">
        <v>35</v>
      </c>
      <c r="S117" s="10" t="s">
        <v>497</v>
      </c>
      <c r="T117" s="14">
        <f>IF(O117="","",(1/Metadata!$B$5)^(O117-1))</f>
        <v>1905.4607179632501</v>
      </c>
      <c r="U117" s="13">
        <f t="shared" si="1"/>
        <v>2221835.4189678403</v>
      </c>
      <c r="V117" s="21" t="s">
        <v>92</v>
      </c>
      <c r="W117" s="20" t="s">
        <v>144</v>
      </c>
      <c r="X117" s="21" t="s">
        <v>92</v>
      </c>
      <c r="Y117" s="20" t="s">
        <v>144</v>
      </c>
    </row>
    <row r="118" spans="1:25" ht="18" customHeight="1">
      <c r="A118" s="10" t="s">
        <v>25</v>
      </c>
      <c r="B118" s="10" t="s">
        <v>26</v>
      </c>
      <c r="C118" s="10" t="s">
        <v>27</v>
      </c>
      <c r="D118" s="12">
        <v>2019</v>
      </c>
      <c r="E118" s="10" t="s">
        <v>500</v>
      </c>
      <c r="F118" s="10" t="s">
        <v>501</v>
      </c>
      <c r="G118" s="10" t="s">
        <v>71</v>
      </c>
      <c r="H118" s="10" t="s">
        <v>55</v>
      </c>
      <c r="I118" s="13">
        <v>1165.2864861712001</v>
      </c>
      <c r="J118" s="13">
        <v>269.00923441600003</v>
      </c>
      <c r="K118" s="13">
        <v>896.27725175520004</v>
      </c>
      <c r="L118" s="13">
        <v>243.74372231460001</v>
      </c>
      <c r="M118" s="13">
        <v>921.5427638566</v>
      </c>
      <c r="N118" s="10" t="s">
        <v>502</v>
      </c>
      <c r="O118" s="14">
        <v>3.3</v>
      </c>
      <c r="P118" s="10" t="s">
        <v>43</v>
      </c>
      <c r="Q118" s="14" t="s">
        <v>44</v>
      </c>
      <c r="R118" s="10" t="s">
        <v>35</v>
      </c>
      <c r="S118" s="10" t="s">
        <v>500</v>
      </c>
      <c r="T118" s="14">
        <f>IF(O118="","",(1/Metadata!$B$5)^(O118-1))</f>
        <v>199.52623149688802</v>
      </c>
      <c r="U118" s="13">
        <f t="shared" si="1"/>
        <v>232505.22119999005</v>
      </c>
      <c r="V118" s="21" t="s">
        <v>119</v>
      </c>
      <c r="W118" s="20" t="s">
        <v>120</v>
      </c>
      <c r="X118" s="21" t="s">
        <v>119</v>
      </c>
      <c r="Y118" s="20" t="s">
        <v>120</v>
      </c>
    </row>
    <row r="119" spans="1:25" ht="18" customHeight="1">
      <c r="A119" s="10" t="s">
        <v>25</v>
      </c>
      <c r="B119" s="10" t="s">
        <v>26</v>
      </c>
      <c r="C119" s="10" t="s">
        <v>27</v>
      </c>
      <c r="D119" s="12">
        <v>2019</v>
      </c>
      <c r="E119" s="10" t="s">
        <v>503</v>
      </c>
      <c r="F119" s="10" t="s">
        <v>504</v>
      </c>
      <c r="G119" s="10" t="s">
        <v>142</v>
      </c>
      <c r="H119" s="10" t="s">
        <v>220</v>
      </c>
      <c r="I119" s="13">
        <v>1151.0960575591</v>
      </c>
      <c r="J119" s="13">
        <v>1150.5425587148</v>
      </c>
      <c r="K119" s="13">
        <v>0.55349884429999996</v>
      </c>
      <c r="L119" s="13">
        <v>1150.5425587148</v>
      </c>
      <c r="M119" s="13">
        <v>0.55349884429999996</v>
      </c>
      <c r="N119" s="10" t="s">
        <v>505</v>
      </c>
      <c r="O119" s="14">
        <v>4.53</v>
      </c>
      <c r="P119" s="10" t="s">
        <v>43</v>
      </c>
      <c r="Q119" s="14" t="s">
        <v>44</v>
      </c>
      <c r="R119" s="10" t="s">
        <v>35</v>
      </c>
      <c r="S119" s="10" t="s">
        <v>503</v>
      </c>
      <c r="T119" s="14">
        <f>IF(O119="","",(1/Metadata!$B$5)^(O119-1))</f>
        <v>3388.4415613920314</v>
      </c>
      <c r="U119" s="13">
        <f t="shared" si="1"/>
        <v>3900421.7225877685</v>
      </c>
      <c r="V119" s="22" t="s">
        <v>92</v>
      </c>
      <c r="W119" s="20" t="s">
        <v>222</v>
      </c>
      <c r="X119" s="22" t="s">
        <v>92</v>
      </c>
      <c r="Y119" s="20" t="s">
        <v>222</v>
      </c>
    </row>
    <row r="120" spans="1:25" ht="18" customHeight="1">
      <c r="A120" s="10" t="s">
        <v>25</v>
      </c>
      <c r="B120" s="10" t="s">
        <v>26</v>
      </c>
      <c r="C120" s="10" t="s">
        <v>27</v>
      </c>
      <c r="D120" s="12">
        <v>2019</v>
      </c>
      <c r="E120" s="10" t="s">
        <v>506</v>
      </c>
      <c r="F120" s="10" t="s">
        <v>507</v>
      </c>
      <c r="G120" s="10" t="s">
        <v>96</v>
      </c>
      <c r="H120" s="10" t="s">
        <v>97</v>
      </c>
      <c r="I120" s="13">
        <v>1115.3452303677</v>
      </c>
      <c r="J120" s="13">
        <v>1114.7307135973999</v>
      </c>
      <c r="K120" s="13">
        <v>0.61451677029999996</v>
      </c>
      <c r="L120" s="13">
        <v>1113.2995573457999</v>
      </c>
      <c r="M120" s="13">
        <v>2.0456730218999999</v>
      </c>
      <c r="N120" s="10" t="s">
        <v>508</v>
      </c>
      <c r="O120" s="14">
        <v>3.2</v>
      </c>
      <c r="P120" s="10" t="s">
        <v>33</v>
      </c>
      <c r="Q120" s="14" t="s">
        <v>34</v>
      </c>
      <c r="R120" s="10" t="s">
        <v>35</v>
      </c>
      <c r="S120" s="10" t="s">
        <v>506</v>
      </c>
      <c r="T120" s="14">
        <f>IF(O120="","",(1/Metadata!$B$5)^(O120-1))</f>
        <v>158.48931924611153</v>
      </c>
      <c r="U120" s="13">
        <f t="shared" si="1"/>
        <v>176770.30628537422</v>
      </c>
      <c r="V120" s="21" t="s">
        <v>96</v>
      </c>
      <c r="W120" s="20" t="s">
        <v>509</v>
      </c>
      <c r="X120" s="21" t="s">
        <v>96</v>
      </c>
      <c r="Y120" s="20" t="s">
        <v>509</v>
      </c>
    </row>
    <row r="121" spans="1:25" ht="18" customHeight="1">
      <c r="A121" s="10" t="s">
        <v>25</v>
      </c>
      <c r="B121" s="10" t="s">
        <v>26</v>
      </c>
      <c r="C121" s="10" t="s">
        <v>27</v>
      </c>
      <c r="D121" s="12">
        <v>2019</v>
      </c>
      <c r="E121" s="10" t="s">
        <v>510</v>
      </c>
      <c r="F121" s="10" t="s">
        <v>511</v>
      </c>
      <c r="G121" s="10" t="s">
        <v>512</v>
      </c>
      <c r="H121" s="10" t="s">
        <v>228</v>
      </c>
      <c r="I121" s="13">
        <v>1098.2277475731</v>
      </c>
      <c r="J121" s="13">
        <v>1069.6825868817</v>
      </c>
      <c r="K121" s="13">
        <v>28.5451606914</v>
      </c>
      <c r="L121" s="13">
        <v>1069.6825868817</v>
      </c>
      <c r="M121" s="13">
        <v>28.5451606914</v>
      </c>
      <c r="N121" s="10" t="s">
        <v>513</v>
      </c>
      <c r="O121" s="14">
        <v>3.1</v>
      </c>
      <c r="P121" s="10" t="s">
        <v>33</v>
      </c>
      <c r="Q121" s="14" t="s">
        <v>34</v>
      </c>
      <c r="R121" s="10" t="s">
        <v>35</v>
      </c>
      <c r="S121" s="10" t="s">
        <v>510</v>
      </c>
      <c r="T121" s="14">
        <f>IF(O121="","",(1/Metadata!$B$5)^(O121-1))</f>
        <v>125.89254117941677</v>
      </c>
      <c r="U121" s="13">
        <f t="shared" si="1"/>
        <v>138258.68193572463</v>
      </c>
      <c r="V121" s="19" t="s">
        <v>36</v>
      </c>
      <c r="W121" s="20" t="s">
        <v>514</v>
      </c>
      <c r="X121" s="19" t="s">
        <v>36</v>
      </c>
      <c r="Y121" s="20" t="s">
        <v>514</v>
      </c>
    </row>
    <row r="122" spans="1:25" ht="18" customHeight="1">
      <c r="A122" s="10" t="s">
        <v>25</v>
      </c>
      <c r="B122" s="10" t="s">
        <v>26</v>
      </c>
      <c r="C122" s="10" t="s">
        <v>27</v>
      </c>
      <c r="D122" s="12">
        <v>2019</v>
      </c>
      <c r="E122" s="10" t="s">
        <v>515</v>
      </c>
      <c r="F122" s="10" t="s">
        <v>516</v>
      </c>
      <c r="G122" s="10" t="s">
        <v>30</v>
      </c>
      <c r="H122" s="10" t="s">
        <v>31</v>
      </c>
      <c r="I122" s="13">
        <v>1021.8965808354</v>
      </c>
      <c r="J122" s="13">
        <v>1021.8965808354</v>
      </c>
      <c r="K122" s="13">
        <v>0</v>
      </c>
      <c r="L122" s="13">
        <v>1021.8965808354</v>
      </c>
      <c r="M122" s="13">
        <v>0</v>
      </c>
      <c r="N122" s="10" t="s">
        <v>517</v>
      </c>
      <c r="O122" s="14">
        <v>3.23</v>
      </c>
      <c r="P122" s="10" t="s">
        <v>33</v>
      </c>
      <c r="Q122" s="14" t="s">
        <v>34</v>
      </c>
      <c r="R122" s="10" t="s">
        <v>35</v>
      </c>
      <c r="S122" s="10" t="s">
        <v>515</v>
      </c>
      <c r="T122" s="14">
        <f>IF(O122="","",(1/Metadata!$B$5)^(O122-1))</f>
        <v>169.82436524617444</v>
      </c>
      <c r="U122" s="13">
        <f t="shared" si="1"/>
        <v>173542.9381876078</v>
      </c>
      <c r="V122" s="19" t="s">
        <v>36</v>
      </c>
      <c r="W122" s="20" t="s">
        <v>37</v>
      </c>
      <c r="X122" s="19" t="s">
        <v>36</v>
      </c>
      <c r="Y122" s="20" t="s">
        <v>37</v>
      </c>
    </row>
    <row r="123" spans="1:25" ht="18" customHeight="1">
      <c r="A123" s="10" t="s">
        <v>25</v>
      </c>
      <c r="B123" s="10" t="s">
        <v>26</v>
      </c>
      <c r="C123" s="10" t="s">
        <v>27</v>
      </c>
      <c r="D123" s="12">
        <v>2019</v>
      </c>
      <c r="E123" s="10" t="s">
        <v>518</v>
      </c>
      <c r="F123" s="10" t="s">
        <v>519</v>
      </c>
      <c r="G123" s="10" t="s">
        <v>123</v>
      </c>
      <c r="H123" s="10" t="s">
        <v>97</v>
      </c>
      <c r="I123" s="13">
        <v>977.50450187950003</v>
      </c>
      <c r="J123" s="13">
        <v>947.25641568210006</v>
      </c>
      <c r="K123" s="13">
        <v>30.248086197399999</v>
      </c>
      <c r="L123" s="13">
        <v>947.25641568210006</v>
      </c>
      <c r="M123" s="13">
        <v>30.248086197399999</v>
      </c>
      <c r="N123" s="10" t="s">
        <v>520</v>
      </c>
      <c r="O123" s="14">
        <v>2.87</v>
      </c>
      <c r="P123" s="10" t="s">
        <v>33</v>
      </c>
      <c r="Q123" s="14" t="s">
        <v>34</v>
      </c>
      <c r="R123" s="10" t="s">
        <v>35</v>
      </c>
      <c r="S123" s="10" t="s">
        <v>518</v>
      </c>
      <c r="T123" s="14">
        <f>IF(O123="","",(1/Metadata!$B$5)^(O123-1))</f>
        <v>74.131024130091816</v>
      </c>
      <c r="U123" s="13">
        <f t="shared" si="1"/>
        <v>72463.409816102605</v>
      </c>
      <c r="V123" s="22" t="s">
        <v>125</v>
      </c>
      <c r="W123" s="20" t="s">
        <v>521</v>
      </c>
      <c r="X123" s="22" t="s">
        <v>125</v>
      </c>
      <c r="Y123" s="20" t="s">
        <v>521</v>
      </c>
    </row>
    <row r="124" spans="1:25" ht="18" customHeight="1">
      <c r="A124" s="10" t="s">
        <v>25</v>
      </c>
      <c r="B124" s="10" t="s">
        <v>26</v>
      </c>
      <c r="C124" s="10" t="s">
        <v>27</v>
      </c>
      <c r="D124" s="12">
        <v>2019</v>
      </c>
      <c r="E124" s="10" t="s">
        <v>522</v>
      </c>
      <c r="F124" s="10" t="s">
        <v>523</v>
      </c>
      <c r="G124" s="10" t="s">
        <v>61</v>
      </c>
      <c r="H124" s="10" t="s">
        <v>31</v>
      </c>
      <c r="I124" s="13">
        <v>957.77637041759999</v>
      </c>
      <c r="J124" s="13">
        <v>957.73989051089995</v>
      </c>
      <c r="K124" s="13">
        <v>3.6479906700000002E-2</v>
      </c>
      <c r="L124" s="13">
        <v>9.8529718533999997</v>
      </c>
      <c r="M124" s="13">
        <v>947.92339856419994</v>
      </c>
      <c r="N124" s="10" t="s">
        <v>524</v>
      </c>
      <c r="O124" s="14">
        <v>2.0299999999999998</v>
      </c>
      <c r="P124" s="10" t="s">
        <v>43</v>
      </c>
      <c r="Q124" s="14" t="s">
        <v>44</v>
      </c>
      <c r="R124" s="10" t="s">
        <v>35</v>
      </c>
      <c r="S124" s="10" t="s">
        <v>522</v>
      </c>
      <c r="T124" s="14">
        <f>IF(O124="","",(1/Metadata!$B$5)^(O124-1))</f>
        <v>10.715193052376064</v>
      </c>
      <c r="U124" s="13">
        <f t="shared" si="1"/>
        <v>10262.758710028631</v>
      </c>
      <c r="V124" s="19" t="s">
        <v>36</v>
      </c>
      <c r="W124" s="20" t="s">
        <v>525</v>
      </c>
      <c r="X124" s="19" t="s">
        <v>36</v>
      </c>
      <c r="Y124" s="20" t="s">
        <v>525</v>
      </c>
    </row>
    <row r="125" spans="1:25" ht="18" customHeight="1">
      <c r="A125" s="10" t="s">
        <v>25</v>
      </c>
      <c r="B125" s="10" t="s">
        <v>26</v>
      </c>
      <c r="C125" s="10" t="s">
        <v>27</v>
      </c>
      <c r="D125" s="12">
        <v>2019</v>
      </c>
      <c r="E125" s="10" t="s">
        <v>526</v>
      </c>
      <c r="F125" s="10" t="s">
        <v>527</v>
      </c>
      <c r="G125" s="10" t="s">
        <v>358</v>
      </c>
      <c r="H125" s="10" t="s">
        <v>418</v>
      </c>
      <c r="I125" s="13">
        <v>912.73493264019999</v>
      </c>
      <c r="J125" s="13">
        <v>912.73493264019999</v>
      </c>
      <c r="K125" s="13">
        <v>0</v>
      </c>
      <c r="L125" s="13">
        <v>0</v>
      </c>
      <c r="M125" s="13">
        <v>912.73493264019999</v>
      </c>
      <c r="N125" s="10" t="s">
        <v>528</v>
      </c>
      <c r="O125" s="14">
        <v>3.79</v>
      </c>
      <c r="P125" s="10" t="s">
        <v>33</v>
      </c>
      <c r="Q125" s="14" t="s">
        <v>34</v>
      </c>
      <c r="R125" s="10" t="s">
        <v>35</v>
      </c>
      <c r="S125" s="10" t="s">
        <v>526</v>
      </c>
      <c r="T125" s="14">
        <f>IF(O125="","",(1/Metadata!$B$5)^(O125-1))</f>
        <v>616.59500186148273</v>
      </c>
      <c r="U125" s="13">
        <f t="shared" si="1"/>
        <v>562787.79749032448</v>
      </c>
      <c r="V125" s="22" t="s">
        <v>86</v>
      </c>
      <c r="W125" s="20" t="s">
        <v>445</v>
      </c>
      <c r="X125" s="22" t="s">
        <v>86</v>
      </c>
      <c r="Y125" s="20" t="s">
        <v>445</v>
      </c>
    </row>
    <row r="126" spans="1:25" ht="18" customHeight="1">
      <c r="A126" s="10" t="s">
        <v>25</v>
      </c>
      <c r="B126" s="10" t="s">
        <v>26</v>
      </c>
      <c r="C126" s="10" t="s">
        <v>27</v>
      </c>
      <c r="D126" s="12">
        <v>2019</v>
      </c>
      <c r="E126" s="10" t="s">
        <v>529</v>
      </c>
      <c r="F126" s="10" t="s">
        <v>530</v>
      </c>
      <c r="G126" s="10" t="s">
        <v>49</v>
      </c>
      <c r="H126" s="10" t="s">
        <v>31</v>
      </c>
      <c r="I126" s="13">
        <v>895.41423997080005</v>
      </c>
      <c r="J126" s="13">
        <v>895.41423997080005</v>
      </c>
      <c r="K126" s="13">
        <v>0</v>
      </c>
      <c r="L126" s="13">
        <v>892.17438459319999</v>
      </c>
      <c r="M126" s="13">
        <v>3.2398553776000001</v>
      </c>
      <c r="N126" s="10" t="s">
        <v>531</v>
      </c>
      <c r="O126" s="14">
        <v>3.4</v>
      </c>
      <c r="P126" s="10" t="s">
        <v>43</v>
      </c>
      <c r="Q126" s="14" t="s">
        <v>44</v>
      </c>
      <c r="R126" s="10" t="s">
        <v>35</v>
      </c>
      <c r="S126" s="10" t="s">
        <v>529</v>
      </c>
      <c r="T126" s="14">
        <f>IF(O126="","",(1/Metadata!$B$5)^(O126-1))</f>
        <v>251.18864315095806</v>
      </c>
      <c r="U126" s="13">
        <f t="shared" si="1"/>
        <v>224917.88799631162</v>
      </c>
      <c r="V126" s="22" t="s">
        <v>203</v>
      </c>
      <c r="W126" s="20" t="s">
        <v>532</v>
      </c>
      <c r="X126" s="22" t="s">
        <v>203</v>
      </c>
      <c r="Y126" s="20" t="s">
        <v>532</v>
      </c>
    </row>
    <row r="127" spans="1:25" ht="18" customHeight="1">
      <c r="A127" s="10" t="s">
        <v>25</v>
      </c>
      <c r="B127" s="10" t="s">
        <v>26</v>
      </c>
      <c r="C127" s="10" t="s">
        <v>27</v>
      </c>
      <c r="D127" s="12">
        <v>2019</v>
      </c>
      <c r="E127" s="10" t="s">
        <v>533</v>
      </c>
      <c r="F127" s="10" t="s">
        <v>534</v>
      </c>
      <c r="G127" s="10" t="s">
        <v>96</v>
      </c>
      <c r="H127" s="10" t="s">
        <v>97</v>
      </c>
      <c r="I127" s="13">
        <v>894.07431483990001</v>
      </c>
      <c r="J127" s="13">
        <v>821.73943235009995</v>
      </c>
      <c r="K127" s="13">
        <v>72.334882489799995</v>
      </c>
      <c r="L127" s="13">
        <v>821.18016338090001</v>
      </c>
      <c r="M127" s="13">
        <v>72.894151459</v>
      </c>
      <c r="N127" s="10" t="s">
        <v>535</v>
      </c>
      <c r="O127" s="14">
        <v>2.7</v>
      </c>
      <c r="P127" s="10" t="s">
        <v>33</v>
      </c>
      <c r="Q127" s="14" t="s">
        <v>34</v>
      </c>
      <c r="R127" s="10" t="s">
        <v>35</v>
      </c>
      <c r="S127" s="10" t="s">
        <v>533</v>
      </c>
      <c r="T127" s="14">
        <f>IF(O127="","",(1/Metadata!$B$5)^(O127-1))</f>
        <v>50.118723362727259</v>
      </c>
      <c r="U127" s="13">
        <f t="shared" si="1"/>
        <v>44809.863251180861</v>
      </c>
      <c r="V127" s="21" t="s">
        <v>96</v>
      </c>
      <c r="W127" s="20" t="s">
        <v>107</v>
      </c>
      <c r="X127" s="21" t="s">
        <v>96</v>
      </c>
      <c r="Y127" s="20" t="s">
        <v>107</v>
      </c>
    </row>
    <row r="128" spans="1:25" ht="18" customHeight="1">
      <c r="A128" s="10" t="s">
        <v>25</v>
      </c>
      <c r="B128" s="10" t="s">
        <v>26</v>
      </c>
      <c r="C128" s="10" t="s">
        <v>27</v>
      </c>
      <c r="D128" s="12">
        <v>2019</v>
      </c>
      <c r="E128" s="10" t="s">
        <v>536</v>
      </c>
      <c r="F128" s="10" t="s">
        <v>537</v>
      </c>
      <c r="G128" s="10" t="s">
        <v>90</v>
      </c>
      <c r="H128" s="10" t="s">
        <v>55</v>
      </c>
      <c r="I128" s="13">
        <v>889.32127527420005</v>
      </c>
      <c r="J128" s="13">
        <v>889.32127527420005</v>
      </c>
      <c r="K128" s="13">
        <v>0</v>
      </c>
      <c r="L128" s="13">
        <v>0</v>
      </c>
      <c r="M128" s="13">
        <v>889.32127527420005</v>
      </c>
      <c r="N128" s="10" t="s">
        <v>538</v>
      </c>
      <c r="O128" s="14">
        <v>3.78</v>
      </c>
      <c r="P128" s="10" t="s">
        <v>33</v>
      </c>
      <c r="Q128" s="14" t="s">
        <v>34</v>
      </c>
      <c r="R128" s="10" t="s">
        <v>35</v>
      </c>
      <c r="S128" s="10" t="s">
        <v>536</v>
      </c>
      <c r="T128" s="14">
        <f>IF(O128="","",(1/Metadata!$B$5)^(O128-1))</f>
        <v>602.55958607435775</v>
      </c>
      <c r="U128" s="13">
        <f t="shared" si="1"/>
        <v>535869.05951634189</v>
      </c>
      <c r="V128" s="22" t="s">
        <v>86</v>
      </c>
      <c r="W128" s="20" t="s">
        <v>352</v>
      </c>
      <c r="X128" s="22" t="s">
        <v>86</v>
      </c>
      <c r="Y128" s="20" t="s">
        <v>352</v>
      </c>
    </row>
    <row r="129" spans="1:25" ht="18" customHeight="1">
      <c r="A129" s="10" t="s">
        <v>25</v>
      </c>
      <c r="B129" s="10" t="s">
        <v>26</v>
      </c>
      <c r="C129" s="10" t="s">
        <v>27</v>
      </c>
      <c r="D129" s="12">
        <v>2019</v>
      </c>
      <c r="E129" s="10" t="s">
        <v>539</v>
      </c>
      <c r="F129" s="10" t="s">
        <v>540</v>
      </c>
      <c r="G129" s="10" t="s">
        <v>49</v>
      </c>
      <c r="H129" s="10" t="s">
        <v>31</v>
      </c>
      <c r="I129" s="13">
        <v>863.67409910449999</v>
      </c>
      <c r="J129" s="13">
        <v>863.67409910449999</v>
      </c>
      <c r="K129" s="13">
        <v>0</v>
      </c>
      <c r="L129" s="13">
        <v>0</v>
      </c>
      <c r="M129" s="13">
        <v>863.67409910449999</v>
      </c>
      <c r="N129" s="10" t="s">
        <v>541</v>
      </c>
      <c r="O129" s="14">
        <v>2.82</v>
      </c>
      <c r="P129" s="10" t="s">
        <v>33</v>
      </c>
      <c r="Q129" s="14" t="s">
        <v>34</v>
      </c>
      <c r="R129" s="10" t="s">
        <v>35</v>
      </c>
      <c r="S129" s="10" t="s">
        <v>539</v>
      </c>
      <c r="T129" s="14">
        <f>IF(O129="","",(1/Metadata!$B$5)^(O129-1))</f>
        <v>66.069344800759623</v>
      </c>
      <c r="U129" s="13">
        <f t="shared" si="1"/>
        <v>57062.381849220648</v>
      </c>
      <c r="V129" s="22" t="s">
        <v>203</v>
      </c>
      <c r="W129" s="20" t="s">
        <v>532</v>
      </c>
      <c r="X129" s="22" t="s">
        <v>203</v>
      </c>
      <c r="Y129" s="20" t="s">
        <v>532</v>
      </c>
    </row>
    <row r="130" spans="1:25" ht="18" customHeight="1">
      <c r="A130" s="10" t="s">
        <v>25</v>
      </c>
      <c r="B130" s="10" t="s">
        <v>26</v>
      </c>
      <c r="C130" s="10" t="s">
        <v>27</v>
      </c>
      <c r="D130" s="12">
        <v>2019</v>
      </c>
      <c r="E130" s="10" t="s">
        <v>542</v>
      </c>
      <c r="F130" s="10" t="s">
        <v>543</v>
      </c>
      <c r="G130" s="10" t="s">
        <v>194</v>
      </c>
      <c r="H130" s="10" t="s">
        <v>55</v>
      </c>
      <c r="I130" s="13">
        <v>824.59384694890002</v>
      </c>
      <c r="J130" s="13">
        <v>754.67494831750003</v>
      </c>
      <c r="K130" s="13">
        <v>69.918898631399998</v>
      </c>
      <c r="L130" s="13">
        <v>753.77334444560006</v>
      </c>
      <c r="M130" s="13">
        <v>70.820502503300006</v>
      </c>
      <c r="N130" s="10" t="s">
        <v>544</v>
      </c>
      <c r="O130" s="14">
        <v>4.1100000000000003</v>
      </c>
      <c r="P130" s="10" t="s">
        <v>43</v>
      </c>
      <c r="Q130" s="14" t="s">
        <v>44</v>
      </c>
      <c r="R130" s="10" t="s">
        <v>35</v>
      </c>
      <c r="S130" s="10" t="s">
        <v>542</v>
      </c>
      <c r="T130" s="14">
        <f>IF(O130="","",(1/Metadata!$B$5)^(O130-1))</f>
        <v>1288.2495516931358</v>
      </c>
      <c r="U130" s="13">
        <f t="shared" ref="U130:U193" si="2">IF(T130="","",I130*T130)</f>
        <v>1062282.6536608387</v>
      </c>
      <c r="V130" s="21" t="s">
        <v>86</v>
      </c>
      <c r="W130" s="20" t="s">
        <v>58</v>
      </c>
      <c r="X130" s="21" t="s">
        <v>86</v>
      </c>
      <c r="Y130" s="20" t="s">
        <v>58</v>
      </c>
    </row>
    <row r="131" spans="1:25" ht="18" customHeight="1">
      <c r="A131" s="10" t="s">
        <v>25</v>
      </c>
      <c r="B131" s="10" t="s">
        <v>26</v>
      </c>
      <c r="C131" s="10" t="s">
        <v>27</v>
      </c>
      <c r="D131" s="12">
        <v>2019</v>
      </c>
      <c r="E131" s="10" t="s">
        <v>545</v>
      </c>
      <c r="F131" s="10" t="s">
        <v>546</v>
      </c>
      <c r="G131" s="10" t="s">
        <v>123</v>
      </c>
      <c r="H131" s="10" t="s">
        <v>97</v>
      </c>
      <c r="I131" s="13">
        <v>822.55047220289998</v>
      </c>
      <c r="J131" s="13">
        <v>650.57078347699996</v>
      </c>
      <c r="K131" s="13">
        <v>171.97968872589999</v>
      </c>
      <c r="L131" s="13">
        <v>647.02068596729998</v>
      </c>
      <c r="M131" s="13">
        <v>175.5297862356</v>
      </c>
      <c r="N131" s="10" t="s">
        <v>547</v>
      </c>
      <c r="O131" s="14">
        <v>2.6</v>
      </c>
      <c r="P131" s="10" t="s">
        <v>33</v>
      </c>
      <c r="Q131" s="14" t="s">
        <v>34</v>
      </c>
      <c r="R131" s="10" t="s">
        <v>35</v>
      </c>
      <c r="S131" s="10" t="s">
        <v>545</v>
      </c>
      <c r="T131" s="14">
        <f>IF(O131="","",(1/Metadata!$B$5)^(O131-1))</f>
        <v>39.810717055349755</v>
      </c>
      <c r="U131" s="13">
        <f t="shared" si="2"/>
        <v>32746.324112613984</v>
      </c>
      <c r="V131" s="22" t="s">
        <v>125</v>
      </c>
      <c r="W131" s="20" t="s">
        <v>521</v>
      </c>
      <c r="X131" s="22" t="s">
        <v>125</v>
      </c>
      <c r="Y131" s="20" t="s">
        <v>521</v>
      </c>
    </row>
    <row r="132" spans="1:25" ht="18" customHeight="1">
      <c r="A132" s="10" t="s">
        <v>25</v>
      </c>
      <c r="B132" s="10" t="s">
        <v>26</v>
      </c>
      <c r="C132" s="10" t="s">
        <v>27</v>
      </c>
      <c r="D132" s="12">
        <v>2019</v>
      </c>
      <c r="E132" s="10" t="s">
        <v>548</v>
      </c>
      <c r="F132" s="10" t="s">
        <v>549</v>
      </c>
      <c r="G132" s="10" t="s">
        <v>550</v>
      </c>
      <c r="H132" s="10" t="s">
        <v>55</v>
      </c>
      <c r="I132" s="13">
        <v>821.87291905270001</v>
      </c>
      <c r="J132" s="13">
        <v>762.09561294510002</v>
      </c>
      <c r="K132" s="13">
        <v>59.777306107599998</v>
      </c>
      <c r="L132" s="13">
        <v>762.07438215000002</v>
      </c>
      <c r="M132" s="13">
        <v>59.798536902700008</v>
      </c>
      <c r="N132" s="10" t="s">
        <v>551</v>
      </c>
      <c r="O132" s="14">
        <v>3.51</v>
      </c>
      <c r="P132" s="10" t="s">
        <v>43</v>
      </c>
      <c r="Q132" s="14" t="s">
        <v>44</v>
      </c>
      <c r="R132" s="10" t="s">
        <v>35</v>
      </c>
      <c r="S132" s="10" t="s">
        <v>548</v>
      </c>
      <c r="T132" s="14">
        <f>IF(O132="","",(1/Metadata!$B$5)^(O132-1))</f>
        <v>323.59365692962825</v>
      </c>
      <c r="U132" s="13">
        <f t="shared" si="2"/>
        <v>265952.86340769153</v>
      </c>
      <c r="V132" s="22" t="s">
        <v>86</v>
      </c>
      <c r="W132" s="20" t="s">
        <v>552</v>
      </c>
      <c r="X132" s="22" t="s">
        <v>86</v>
      </c>
      <c r="Y132" s="20" t="s">
        <v>552</v>
      </c>
    </row>
    <row r="133" spans="1:25" ht="18" customHeight="1">
      <c r="A133" s="10" t="s">
        <v>25</v>
      </c>
      <c r="B133" s="10" t="s">
        <v>26</v>
      </c>
      <c r="C133" s="10" t="s">
        <v>27</v>
      </c>
      <c r="D133" s="12">
        <v>2019</v>
      </c>
      <c r="E133" s="10" t="s">
        <v>553</v>
      </c>
      <c r="F133" s="10" t="s">
        <v>554</v>
      </c>
      <c r="G133" s="10" t="s">
        <v>30</v>
      </c>
      <c r="H133" s="10" t="s">
        <v>207</v>
      </c>
      <c r="I133" s="13">
        <v>773.34011572839995</v>
      </c>
      <c r="J133" s="13">
        <v>773.34011572839995</v>
      </c>
      <c r="K133" s="13">
        <v>0</v>
      </c>
      <c r="L133" s="13">
        <v>0</v>
      </c>
      <c r="M133" s="13">
        <v>773.34011572839995</v>
      </c>
      <c r="N133" s="10" t="s">
        <v>555</v>
      </c>
      <c r="O133" s="14">
        <v>3.84</v>
      </c>
      <c r="P133" s="10" t="s">
        <v>33</v>
      </c>
      <c r="Q133" s="14" t="s">
        <v>34</v>
      </c>
      <c r="R133" s="10" t="s">
        <v>35</v>
      </c>
      <c r="S133" s="10" t="s">
        <v>553</v>
      </c>
      <c r="T133" s="14">
        <f>IF(O133="","",(1/Metadata!$B$5)^(O133-1))</f>
        <v>691.83097091893671</v>
      </c>
      <c r="U133" s="13">
        <f t="shared" si="2"/>
        <v>535020.64311494178</v>
      </c>
      <c r="V133" s="19" t="s">
        <v>36</v>
      </c>
      <c r="W133" s="20" t="s">
        <v>209</v>
      </c>
      <c r="X133" s="19" t="s">
        <v>36</v>
      </c>
      <c r="Y133" s="20" t="s">
        <v>209</v>
      </c>
    </row>
    <row r="134" spans="1:25" ht="18" customHeight="1">
      <c r="A134" s="10" t="s">
        <v>25</v>
      </c>
      <c r="B134" s="10" t="s">
        <v>26</v>
      </c>
      <c r="C134" s="10" t="s">
        <v>27</v>
      </c>
      <c r="D134" s="12">
        <v>2019</v>
      </c>
      <c r="E134" s="10" t="s">
        <v>556</v>
      </c>
      <c r="F134" s="10" t="s">
        <v>557</v>
      </c>
      <c r="G134" s="10" t="s">
        <v>142</v>
      </c>
      <c r="H134" s="10" t="s">
        <v>55</v>
      </c>
      <c r="I134" s="13">
        <v>760.88444846029995</v>
      </c>
      <c r="J134" s="13">
        <v>725.43858307350001</v>
      </c>
      <c r="K134" s="13">
        <v>35.445865386800001</v>
      </c>
      <c r="L134" s="13">
        <v>723.44064693140001</v>
      </c>
      <c r="M134" s="13">
        <v>37.443801528900003</v>
      </c>
      <c r="N134" s="10" t="s">
        <v>558</v>
      </c>
      <c r="O134" s="14">
        <v>4.5</v>
      </c>
      <c r="P134" s="10" t="s">
        <v>43</v>
      </c>
      <c r="Q134" s="14" t="s">
        <v>44</v>
      </c>
      <c r="R134" s="10" t="s">
        <v>35</v>
      </c>
      <c r="S134" s="10" t="s">
        <v>556</v>
      </c>
      <c r="T134" s="14">
        <f>IF(O134="","",(1/Metadata!$B$5)^(O134-1))</f>
        <v>3162.2776601683804</v>
      </c>
      <c r="U134" s="13">
        <f t="shared" si="2"/>
        <v>2406127.8933355459</v>
      </c>
      <c r="V134" s="21" t="s">
        <v>92</v>
      </c>
      <c r="W134" s="20" t="s">
        <v>144</v>
      </c>
      <c r="X134" s="21" t="s">
        <v>92</v>
      </c>
      <c r="Y134" s="20" t="s">
        <v>144</v>
      </c>
    </row>
    <row r="135" spans="1:25" ht="18" customHeight="1">
      <c r="A135" s="10" t="s">
        <v>25</v>
      </c>
      <c r="B135" s="10" t="s">
        <v>26</v>
      </c>
      <c r="C135" s="10" t="s">
        <v>27</v>
      </c>
      <c r="D135" s="12">
        <v>2019</v>
      </c>
      <c r="E135" s="10" t="s">
        <v>559</v>
      </c>
      <c r="F135" s="10" t="s">
        <v>560</v>
      </c>
      <c r="G135" s="10" t="s">
        <v>30</v>
      </c>
      <c r="H135" s="10" t="s">
        <v>31</v>
      </c>
      <c r="I135" s="13">
        <v>752.227928529</v>
      </c>
      <c r="J135" s="13">
        <v>752.227928529</v>
      </c>
      <c r="K135" s="13">
        <v>0</v>
      </c>
      <c r="L135" s="13">
        <v>752.227928529</v>
      </c>
      <c r="M135" s="13">
        <v>0</v>
      </c>
      <c r="N135" s="10" t="s">
        <v>561</v>
      </c>
      <c r="O135" s="14">
        <v>4.3</v>
      </c>
      <c r="P135" s="10" t="s">
        <v>33</v>
      </c>
      <c r="Q135" s="14" t="s">
        <v>34</v>
      </c>
      <c r="R135" s="10" t="s">
        <v>35</v>
      </c>
      <c r="S135" s="10" t="s">
        <v>559</v>
      </c>
      <c r="T135" s="14">
        <f>IF(O135="","",(1/Metadata!$B$5)^(O135-1))</f>
        <v>1995.2623149688804</v>
      </c>
      <c r="U135" s="13">
        <f t="shared" si="2"/>
        <v>1500892.0380610181</v>
      </c>
      <c r="V135" s="21" t="s">
        <v>92</v>
      </c>
      <c r="W135" s="20" t="s">
        <v>562</v>
      </c>
      <c r="X135" s="21" t="s">
        <v>92</v>
      </c>
      <c r="Y135" s="20" t="s">
        <v>562</v>
      </c>
    </row>
    <row r="136" spans="1:25" ht="18" customHeight="1">
      <c r="A136" s="10" t="s">
        <v>25</v>
      </c>
      <c r="B136" s="10" t="s">
        <v>26</v>
      </c>
      <c r="C136" s="10" t="s">
        <v>27</v>
      </c>
      <c r="D136" s="12">
        <v>2019</v>
      </c>
      <c r="E136" s="10" t="s">
        <v>563</v>
      </c>
      <c r="F136" s="10" t="s">
        <v>564</v>
      </c>
      <c r="G136" s="10" t="s">
        <v>96</v>
      </c>
      <c r="H136" s="10" t="s">
        <v>97</v>
      </c>
      <c r="I136" s="13">
        <v>752.0362844670999</v>
      </c>
      <c r="J136" s="13">
        <v>151.94989919810001</v>
      </c>
      <c r="K136" s="13">
        <v>600.08638526899995</v>
      </c>
      <c r="L136" s="13">
        <v>150.38773633060001</v>
      </c>
      <c r="M136" s="13">
        <v>601.64854813649993</v>
      </c>
      <c r="N136" s="10" t="s">
        <v>565</v>
      </c>
      <c r="O136" s="14">
        <v>3.31</v>
      </c>
      <c r="P136" s="10" t="s">
        <v>33</v>
      </c>
      <c r="Q136" s="14" t="s">
        <v>34</v>
      </c>
      <c r="R136" s="10" t="s">
        <v>35</v>
      </c>
      <c r="S136" s="10" t="s">
        <v>563</v>
      </c>
      <c r="T136" s="14">
        <f>IF(O136="","",(1/Metadata!$B$5)^(O136-1))</f>
        <v>204.17379446695315</v>
      </c>
      <c r="U136" s="13">
        <f t="shared" si="2"/>
        <v>153546.10177647677</v>
      </c>
      <c r="V136" s="21" t="s">
        <v>96</v>
      </c>
      <c r="W136" s="20" t="s">
        <v>107</v>
      </c>
      <c r="X136" s="21" t="s">
        <v>96</v>
      </c>
      <c r="Y136" s="20" t="s">
        <v>107</v>
      </c>
    </row>
    <row r="137" spans="1:25" ht="18" customHeight="1">
      <c r="A137" s="10" t="s">
        <v>25</v>
      </c>
      <c r="B137" s="10" t="s">
        <v>26</v>
      </c>
      <c r="C137" s="10" t="s">
        <v>27</v>
      </c>
      <c r="D137" s="12">
        <v>2019</v>
      </c>
      <c r="E137" s="10" t="s">
        <v>566</v>
      </c>
      <c r="F137" s="10" t="s">
        <v>567</v>
      </c>
      <c r="G137" s="10" t="s">
        <v>30</v>
      </c>
      <c r="H137" s="10" t="s">
        <v>55</v>
      </c>
      <c r="I137" s="13">
        <v>739.21018647799997</v>
      </c>
      <c r="J137" s="13">
        <v>689.27609913970002</v>
      </c>
      <c r="K137" s="13">
        <v>49.934087338300003</v>
      </c>
      <c r="L137" s="13">
        <v>554.33434004109995</v>
      </c>
      <c r="M137" s="13">
        <v>184.87584643689999</v>
      </c>
      <c r="N137" s="10" t="s">
        <v>568</v>
      </c>
      <c r="O137" s="14">
        <v>3.03</v>
      </c>
      <c r="P137" s="10" t="s">
        <v>33</v>
      </c>
      <c r="Q137" s="14" t="s">
        <v>34</v>
      </c>
      <c r="R137" s="10" t="s">
        <v>35</v>
      </c>
      <c r="S137" s="10" t="s">
        <v>566</v>
      </c>
      <c r="T137" s="14">
        <f>IF(O137="","",(1/Metadata!$B$5)^(O137-1))</f>
        <v>107.15193052376065</v>
      </c>
      <c r="U137" s="13">
        <f t="shared" si="2"/>
        <v>79207.798543946818</v>
      </c>
      <c r="V137" s="21" t="s">
        <v>86</v>
      </c>
      <c r="W137" s="20" t="s">
        <v>58</v>
      </c>
      <c r="X137" s="21" t="s">
        <v>86</v>
      </c>
      <c r="Y137" s="20" t="s">
        <v>58</v>
      </c>
    </row>
    <row r="138" spans="1:25" ht="18" customHeight="1">
      <c r="A138" s="10" t="s">
        <v>25</v>
      </c>
      <c r="B138" s="10" t="s">
        <v>26</v>
      </c>
      <c r="C138" s="10" t="s">
        <v>27</v>
      </c>
      <c r="D138" s="12">
        <v>2019</v>
      </c>
      <c r="E138" s="10" t="s">
        <v>569</v>
      </c>
      <c r="F138" s="10" t="s">
        <v>570</v>
      </c>
      <c r="G138" s="10" t="s">
        <v>30</v>
      </c>
      <c r="H138" s="10" t="s">
        <v>55</v>
      </c>
      <c r="I138" s="13">
        <v>730.70292664290002</v>
      </c>
      <c r="J138" s="13">
        <v>654.04336617920001</v>
      </c>
      <c r="K138" s="13">
        <v>76.659560463700004</v>
      </c>
      <c r="L138" s="13">
        <v>653.7996071179</v>
      </c>
      <c r="M138" s="13">
        <v>76.903319525000001</v>
      </c>
      <c r="N138" s="10" t="s">
        <v>571</v>
      </c>
      <c r="O138" s="14">
        <v>3.99</v>
      </c>
      <c r="P138" s="10" t="s">
        <v>43</v>
      </c>
      <c r="Q138" s="14" t="s">
        <v>44</v>
      </c>
      <c r="R138" s="10" t="s">
        <v>35</v>
      </c>
      <c r="S138" s="10" t="s">
        <v>569</v>
      </c>
      <c r="T138" s="14">
        <f>IF(O138="","",(1/Metadata!$B$5)^(O138-1))</f>
        <v>977.23722095581138</v>
      </c>
      <c r="U138" s="13">
        <f t="shared" si="2"/>
        <v>714070.09737678571</v>
      </c>
      <c r="V138" s="21" t="s">
        <v>86</v>
      </c>
      <c r="W138" s="20" t="s">
        <v>87</v>
      </c>
      <c r="X138" s="21" t="s">
        <v>86</v>
      </c>
      <c r="Y138" s="20" t="s">
        <v>87</v>
      </c>
    </row>
    <row r="139" spans="1:25" ht="18" customHeight="1">
      <c r="A139" s="10" t="s">
        <v>25</v>
      </c>
      <c r="B139" s="10" t="s">
        <v>26</v>
      </c>
      <c r="C139" s="10" t="s">
        <v>27</v>
      </c>
      <c r="D139" s="12">
        <v>2019</v>
      </c>
      <c r="E139" s="10" t="s">
        <v>572</v>
      </c>
      <c r="F139" s="10" t="s">
        <v>573</v>
      </c>
      <c r="G139" s="10" t="s">
        <v>71</v>
      </c>
      <c r="H139" s="10" t="s">
        <v>31</v>
      </c>
      <c r="I139" s="13">
        <v>712.25052498820003</v>
      </c>
      <c r="J139" s="13">
        <v>712.25052498820003</v>
      </c>
      <c r="K139" s="13">
        <v>0</v>
      </c>
      <c r="L139" s="13">
        <v>712.25052498820003</v>
      </c>
      <c r="M139" s="13">
        <v>0</v>
      </c>
      <c r="N139" s="10" t="s">
        <v>574</v>
      </c>
      <c r="O139" s="14">
        <v>3.97</v>
      </c>
      <c r="P139" s="10" t="s">
        <v>33</v>
      </c>
      <c r="Q139" s="14" t="s">
        <v>34</v>
      </c>
      <c r="R139" s="10" t="s">
        <v>35</v>
      </c>
      <c r="S139" s="10" t="s">
        <v>572</v>
      </c>
      <c r="T139" s="14">
        <f>IF(O139="","",(1/Metadata!$B$5)^(O139-1))</f>
        <v>933.25430079699197</v>
      </c>
      <c r="U139" s="13">
        <f t="shared" si="2"/>
        <v>664710.86569015309</v>
      </c>
      <c r="V139" s="22" t="s">
        <v>92</v>
      </c>
      <c r="W139" s="20" t="s">
        <v>575</v>
      </c>
      <c r="X139" s="22" t="s">
        <v>92</v>
      </c>
      <c r="Y139" s="20" t="s">
        <v>575</v>
      </c>
    </row>
    <row r="140" spans="1:25" ht="18" customHeight="1">
      <c r="A140" s="10" t="s">
        <v>25</v>
      </c>
      <c r="B140" s="10" t="s">
        <v>26</v>
      </c>
      <c r="C140" s="10" t="s">
        <v>27</v>
      </c>
      <c r="D140" s="12">
        <v>2019</v>
      </c>
      <c r="E140" s="10" t="s">
        <v>576</v>
      </c>
      <c r="F140" s="10" t="s">
        <v>280</v>
      </c>
      <c r="G140" s="10" t="s">
        <v>279</v>
      </c>
      <c r="H140" s="10" t="s">
        <v>280</v>
      </c>
      <c r="I140" s="13">
        <v>683.29499126759993</v>
      </c>
      <c r="J140" s="13">
        <v>680.12747107140001</v>
      </c>
      <c r="K140" s="13">
        <v>3.1675201961999999</v>
      </c>
      <c r="L140" s="13">
        <v>642.97021902989991</v>
      </c>
      <c r="M140" s="13">
        <v>40.324772237700003</v>
      </c>
      <c r="N140" s="10" t="s">
        <v>577</v>
      </c>
      <c r="O140" s="14">
        <v>3.57</v>
      </c>
      <c r="P140" s="10" t="s">
        <v>33</v>
      </c>
      <c r="Q140" s="14" t="s">
        <v>34</v>
      </c>
      <c r="R140" s="10" t="s">
        <v>35</v>
      </c>
      <c r="S140" s="10" t="s">
        <v>576</v>
      </c>
      <c r="T140" s="14">
        <f>IF(O140="","",(1/Metadata!$B$5)^(O140-1))</f>
        <v>371.53522909717265</v>
      </c>
      <c r="U140" s="13">
        <f t="shared" si="2"/>
        <v>253868.16112155831</v>
      </c>
      <c r="V140" s="19" t="s">
        <v>36</v>
      </c>
      <c r="W140" s="20" t="s">
        <v>301</v>
      </c>
      <c r="X140" s="19" t="s">
        <v>36</v>
      </c>
      <c r="Y140" s="20" t="s">
        <v>301</v>
      </c>
    </row>
    <row r="141" spans="1:25" ht="18" customHeight="1">
      <c r="A141" s="10" t="s">
        <v>25</v>
      </c>
      <c r="B141" s="10" t="s">
        <v>26</v>
      </c>
      <c r="C141" s="10" t="s">
        <v>27</v>
      </c>
      <c r="D141" s="12">
        <v>2019</v>
      </c>
      <c r="E141" s="10" t="s">
        <v>578</v>
      </c>
      <c r="F141" s="10" t="s">
        <v>579</v>
      </c>
      <c r="G141" s="10" t="s">
        <v>123</v>
      </c>
      <c r="H141" s="10" t="s">
        <v>97</v>
      </c>
      <c r="I141" s="13">
        <v>678.81406466190003</v>
      </c>
      <c r="J141" s="13">
        <v>134.34771973549999</v>
      </c>
      <c r="K141" s="13">
        <v>544.46634492639998</v>
      </c>
      <c r="L141" s="13">
        <v>0</v>
      </c>
      <c r="M141" s="13">
        <v>678.81406466190003</v>
      </c>
      <c r="N141" s="10" t="s">
        <v>580</v>
      </c>
      <c r="O141" s="14">
        <v>3.56</v>
      </c>
      <c r="P141" s="10" t="s">
        <v>33</v>
      </c>
      <c r="Q141" s="14" t="s">
        <v>34</v>
      </c>
      <c r="R141" s="10" t="s">
        <v>35</v>
      </c>
      <c r="S141" s="10" t="s">
        <v>578</v>
      </c>
      <c r="T141" s="14">
        <f>IF(O141="","",(1/Metadata!$B$5)^(O141-1))</f>
        <v>363.07805477010152</v>
      </c>
      <c r="U141" s="13">
        <f t="shared" si="2"/>
        <v>246462.49014802856</v>
      </c>
      <c r="V141" s="21" t="s">
        <v>125</v>
      </c>
      <c r="W141" s="20" t="s">
        <v>273</v>
      </c>
      <c r="X141" s="21" t="s">
        <v>125</v>
      </c>
      <c r="Y141" s="20" t="s">
        <v>273</v>
      </c>
    </row>
    <row r="142" spans="1:25" ht="18" customHeight="1">
      <c r="A142" s="10" t="s">
        <v>25</v>
      </c>
      <c r="B142" s="10" t="s">
        <v>26</v>
      </c>
      <c r="C142" s="10" t="s">
        <v>27</v>
      </c>
      <c r="D142" s="12">
        <v>2019</v>
      </c>
      <c r="E142" s="10" t="s">
        <v>581</v>
      </c>
      <c r="F142" s="10" t="s">
        <v>582</v>
      </c>
      <c r="G142" s="10" t="s">
        <v>30</v>
      </c>
      <c r="H142" s="10" t="s">
        <v>418</v>
      </c>
      <c r="I142" s="13">
        <v>545.88153274299998</v>
      </c>
      <c r="J142" s="13">
        <v>0</v>
      </c>
      <c r="K142" s="13">
        <v>545.88153274299998</v>
      </c>
      <c r="L142" s="13">
        <v>0</v>
      </c>
      <c r="M142" s="13">
        <v>545.88153274299998</v>
      </c>
      <c r="N142" s="10" t="s">
        <v>583</v>
      </c>
      <c r="O142" s="14">
        <v>3.42</v>
      </c>
      <c r="P142" s="10" t="s">
        <v>43</v>
      </c>
      <c r="Q142" s="14" t="s">
        <v>44</v>
      </c>
      <c r="R142" s="10" t="s">
        <v>35</v>
      </c>
      <c r="S142" s="10" t="s">
        <v>581</v>
      </c>
      <c r="T142" s="14">
        <f>IF(O142="","",(1/Metadata!$B$5)^(O142-1))</f>
        <v>263.02679918953817</v>
      </c>
      <c r="U142" s="13">
        <f t="shared" si="2"/>
        <v>143581.47229407035</v>
      </c>
      <c r="V142" s="22" t="s">
        <v>86</v>
      </c>
      <c r="W142" s="20" t="s">
        <v>584</v>
      </c>
      <c r="X142" s="22" t="s">
        <v>86</v>
      </c>
      <c r="Y142" s="20" t="s">
        <v>584</v>
      </c>
    </row>
    <row r="143" spans="1:25" ht="18" customHeight="1">
      <c r="A143" s="10" t="s">
        <v>25</v>
      </c>
      <c r="B143" s="10" t="s">
        <v>26</v>
      </c>
      <c r="C143" s="10" t="s">
        <v>27</v>
      </c>
      <c r="D143" s="12">
        <v>2019</v>
      </c>
      <c r="E143" s="10" t="s">
        <v>585</v>
      </c>
      <c r="F143" s="10" t="s">
        <v>586</v>
      </c>
      <c r="G143" s="10" t="s">
        <v>123</v>
      </c>
      <c r="H143" s="10" t="s">
        <v>97</v>
      </c>
      <c r="I143" s="13">
        <v>520.63196693869997</v>
      </c>
      <c r="J143" s="13">
        <v>520.63196693869997</v>
      </c>
      <c r="K143" s="13">
        <v>0</v>
      </c>
      <c r="L143" s="13">
        <v>134.0791329896</v>
      </c>
      <c r="M143" s="13">
        <v>386.55283394909998</v>
      </c>
      <c r="N143" s="10" t="s">
        <v>587</v>
      </c>
      <c r="O143" s="14">
        <v>3.26</v>
      </c>
      <c r="P143" s="10" t="s">
        <v>33</v>
      </c>
      <c r="Q143" s="14" t="s">
        <v>34</v>
      </c>
      <c r="R143" s="10" t="s">
        <v>35</v>
      </c>
      <c r="S143" s="10" t="s">
        <v>585</v>
      </c>
      <c r="T143" s="14">
        <f>IF(O143="","",(1/Metadata!$B$5)^(O143-1))</f>
        <v>181.9700858609983</v>
      </c>
      <c r="U143" s="13">
        <f t="shared" si="2"/>
        <v>94739.443725815654</v>
      </c>
      <c r="V143" s="21" t="s">
        <v>125</v>
      </c>
      <c r="W143" s="20" t="s">
        <v>273</v>
      </c>
      <c r="X143" s="21" t="s">
        <v>125</v>
      </c>
      <c r="Y143" s="20" t="s">
        <v>273</v>
      </c>
    </row>
    <row r="144" spans="1:25" ht="18" customHeight="1">
      <c r="A144" s="10" t="s">
        <v>25</v>
      </c>
      <c r="B144" s="10" t="s">
        <v>26</v>
      </c>
      <c r="C144" s="10" t="s">
        <v>27</v>
      </c>
      <c r="D144" s="12">
        <v>2019</v>
      </c>
      <c r="E144" s="10" t="s">
        <v>588</v>
      </c>
      <c r="F144" s="10" t="s">
        <v>589</v>
      </c>
      <c r="G144" s="10" t="s">
        <v>151</v>
      </c>
      <c r="H144" s="10" t="s">
        <v>31</v>
      </c>
      <c r="I144" s="13">
        <v>513.23203125299995</v>
      </c>
      <c r="J144" s="13">
        <v>513.23203125299995</v>
      </c>
      <c r="K144" s="13">
        <v>0</v>
      </c>
      <c r="L144" s="13">
        <v>133.19181964570001</v>
      </c>
      <c r="M144" s="13">
        <v>380.04021160730002</v>
      </c>
      <c r="N144" s="10" t="s">
        <v>590</v>
      </c>
      <c r="O144" s="14">
        <v>3.69</v>
      </c>
      <c r="P144" s="10" t="s">
        <v>33</v>
      </c>
      <c r="Q144" s="14" t="s">
        <v>34</v>
      </c>
      <c r="R144" s="10" t="s">
        <v>35</v>
      </c>
      <c r="S144" s="10" t="s">
        <v>588</v>
      </c>
      <c r="T144" s="14">
        <f>IF(O144="","",(1/Metadata!$B$5)^(O144-1))</f>
        <v>489.77881936844625</v>
      </c>
      <c r="U144" s="13">
        <f t="shared" si="2"/>
        <v>251370.17832916381</v>
      </c>
      <c r="V144" s="21" t="s">
        <v>151</v>
      </c>
      <c r="W144" s="20" t="s">
        <v>153</v>
      </c>
      <c r="X144" s="21" t="s">
        <v>151</v>
      </c>
      <c r="Y144" s="20" t="s">
        <v>153</v>
      </c>
    </row>
    <row r="145" spans="1:25" ht="18" customHeight="1">
      <c r="A145" s="10" t="s">
        <v>25</v>
      </c>
      <c r="B145" s="10" t="s">
        <v>26</v>
      </c>
      <c r="C145" s="10" t="s">
        <v>27</v>
      </c>
      <c r="D145" s="12">
        <v>2019</v>
      </c>
      <c r="E145" s="10" t="s">
        <v>591</v>
      </c>
      <c r="F145" s="10" t="s">
        <v>592</v>
      </c>
      <c r="G145" s="10" t="s">
        <v>77</v>
      </c>
      <c r="H145" s="10" t="s">
        <v>31</v>
      </c>
      <c r="I145" s="13">
        <v>486.51048891350001</v>
      </c>
      <c r="J145" s="13">
        <v>0</v>
      </c>
      <c r="K145" s="13">
        <v>486.51048891350001</v>
      </c>
      <c r="L145" s="13">
        <v>0</v>
      </c>
      <c r="M145" s="13">
        <v>486.51048891350001</v>
      </c>
      <c r="N145" s="10" t="s">
        <v>593</v>
      </c>
      <c r="O145" s="14">
        <v>2</v>
      </c>
      <c r="P145" s="10" t="s">
        <v>33</v>
      </c>
      <c r="Q145" s="14" t="s">
        <v>34</v>
      </c>
      <c r="R145" s="10" t="s">
        <v>35</v>
      </c>
      <c r="S145" s="10" t="s">
        <v>591</v>
      </c>
      <c r="T145" s="14">
        <f>IF(O145="","",(1/Metadata!$B$5)^(O145-1))</f>
        <v>10</v>
      </c>
      <c r="U145" s="13">
        <f t="shared" si="2"/>
        <v>4865.1048891350001</v>
      </c>
      <c r="V145" s="21" t="s">
        <v>376</v>
      </c>
      <c r="W145" s="20" t="s">
        <v>377</v>
      </c>
      <c r="X145" s="21" t="s">
        <v>376</v>
      </c>
      <c r="Y145" s="20" t="s">
        <v>377</v>
      </c>
    </row>
    <row r="146" spans="1:25" ht="18" customHeight="1">
      <c r="A146" s="10" t="s">
        <v>25</v>
      </c>
      <c r="B146" s="10" t="s">
        <v>26</v>
      </c>
      <c r="C146" s="10" t="s">
        <v>27</v>
      </c>
      <c r="D146" s="12">
        <v>2019</v>
      </c>
      <c r="E146" s="10" t="s">
        <v>594</v>
      </c>
      <c r="F146" s="10" t="s">
        <v>595</v>
      </c>
      <c r="G146" s="10" t="s">
        <v>596</v>
      </c>
      <c r="H146" s="10" t="s">
        <v>55</v>
      </c>
      <c r="I146" s="13">
        <v>460.141634313</v>
      </c>
      <c r="J146" s="13">
        <v>459.58585328010003</v>
      </c>
      <c r="K146" s="13">
        <v>0.55578103290000003</v>
      </c>
      <c r="L146" s="13">
        <v>457.91091658300002</v>
      </c>
      <c r="M146" s="13">
        <v>2.2307177299999998</v>
      </c>
      <c r="N146" s="10" t="s">
        <v>597</v>
      </c>
      <c r="O146" s="14">
        <v>3.11</v>
      </c>
      <c r="P146" s="10" t="s">
        <v>33</v>
      </c>
      <c r="Q146" s="14" t="s">
        <v>34</v>
      </c>
      <c r="R146" s="10" t="s">
        <v>35</v>
      </c>
      <c r="S146" s="10" t="s">
        <v>594</v>
      </c>
      <c r="T146" s="14">
        <f>IF(O146="","",(1/Metadata!$B$5)^(O146-1))</f>
        <v>128.82495516931343</v>
      </c>
      <c r="U146" s="13">
        <f t="shared" si="2"/>
        <v>59277.725411906838</v>
      </c>
      <c r="V146" s="22" t="s">
        <v>130</v>
      </c>
      <c r="W146" s="20" t="s">
        <v>598</v>
      </c>
      <c r="X146" s="22" t="s">
        <v>130</v>
      </c>
      <c r="Y146" s="20" t="s">
        <v>598</v>
      </c>
    </row>
    <row r="147" spans="1:25" ht="18" customHeight="1">
      <c r="A147" s="10" t="s">
        <v>25</v>
      </c>
      <c r="B147" s="10" t="s">
        <v>26</v>
      </c>
      <c r="C147" s="10" t="s">
        <v>27</v>
      </c>
      <c r="D147" s="12">
        <v>2019</v>
      </c>
      <c r="E147" s="10" t="s">
        <v>599</v>
      </c>
      <c r="F147" s="10" t="s">
        <v>600</v>
      </c>
      <c r="G147" s="10" t="s">
        <v>194</v>
      </c>
      <c r="H147" s="10" t="s">
        <v>55</v>
      </c>
      <c r="I147" s="13">
        <v>445.18336216990002</v>
      </c>
      <c r="J147" s="13">
        <v>444.98860733890001</v>
      </c>
      <c r="K147" s="13">
        <v>0.19475483099999999</v>
      </c>
      <c r="L147" s="13">
        <v>164.5410663385</v>
      </c>
      <c r="M147" s="13">
        <v>280.64229583140002</v>
      </c>
      <c r="N147" s="10" t="s">
        <v>601</v>
      </c>
      <c r="O147" s="14">
        <v>3.46</v>
      </c>
      <c r="P147" s="10" t="s">
        <v>33</v>
      </c>
      <c r="Q147" s="14" t="s">
        <v>34</v>
      </c>
      <c r="R147" s="10" t="s">
        <v>35</v>
      </c>
      <c r="S147" s="10" t="s">
        <v>599</v>
      </c>
      <c r="T147" s="14">
        <f>IF(O147="","",(1/Metadata!$B$5)^(O147-1))</f>
        <v>288.40315031266073</v>
      </c>
      <c r="U147" s="13">
        <f t="shared" si="2"/>
        <v>128392.28411658136</v>
      </c>
      <c r="V147" s="22" t="s">
        <v>130</v>
      </c>
      <c r="W147" s="20" t="s">
        <v>602</v>
      </c>
      <c r="X147" s="22" t="s">
        <v>130</v>
      </c>
      <c r="Y147" s="20" t="s">
        <v>602</v>
      </c>
    </row>
    <row r="148" spans="1:25" ht="18" customHeight="1">
      <c r="A148" s="10" t="s">
        <v>25</v>
      </c>
      <c r="B148" s="10" t="s">
        <v>26</v>
      </c>
      <c r="C148" s="10" t="s">
        <v>27</v>
      </c>
      <c r="D148" s="12">
        <v>2019</v>
      </c>
      <c r="E148" s="10" t="s">
        <v>603</v>
      </c>
      <c r="F148" s="10" t="s">
        <v>604</v>
      </c>
      <c r="G148" s="10" t="s">
        <v>40</v>
      </c>
      <c r="H148" s="10" t="s">
        <v>41</v>
      </c>
      <c r="I148" s="13">
        <v>444.89005888090003</v>
      </c>
      <c r="J148" s="13">
        <v>0</v>
      </c>
      <c r="K148" s="13">
        <v>444.89005888090003</v>
      </c>
      <c r="L148" s="13">
        <v>0</v>
      </c>
      <c r="M148" s="13">
        <v>444.89005888090003</v>
      </c>
      <c r="N148" s="10" t="s">
        <v>605</v>
      </c>
      <c r="O148" s="14">
        <v>3.2</v>
      </c>
      <c r="P148" s="10" t="s">
        <v>33</v>
      </c>
      <c r="Q148" s="14" t="s">
        <v>34</v>
      </c>
      <c r="R148" s="10" t="s">
        <v>35</v>
      </c>
      <c r="S148" s="10" t="s">
        <v>603</v>
      </c>
      <c r="T148" s="14">
        <f>IF(O148="","",(1/Metadata!$B$5)^(O148-1))</f>
        <v>158.48931924611153</v>
      </c>
      <c r="U148" s="13">
        <f t="shared" si="2"/>
        <v>70510.322571396318</v>
      </c>
      <c r="V148" s="21" t="s">
        <v>45</v>
      </c>
      <c r="W148" s="20" t="s">
        <v>46</v>
      </c>
      <c r="X148" s="21" t="s">
        <v>45</v>
      </c>
      <c r="Y148" s="20" t="s">
        <v>46</v>
      </c>
    </row>
    <row r="149" spans="1:25" ht="18" customHeight="1">
      <c r="A149" s="10" t="s">
        <v>25</v>
      </c>
      <c r="B149" s="10" t="s">
        <v>26</v>
      </c>
      <c r="C149" s="10" t="s">
        <v>27</v>
      </c>
      <c r="D149" s="12">
        <v>2019</v>
      </c>
      <c r="E149" s="10" t="s">
        <v>606</v>
      </c>
      <c r="F149" s="10" t="s">
        <v>55</v>
      </c>
      <c r="G149" s="10" t="s">
        <v>30</v>
      </c>
      <c r="H149" s="10" t="s">
        <v>55</v>
      </c>
      <c r="I149" s="13">
        <v>423.5835914589</v>
      </c>
      <c r="J149" s="13">
        <v>408.99399921629998</v>
      </c>
      <c r="K149" s="13">
        <v>14.5895922426</v>
      </c>
      <c r="L149" s="13">
        <v>401.87359305140001</v>
      </c>
      <c r="M149" s="13">
        <v>21.709998407499999</v>
      </c>
      <c r="N149" s="10" t="s">
        <v>607</v>
      </c>
      <c r="O149" s="14">
        <v>3.53</v>
      </c>
      <c r="P149" s="10" t="s">
        <v>33</v>
      </c>
      <c r="Q149" s="14" t="s">
        <v>34</v>
      </c>
      <c r="R149" s="10" t="s">
        <v>35</v>
      </c>
      <c r="S149" s="10" t="s">
        <v>606</v>
      </c>
      <c r="T149" s="14">
        <f>IF(O149="","",(1/Metadata!$B$5)^(O149-1))</f>
        <v>338.84415613920248</v>
      </c>
      <c r="U149" s="13">
        <f t="shared" si="2"/>
        <v>143528.82460230368</v>
      </c>
      <c r="V149" s="19" t="s">
        <v>36</v>
      </c>
      <c r="W149" s="20" t="s">
        <v>301</v>
      </c>
      <c r="X149" s="19" t="s">
        <v>36</v>
      </c>
      <c r="Y149" s="20" t="s">
        <v>301</v>
      </c>
    </row>
    <row r="150" spans="1:25" ht="18" customHeight="1">
      <c r="A150" s="10" t="s">
        <v>25</v>
      </c>
      <c r="B150" s="10" t="s">
        <v>26</v>
      </c>
      <c r="C150" s="10" t="s">
        <v>27</v>
      </c>
      <c r="D150" s="12">
        <v>2019</v>
      </c>
      <c r="E150" s="10" t="s">
        <v>608</v>
      </c>
      <c r="F150" s="10" t="s">
        <v>609</v>
      </c>
      <c r="G150" s="10" t="s">
        <v>142</v>
      </c>
      <c r="H150" s="10" t="s">
        <v>220</v>
      </c>
      <c r="I150" s="13">
        <v>417.4898015846</v>
      </c>
      <c r="J150" s="13">
        <v>416.123294273</v>
      </c>
      <c r="K150" s="13">
        <v>1.3665073115999999</v>
      </c>
      <c r="L150" s="13">
        <v>416.123294273</v>
      </c>
      <c r="M150" s="13">
        <v>1.3665073115999999</v>
      </c>
      <c r="N150" s="10" t="s">
        <v>610</v>
      </c>
      <c r="O150" s="14">
        <v>4.58</v>
      </c>
      <c r="P150" s="10" t="s">
        <v>43</v>
      </c>
      <c r="Q150" s="14" t="s">
        <v>44</v>
      </c>
      <c r="R150" s="10" t="s">
        <v>35</v>
      </c>
      <c r="S150" s="10" t="s">
        <v>608</v>
      </c>
      <c r="T150" s="14">
        <f>IF(O150="","",(1/Metadata!$B$5)^(O150-1))</f>
        <v>3801.8939632056172</v>
      </c>
      <c r="U150" s="13">
        <f t="shared" si="2"/>
        <v>1587251.9563444017</v>
      </c>
      <c r="V150" s="22" t="s">
        <v>92</v>
      </c>
      <c r="W150" s="20" t="s">
        <v>222</v>
      </c>
      <c r="X150" s="22" t="s">
        <v>92</v>
      </c>
      <c r="Y150" s="20" t="s">
        <v>222</v>
      </c>
    </row>
    <row r="151" spans="1:25" ht="18" customHeight="1">
      <c r="A151" s="10" t="s">
        <v>25</v>
      </c>
      <c r="B151" s="10" t="s">
        <v>26</v>
      </c>
      <c r="C151" s="10" t="s">
        <v>27</v>
      </c>
      <c r="D151" s="12">
        <v>2019</v>
      </c>
      <c r="E151" s="10" t="s">
        <v>611</v>
      </c>
      <c r="F151" s="10" t="s">
        <v>612</v>
      </c>
      <c r="G151" s="10" t="s">
        <v>194</v>
      </c>
      <c r="H151" s="10" t="s">
        <v>55</v>
      </c>
      <c r="I151" s="13">
        <v>415.8603214972</v>
      </c>
      <c r="J151" s="13">
        <v>415.8603214972</v>
      </c>
      <c r="K151" s="13">
        <v>0</v>
      </c>
      <c r="L151" s="13">
        <v>0</v>
      </c>
      <c r="M151" s="13">
        <v>415.8603214972</v>
      </c>
      <c r="N151" s="10" t="s">
        <v>613</v>
      </c>
      <c r="O151" s="14">
        <v>3.98</v>
      </c>
      <c r="P151" s="10" t="s">
        <v>43</v>
      </c>
      <c r="Q151" s="14" t="s">
        <v>44</v>
      </c>
      <c r="R151" s="10" t="s">
        <v>35</v>
      </c>
      <c r="S151" s="10" t="s">
        <v>611</v>
      </c>
      <c r="T151" s="14">
        <f>IF(O151="","",(1/Metadata!$B$5)^(O151-1))</f>
        <v>954.99258602143675</v>
      </c>
      <c r="U151" s="13">
        <f t="shared" si="2"/>
        <v>397143.52385031711</v>
      </c>
      <c r="V151" s="22" t="s">
        <v>92</v>
      </c>
      <c r="W151" s="20" t="s">
        <v>217</v>
      </c>
      <c r="X151" s="22" t="s">
        <v>92</v>
      </c>
      <c r="Y151" s="20" t="s">
        <v>217</v>
      </c>
    </row>
    <row r="152" spans="1:25" ht="18" customHeight="1">
      <c r="A152" s="10" t="s">
        <v>25</v>
      </c>
      <c r="B152" s="10" t="s">
        <v>26</v>
      </c>
      <c r="C152" s="10" t="s">
        <v>27</v>
      </c>
      <c r="D152" s="12">
        <v>2019</v>
      </c>
      <c r="E152" s="10" t="s">
        <v>614</v>
      </c>
      <c r="F152" s="10" t="s">
        <v>615</v>
      </c>
      <c r="G152" s="10" t="s">
        <v>61</v>
      </c>
      <c r="H152" s="10" t="s">
        <v>228</v>
      </c>
      <c r="I152" s="13">
        <v>408.95025491029998</v>
      </c>
      <c r="J152" s="13">
        <v>47.9166936174</v>
      </c>
      <c r="K152" s="13">
        <v>361.0335612929</v>
      </c>
      <c r="L152" s="13">
        <v>47.9166936174</v>
      </c>
      <c r="M152" s="13">
        <v>361.0335612929</v>
      </c>
      <c r="N152" s="10" t="s">
        <v>616</v>
      </c>
      <c r="O152" s="14">
        <v>3.3</v>
      </c>
      <c r="P152" s="10" t="s">
        <v>33</v>
      </c>
      <c r="Q152" s="14" t="s">
        <v>34</v>
      </c>
      <c r="R152" s="10" t="s">
        <v>35</v>
      </c>
      <c r="S152" s="10" t="s">
        <v>614</v>
      </c>
      <c r="T152" s="14">
        <f>IF(O152="","",(1/Metadata!$B$5)^(O152-1))</f>
        <v>199.52623149688802</v>
      </c>
      <c r="U152" s="13">
        <f t="shared" si="2"/>
        <v>81596.303231943879</v>
      </c>
      <c r="V152" s="19" t="s">
        <v>36</v>
      </c>
      <c r="W152" s="20" t="s">
        <v>230</v>
      </c>
      <c r="X152" s="19" t="s">
        <v>36</v>
      </c>
      <c r="Y152" s="20" t="s">
        <v>230</v>
      </c>
    </row>
    <row r="153" spans="1:25" ht="18" customHeight="1">
      <c r="A153" s="10" t="s">
        <v>25</v>
      </c>
      <c r="B153" s="10" t="s">
        <v>26</v>
      </c>
      <c r="C153" s="10" t="s">
        <v>27</v>
      </c>
      <c r="D153" s="12">
        <v>2019</v>
      </c>
      <c r="E153" s="10" t="s">
        <v>617</v>
      </c>
      <c r="F153" s="10" t="s">
        <v>618</v>
      </c>
      <c r="G153" s="10" t="s">
        <v>71</v>
      </c>
      <c r="H153" s="10" t="s">
        <v>207</v>
      </c>
      <c r="I153" s="13">
        <v>394.55011013820001</v>
      </c>
      <c r="J153" s="13">
        <v>315.44399819360001</v>
      </c>
      <c r="K153" s="13">
        <v>79.106111944600002</v>
      </c>
      <c r="L153" s="13">
        <v>315.44399819360001</v>
      </c>
      <c r="M153" s="13">
        <v>79.106111944600002</v>
      </c>
      <c r="N153" s="10" t="s">
        <v>619</v>
      </c>
      <c r="O153" s="14">
        <v>3.57</v>
      </c>
      <c r="P153" s="10" t="s">
        <v>33</v>
      </c>
      <c r="Q153" s="14" t="s">
        <v>34</v>
      </c>
      <c r="R153" s="10" t="s">
        <v>35</v>
      </c>
      <c r="S153" s="10" t="s">
        <v>617</v>
      </c>
      <c r="T153" s="14">
        <f>IF(O153="","",(1/Metadata!$B$5)^(O153-1))</f>
        <v>371.53522909717265</v>
      </c>
      <c r="U153" s="13">
        <f t="shared" si="2"/>
        <v>146589.26556051083</v>
      </c>
      <c r="V153" s="19" t="s">
        <v>36</v>
      </c>
      <c r="W153" s="20" t="s">
        <v>209</v>
      </c>
      <c r="X153" s="19" t="s">
        <v>36</v>
      </c>
      <c r="Y153" s="20" t="s">
        <v>209</v>
      </c>
    </row>
    <row r="154" spans="1:25" ht="18" customHeight="1">
      <c r="A154" s="10" t="s">
        <v>25</v>
      </c>
      <c r="B154" s="10" t="s">
        <v>26</v>
      </c>
      <c r="C154" s="10" t="s">
        <v>27</v>
      </c>
      <c r="D154" s="12">
        <v>2019</v>
      </c>
      <c r="E154" s="10" t="s">
        <v>620</v>
      </c>
      <c r="F154" s="10" t="s">
        <v>621</v>
      </c>
      <c r="G154" s="10" t="s">
        <v>77</v>
      </c>
      <c r="H154" s="10" t="s">
        <v>78</v>
      </c>
      <c r="I154" s="13">
        <v>379.97033705209998</v>
      </c>
      <c r="J154" s="13">
        <v>21.023175742599999</v>
      </c>
      <c r="K154" s="13">
        <v>358.94716130950002</v>
      </c>
      <c r="L154" s="13">
        <v>21.023175742599999</v>
      </c>
      <c r="M154" s="13">
        <v>358.94716130950002</v>
      </c>
      <c r="N154" s="10" t="s">
        <v>622</v>
      </c>
      <c r="O154" s="14">
        <v>2</v>
      </c>
      <c r="P154" s="10" t="s">
        <v>33</v>
      </c>
      <c r="Q154" s="14" t="s">
        <v>34</v>
      </c>
      <c r="R154" s="10" t="s">
        <v>35</v>
      </c>
      <c r="S154" s="10" t="s">
        <v>620</v>
      </c>
      <c r="T154" s="14">
        <f>IF(O154="","",(1/Metadata!$B$5)^(O154-1))</f>
        <v>10</v>
      </c>
      <c r="U154" s="13">
        <f t="shared" si="2"/>
        <v>3799.7033705209997</v>
      </c>
      <c r="V154" s="21" t="s">
        <v>80</v>
      </c>
      <c r="W154" s="20" t="s">
        <v>81</v>
      </c>
      <c r="X154" s="21" t="s">
        <v>80</v>
      </c>
      <c r="Y154" s="20" t="s">
        <v>81</v>
      </c>
    </row>
    <row r="155" spans="1:25" ht="18" customHeight="1">
      <c r="A155" s="10" t="s">
        <v>25</v>
      </c>
      <c r="B155" s="10" t="s">
        <v>26</v>
      </c>
      <c r="C155" s="10" t="s">
        <v>27</v>
      </c>
      <c r="D155" s="12">
        <v>2019</v>
      </c>
      <c r="E155" s="10" t="s">
        <v>623</v>
      </c>
      <c r="F155" s="10" t="s">
        <v>624</v>
      </c>
      <c r="G155" s="10" t="s">
        <v>71</v>
      </c>
      <c r="H155" s="10" t="s">
        <v>55</v>
      </c>
      <c r="I155" s="13">
        <v>360.96123305010002</v>
      </c>
      <c r="J155" s="13">
        <v>276.83762968790001</v>
      </c>
      <c r="K155" s="13">
        <v>84.123603362199987</v>
      </c>
      <c r="L155" s="13">
        <v>276.20305208140002</v>
      </c>
      <c r="M155" s="13">
        <v>84.758180968699989</v>
      </c>
      <c r="N155" s="10" t="s">
        <v>625</v>
      </c>
      <c r="O155" s="14">
        <v>2.93</v>
      </c>
      <c r="P155" s="10" t="s">
        <v>43</v>
      </c>
      <c r="Q155" s="14" t="s">
        <v>44</v>
      </c>
      <c r="R155" s="10" t="s">
        <v>35</v>
      </c>
      <c r="S155" s="10" t="s">
        <v>623</v>
      </c>
      <c r="T155" s="14">
        <f>IF(O155="","",(1/Metadata!$B$5)^(O155-1))</f>
        <v>85.113803820237734</v>
      </c>
      <c r="U155" s="13">
        <f t="shared" si="2"/>
        <v>30722.783576537327</v>
      </c>
      <c r="V155" s="21" t="s">
        <v>119</v>
      </c>
      <c r="W155" s="20" t="s">
        <v>58</v>
      </c>
      <c r="X155" s="21" t="s">
        <v>119</v>
      </c>
      <c r="Y155" s="20" t="s">
        <v>58</v>
      </c>
    </row>
    <row r="156" spans="1:25" ht="18" customHeight="1">
      <c r="A156" s="10" t="s">
        <v>25</v>
      </c>
      <c r="B156" s="10" t="s">
        <v>26</v>
      </c>
      <c r="C156" s="10" t="s">
        <v>27</v>
      </c>
      <c r="D156" s="12">
        <v>2019</v>
      </c>
      <c r="E156" s="10" t="s">
        <v>626</v>
      </c>
      <c r="F156" s="10" t="s">
        <v>627</v>
      </c>
      <c r="G156" s="10" t="s">
        <v>358</v>
      </c>
      <c r="H156" s="10" t="s">
        <v>55</v>
      </c>
      <c r="I156" s="13">
        <v>342.12449403430003</v>
      </c>
      <c r="J156" s="13">
        <v>342.12449403430003</v>
      </c>
      <c r="K156" s="13">
        <v>0</v>
      </c>
      <c r="L156" s="13">
        <v>87.830493874400005</v>
      </c>
      <c r="M156" s="13">
        <v>254.29400015990001</v>
      </c>
      <c r="N156" s="10" t="s">
        <v>628</v>
      </c>
      <c r="O156" s="14">
        <v>4</v>
      </c>
      <c r="P156" s="10" t="s">
        <v>43</v>
      </c>
      <c r="Q156" s="14" t="s">
        <v>44</v>
      </c>
      <c r="R156" s="10" t="s">
        <v>35</v>
      </c>
      <c r="S156" s="10" t="s">
        <v>626</v>
      </c>
      <c r="T156" s="14">
        <f>IF(O156="","",(1/Metadata!$B$5)^(O156-1))</f>
        <v>1000</v>
      </c>
      <c r="U156" s="13">
        <f t="shared" si="2"/>
        <v>342124.49403430003</v>
      </c>
      <c r="V156" s="22" t="s">
        <v>92</v>
      </c>
      <c r="W156" s="20" t="s">
        <v>217</v>
      </c>
      <c r="X156" s="22" t="s">
        <v>92</v>
      </c>
      <c r="Y156" s="20" t="s">
        <v>217</v>
      </c>
    </row>
    <row r="157" spans="1:25" ht="18" customHeight="1">
      <c r="A157" s="10" t="s">
        <v>25</v>
      </c>
      <c r="B157" s="10" t="s">
        <v>26</v>
      </c>
      <c r="C157" s="10" t="s">
        <v>27</v>
      </c>
      <c r="D157" s="12">
        <v>2019</v>
      </c>
      <c r="E157" s="10" t="s">
        <v>629</v>
      </c>
      <c r="F157" s="10" t="s">
        <v>630</v>
      </c>
      <c r="G157" s="10" t="s">
        <v>358</v>
      </c>
      <c r="H157" s="10" t="s">
        <v>55</v>
      </c>
      <c r="I157" s="13">
        <v>339.79010998709998</v>
      </c>
      <c r="J157" s="13">
        <v>339.79010998709998</v>
      </c>
      <c r="K157" s="13">
        <v>0</v>
      </c>
      <c r="L157" s="13">
        <v>197.568403902</v>
      </c>
      <c r="M157" s="13">
        <v>142.22170608510001</v>
      </c>
      <c r="N157" s="10" t="s">
        <v>631</v>
      </c>
      <c r="O157" s="14">
        <v>4.5</v>
      </c>
      <c r="P157" s="10" t="s">
        <v>43</v>
      </c>
      <c r="Q157" s="14" t="s">
        <v>44</v>
      </c>
      <c r="R157" s="10" t="s">
        <v>35</v>
      </c>
      <c r="S157" s="10" t="s">
        <v>629</v>
      </c>
      <c r="T157" s="14">
        <f>IF(O157="","",(1/Metadata!$B$5)^(O157-1))</f>
        <v>3162.2776601683804</v>
      </c>
      <c r="U157" s="13">
        <f t="shared" si="2"/>
        <v>1074510.6739583632</v>
      </c>
      <c r="V157" s="22" t="s">
        <v>92</v>
      </c>
      <c r="W157" s="20" t="s">
        <v>166</v>
      </c>
      <c r="X157" s="22" t="s">
        <v>92</v>
      </c>
      <c r="Y157" s="20" t="s">
        <v>166</v>
      </c>
    </row>
    <row r="158" spans="1:25" ht="18" customHeight="1">
      <c r="A158" s="10" t="s">
        <v>25</v>
      </c>
      <c r="B158" s="10" t="s">
        <v>26</v>
      </c>
      <c r="C158" s="10" t="s">
        <v>27</v>
      </c>
      <c r="D158" s="12">
        <v>2019</v>
      </c>
      <c r="E158" s="10" t="s">
        <v>632</v>
      </c>
      <c r="F158" s="10" t="s">
        <v>633</v>
      </c>
      <c r="G158" s="10" t="s">
        <v>151</v>
      </c>
      <c r="H158" s="10" t="s">
        <v>31</v>
      </c>
      <c r="I158" s="13">
        <v>339.23200151589998</v>
      </c>
      <c r="J158" s="13">
        <v>334.57454074250001</v>
      </c>
      <c r="K158" s="13">
        <v>4.6574607734000004</v>
      </c>
      <c r="L158" s="13">
        <v>23.173365303200001</v>
      </c>
      <c r="M158" s="13">
        <v>316.05863621269998</v>
      </c>
      <c r="N158" s="10" t="s">
        <v>634</v>
      </c>
      <c r="O158" s="14">
        <v>3.59</v>
      </c>
      <c r="P158" s="10" t="s">
        <v>33</v>
      </c>
      <c r="Q158" s="14" t="s">
        <v>34</v>
      </c>
      <c r="R158" s="10" t="s">
        <v>35</v>
      </c>
      <c r="S158" s="10" t="s">
        <v>632</v>
      </c>
      <c r="T158" s="14">
        <f>IF(O158="","",(1/Metadata!$B$5)^(O158-1))</f>
        <v>389.04514499428063</v>
      </c>
      <c r="U158" s="13">
        <f t="shared" si="2"/>
        <v>131976.56321645333</v>
      </c>
      <c r="V158" s="21" t="s">
        <v>151</v>
      </c>
      <c r="W158" s="20" t="s">
        <v>153</v>
      </c>
      <c r="X158" s="21" t="s">
        <v>151</v>
      </c>
      <c r="Y158" s="20" t="s">
        <v>153</v>
      </c>
    </row>
    <row r="159" spans="1:25" ht="18" customHeight="1">
      <c r="A159" s="10" t="s">
        <v>25</v>
      </c>
      <c r="B159" s="10" t="s">
        <v>26</v>
      </c>
      <c r="C159" s="10" t="s">
        <v>27</v>
      </c>
      <c r="D159" s="12">
        <v>2019</v>
      </c>
      <c r="E159" s="10" t="s">
        <v>635</v>
      </c>
      <c r="F159" s="10" t="s">
        <v>636</v>
      </c>
      <c r="G159" s="10" t="s">
        <v>49</v>
      </c>
      <c r="H159" s="10" t="s">
        <v>55</v>
      </c>
      <c r="I159" s="13">
        <v>330.8341164043</v>
      </c>
      <c r="J159" s="13">
        <v>328.80240626170001</v>
      </c>
      <c r="K159" s="13">
        <v>2.0317101426000002</v>
      </c>
      <c r="L159" s="13">
        <v>270.75741860390002</v>
      </c>
      <c r="M159" s="13">
        <v>60.076697800399998</v>
      </c>
      <c r="N159" s="10" t="s">
        <v>637</v>
      </c>
      <c r="O159" s="14">
        <v>4.24</v>
      </c>
      <c r="P159" s="10" t="s">
        <v>43</v>
      </c>
      <c r="Q159" s="14" t="s">
        <v>44</v>
      </c>
      <c r="R159" s="10" t="s">
        <v>35</v>
      </c>
      <c r="S159" s="10" t="s">
        <v>635</v>
      </c>
      <c r="T159" s="14">
        <f>IF(O159="","",(1/Metadata!$B$5)^(O159-1))</f>
        <v>1737.8008287493772</v>
      </c>
      <c r="U159" s="13">
        <f t="shared" si="2"/>
        <v>574923.80166596046</v>
      </c>
      <c r="V159" s="22" t="s">
        <v>119</v>
      </c>
      <c r="W159" s="20" t="s">
        <v>213</v>
      </c>
      <c r="X159" s="22" t="s">
        <v>119</v>
      </c>
      <c r="Y159" s="20" t="s">
        <v>213</v>
      </c>
    </row>
    <row r="160" spans="1:25" ht="18" customHeight="1">
      <c r="A160" s="10" t="s">
        <v>25</v>
      </c>
      <c r="B160" s="10" t="s">
        <v>26</v>
      </c>
      <c r="C160" s="10" t="s">
        <v>27</v>
      </c>
      <c r="D160" s="12">
        <v>2019</v>
      </c>
      <c r="E160" s="10" t="s">
        <v>638</v>
      </c>
      <c r="F160" s="10" t="s">
        <v>639</v>
      </c>
      <c r="G160" s="10" t="s">
        <v>49</v>
      </c>
      <c r="H160" s="10" t="s">
        <v>55</v>
      </c>
      <c r="I160" s="13">
        <v>311.68802952499999</v>
      </c>
      <c r="J160" s="13">
        <v>309.17512126529999</v>
      </c>
      <c r="K160" s="13">
        <v>2.5129082597000001</v>
      </c>
      <c r="L160" s="13">
        <v>0</v>
      </c>
      <c r="M160" s="13">
        <v>311.68802952499999</v>
      </c>
      <c r="N160" s="10" t="s">
        <v>640</v>
      </c>
      <c r="O160" s="14">
        <v>4.1399999999999997</v>
      </c>
      <c r="P160" s="10" t="s">
        <v>33</v>
      </c>
      <c r="Q160" s="14" t="s">
        <v>34</v>
      </c>
      <c r="R160" s="10" t="s">
        <v>35</v>
      </c>
      <c r="S160" s="10" t="s">
        <v>638</v>
      </c>
      <c r="T160" s="14">
        <f>IF(O160="","",(1/Metadata!$B$5)^(O160-1))</f>
        <v>1380.3842646028852</v>
      </c>
      <c r="U160" s="13">
        <f t="shared" si="2"/>
        <v>430249.25142138946</v>
      </c>
      <c r="V160" s="22" t="s">
        <v>92</v>
      </c>
      <c r="W160" s="20" t="s">
        <v>641</v>
      </c>
      <c r="X160" s="22" t="s">
        <v>92</v>
      </c>
      <c r="Y160" s="20" t="s">
        <v>641</v>
      </c>
    </row>
    <row r="161" spans="1:25" ht="18" customHeight="1">
      <c r="A161" s="10" t="s">
        <v>25</v>
      </c>
      <c r="B161" s="10" t="s">
        <v>26</v>
      </c>
      <c r="C161" s="10" t="s">
        <v>27</v>
      </c>
      <c r="D161" s="12">
        <v>2019</v>
      </c>
      <c r="E161" s="10" t="s">
        <v>642</v>
      </c>
      <c r="F161" s="10" t="s">
        <v>643</v>
      </c>
      <c r="G161" s="10" t="s">
        <v>77</v>
      </c>
      <c r="H161" s="10" t="s">
        <v>78</v>
      </c>
      <c r="I161" s="13">
        <v>298.47995683070002</v>
      </c>
      <c r="J161" s="13">
        <v>0</v>
      </c>
      <c r="K161" s="13">
        <v>298.47995683070002</v>
      </c>
      <c r="L161" s="13">
        <v>0</v>
      </c>
      <c r="M161" s="13">
        <v>298.47995683070002</v>
      </c>
      <c r="N161" s="10" t="s">
        <v>644</v>
      </c>
      <c r="O161" s="14">
        <v>2</v>
      </c>
      <c r="P161" s="10" t="s">
        <v>33</v>
      </c>
      <c r="Q161" s="14" t="s">
        <v>34</v>
      </c>
      <c r="R161" s="10" t="s">
        <v>35</v>
      </c>
      <c r="S161" s="10" t="s">
        <v>642</v>
      </c>
      <c r="T161" s="14">
        <f>IF(O161="","",(1/Metadata!$B$5)^(O161-1))</f>
        <v>10</v>
      </c>
      <c r="U161" s="13">
        <f t="shared" si="2"/>
        <v>2984.7995683070003</v>
      </c>
      <c r="V161" s="21" t="s">
        <v>80</v>
      </c>
      <c r="W161" s="20" t="s">
        <v>81</v>
      </c>
      <c r="X161" s="21" t="s">
        <v>80</v>
      </c>
      <c r="Y161" s="20" t="s">
        <v>81</v>
      </c>
    </row>
    <row r="162" spans="1:25" ht="18" customHeight="1">
      <c r="A162" s="10" t="s">
        <v>25</v>
      </c>
      <c r="B162" s="10" t="s">
        <v>26</v>
      </c>
      <c r="C162" s="10" t="s">
        <v>27</v>
      </c>
      <c r="D162" s="12">
        <v>2019</v>
      </c>
      <c r="E162" s="10" t="s">
        <v>645</v>
      </c>
      <c r="F162" s="10" t="s">
        <v>646</v>
      </c>
      <c r="G162" s="10" t="s">
        <v>408</v>
      </c>
      <c r="H162" s="10" t="s">
        <v>409</v>
      </c>
      <c r="I162" s="13">
        <v>290.16826647879998</v>
      </c>
      <c r="J162" s="13">
        <v>189.51730801069999</v>
      </c>
      <c r="K162" s="13">
        <v>100.6509584681</v>
      </c>
      <c r="L162" s="13">
        <v>189.51730801069999</v>
      </c>
      <c r="M162" s="13">
        <v>100.6509584681</v>
      </c>
      <c r="N162" s="10" t="s">
        <v>647</v>
      </c>
      <c r="O162" s="14">
        <v>4</v>
      </c>
      <c r="P162" s="10" t="s">
        <v>33</v>
      </c>
      <c r="Q162" s="14" t="s">
        <v>34</v>
      </c>
      <c r="R162" s="10" t="s">
        <v>35</v>
      </c>
      <c r="S162" s="10" t="s">
        <v>645</v>
      </c>
      <c r="T162" s="14">
        <f>IF(O162="","",(1/Metadata!$B$5)^(O162-1))</f>
        <v>1000</v>
      </c>
      <c r="U162" s="13">
        <f t="shared" si="2"/>
        <v>290168.26647879998</v>
      </c>
      <c r="V162" s="19" t="s">
        <v>36</v>
      </c>
      <c r="W162" s="20" t="s">
        <v>411</v>
      </c>
      <c r="X162" s="19" t="s">
        <v>36</v>
      </c>
      <c r="Y162" s="20" t="s">
        <v>411</v>
      </c>
    </row>
    <row r="163" spans="1:25" ht="18" customHeight="1">
      <c r="A163" s="10" t="s">
        <v>25</v>
      </c>
      <c r="B163" s="10" t="s">
        <v>26</v>
      </c>
      <c r="C163" s="10" t="s">
        <v>27</v>
      </c>
      <c r="D163" s="12">
        <v>2019</v>
      </c>
      <c r="E163" s="10" t="s">
        <v>648</v>
      </c>
      <c r="F163" s="10" t="s">
        <v>649</v>
      </c>
      <c r="G163" s="10" t="s">
        <v>142</v>
      </c>
      <c r="H163" s="10" t="s">
        <v>220</v>
      </c>
      <c r="I163" s="13">
        <v>289.10785741849998</v>
      </c>
      <c r="J163" s="13">
        <v>288.80915526759998</v>
      </c>
      <c r="K163" s="13">
        <v>0.29870215090000002</v>
      </c>
      <c r="L163" s="13">
        <v>288.80915526759998</v>
      </c>
      <c r="M163" s="13">
        <v>0.29870215090000002</v>
      </c>
      <c r="N163" s="10" t="s">
        <v>650</v>
      </c>
      <c r="O163" s="14">
        <v>4.46</v>
      </c>
      <c r="P163" s="10" t="s">
        <v>43</v>
      </c>
      <c r="Q163" s="14" t="s">
        <v>44</v>
      </c>
      <c r="R163" s="10" t="s">
        <v>35</v>
      </c>
      <c r="S163" s="10" t="s">
        <v>648</v>
      </c>
      <c r="T163" s="14">
        <f>IF(O163="","",(1/Metadata!$B$5)^(O163-1))</f>
        <v>2884.0315031266077</v>
      </c>
      <c r="U163" s="13">
        <f t="shared" si="2"/>
        <v>833796.16859638947</v>
      </c>
      <c r="V163" s="22" t="s">
        <v>92</v>
      </c>
      <c r="W163" s="20" t="s">
        <v>222</v>
      </c>
      <c r="X163" s="22" t="s">
        <v>92</v>
      </c>
      <c r="Y163" s="20" t="s">
        <v>222</v>
      </c>
    </row>
    <row r="164" spans="1:25" ht="18" customHeight="1">
      <c r="A164" s="10" t="s">
        <v>25</v>
      </c>
      <c r="B164" s="10" t="s">
        <v>26</v>
      </c>
      <c r="C164" s="10" t="s">
        <v>27</v>
      </c>
      <c r="D164" s="12">
        <v>2019</v>
      </c>
      <c r="E164" s="10" t="s">
        <v>651</v>
      </c>
      <c r="F164" s="10" t="s">
        <v>652</v>
      </c>
      <c r="G164" s="10" t="s">
        <v>123</v>
      </c>
      <c r="H164" s="10" t="s">
        <v>97</v>
      </c>
      <c r="I164" s="13">
        <v>280.5032685182</v>
      </c>
      <c r="J164" s="13">
        <v>1.0898879267999999</v>
      </c>
      <c r="K164" s="13">
        <v>279.41338059140003</v>
      </c>
      <c r="L164" s="13">
        <v>1.0898879267999999</v>
      </c>
      <c r="M164" s="13">
        <v>279.41338059140003</v>
      </c>
      <c r="N164" s="10" t="s">
        <v>653</v>
      </c>
      <c r="O164" s="14">
        <v>2.6</v>
      </c>
      <c r="P164" s="10" t="s">
        <v>33</v>
      </c>
      <c r="Q164" s="14" t="s">
        <v>34</v>
      </c>
      <c r="R164" s="10" t="s">
        <v>35</v>
      </c>
      <c r="S164" s="10" t="s">
        <v>651</v>
      </c>
      <c r="T164" s="14">
        <f>IF(O164="","",(1/Metadata!$B$5)^(O164-1))</f>
        <v>39.810717055349755</v>
      </c>
      <c r="U164" s="13">
        <f t="shared" si="2"/>
        <v>11167.036256078856</v>
      </c>
      <c r="V164" s="22" t="s">
        <v>125</v>
      </c>
      <c r="W164" s="20" t="s">
        <v>521</v>
      </c>
      <c r="X164" s="22" t="s">
        <v>125</v>
      </c>
      <c r="Y164" s="20" t="s">
        <v>521</v>
      </c>
    </row>
    <row r="165" spans="1:25" ht="18" customHeight="1">
      <c r="A165" s="10" t="s">
        <v>25</v>
      </c>
      <c r="B165" s="10" t="s">
        <v>26</v>
      </c>
      <c r="C165" s="10" t="s">
        <v>27</v>
      </c>
      <c r="D165" s="12">
        <v>2019</v>
      </c>
      <c r="E165" s="10" t="s">
        <v>654</v>
      </c>
      <c r="F165" s="10" t="s">
        <v>655</v>
      </c>
      <c r="G165" s="10" t="s">
        <v>194</v>
      </c>
      <c r="H165" s="10" t="s">
        <v>55</v>
      </c>
      <c r="I165" s="13">
        <v>273.59382329260001</v>
      </c>
      <c r="J165" s="13">
        <v>273.59382329260001</v>
      </c>
      <c r="K165" s="13">
        <v>0</v>
      </c>
      <c r="L165" s="13">
        <v>70.465335483000004</v>
      </c>
      <c r="M165" s="13">
        <v>203.12848780959999</v>
      </c>
      <c r="N165" s="10" t="s">
        <v>656</v>
      </c>
      <c r="O165" s="14">
        <v>3.59</v>
      </c>
      <c r="P165" s="10" t="s">
        <v>33</v>
      </c>
      <c r="Q165" s="14" t="s">
        <v>34</v>
      </c>
      <c r="R165" s="10" t="s">
        <v>35</v>
      </c>
      <c r="S165" s="10" t="s">
        <v>654</v>
      </c>
      <c r="T165" s="14">
        <f>IF(O165="","",(1/Metadata!$B$5)^(O165-1))</f>
        <v>389.04514499428063</v>
      </c>
      <c r="U165" s="13">
        <f t="shared" si="2"/>
        <v>106440.34865240916</v>
      </c>
      <c r="V165" s="22" t="s">
        <v>86</v>
      </c>
      <c r="W165" s="20" t="s">
        <v>657</v>
      </c>
      <c r="X165" s="22" t="s">
        <v>86</v>
      </c>
      <c r="Y165" s="20" t="s">
        <v>657</v>
      </c>
    </row>
    <row r="166" spans="1:25" ht="18" customHeight="1">
      <c r="A166" s="10" t="s">
        <v>25</v>
      </c>
      <c r="B166" s="10" t="s">
        <v>26</v>
      </c>
      <c r="C166" s="10" t="s">
        <v>27</v>
      </c>
      <c r="D166" s="12">
        <v>2019</v>
      </c>
      <c r="E166" s="10" t="s">
        <v>658</v>
      </c>
      <c r="F166" s="10" t="s">
        <v>659</v>
      </c>
      <c r="G166" s="10" t="s">
        <v>49</v>
      </c>
      <c r="H166" s="10" t="s">
        <v>55</v>
      </c>
      <c r="I166" s="13">
        <v>241.15536873030001</v>
      </c>
      <c r="J166" s="13">
        <v>200.51760135020001</v>
      </c>
      <c r="K166" s="13">
        <v>40.637767380100001</v>
      </c>
      <c r="L166" s="13">
        <v>0</v>
      </c>
      <c r="M166" s="13">
        <v>241.15536873030001</v>
      </c>
      <c r="N166" s="10" t="s">
        <v>660</v>
      </c>
      <c r="O166" s="14">
        <v>3.63</v>
      </c>
      <c r="P166" s="10" t="s">
        <v>33</v>
      </c>
      <c r="Q166" s="14" t="s">
        <v>34</v>
      </c>
      <c r="R166" s="10" t="s">
        <v>35</v>
      </c>
      <c r="S166" s="10" t="s">
        <v>658</v>
      </c>
      <c r="T166" s="14">
        <f>IF(O166="","",(1/Metadata!$B$5)^(O166-1))</f>
        <v>426.57951880159294</v>
      </c>
      <c r="U166" s="13">
        <f t="shared" si="2"/>
        <v>102871.94114939209</v>
      </c>
      <c r="V166" s="21" t="s">
        <v>119</v>
      </c>
      <c r="W166" s="20" t="s">
        <v>661</v>
      </c>
      <c r="X166" s="21" t="s">
        <v>119</v>
      </c>
      <c r="Y166" s="20" t="s">
        <v>661</v>
      </c>
    </row>
    <row r="167" spans="1:25" ht="18" customHeight="1">
      <c r="A167" s="10" t="s">
        <v>25</v>
      </c>
      <c r="B167" s="10" t="s">
        <v>26</v>
      </c>
      <c r="C167" s="10" t="s">
        <v>27</v>
      </c>
      <c r="D167" s="12">
        <v>2019</v>
      </c>
      <c r="E167" s="10" t="s">
        <v>662</v>
      </c>
      <c r="F167" s="10" t="s">
        <v>663</v>
      </c>
      <c r="G167" s="10" t="s">
        <v>90</v>
      </c>
      <c r="H167" s="10" t="s">
        <v>55</v>
      </c>
      <c r="I167" s="13">
        <v>234.9509179568</v>
      </c>
      <c r="J167" s="13">
        <v>225.43552698240001</v>
      </c>
      <c r="K167" s="13">
        <v>9.5153909743999989</v>
      </c>
      <c r="L167" s="13">
        <v>220.37738558199999</v>
      </c>
      <c r="M167" s="13">
        <v>14.573532374799999</v>
      </c>
      <c r="N167" s="10" t="s">
        <v>664</v>
      </c>
      <c r="O167" s="14">
        <v>3.59</v>
      </c>
      <c r="P167" s="10" t="s">
        <v>43</v>
      </c>
      <c r="Q167" s="14" t="s">
        <v>44</v>
      </c>
      <c r="R167" s="10" t="s">
        <v>35</v>
      </c>
      <c r="S167" s="10" t="s">
        <v>662</v>
      </c>
      <c r="T167" s="14">
        <f>IF(O167="","",(1/Metadata!$B$5)^(O167-1))</f>
        <v>389.04514499428063</v>
      </c>
      <c r="U167" s="13">
        <f t="shared" si="2"/>
        <v>91406.513943042592</v>
      </c>
      <c r="V167" s="22" t="s">
        <v>203</v>
      </c>
      <c r="W167" s="20" t="s">
        <v>204</v>
      </c>
      <c r="X167" s="22" t="s">
        <v>203</v>
      </c>
      <c r="Y167" s="20" t="s">
        <v>204</v>
      </c>
    </row>
    <row r="168" spans="1:25" ht="18" customHeight="1">
      <c r="A168" s="10" t="s">
        <v>25</v>
      </c>
      <c r="B168" s="10" t="s">
        <v>26</v>
      </c>
      <c r="C168" s="10" t="s">
        <v>27</v>
      </c>
      <c r="D168" s="12">
        <v>2019</v>
      </c>
      <c r="E168" s="10" t="s">
        <v>665</v>
      </c>
      <c r="F168" s="10" t="s">
        <v>666</v>
      </c>
      <c r="G168" s="10" t="s">
        <v>77</v>
      </c>
      <c r="H168" s="10" t="s">
        <v>78</v>
      </c>
      <c r="I168" s="13">
        <v>232.20554669800001</v>
      </c>
      <c r="J168" s="13">
        <v>232.1162520844</v>
      </c>
      <c r="K168" s="13">
        <v>8.9294613600000003E-2</v>
      </c>
      <c r="L168" s="13">
        <v>232.1162520844</v>
      </c>
      <c r="M168" s="13">
        <v>8.9294613600000003E-2</v>
      </c>
      <c r="N168" s="10" t="s">
        <v>667</v>
      </c>
      <c r="O168" s="14">
        <v>2</v>
      </c>
      <c r="P168" s="10" t="s">
        <v>33</v>
      </c>
      <c r="Q168" s="14" t="s">
        <v>34</v>
      </c>
      <c r="R168" s="10" t="s">
        <v>35</v>
      </c>
      <c r="S168" s="10" t="s">
        <v>665</v>
      </c>
      <c r="T168" s="14">
        <f>IF(O168="","",(1/Metadata!$B$5)^(O168-1))</f>
        <v>10</v>
      </c>
      <c r="U168" s="13">
        <f t="shared" si="2"/>
        <v>2322.0554669799999</v>
      </c>
      <c r="V168" s="21" t="s">
        <v>80</v>
      </c>
      <c r="W168" s="20" t="s">
        <v>81</v>
      </c>
      <c r="X168" s="21" t="s">
        <v>80</v>
      </c>
      <c r="Y168" s="20" t="s">
        <v>81</v>
      </c>
    </row>
    <row r="169" spans="1:25" ht="18" customHeight="1">
      <c r="A169" s="10" t="s">
        <v>25</v>
      </c>
      <c r="B169" s="10" t="s">
        <v>26</v>
      </c>
      <c r="C169" s="10" t="s">
        <v>27</v>
      </c>
      <c r="D169" s="12">
        <v>2019</v>
      </c>
      <c r="E169" s="10" t="s">
        <v>668</v>
      </c>
      <c r="F169" s="10" t="s">
        <v>669</v>
      </c>
      <c r="G169" s="10" t="s">
        <v>30</v>
      </c>
      <c r="H169" s="10" t="s">
        <v>55</v>
      </c>
      <c r="I169" s="13">
        <v>230.59882581790001</v>
      </c>
      <c r="J169" s="13">
        <v>230.59882581790001</v>
      </c>
      <c r="K169" s="13">
        <v>0</v>
      </c>
      <c r="L169" s="13">
        <v>112.1351293351</v>
      </c>
      <c r="M169" s="13">
        <v>118.4636964828</v>
      </c>
      <c r="N169" s="10" t="s">
        <v>670</v>
      </c>
      <c r="O169" s="14">
        <v>3.25</v>
      </c>
      <c r="P169" s="10" t="s">
        <v>33</v>
      </c>
      <c r="Q169" s="14" t="s">
        <v>34</v>
      </c>
      <c r="R169" s="10" t="s">
        <v>35</v>
      </c>
      <c r="S169" s="10" t="s">
        <v>668</v>
      </c>
      <c r="T169" s="14">
        <f>IF(O169="","",(1/Metadata!$B$5)^(O169-1))</f>
        <v>177.82794100389242</v>
      </c>
      <c r="U169" s="13">
        <f t="shared" si="2"/>
        <v>41006.914393112384</v>
      </c>
      <c r="V169" s="22" t="s">
        <v>130</v>
      </c>
      <c r="W169" s="20" t="s">
        <v>671</v>
      </c>
      <c r="X169" s="22" t="s">
        <v>130</v>
      </c>
      <c r="Y169" s="20" t="s">
        <v>671</v>
      </c>
    </row>
    <row r="170" spans="1:25" ht="18" customHeight="1">
      <c r="A170" s="10" t="s">
        <v>25</v>
      </c>
      <c r="B170" s="10" t="s">
        <v>26</v>
      </c>
      <c r="C170" s="10" t="s">
        <v>27</v>
      </c>
      <c r="D170" s="12">
        <v>2019</v>
      </c>
      <c r="E170" s="10" t="s">
        <v>672</v>
      </c>
      <c r="F170" s="10" t="s">
        <v>673</v>
      </c>
      <c r="G170" s="10" t="s">
        <v>30</v>
      </c>
      <c r="H170" s="10" t="s">
        <v>31</v>
      </c>
      <c r="I170" s="13">
        <v>228.3232634936</v>
      </c>
      <c r="J170" s="13">
        <v>227.5805943981</v>
      </c>
      <c r="K170" s="13">
        <v>0.74266909549999993</v>
      </c>
      <c r="L170" s="13">
        <v>227.39776881430001</v>
      </c>
      <c r="M170" s="13">
        <v>0.92549467929999996</v>
      </c>
      <c r="N170" s="10" t="s">
        <v>674</v>
      </c>
      <c r="O170" s="14">
        <v>4.4000000000000004</v>
      </c>
      <c r="P170" s="10" t="s">
        <v>43</v>
      </c>
      <c r="Q170" s="14" t="s">
        <v>44</v>
      </c>
      <c r="R170" s="10" t="s">
        <v>35</v>
      </c>
      <c r="S170" s="10" t="s">
        <v>672</v>
      </c>
      <c r="T170" s="14">
        <f>IF(O170="","",(1/Metadata!$B$5)^(O170-1))</f>
        <v>2511.8864315095834</v>
      </c>
      <c r="U170" s="13">
        <f t="shared" si="2"/>
        <v>573522.10756756121</v>
      </c>
      <c r="V170" s="21" t="s">
        <v>92</v>
      </c>
      <c r="W170" s="20" t="s">
        <v>562</v>
      </c>
      <c r="X170" s="21" t="s">
        <v>92</v>
      </c>
      <c r="Y170" s="20" t="s">
        <v>562</v>
      </c>
    </row>
    <row r="171" spans="1:25" ht="18" customHeight="1">
      <c r="A171" s="10" t="s">
        <v>25</v>
      </c>
      <c r="B171" s="10" t="s">
        <v>26</v>
      </c>
      <c r="C171" s="10" t="s">
        <v>27</v>
      </c>
      <c r="D171" s="12">
        <v>2019</v>
      </c>
      <c r="E171" s="10" t="s">
        <v>675</v>
      </c>
      <c r="F171" s="10" t="s">
        <v>676</v>
      </c>
      <c r="G171" s="10" t="s">
        <v>194</v>
      </c>
      <c r="H171" s="10" t="s">
        <v>55</v>
      </c>
      <c r="I171" s="13">
        <v>219.6253362496</v>
      </c>
      <c r="J171" s="13">
        <v>207.2972995136</v>
      </c>
      <c r="K171" s="13">
        <v>12.328036736</v>
      </c>
      <c r="L171" s="13">
        <v>146.2711097202</v>
      </c>
      <c r="M171" s="13">
        <v>73.354226529400009</v>
      </c>
      <c r="N171" s="10" t="s">
        <v>677</v>
      </c>
      <c r="O171" s="14">
        <v>4.0199999999999996</v>
      </c>
      <c r="P171" s="10" t="s">
        <v>33</v>
      </c>
      <c r="Q171" s="14" t="s">
        <v>34</v>
      </c>
      <c r="R171" s="10" t="s">
        <v>35</v>
      </c>
      <c r="S171" s="10" t="s">
        <v>675</v>
      </c>
      <c r="T171" s="14">
        <f>IF(O171="","",(1/Metadata!$B$5)^(O171-1))</f>
        <v>1047.1285480508991</v>
      </c>
      <c r="U171" s="13">
        <f t="shared" si="2"/>
        <v>229975.95946223414</v>
      </c>
      <c r="V171" s="22" t="s">
        <v>92</v>
      </c>
      <c r="W171" s="20" t="s">
        <v>678</v>
      </c>
      <c r="X171" s="22" t="s">
        <v>92</v>
      </c>
      <c r="Y171" s="20" t="s">
        <v>678</v>
      </c>
    </row>
    <row r="172" spans="1:25" ht="18" customHeight="1">
      <c r="A172" s="10" t="s">
        <v>25</v>
      </c>
      <c r="B172" s="10" t="s">
        <v>26</v>
      </c>
      <c r="C172" s="10" t="s">
        <v>27</v>
      </c>
      <c r="D172" s="12">
        <v>2019</v>
      </c>
      <c r="E172" s="10" t="s">
        <v>679</v>
      </c>
      <c r="F172" s="10" t="s">
        <v>680</v>
      </c>
      <c r="G172" s="10" t="s">
        <v>96</v>
      </c>
      <c r="H172" s="10" t="s">
        <v>97</v>
      </c>
      <c r="I172" s="13">
        <v>201.36975581889999</v>
      </c>
      <c r="J172" s="13">
        <v>0</v>
      </c>
      <c r="K172" s="13">
        <v>201.36975581889999</v>
      </c>
      <c r="L172" s="13">
        <v>0</v>
      </c>
      <c r="M172" s="13">
        <v>201.36975581889999</v>
      </c>
      <c r="N172" s="10" t="s">
        <v>681</v>
      </c>
      <c r="O172" s="14">
        <v>3.27</v>
      </c>
      <c r="P172" s="10" t="s">
        <v>33</v>
      </c>
      <c r="Q172" s="14" t="s">
        <v>34</v>
      </c>
      <c r="R172" s="10" t="s">
        <v>35</v>
      </c>
      <c r="S172" s="10" t="s">
        <v>679</v>
      </c>
      <c r="T172" s="14">
        <f>IF(O172="","",(1/Metadata!$B$5)^(O172-1))</f>
        <v>186.20871366628685</v>
      </c>
      <c r="U172" s="13">
        <f t="shared" si="2"/>
        <v>37496.803202331648</v>
      </c>
      <c r="V172" s="22" t="s">
        <v>96</v>
      </c>
      <c r="W172" s="20" t="s">
        <v>148</v>
      </c>
      <c r="X172" s="22" t="s">
        <v>96</v>
      </c>
      <c r="Y172" s="20" t="s">
        <v>148</v>
      </c>
    </row>
    <row r="173" spans="1:25" ht="18" customHeight="1">
      <c r="A173" s="10" t="s">
        <v>25</v>
      </c>
      <c r="B173" s="10" t="s">
        <v>26</v>
      </c>
      <c r="C173" s="10" t="s">
        <v>27</v>
      </c>
      <c r="D173" s="12">
        <v>2019</v>
      </c>
      <c r="E173" s="10" t="s">
        <v>682</v>
      </c>
      <c r="F173" s="10" t="s">
        <v>683</v>
      </c>
      <c r="G173" s="10" t="s">
        <v>40</v>
      </c>
      <c r="H173" s="10" t="s">
        <v>50</v>
      </c>
      <c r="I173" s="13">
        <v>196.73632424210001</v>
      </c>
      <c r="J173" s="13">
        <v>50.0166659</v>
      </c>
      <c r="K173" s="13">
        <v>146.71965834209999</v>
      </c>
      <c r="L173" s="13">
        <v>49.826379163200002</v>
      </c>
      <c r="M173" s="13">
        <v>146.90994507889999</v>
      </c>
      <c r="N173" s="10" t="s">
        <v>684</v>
      </c>
      <c r="O173" s="14">
        <v>3.06</v>
      </c>
      <c r="P173" s="10" t="s">
        <v>43</v>
      </c>
      <c r="Q173" s="14" t="s">
        <v>44</v>
      </c>
      <c r="R173" s="10" t="s">
        <v>35</v>
      </c>
      <c r="S173" s="10" t="s">
        <v>682</v>
      </c>
      <c r="T173" s="14">
        <f>IF(O173="","",(1/Metadata!$B$5)^(O173-1))</f>
        <v>114.81536214968835</v>
      </c>
      <c r="U173" s="13">
        <f t="shared" si="2"/>
        <v>22588.352315855223</v>
      </c>
      <c r="V173" s="22" t="s">
        <v>45</v>
      </c>
      <c r="W173" s="20" t="s">
        <v>191</v>
      </c>
      <c r="X173" s="22" t="s">
        <v>45</v>
      </c>
      <c r="Y173" s="20" t="s">
        <v>191</v>
      </c>
    </row>
    <row r="174" spans="1:25" ht="18" customHeight="1">
      <c r="A174" s="10" t="s">
        <v>25</v>
      </c>
      <c r="B174" s="10" t="s">
        <v>26</v>
      </c>
      <c r="C174" s="10" t="s">
        <v>27</v>
      </c>
      <c r="D174" s="12">
        <v>2019</v>
      </c>
      <c r="E174" s="10" t="s">
        <v>685</v>
      </c>
      <c r="F174" s="10" t="s">
        <v>686</v>
      </c>
      <c r="G174" s="10" t="s">
        <v>30</v>
      </c>
      <c r="H174" s="10" t="s">
        <v>418</v>
      </c>
      <c r="I174" s="13">
        <v>190.17359085160001</v>
      </c>
      <c r="J174" s="13">
        <v>190.17359085160001</v>
      </c>
      <c r="K174" s="13">
        <v>0</v>
      </c>
      <c r="L174" s="13">
        <v>0</v>
      </c>
      <c r="M174" s="13">
        <v>190.17359085160001</v>
      </c>
      <c r="N174" s="10" t="s">
        <v>687</v>
      </c>
      <c r="O174" s="14">
        <v>3.72</v>
      </c>
      <c r="P174" s="10" t="s">
        <v>33</v>
      </c>
      <c r="Q174" s="14" t="s">
        <v>34</v>
      </c>
      <c r="R174" s="10" t="s">
        <v>35</v>
      </c>
      <c r="S174" s="10" t="s">
        <v>685</v>
      </c>
      <c r="T174" s="14">
        <f>IF(O174="","",(1/Metadata!$B$5)^(O174-1))</f>
        <v>524.80746024977293</v>
      </c>
      <c r="U174" s="13">
        <f t="shared" si="2"/>
        <v>99804.519221407652</v>
      </c>
      <c r="V174" s="22" t="s">
        <v>86</v>
      </c>
      <c r="W174" s="20" t="s">
        <v>488</v>
      </c>
      <c r="X174" s="22" t="s">
        <v>86</v>
      </c>
      <c r="Y174" s="20" t="s">
        <v>488</v>
      </c>
    </row>
    <row r="175" spans="1:25" ht="18" customHeight="1">
      <c r="A175" s="10" t="s">
        <v>25</v>
      </c>
      <c r="B175" s="10" t="s">
        <v>26</v>
      </c>
      <c r="C175" s="10" t="s">
        <v>27</v>
      </c>
      <c r="D175" s="12">
        <v>2019</v>
      </c>
      <c r="E175" s="10" t="s">
        <v>688</v>
      </c>
      <c r="F175" s="10" t="s">
        <v>689</v>
      </c>
      <c r="G175" s="10" t="s">
        <v>49</v>
      </c>
      <c r="H175" s="10" t="s">
        <v>220</v>
      </c>
      <c r="I175" s="13">
        <v>181.74077001430001</v>
      </c>
      <c r="J175" s="13">
        <v>0</v>
      </c>
      <c r="K175" s="13">
        <v>181.74077001430001</v>
      </c>
      <c r="L175" s="13">
        <v>0</v>
      </c>
      <c r="M175" s="13">
        <v>181.74077001430001</v>
      </c>
      <c r="N175" s="10" t="s">
        <v>690</v>
      </c>
      <c r="O175" s="14">
        <v>4.13</v>
      </c>
      <c r="P175" s="10" t="s">
        <v>43</v>
      </c>
      <c r="Q175" s="14" t="s">
        <v>44</v>
      </c>
      <c r="R175" s="10" t="s">
        <v>35</v>
      </c>
      <c r="S175" s="10" t="s">
        <v>688</v>
      </c>
      <c r="T175" s="14">
        <f>IF(O175="","",(1/Metadata!$B$5)^(O175-1))</f>
        <v>1348.9628825916541</v>
      </c>
      <c r="U175" s="13">
        <f t="shared" si="2"/>
        <v>245161.553002917</v>
      </c>
      <c r="V175" s="21" t="s">
        <v>92</v>
      </c>
      <c r="W175" s="20" t="s">
        <v>434</v>
      </c>
      <c r="X175" s="21" t="s">
        <v>92</v>
      </c>
      <c r="Y175" s="20" t="s">
        <v>434</v>
      </c>
    </row>
    <row r="176" spans="1:25" ht="18" customHeight="1">
      <c r="A176" s="10" t="s">
        <v>25</v>
      </c>
      <c r="B176" s="10" t="s">
        <v>26</v>
      </c>
      <c r="C176" s="10" t="s">
        <v>27</v>
      </c>
      <c r="D176" s="12">
        <v>2019</v>
      </c>
      <c r="E176" s="10" t="s">
        <v>691</v>
      </c>
      <c r="F176" s="10" t="s">
        <v>692</v>
      </c>
      <c r="G176" s="10" t="s">
        <v>30</v>
      </c>
      <c r="H176" s="10" t="s">
        <v>31</v>
      </c>
      <c r="I176" s="13">
        <v>175.35062513759999</v>
      </c>
      <c r="J176" s="13">
        <v>167.41290777489999</v>
      </c>
      <c r="K176" s="13">
        <v>7.9377173627000008</v>
      </c>
      <c r="L176" s="13">
        <v>127.456954858</v>
      </c>
      <c r="M176" s="13">
        <v>47.893670279599988</v>
      </c>
      <c r="N176" s="10" t="s">
        <v>693</v>
      </c>
      <c r="O176" s="14">
        <v>3.48</v>
      </c>
      <c r="P176" s="10" t="s">
        <v>33</v>
      </c>
      <c r="Q176" s="14" t="s">
        <v>34</v>
      </c>
      <c r="R176" s="10" t="s">
        <v>35</v>
      </c>
      <c r="S176" s="10" t="s">
        <v>691</v>
      </c>
      <c r="T176" s="14">
        <f>IF(O176="","",(1/Metadata!$B$5)^(O176-1))</f>
        <v>301.99517204020168</v>
      </c>
      <c r="U176" s="13">
        <f t="shared" si="2"/>
        <v>52955.04220578642</v>
      </c>
      <c r="V176" s="22" t="s">
        <v>86</v>
      </c>
      <c r="W176" s="20" t="s">
        <v>694</v>
      </c>
      <c r="X176" s="22" t="s">
        <v>86</v>
      </c>
      <c r="Y176" s="20" t="s">
        <v>694</v>
      </c>
    </row>
    <row r="177" spans="1:25" ht="18" customHeight="1">
      <c r="A177" s="10" t="s">
        <v>25</v>
      </c>
      <c r="B177" s="10" t="s">
        <v>26</v>
      </c>
      <c r="C177" s="10" t="s">
        <v>27</v>
      </c>
      <c r="D177" s="12">
        <v>2019</v>
      </c>
      <c r="E177" s="10" t="s">
        <v>695</v>
      </c>
      <c r="F177" s="10" t="s">
        <v>696</v>
      </c>
      <c r="G177" s="10" t="s">
        <v>151</v>
      </c>
      <c r="H177" s="10" t="s">
        <v>31</v>
      </c>
      <c r="I177" s="13">
        <v>174.77089114660001</v>
      </c>
      <c r="J177" s="13">
        <v>174.77089114660001</v>
      </c>
      <c r="K177" s="13">
        <v>0</v>
      </c>
      <c r="L177" s="13">
        <v>137.9847237985</v>
      </c>
      <c r="M177" s="13">
        <v>36.786167348100001</v>
      </c>
      <c r="N177" s="10" t="s">
        <v>697</v>
      </c>
      <c r="O177" s="14">
        <v>4.37</v>
      </c>
      <c r="P177" s="10" t="s">
        <v>43</v>
      </c>
      <c r="Q177" s="14" t="s">
        <v>44</v>
      </c>
      <c r="R177" s="10" t="s">
        <v>35</v>
      </c>
      <c r="S177" s="10" t="s">
        <v>695</v>
      </c>
      <c r="T177" s="14">
        <f>IF(O177="","",(1/Metadata!$B$5)^(O177-1))</f>
        <v>2344.2288153199238</v>
      </c>
      <c r="U177" s="13">
        <f t="shared" si="2"/>
        <v>409702.95910500147</v>
      </c>
      <c r="V177" s="21" t="s">
        <v>151</v>
      </c>
      <c r="W177" s="20" t="s">
        <v>153</v>
      </c>
      <c r="X177" s="21" t="s">
        <v>151</v>
      </c>
      <c r="Y177" s="20" t="s">
        <v>153</v>
      </c>
    </row>
    <row r="178" spans="1:25" ht="18" customHeight="1">
      <c r="A178" s="10" t="s">
        <v>25</v>
      </c>
      <c r="B178" s="10" t="s">
        <v>26</v>
      </c>
      <c r="C178" s="10" t="s">
        <v>27</v>
      </c>
      <c r="D178" s="12">
        <v>2019</v>
      </c>
      <c r="E178" s="10" t="s">
        <v>698</v>
      </c>
      <c r="F178" s="10" t="s">
        <v>669</v>
      </c>
      <c r="G178" s="10" t="s">
        <v>30</v>
      </c>
      <c r="H178" s="10" t="s">
        <v>55</v>
      </c>
      <c r="I178" s="13">
        <v>157.3104798963</v>
      </c>
      <c r="J178" s="13">
        <v>149.0040469329</v>
      </c>
      <c r="K178" s="13">
        <v>8.3064329634000007</v>
      </c>
      <c r="L178" s="13">
        <v>147.90438201609999</v>
      </c>
      <c r="M178" s="13">
        <v>9.406097880199999</v>
      </c>
      <c r="N178" s="10" t="s">
        <v>699</v>
      </c>
      <c r="O178" s="14">
        <v>3.33</v>
      </c>
      <c r="P178" s="10" t="s">
        <v>33</v>
      </c>
      <c r="Q178" s="14" t="s">
        <v>34</v>
      </c>
      <c r="R178" s="10" t="s">
        <v>35</v>
      </c>
      <c r="S178" s="10" t="s">
        <v>698</v>
      </c>
      <c r="T178" s="14">
        <f>IF(O178="","",(1/Metadata!$B$5)^(O178-1))</f>
        <v>213.79620895022339</v>
      </c>
      <c r="U178" s="13">
        <f t="shared" si="2"/>
        <v>33632.38422996927</v>
      </c>
      <c r="V178" s="22" t="s">
        <v>130</v>
      </c>
      <c r="W178" s="20" t="s">
        <v>671</v>
      </c>
      <c r="X178" s="22" t="s">
        <v>130</v>
      </c>
      <c r="Y178" s="20" t="s">
        <v>671</v>
      </c>
    </row>
    <row r="179" spans="1:25" ht="18" customHeight="1">
      <c r="A179" s="10" t="s">
        <v>25</v>
      </c>
      <c r="B179" s="10" t="s">
        <v>26</v>
      </c>
      <c r="C179" s="10" t="s">
        <v>27</v>
      </c>
      <c r="D179" s="12">
        <v>2019</v>
      </c>
      <c r="E179" s="10" t="s">
        <v>700</v>
      </c>
      <c r="F179" s="10" t="s">
        <v>701</v>
      </c>
      <c r="G179" s="10" t="s">
        <v>142</v>
      </c>
      <c r="H179" s="10" t="s">
        <v>31</v>
      </c>
      <c r="I179" s="13">
        <v>147.2352933677</v>
      </c>
      <c r="J179" s="13">
        <v>143.38768527689999</v>
      </c>
      <c r="K179" s="13">
        <v>3.8476080908000001</v>
      </c>
      <c r="L179" s="13">
        <v>117.9566504925</v>
      </c>
      <c r="M179" s="13">
        <v>29.278642875199999</v>
      </c>
      <c r="N179" s="10" t="s">
        <v>702</v>
      </c>
      <c r="O179" s="14">
        <v>3.68</v>
      </c>
      <c r="P179" s="10" t="s">
        <v>43</v>
      </c>
      <c r="Q179" s="14" t="s">
        <v>44</v>
      </c>
      <c r="R179" s="10" t="s">
        <v>35</v>
      </c>
      <c r="S179" s="10" t="s">
        <v>700</v>
      </c>
      <c r="T179" s="14">
        <f>IF(O179="","",(1/Metadata!$B$5)^(O179-1))</f>
        <v>478.63009232263886</v>
      </c>
      <c r="U179" s="13">
        <f t="shared" si="2"/>
        <v>70471.242057733063</v>
      </c>
      <c r="V179" s="19" t="s">
        <v>36</v>
      </c>
      <c r="W179" s="20" t="s">
        <v>703</v>
      </c>
      <c r="X179" s="19" t="s">
        <v>36</v>
      </c>
      <c r="Y179" s="20" t="s">
        <v>703</v>
      </c>
    </row>
    <row r="180" spans="1:25" ht="18" customHeight="1">
      <c r="A180" s="10" t="s">
        <v>25</v>
      </c>
      <c r="B180" s="10" t="s">
        <v>26</v>
      </c>
      <c r="C180" s="10" t="s">
        <v>27</v>
      </c>
      <c r="D180" s="12">
        <v>2019</v>
      </c>
      <c r="E180" s="10" t="s">
        <v>704</v>
      </c>
      <c r="F180" s="10" t="s">
        <v>705</v>
      </c>
      <c r="G180" s="10" t="s">
        <v>77</v>
      </c>
      <c r="H180" s="10" t="s">
        <v>78</v>
      </c>
      <c r="I180" s="13">
        <v>127.2875117617</v>
      </c>
      <c r="J180" s="13">
        <v>0</v>
      </c>
      <c r="K180" s="13">
        <v>127.2875117617</v>
      </c>
      <c r="L180" s="13">
        <v>0</v>
      </c>
      <c r="M180" s="13">
        <v>127.2875117617</v>
      </c>
      <c r="N180" s="10" t="s">
        <v>706</v>
      </c>
      <c r="O180" s="14">
        <v>3</v>
      </c>
      <c r="P180" s="10" t="s">
        <v>33</v>
      </c>
      <c r="Q180" s="14" t="s">
        <v>34</v>
      </c>
      <c r="R180" s="10" t="s">
        <v>35</v>
      </c>
      <c r="S180" s="10" t="s">
        <v>704</v>
      </c>
      <c r="T180" s="14">
        <f>IF(O180="","",(1/Metadata!$B$5)^(O180-1))</f>
        <v>100</v>
      </c>
      <c r="U180" s="13">
        <f t="shared" si="2"/>
        <v>12728.751176170001</v>
      </c>
      <c r="V180" s="21" t="s">
        <v>80</v>
      </c>
      <c r="W180" s="20" t="s">
        <v>81</v>
      </c>
      <c r="X180" s="21" t="s">
        <v>80</v>
      </c>
      <c r="Y180" s="20" t="s">
        <v>81</v>
      </c>
    </row>
    <row r="181" spans="1:25" ht="18" customHeight="1">
      <c r="A181" s="10" t="s">
        <v>25</v>
      </c>
      <c r="B181" s="10" t="s">
        <v>26</v>
      </c>
      <c r="C181" s="10" t="s">
        <v>27</v>
      </c>
      <c r="D181" s="12">
        <v>2019</v>
      </c>
      <c r="E181" s="10" t="s">
        <v>707</v>
      </c>
      <c r="F181" s="10" t="s">
        <v>708</v>
      </c>
      <c r="G181" s="10" t="s">
        <v>709</v>
      </c>
      <c r="H181" s="10" t="s">
        <v>409</v>
      </c>
      <c r="I181" s="13">
        <v>121.1045357946</v>
      </c>
      <c r="J181" s="13">
        <v>0</v>
      </c>
      <c r="K181" s="13">
        <v>121.1045357946</v>
      </c>
      <c r="L181" s="13">
        <v>0</v>
      </c>
      <c r="M181" s="13">
        <v>121.1045357946</v>
      </c>
      <c r="N181" s="10" t="s">
        <v>710</v>
      </c>
      <c r="O181" s="14">
        <v>3.72</v>
      </c>
      <c r="P181" s="10" t="s">
        <v>33</v>
      </c>
      <c r="Q181" s="14" t="s">
        <v>34</v>
      </c>
      <c r="R181" s="10" t="s">
        <v>35</v>
      </c>
      <c r="S181" s="10" t="s">
        <v>707</v>
      </c>
      <c r="T181" s="14">
        <f>IF(O181="","",(1/Metadata!$B$5)^(O181-1))</f>
        <v>524.80746024977293</v>
      </c>
      <c r="U181" s="13">
        <f t="shared" si="2"/>
        <v>63556.563855091743</v>
      </c>
      <c r="V181" s="19" t="s">
        <v>36</v>
      </c>
      <c r="W181" s="20" t="s">
        <v>411</v>
      </c>
      <c r="X181" s="19" t="s">
        <v>36</v>
      </c>
      <c r="Y181" s="20" t="s">
        <v>411</v>
      </c>
    </row>
    <row r="182" spans="1:25" ht="18" customHeight="1">
      <c r="A182" s="10" t="s">
        <v>25</v>
      </c>
      <c r="B182" s="10" t="s">
        <v>26</v>
      </c>
      <c r="C182" s="10" t="s">
        <v>27</v>
      </c>
      <c r="D182" s="12">
        <v>2019</v>
      </c>
      <c r="E182" s="10" t="s">
        <v>711</v>
      </c>
      <c r="F182" s="10" t="s">
        <v>712</v>
      </c>
      <c r="G182" s="10" t="s">
        <v>194</v>
      </c>
      <c r="H182" s="10" t="s">
        <v>55</v>
      </c>
      <c r="I182" s="13">
        <v>118.45999514410001</v>
      </c>
      <c r="J182" s="13">
        <v>118.45999514410001</v>
      </c>
      <c r="K182" s="13">
        <v>0</v>
      </c>
      <c r="L182" s="13">
        <v>30.483132964900001</v>
      </c>
      <c r="M182" s="13">
        <v>87.976862179199998</v>
      </c>
      <c r="N182" s="10" t="s">
        <v>713</v>
      </c>
      <c r="O182" s="14">
        <v>3.4</v>
      </c>
      <c r="P182" s="10" t="s">
        <v>33</v>
      </c>
      <c r="Q182" s="14" t="s">
        <v>34</v>
      </c>
      <c r="R182" s="10" t="s">
        <v>35</v>
      </c>
      <c r="S182" s="10" t="s">
        <v>711</v>
      </c>
      <c r="T182" s="14">
        <f>IF(O182="","",(1/Metadata!$B$5)^(O182-1))</f>
        <v>251.18864315095806</v>
      </c>
      <c r="U182" s="13">
        <f t="shared" si="2"/>
        <v>29755.805447915562</v>
      </c>
      <c r="V182" s="22" t="s">
        <v>86</v>
      </c>
      <c r="W182" s="20" t="s">
        <v>657</v>
      </c>
      <c r="X182" s="22" t="s">
        <v>86</v>
      </c>
      <c r="Y182" s="20" t="s">
        <v>657</v>
      </c>
    </row>
    <row r="183" spans="1:25" ht="18" customHeight="1">
      <c r="A183" s="10" t="s">
        <v>25</v>
      </c>
      <c r="B183" s="10" t="s">
        <v>26</v>
      </c>
      <c r="C183" s="10" t="s">
        <v>27</v>
      </c>
      <c r="D183" s="12">
        <v>2019</v>
      </c>
      <c r="E183" s="10" t="s">
        <v>714</v>
      </c>
      <c r="F183" s="10" t="s">
        <v>715</v>
      </c>
      <c r="G183" s="10" t="s">
        <v>96</v>
      </c>
      <c r="H183" s="10" t="s">
        <v>97</v>
      </c>
      <c r="I183" s="13">
        <v>113.5545316489</v>
      </c>
      <c r="J183" s="13">
        <v>108.9904586741</v>
      </c>
      <c r="K183" s="13">
        <v>4.5640729748000002</v>
      </c>
      <c r="L183" s="13">
        <v>19.381623364900001</v>
      </c>
      <c r="M183" s="13">
        <v>94.172908284000002</v>
      </c>
      <c r="N183" s="10" t="s">
        <v>716</v>
      </c>
      <c r="O183" s="14">
        <v>2.7</v>
      </c>
      <c r="P183" s="10" t="s">
        <v>33</v>
      </c>
      <c r="Q183" s="14" t="s">
        <v>34</v>
      </c>
      <c r="R183" s="10" t="s">
        <v>35</v>
      </c>
      <c r="S183" s="10" t="s">
        <v>714</v>
      </c>
      <c r="T183" s="14">
        <f>IF(O183="","",(1/Metadata!$B$5)^(O183-1))</f>
        <v>50.118723362727259</v>
      </c>
      <c r="U183" s="13">
        <f t="shared" si="2"/>
        <v>5691.208158295276</v>
      </c>
      <c r="V183" s="21" t="s">
        <v>96</v>
      </c>
      <c r="W183" s="20" t="s">
        <v>717</v>
      </c>
      <c r="X183" s="21" t="s">
        <v>96</v>
      </c>
      <c r="Y183" s="20" t="s">
        <v>717</v>
      </c>
    </row>
    <row r="184" spans="1:25" ht="18" customHeight="1">
      <c r="A184" s="10" t="s">
        <v>25</v>
      </c>
      <c r="B184" s="10" t="s">
        <v>26</v>
      </c>
      <c r="C184" s="10" t="s">
        <v>27</v>
      </c>
      <c r="D184" s="12">
        <v>2019</v>
      </c>
      <c r="E184" s="10" t="s">
        <v>718</v>
      </c>
      <c r="F184" s="10" t="s">
        <v>719</v>
      </c>
      <c r="G184" s="10" t="s">
        <v>71</v>
      </c>
      <c r="H184" s="10" t="s">
        <v>31</v>
      </c>
      <c r="I184" s="13">
        <v>109.9313039182</v>
      </c>
      <c r="J184" s="13">
        <v>109.9313039182</v>
      </c>
      <c r="K184" s="13">
        <v>0</v>
      </c>
      <c r="L184" s="13">
        <v>0</v>
      </c>
      <c r="M184" s="13">
        <v>109.9313039182</v>
      </c>
      <c r="N184" s="10" t="s">
        <v>720</v>
      </c>
      <c r="O184" s="14">
        <v>4.2699999999999996</v>
      </c>
      <c r="P184" s="10" t="s">
        <v>43</v>
      </c>
      <c r="Q184" s="14" t="s">
        <v>44</v>
      </c>
      <c r="R184" s="10" t="s">
        <v>35</v>
      </c>
      <c r="S184" s="10" t="s">
        <v>718</v>
      </c>
      <c r="T184" s="14">
        <f>IF(O184="","",(1/Metadata!$B$5)^(O184-1))</f>
        <v>1862.0871366628671</v>
      </c>
      <c r="U184" s="13">
        <f t="shared" si="2"/>
        <v>204701.66694265648</v>
      </c>
      <c r="V184" s="22" t="s">
        <v>92</v>
      </c>
      <c r="W184" s="20" t="s">
        <v>575</v>
      </c>
      <c r="X184" s="22" t="s">
        <v>92</v>
      </c>
      <c r="Y184" s="20" t="s">
        <v>575</v>
      </c>
    </row>
    <row r="185" spans="1:25" ht="18" customHeight="1">
      <c r="A185" s="10" t="s">
        <v>25</v>
      </c>
      <c r="B185" s="10" t="s">
        <v>26</v>
      </c>
      <c r="C185" s="10" t="s">
        <v>27</v>
      </c>
      <c r="D185" s="12">
        <v>2019</v>
      </c>
      <c r="E185" s="10" t="s">
        <v>721</v>
      </c>
      <c r="F185" s="10" t="s">
        <v>722</v>
      </c>
      <c r="G185" s="10" t="s">
        <v>142</v>
      </c>
      <c r="H185" s="10" t="s">
        <v>55</v>
      </c>
      <c r="I185" s="13">
        <v>101.7011904491</v>
      </c>
      <c r="J185" s="13">
        <v>101.1219791086</v>
      </c>
      <c r="K185" s="13">
        <v>0.5792113405</v>
      </c>
      <c r="L185" s="13">
        <v>101.111110801</v>
      </c>
      <c r="M185" s="13">
        <v>0.59007964810000002</v>
      </c>
      <c r="N185" s="10" t="s">
        <v>723</v>
      </c>
      <c r="O185" s="14">
        <v>3.96</v>
      </c>
      <c r="P185" s="10" t="s">
        <v>33</v>
      </c>
      <c r="Q185" s="14" t="s">
        <v>34</v>
      </c>
      <c r="R185" s="10" t="s">
        <v>35</v>
      </c>
      <c r="S185" s="10" t="s">
        <v>721</v>
      </c>
      <c r="T185" s="14">
        <f>IF(O185="","",(1/Metadata!$B$5)^(O185-1))</f>
        <v>912.01083935590987</v>
      </c>
      <c r="U185" s="13">
        <f t="shared" si="2"/>
        <v>92752.588064978932</v>
      </c>
      <c r="V185" s="22" t="s">
        <v>92</v>
      </c>
      <c r="W185" s="20" t="s">
        <v>222</v>
      </c>
      <c r="X185" s="22" t="s">
        <v>92</v>
      </c>
      <c r="Y185" s="20" t="s">
        <v>222</v>
      </c>
    </row>
    <row r="186" spans="1:25" ht="18" customHeight="1">
      <c r="A186" s="10" t="s">
        <v>25</v>
      </c>
      <c r="B186" s="10" t="s">
        <v>26</v>
      </c>
      <c r="C186" s="10" t="s">
        <v>27</v>
      </c>
      <c r="D186" s="12">
        <v>2019</v>
      </c>
      <c r="E186" s="10" t="s">
        <v>724</v>
      </c>
      <c r="F186" s="10" t="s">
        <v>725</v>
      </c>
      <c r="G186" s="10" t="s">
        <v>151</v>
      </c>
      <c r="H186" s="10" t="s">
        <v>31</v>
      </c>
      <c r="I186" s="13">
        <v>98.237155757500005</v>
      </c>
      <c r="J186" s="13">
        <v>57.110825562899997</v>
      </c>
      <c r="K186" s="13">
        <v>41.126330194600001</v>
      </c>
      <c r="L186" s="13">
        <v>0</v>
      </c>
      <c r="M186" s="13">
        <v>98.237155757500005</v>
      </c>
      <c r="N186" s="10" t="s">
        <v>726</v>
      </c>
      <c r="O186" s="14">
        <v>4.09</v>
      </c>
      <c r="P186" s="10" t="s">
        <v>33</v>
      </c>
      <c r="Q186" s="14" t="s">
        <v>34</v>
      </c>
      <c r="R186" s="10" t="s">
        <v>35</v>
      </c>
      <c r="S186" s="10" t="s">
        <v>724</v>
      </c>
      <c r="T186" s="14">
        <f>IF(O186="","",(1/Metadata!$B$5)^(O186-1))</f>
        <v>1230.2687708123824</v>
      </c>
      <c r="U186" s="13">
        <f t="shared" si="2"/>
        <v>120858.10486188409</v>
      </c>
      <c r="V186" s="21" t="s">
        <v>151</v>
      </c>
      <c r="W186" s="20" t="s">
        <v>153</v>
      </c>
      <c r="X186" s="21" t="s">
        <v>151</v>
      </c>
      <c r="Y186" s="20" t="s">
        <v>153</v>
      </c>
    </row>
    <row r="187" spans="1:25" ht="18" customHeight="1">
      <c r="A187" s="10" t="s">
        <v>25</v>
      </c>
      <c r="B187" s="10" t="s">
        <v>26</v>
      </c>
      <c r="C187" s="10" t="s">
        <v>27</v>
      </c>
      <c r="D187" s="12">
        <v>2019</v>
      </c>
      <c r="E187" s="10" t="s">
        <v>727</v>
      </c>
      <c r="F187" s="10" t="s">
        <v>728</v>
      </c>
      <c r="G187" s="10" t="s">
        <v>30</v>
      </c>
      <c r="H187" s="10" t="s">
        <v>55</v>
      </c>
      <c r="I187" s="13">
        <v>97.033073608899997</v>
      </c>
      <c r="J187" s="13">
        <v>0</v>
      </c>
      <c r="K187" s="13">
        <v>97.033073608899997</v>
      </c>
      <c r="L187" s="13">
        <v>0</v>
      </c>
      <c r="M187" s="13">
        <v>97.033073608899997</v>
      </c>
      <c r="N187" s="10" t="s">
        <v>729</v>
      </c>
      <c r="O187" s="14">
        <v>3.97</v>
      </c>
      <c r="P187" s="10" t="s">
        <v>33</v>
      </c>
      <c r="Q187" s="14" t="s">
        <v>34</v>
      </c>
      <c r="R187" s="10" t="s">
        <v>35</v>
      </c>
      <c r="S187" s="10" t="s">
        <v>727</v>
      </c>
      <c r="T187" s="14">
        <f>IF(O187="","",(1/Metadata!$B$5)^(O187-1))</f>
        <v>933.25430079699197</v>
      </c>
      <c r="U187" s="13">
        <f t="shared" si="2"/>
        <v>90556.53326505702</v>
      </c>
      <c r="V187" s="22" t="s">
        <v>203</v>
      </c>
      <c r="W187" s="20" t="s">
        <v>204</v>
      </c>
      <c r="X187" s="22" t="s">
        <v>203</v>
      </c>
      <c r="Y187" s="20" t="s">
        <v>204</v>
      </c>
    </row>
    <row r="188" spans="1:25" ht="18" customHeight="1">
      <c r="A188" s="10" t="s">
        <v>25</v>
      </c>
      <c r="B188" s="10" t="s">
        <v>26</v>
      </c>
      <c r="C188" s="10" t="s">
        <v>27</v>
      </c>
      <c r="D188" s="12">
        <v>2019</v>
      </c>
      <c r="E188" s="10" t="s">
        <v>730</v>
      </c>
      <c r="F188" s="10" t="s">
        <v>731</v>
      </c>
      <c r="G188" s="10" t="s">
        <v>77</v>
      </c>
      <c r="H188" s="10" t="s">
        <v>78</v>
      </c>
      <c r="I188" s="13">
        <v>96.399170916800003</v>
      </c>
      <c r="J188" s="13">
        <v>95.818409131899998</v>
      </c>
      <c r="K188" s="13">
        <v>0.58076178489999997</v>
      </c>
      <c r="L188" s="13">
        <v>95.818409131899998</v>
      </c>
      <c r="M188" s="13">
        <v>0.58076178489999997</v>
      </c>
      <c r="N188" s="10" t="s">
        <v>732</v>
      </c>
      <c r="O188" s="14">
        <v>2</v>
      </c>
      <c r="P188" s="10" t="s">
        <v>33</v>
      </c>
      <c r="Q188" s="14" t="s">
        <v>34</v>
      </c>
      <c r="R188" s="10" t="s">
        <v>35</v>
      </c>
      <c r="S188" s="10" t="s">
        <v>730</v>
      </c>
      <c r="T188" s="14">
        <f>IF(O188="","",(1/Metadata!$B$5)^(O188-1))</f>
        <v>10</v>
      </c>
      <c r="U188" s="13">
        <f t="shared" si="2"/>
        <v>963.99170916800006</v>
      </c>
      <c r="V188" s="21" t="s">
        <v>80</v>
      </c>
      <c r="W188" s="20" t="s">
        <v>81</v>
      </c>
      <c r="X188" s="21" t="s">
        <v>80</v>
      </c>
      <c r="Y188" s="20" t="s">
        <v>81</v>
      </c>
    </row>
    <row r="189" spans="1:25" ht="18" customHeight="1">
      <c r="A189" s="10" t="s">
        <v>25</v>
      </c>
      <c r="B189" s="10" t="s">
        <v>26</v>
      </c>
      <c r="C189" s="10" t="s">
        <v>27</v>
      </c>
      <c r="D189" s="12">
        <v>2019</v>
      </c>
      <c r="E189" s="10" t="s">
        <v>733</v>
      </c>
      <c r="F189" s="10" t="s">
        <v>734</v>
      </c>
      <c r="G189" s="10" t="s">
        <v>77</v>
      </c>
      <c r="H189" s="10" t="s">
        <v>78</v>
      </c>
      <c r="I189" s="13">
        <v>95.069709228699992</v>
      </c>
      <c r="J189" s="13">
        <v>95.069709228699992</v>
      </c>
      <c r="K189" s="13">
        <v>0</v>
      </c>
      <c r="L189" s="13">
        <v>95.069709228699992</v>
      </c>
      <c r="M189" s="13">
        <v>0</v>
      </c>
      <c r="N189" s="10" t="s">
        <v>735</v>
      </c>
      <c r="O189" s="14">
        <v>2</v>
      </c>
      <c r="P189" s="10" t="s">
        <v>43</v>
      </c>
      <c r="Q189" s="14" t="s">
        <v>44</v>
      </c>
      <c r="R189" s="10" t="s">
        <v>35</v>
      </c>
      <c r="S189" s="10" t="s">
        <v>733</v>
      </c>
      <c r="T189" s="14">
        <f>IF(O189="","",(1/Metadata!$B$5)^(O189-1))</f>
        <v>10</v>
      </c>
      <c r="U189" s="13">
        <f t="shared" si="2"/>
        <v>950.69709228699992</v>
      </c>
      <c r="V189" s="21" t="s">
        <v>80</v>
      </c>
      <c r="W189" s="20" t="s">
        <v>81</v>
      </c>
      <c r="X189" s="21" t="s">
        <v>80</v>
      </c>
      <c r="Y189" s="20" t="s">
        <v>81</v>
      </c>
    </row>
    <row r="190" spans="1:25" ht="18" customHeight="1">
      <c r="A190" s="10" t="s">
        <v>25</v>
      </c>
      <c r="B190" s="10" t="s">
        <v>26</v>
      </c>
      <c r="C190" s="10" t="s">
        <v>27</v>
      </c>
      <c r="D190" s="12">
        <v>2019</v>
      </c>
      <c r="E190" s="10" t="s">
        <v>736</v>
      </c>
      <c r="F190" s="10" t="s">
        <v>737</v>
      </c>
      <c r="G190" s="10" t="s">
        <v>30</v>
      </c>
      <c r="H190" s="10" t="s">
        <v>418</v>
      </c>
      <c r="I190" s="13">
        <v>93.706882156099994</v>
      </c>
      <c r="J190" s="13">
        <v>93.706882156099994</v>
      </c>
      <c r="K190" s="13">
        <v>0</v>
      </c>
      <c r="L190" s="13">
        <v>0</v>
      </c>
      <c r="M190" s="13">
        <v>93.706882156099994</v>
      </c>
      <c r="N190" s="10" t="s">
        <v>738</v>
      </c>
      <c r="O190" s="14">
        <v>3.78</v>
      </c>
      <c r="P190" s="10" t="s">
        <v>33</v>
      </c>
      <c r="Q190" s="14" t="s">
        <v>34</v>
      </c>
      <c r="R190" s="10" t="s">
        <v>35</v>
      </c>
      <c r="S190" s="10" t="s">
        <v>736</v>
      </c>
      <c r="T190" s="14">
        <f>IF(O190="","",(1/Metadata!$B$5)^(O190-1))</f>
        <v>602.55958607435775</v>
      </c>
      <c r="U190" s="13">
        <f t="shared" si="2"/>
        <v>56463.980124298236</v>
      </c>
      <c r="V190" s="19" t="s">
        <v>36</v>
      </c>
      <c r="W190" s="20" t="s">
        <v>301</v>
      </c>
      <c r="X190" s="19" t="s">
        <v>36</v>
      </c>
      <c r="Y190" s="20" t="s">
        <v>301</v>
      </c>
    </row>
    <row r="191" spans="1:25" ht="18" customHeight="1">
      <c r="A191" s="10" t="s">
        <v>25</v>
      </c>
      <c r="B191" s="10" t="s">
        <v>26</v>
      </c>
      <c r="C191" s="10" t="s">
        <v>27</v>
      </c>
      <c r="D191" s="12">
        <v>2019</v>
      </c>
      <c r="E191" s="10" t="s">
        <v>739</v>
      </c>
      <c r="F191" s="10" t="s">
        <v>740</v>
      </c>
      <c r="G191" s="10" t="s">
        <v>77</v>
      </c>
      <c r="H191" s="10" t="s">
        <v>78</v>
      </c>
      <c r="I191" s="13">
        <v>89.416524800800005</v>
      </c>
      <c r="J191" s="13">
        <v>89.416524800800005</v>
      </c>
      <c r="K191" s="13">
        <v>0</v>
      </c>
      <c r="L191" s="13">
        <v>0</v>
      </c>
      <c r="M191" s="13">
        <v>89.416524800800005</v>
      </c>
      <c r="N191" s="10" t="s">
        <v>741</v>
      </c>
      <c r="O191" s="14">
        <v>2</v>
      </c>
      <c r="P191" s="10" t="s">
        <v>33</v>
      </c>
      <c r="Q191" s="14" t="s">
        <v>34</v>
      </c>
      <c r="R191" s="10" t="s">
        <v>35</v>
      </c>
      <c r="S191" s="10" t="s">
        <v>739</v>
      </c>
      <c r="T191" s="14">
        <f>IF(O191="","",(1/Metadata!$B$5)^(O191-1))</f>
        <v>10</v>
      </c>
      <c r="U191" s="13">
        <f t="shared" si="2"/>
        <v>894.16524800800005</v>
      </c>
      <c r="V191" s="21" t="s">
        <v>80</v>
      </c>
      <c r="W191" s="20" t="s">
        <v>81</v>
      </c>
      <c r="X191" s="21" t="s">
        <v>80</v>
      </c>
      <c r="Y191" s="20" t="s">
        <v>81</v>
      </c>
    </row>
    <row r="192" spans="1:25" ht="18" customHeight="1">
      <c r="A192" s="10" t="s">
        <v>25</v>
      </c>
      <c r="B192" s="10" t="s">
        <v>26</v>
      </c>
      <c r="C192" s="10" t="s">
        <v>27</v>
      </c>
      <c r="D192" s="12">
        <v>2019</v>
      </c>
      <c r="E192" s="10" t="s">
        <v>742</v>
      </c>
      <c r="F192" s="10" t="s">
        <v>743</v>
      </c>
      <c r="G192" s="10" t="s">
        <v>194</v>
      </c>
      <c r="H192" s="10" t="s">
        <v>55</v>
      </c>
      <c r="I192" s="13">
        <v>79.5999662153</v>
      </c>
      <c r="J192" s="13">
        <v>79.524347068600008</v>
      </c>
      <c r="K192" s="13">
        <v>7.5619146700000001E-2</v>
      </c>
      <c r="L192" s="13">
        <v>77.059384963100001</v>
      </c>
      <c r="M192" s="13">
        <v>2.5405812522</v>
      </c>
      <c r="N192" s="10" t="s">
        <v>744</v>
      </c>
      <c r="O192" s="14">
        <v>4.4000000000000004</v>
      </c>
      <c r="P192" s="10" t="s">
        <v>33</v>
      </c>
      <c r="Q192" s="14" t="s">
        <v>34</v>
      </c>
      <c r="R192" s="10" t="s">
        <v>35</v>
      </c>
      <c r="S192" s="10" t="s">
        <v>742</v>
      </c>
      <c r="T192" s="14">
        <f>IF(O192="","",(1/Metadata!$B$5)^(O192-1))</f>
        <v>2511.8864315095834</v>
      </c>
      <c r="U192" s="13">
        <f t="shared" si="2"/>
        <v>199946.07508483331</v>
      </c>
      <c r="V192" s="22" t="s">
        <v>92</v>
      </c>
      <c r="W192" s="20" t="s">
        <v>745</v>
      </c>
      <c r="X192" s="22" t="s">
        <v>92</v>
      </c>
      <c r="Y192" s="20" t="s">
        <v>745</v>
      </c>
    </row>
    <row r="193" spans="1:25" ht="18" customHeight="1">
      <c r="A193" s="10" t="s">
        <v>25</v>
      </c>
      <c r="B193" s="10" t="s">
        <v>26</v>
      </c>
      <c r="C193" s="10" t="s">
        <v>27</v>
      </c>
      <c r="D193" s="12">
        <v>2019</v>
      </c>
      <c r="E193" s="10" t="s">
        <v>746</v>
      </c>
      <c r="F193" s="10" t="s">
        <v>747</v>
      </c>
      <c r="G193" s="10" t="s">
        <v>279</v>
      </c>
      <c r="H193" s="10" t="s">
        <v>280</v>
      </c>
      <c r="I193" s="13">
        <v>70.011859856699999</v>
      </c>
      <c r="J193" s="13">
        <v>70.011859856699999</v>
      </c>
      <c r="K193" s="13">
        <v>0</v>
      </c>
      <c r="L193" s="13">
        <v>70.011859856699999</v>
      </c>
      <c r="M193" s="13">
        <v>0</v>
      </c>
      <c r="N193" s="10" t="s">
        <v>748</v>
      </c>
      <c r="O193" s="14">
        <v>3.15</v>
      </c>
      <c r="P193" s="10" t="s">
        <v>33</v>
      </c>
      <c r="Q193" s="14" t="s">
        <v>34</v>
      </c>
      <c r="R193" s="10" t="s">
        <v>35</v>
      </c>
      <c r="S193" s="10" t="s">
        <v>746</v>
      </c>
      <c r="T193" s="14">
        <f>IF(O193="","",(1/Metadata!$B$5)^(O193-1))</f>
        <v>141.25375446227542</v>
      </c>
      <c r="U193" s="13">
        <f t="shared" si="2"/>
        <v>9889.4380616455383</v>
      </c>
      <c r="V193" s="22" t="s">
        <v>130</v>
      </c>
      <c r="W193" s="20" t="s">
        <v>749</v>
      </c>
      <c r="X193" s="22" t="s">
        <v>130</v>
      </c>
      <c r="Y193" s="20" t="s">
        <v>749</v>
      </c>
    </row>
    <row r="194" spans="1:25" ht="18" customHeight="1">
      <c r="A194" s="10" t="s">
        <v>25</v>
      </c>
      <c r="B194" s="10" t="s">
        <v>26</v>
      </c>
      <c r="C194" s="10" t="s">
        <v>27</v>
      </c>
      <c r="D194" s="12">
        <v>2019</v>
      </c>
      <c r="E194" s="10" t="s">
        <v>750</v>
      </c>
      <c r="F194" s="10" t="s">
        <v>751</v>
      </c>
      <c r="G194" s="10" t="s">
        <v>358</v>
      </c>
      <c r="H194" s="10" t="s">
        <v>31</v>
      </c>
      <c r="I194" s="13">
        <v>68.074141968800006</v>
      </c>
      <c r="J194" s="13">
        <v>0</v>
      </c>
      <c r="K194" s="13">
        <v>68.074141968800006</v>
      </c>
      <c r="L194" s="13">
        <v>0</v>
      </c>
      <c r="M194" s="13">
        <v>68.074141968800006</v>
      </c>
      <c r="N194" s="10" t="s">
        <v>752</v>
      </c>
      <c r="O194" s="14">
        <v>4.07</v>
      </c>
      <c r="P194" s="10" t="s">
        <v>33</v>
      </c>
      <c r="Q194" s="14" t="s">
        <v>34</v>
      </c>
      <c r="R194" s="10" t="s">
        <v>35</v>
      </c>
      <c r="S194" s="10" t="s">
        <v>750</v>
      </c>
      <c r="T194" s="14">
        <f>IF(O194="","",(1/Metadata!$B$5)^(O194-1))</f>
        <v>1174.8975549395316</v>
      </c>
      <c r="U194" s="13">
        <f t="shared" ref="U194:U255" si="3">IF(T194="","",I194*T194)</f>
        <v>79980.142953749673</v>
      </c>
      <c r="V194" s="22" t="s">
        <v>92</v>
      </c>
      <c r="W194" s="20" t="s">
        <v>753</v>
      </c>
      <c r="X194" s="22" t="s">
        <v>92</v>
      </c>
      <c r="Y194" s="20" t="s">
        <v>753</v>
      </c>
    </row>
    <row r="195" spans="1:25" ht="18" customHeight="1">
      <c r="A195" s="10" t="s">
        <v>25</v>
      </c>
      <c r="B195" s="10" t="s">
        <v>26</v>
      </c>
      <c r="C195" s="10" t="s">
        <v>27</v>
      </c>
      <c r="D195" s="12">
        <v>2019</v>
      </c>
      <c r="E195" s="10" t="s">
        <v>754</v>
      </c>
      <c r="F195" s="10" t="s">
        <v>755</v>
      </c>
      <c r="G195" s="10" t="s">
        <v>96</v>
      </c>
      <c r="H195" s="10" t="s">
        <v>97</v>
      </c>
      <c r="I195" s="13">
        <v>62.799518520299998</v>
      </c>
      <c r="J195" s="13">
        <v>42.519142559700001</v>
      </c>
      <c r="K195" s="13">
        <v>20.280375960600001</v>
      </c>
      <c r="L195" s="13">
        <v>29.168093856300001</v>
      </c>
      <c r="M195" s="13">
        <v>33.631424664000001</v>
      </c>
      <c r="N195" s="10" t="s">
        <v>756</v>
      </c>
      <c r="O195" s="14">
        <v>2.7</v>
      </c>
      <c r="P195" s="10" t="s">
        <v>33</v>
      </c>
      <c r="Q195" s="14" t="s">
        <v>34</v>
      </c>
      <c r="R195" s="10" t="s">
        <v>35</v>
      </c>
      <c r="S195" s="10" t="s">
        <v>754</v>
      </c>
      <c r="T195" s="14">
        <f>IF(O195="","",(1/Metadata!$B$5)^(O195-1))</f>
        <v>50.118723362727259</v>
      </c>
      <c r="U195" s="13">
        <f t="shared" si="3"/>
        <v>3147.4316960313827</v>
      </c>
      <c r="V195" s="21" t="s">
        <v>96</v>
      </c>
      <c r="W195" s="20" t="s">
        <v>107</v>
      </c>
      <c r="X195" s="21" t="s">
        <v>96</v>
      </c>
      <c r="Y195" s="20" t="s">
        <v>107</v>
      </c>
    </row>
    <row r="196" spans="1:25" ht="18" customHeight="1">
      <c r="A196" s="10" t="s">
        <v>25</v>
      </c>
      <c r="B196" s="10" t="s">
        <v>26</v>
      </c>
      <c r="C196" s="10" t="s">
        <v>27</v>
      </c>
      <c r="D196" s="12">
        <v>2019</v>
      </c>
      <c r="E196" s="10" t="s">
        <v>757</v>
      </c>
      <c r="F196" s="10" t="s">
        <v>758</v>
      </c>
      <c r="G196" s="10" t="s">
        <v>71</v>
      </c>
      <c r="H196" s="10" t="s">
        <v>31</v>
      </c>
      <c r="I196" s="13">
        <v>56.462588157600003</v>
      </c>
      <c r="J196" s="13">
        <v>56.376818511300002</v>
      </c>
      <c r="K196" s="13">
        <v>8.5769646300000002E-2</v>
      </c>
      <c r="L196" s="13">
        <v>56.376818511300002</v>
      </c>
      <c r="M196" s="13">
        <v>8.5769646300000002E-2</v>
      </c>
      <c r="N196" s="10" t="s">
        <v>759</v>
      </c>
      <c r="O196" s="14">
        <v>3.99</v>
      </c>
      <c r="P196" s="10" t="s">
        <v>33</v>
      </c>
      <c r="Q196" s="14" t="s">
        <v>34</v>
      </c>
      <c r="R196" s="10" t="s">
        <v>35</v>
      </c>
      <c r="S196" s="10" t="s">
        <v>757</v>
      </c>
      <c r="T196" s="14">
        <f>IF(O196="","",(1/Metadata!$B$5)^(O196-1))</f>
        <v>977.23722095581138</v>
      </c>
      <c r="U196" s="13">
        <f t="shared" si="3"/>
        <v>55177.34273910553</v>
      </c>
      <c r="V196" s="22" t="s">
        <v>92</v>
      </c>
      <c r="W196" s="20" t="s">
        <v>575</v>
      </c>
      <c r="X196" s="22" t="s">
        <v>92</v>
      </c>
      <c r="Y196" s="20" t="s">
        <v>575</v>
      </c>
    </row>
    <row r="197" spans="1:25" ht="18" customHeight="1">
      <c r="A197" s="10" t="s">
        <v>25</v>
      </c>
      <c r="B197" s="10" t="s">
        <v>26</v>
      </c>
      <c r="C197" s="10" t="s">
        <v>27</v>
      </c>
      <c r="D197" s="12">
        <v>2019</v>
      </c>
      <c r="E197" s="10" t="s">
        <v>760</v>
      </c>
      <c r="F197" s="10" t="s">
        <v>761</v>
      </c>
      <c r="G197" s="10" t="s">
        <v>762</v>
      </c>
      <c r="H197" s="10" t="s">
        <v>31</v>
      </c>
      <c r="I197" s="13">
        <v>51.015088738599999</v>
      </c>
      <c r="J197" s="13">
        <v>51.015088738599999</v>
      </c>
      <c r="K197" s="13">
        <v>0</v>
      </c>
      <c r="L197" s="13">
        <v>51.015088738599999</v>
      </c>
      <c r="M197" s="13">
        <v>0</v>
      </c>
      <c r="N197" s="10" t="s">
        <v>763</v>
      </c>
      <c r="O197" s="14">
        <v>3.98</v>
      </c>
      <c r="P197" s="10" t="s">
        <v>43</v>
      </c>
      <c r="Q197" s="14" t="s">
        <v>44</v>
      </c>
      <c r="R197" s="10" t="s">
        <v>35</v>
      </c>
      <c r="S197" s="10" t="s">
        <v>760</v>
      </c>
      <c r="T197" s="14">
        <f>IF(O197="","",(1/Metadata!$B$5)^(O197-1))</f>
        <v>954.99258602143675</v>
      </c>
      <c r="U197" s="13">
        <f t="shared" si="3"/>
        <v>48719.031520588687</v>
      </c>
      <c r="V197" s="22" t="s">
        <v>92</v>
      </c>
      <c r="W197" s="20" t="s">
        <v>764</v>
      </c>
      <c r="X197" s="22" t="s">
        <v>92</v>
      </c>
      <c r="Y197" s="20" t="s">
        <v>764</v>
      </c>
    </row>
    <row r="198" spans="1:25" ht="18" customHeight="1">
      <c r="A198" s="10" t="s">
        <v>25</v>
      </c>
      <c r="B198" s="10" t="s">
        <v>26</v>
      </c>
      <c r="C198" s="10" t="s">
        <v>27</v>
      </c>
      <c r="D198" s="12">
        <v>2019</v>
      </c>
      <c r="E198" s="10" t="s">
        <v>765</v>
      </c>
      <c r="F198" s="10" t="s">
        <v>766</v>
      </c>
      <c r="G198" s="10" t="s">
        <v>408</v>
      </c>
      <c r="H198" s="10" t="s">
        <v>409</v>
      </c>
      <c r="I198" s="13">
        <v>50.872915817899987</v>
      </c>
      <c r="J198" s="13">
        <v>45.9960465188</v>
      </c>
      <c r="K198" s="13">
        <v>4.8768692991</v>
      </c>
      <c r="L198" s="13">
        <v>11.7908576949</v>
      </c>
      <c r="M198" s="13">
        <v>39.082058123000003</v>
      </c>
      <c r="N198" s="10" t="s">
        <v>767</v>
      </c>
      <c r="O198" s="14">
        <v>4.5</v>
      </c>
      <c r="P198" s="10" t="s">
        <v>33</v>
      </c>
      <c r="Q198" s="14" t="s">
        <v>34</v>
      </c>
      <c r="R198" s="10" t="s">
        <v>35</v>
      </c>
      <c r="S198" s="10" t="s">
        <v>765</v>
      </c>
      <c r="T198" s="14">
        <f>IF(O198="","",(1/Metadata!$B$5)^(O198-1))</f>
        <v>3162.2776601683804</v>
      </c>
      <c r="U198" s="13">
        <f t="shared" si="3"/>
        <v>160874.28519857177</v>
      </c>
      <c r="V198" s="21" t="s">
        <v>768</v>
      </c>
      <c r="W198" s="20" t="s">
        <v>769</v>
      </c>
      <c r="X198" s="21" t="s">
        <v>768</v>
      </c>
      <c r="Y198" s="20" t="s">
        <v>769</v>
      </c>
    </row>
    <row r="199" spans="1:25" ht="18" customHeight="1">
      <c r="A199" s="10" t="s">
        <v>25</v>
      </c>
      <c r="B199" s="10" t="s">
        <v>26</v>
      </c>
      <c r="C199" s="10" t="s">
        <v>27</v>
      </c>
      <c r="D199" s="12">
        <v>2019</v>
      </c>
      <c r="E199" s="10" t="s">
        <v>770</v>
      </c>
      <c r="F199" s="10" t="s">
        <v>771</v>
      </c>
      <c r="G199" s="10" t="s">
        <v>77</v>
      </c>
      <c r="H199" s="10" t="s">
        <v>78</v>
      </c>
      <c r="I199" s="13">
        <v>50.843943494599998</v>
      </c>
      <c r="J199" s="13">
        <v>50.843943494599998</v>
      </c>
      <c r="K199" s="13">
        <v>0</v>
      </c>
      <c r="L199" s="13">
        <v>0</v>
      </c>
      <c r="M199" s="13">
        <v>50.843943494599998</v>
      </c>
      <c r="N199" s="10" t="s">
        <v>772</v>
      </c>
      <c r="O199" s="14">
        <v>2</v>
      </c>
      <c r="P199" s="10" t="s">
        <v>33</v>
      </c>
      <c r="Q199" s="14" t="s">
        <v>34</v>
      </c>
      <c r="R199" s="10" t="s">
        <v>35</v>
      </c>
      <c r="S199" s="10" t="s">
        <v>770</v>
      </c>
      <c r="T199" s="14">
        <f>IF(O199="","",(1/Metadata!$B$5)^(O199-1))</f>
        <v>10</v>
      </c>
      <c r="U199" s="13">
        <f t="shared" si="3"/>
        <v>508.43943494600001</v>
      </c>
      <c r="V199" s="21" t="s">
        <v>80</v>
      </c>
      <c r="W199" s="20" t="s">
        <v>81</v>
      </c>
      <c r="X199" s="21" t="s">
        <v>80</v>
      </c>
      <c r="Y199" s="20" t="s">
        <v>81</v>
      </c>
    </row>
    <row r="200" spans="1:25" ht="18" customHeight="1">
      <c r="A200" s="10" t="s">
        <v>25</v>
      </c>
      <c r="B200" s="10" t="s">
        <v>26</v>
      </c>
      <c r="C200" s="10" t="s">
        <v>27</v>
      </c>
      <c r="D200" s="12">
        <v>2019</v>
      </c>
      <c r="E200" s="10" t="s">
        <v>773</v>
      </c>
      <c r="F200" s="10" t="s">
        <v>774</v>
      </c>
      <c r="G200" s="10" t="s">
        <v>77</v>
      </c>
      <c r="H200" s="10" t="s">
        <v>78</v>
      </c>
      <c r="I200" s="13">
        <v>50.685082531399999</v>
      </c>
      <c r="J200" s="13">
        <v>50.685082531399999</v>
      </c>
      <c r="K200" s="13">
        <v>0</v>
      </c>
      <c r="L200" s="13">
        <v>50.685082531399999</v>
      </c>
      <c r="M200" s="13">
        <v>0</v>
      </c>
      <c r="N200" s="10" t="s">
        <v>775</v>
      </c>
      <c r="O200" s="14">
        <v>2</v>
      </c>
      <c r="P200" s="10" t="s">
        <v>33</v>
      </c>
      <c r="Q200" s="14" t="s">
        <v>34</v>
      </c>
      <c r="R200" s="10" t="s">
        <v>35</v>
      </c>
      <c r="S200" s="10" t="s">
        <v>773</v>
      </c>
      <c r="T200" s="14">
        <f>IF(O200="","",(1/Metadata!$B$5)^(O200-1))</f>
        <v>10</v>
      </c>
      <c r="U200" s="13">
        <f t="shared" si="3"/>
        <v>506.85082531399996</v>
      </c>
      <c r="V200" s="21" t="s">
        <v>80</v>
      </c>
      <c r="W200" s="20" t="s">
        <v>81</v>
      </c>
      <c r="X200" s="21" t="s">
        <v>80</v>
      </c>
      <c r="Y200" s="20" t="s">
        <v>81</v>
      </c>
    </row>
    <row r="201" spans="1:25" ht="18" customHeight="1">
      <c r="A201" s="10" t="s">
        <v>25</v>
      </c>
      <c r="B201" s="10" t="s">
        <v>26</v>
      </c>
      <c r="C201" s="10" t="s">
        <v>27</v>
      </c>
      <c r="D201" s="12">
        <v>2019</v>
      </c>
      <c r="E201" s="10" t="s">
        <v>776</v>
      </c>
      <c r="F201" s="10" t="s">
        <v>777</v>
      </c>
      <c r="G201" s="10" t="s">
        <v>40</v>
      </c>
      <c r="H201" s="10" t="s">
        <v>50</v>
      </c>
      <c r="I201" s="13">
        <v>50.480899305800001</v>
      </c>
      <c r="J201" s="13">
        <v>50.273600343399998</v>
      </c>
      <c r="K201" s="13">
        <v>0.20729896240000001</v>
      </c>
      <c r="L201" s="13">
        <v>50.174951674299997</v>
      </c>
      <c r="M201" s="13">
        <v>0.30594763149999998</v>
      </c>
      <c r="N201" s="10" t="s">
        <v>778</v>
      </c>
      <c r="O201" s="14">
        <v>3.01</v>
      </c>
      <c r="P201" s="10" t="s">
        <v>33</v>
      </c>
      <c r="Q201" s="14" t="s">
        <v>34</v>
      </c>
      <c r="R201" s="10" t="s">
        <v>35</v>
      </c>
      <c r="S201" s="10" t="s">
        <v>776</v>
      </c>
      <c r="T201" s="14">
        <f>IF(O201="","",(1/Metadata!$B$5)^(O201-1))</f>
        <v>102.32929922807544</v>
      </c>
      <c r="U201" s="13">
        <f t="shared" si="3"/>
        <v>5165.6750503655539</v>
      </c>
      <c r="V201" s="22" t="s">
        <v>45</v>
      </c>
      <c r="W201" s="20" t="s">
        <v>52</v>
      </c>
      <c r="X201" s="22" t="s">
        <v>45</v>
      </c>
      <c r="Y201" s="20" t="s">
        <v>52</v>
      </c>
    </row>
    <row r="202" spans="1:25" ht="18" customHeight="1">
      <c r="A202" s="10" t="s">
        <v>25</v>
      </c>
      <c r="B202" s="10" t="s">
        <v>26</v>
      </c>
      <c r="C202" s="10" t="s">
        <v>27</v>
      </c>
      <c r="D202" s="12">
        <v>2019</v>
      </c>
      <c r="E202" s="10" t="s">
        <v>779</v>
      </c>
      <c r="F202" s="10" t="s">
        <v>780</v>
      </c>
      <c r="G202" s="10" t="s">
        <v>30</v>
      </c>
      <c r="H202" s="10" t="s">
        <v>31</v>
      </c>
      <c r="I202" s="13">
        <v>47.757072407899997</v>
      </c>
      <c r="J202" s="13">
        <v>0</v>
      </c>
      <c r="K202" s="13">
        <v>47.757072407899997</v>
      </c>
      <c r="L202" s="13">
        <v>0</v>
      </c>
      <c r="M202" s="13">
        <v>47.757072407899997</v>
      </c>
      <c r="N202" s="10" t="s">
        <v>781</v>
      </c>
      <c r="O202" s="14">
        <v>4.3499999999999996</v>
      </c>
      <c r="P202" s="10" t="s">
        <v>33</v>
      </c>
      <c r="Q202" s="14" t="s">
        <v>34</v>
      </c>
      <c r="R202" s="10" t="s">
        <v>35</v>
      </c>
      <c r="S202" s="10" t="s">
        <v>779</v>
      </c>
      <c r="T202" s="14">
        <f>IF(O202="","",(1/Metadata!$B$5)^(O202-1))</f>
        <v>2238.7211385683395</v>
      </c>
      <c r="U202" s="13">
        <f t="shared" si="3"/>
        <v>106914.76751570452</v>
      </c>
      <c r="V202" s="21" t="s">
        <v>92</v>
      </c>
      <c r="W202" s="20" t="s">
        <v>562</v>
      </c>
      <c r="X202" s="21" t="s">
        <v>92</v>
      </c>
      <c r="Y202" s="20" t="s">
        <v>562</v>
      </c>
    </row>
    <row r="203" spans="1:25" ht="18" customHeight="1">
      <c r="A203" s="10" t="s">
        <v>25</v>
      </c>
      <c r="B203" s="10" t="s">
        <v>26</v>
      </c>
      <c r="C203" s="10" t="s">
        <v>27</v>
      </c>
      <c r="D203" s="12">
        <v>2019</v>
      </c>
      <c r="E203" s="10" t="s">
        <v>782</v>
      </c>
      <c r="F203" s="10" t="s">
        <v>783</v>
      </c>
      <c r="G203" s="10" t="s">
        <v>90</v>
      </c>
      <c r="H203" s="10" t="s">
        <v>55</v>
      </c>
      <c r="I203" s="13">
        <v>43.755400061000003</v>
      </c>
      <c r="J203" s="13">
        <v>43.533743615100001</v>
      </c>
      <c r="K203" s="13">
        <v>0.2216564459</v>
      </c>
      <c r="L203" s="13">
        <v>43.478015684200003</v>
      </c>
      <c r="M203" s="13">
        <v>0.2773843768</v>
      </c>
      <c r="N203" s="10" t="s">
        <v>784</v>
      </c>
      <c r="O203" s="14">
        <v>4.3499999999999996</v>
      </c>
      <c r="P203" s="10" t="s">
        <v>43</v>
      </c>
      <c r="Q203" s="14" t="s">
        <v>44</v>
      </c>
      <c r="R203" s="10" t="s">
        <v>35</v>
      </c>
      <c r="S203" s="10" t="s">
        <v>782</v>
      </c>
      <c r="T203" s="14">
        <f>IF(O203="","",(1/Metadata!$B$5)^(O203-1))</f>
        <v>2238.7211385683395</v>
      </c>
      <c r="U203" s="13">
        <f t="shared" si="3"/>
        <v>97956.13904307512</v>
      </c>
      <c r="V203" s="22" t="s">
        <v>92</v>
      </c>
      <c r="W203" s="20" t="s">
        <v>785</v>
      </c>
      <c r="X203" s="22" t="s">
        <v>92</v>
      </c>
      <c r="Y203" s="20" t="s">
        <v>785</v>
      </c>
    </row>
    <row r="204" spans="1:25" ht="18" customHeight="1">
      <c r="A204" s="10" t="s">
        <v>25</v>
      </c>
      <c r="B204" s="10" t="s">
        <v>26</v>
      </c>
      <c r="C204" s="10" t="s">
        <v>27</v>
      </c>
      <c r="D204" s="12">
        <v>2019</v>
      </c>
      <c r="E204" s="10" t="s">
        <v>786</v>
      </c>
      <c r="F204" s="10" t="s">
        <v>787</v>
      </c>
      <c r="G204" s="10" t="s">
        <v>77</v>
      </c>
      <c r="H204" s="10" t="s">
        <v>78</v>
      </c>
      <c r="I204" s="13">
        <v>40.1950497176</v>
      </c>
      <c r="J204" s="13">
        <v>40.025531313999998</v>
      </c>
      <c r="K204" s="13">
        <v>0.16951840360000001</v>
      </c>
      <c r="L204" s="13">
        <v>39.964064467599997</v>
      </c>
      <c r="M204" s="13">
        <v>0.23098525</v>
      </c>
      <c r="N204" s="10" t="s">
        <v>788</v>
      </c>
      <c r="O204" s="14">
        <v>2.1</v>
      </c>
      <c r="P204" s="10" t="s">
        <v>33</v>
      </c>
      <c r="Q204" s="14" t="s">
        <v>34</v>
      </c>
      <c r="R204" s="10" t="s">
        <v>35</v>
      </c>
      <c r="S204" s="10" t="s">
        <v>786</v>
      </c>
      <c r="T204" s="14">
        <f>IF(O204="","",(1/Metadata!$B$5)^(O204-1))</f>
        <v>12.58925411794168</v>
      </c>
      <c r="U204" s="13">
        <f t="shared" si="3"/>
        <v>506.02569517816636</v>
      </c>
      <c r="V204" s="21" t="s">
        <v>80</v>
      </c>
      <c r="W204" s="20" t="s">
        <v>81</v>
      </c>
      <c r="X204" s="21" t="s">
        <v>80</v>
      </c>
      <c r="Y204" s="20" t="s">
        <v>81</v>
      </c>
    </row>
    <row r="205" spans="1:25" ht="18" customHeight="1">
      <c r="A205" s="10" t="s">
        <v>25</v>
      </c>
      <c r="B205" s="10" t="s">
        <v>26</v>
      </c>
      <c r="C205" s="10" t="s">
        <v>27</v>
      </c>
      <c r="D205" s="12">
        <v>2019</v>
      </c>
      <c r="E205" s="10" t="s">
        <v>789</v>
      </c>
      <c r="F205" s="10" t="s">
        <v>790</v>
      </c>
      <c r="G205" s="10" t="s">
        <v>71</v>
      </c>
      <c r="H205" s="10" t="s">
        <v>55</v>
      </c>
      <c r="I205" s="13">
        <v>35.8918203781</v>
      </c>
      <c r="J205" s="13">
        <v>0</v>
      </c>
      <c r="K205" s="13">
        <v>35.8918203781</v>
      </c>
      <c r="L205" s="13">
        <v>0</v>
      </c>
      <c r="M205" s="13">
        <v>35.8918203781</v>
      </c>
      <c r="N205" s="10" t="s">
        <v>791</v>
      </c>
      <c r="O205" s="14">
        <v>3.5</v>
      </c>
      <c r="P205" s="10" t="s">
        <v>43</v>
      </c>
      <c r="Q205" s="14" t="s">
        <v>44</v>
      </c>
      <c r="R205" s="10" t="s">
        <v>35</v>
      </c>
      <c r="S205" s="10" t="s">
        <v>789</v>
      </c>
      <c r="T205" s="14">
        <f>IF(O205="","",(1/Metadata!$B$5)^(O205-1))</f>
        <v>316.22776601683825</v>
      </c>
      <c r="U205" s="13">
        <f t="shared" si="3"/>
        <v>11349.990176444193</v>
      </c>
      <c r="V205" s="21" t="s">
        <v>203</v>
      </c>
      <c r="W205" s="20" t="s">
        <v>792</v>
      </c>
      <c r="X205" s="21" t="s">
        <v>203</v>
      </c>
      <c r="Y205" s="20" t="s">
        <v>792</v>
      </c>
    </row>
    <row r="206" spans="1:25" ht="18" customHeight="1">
      <c r="A206" s="10" t="s">
        <v>25</v>
      </c>
      <c r="B206" s="10" t="s">
        <v>26</v>
      </c>
      <c r="C206" s="10" t="s">
        <v>27</v>
      </c>
      <c r="D206" s="12">
        <v>2019</v>
      </c>
      <c r="E206" s="10" t="s">
        <v>793</v>
      </c>
      <c r="F206" s="10" t="s">
        <v>794</v>
      </c>
      <c r="G206" s="10" t="s">
        <v>71</v>
      </c>
      <c r="H206" s="10" t="s">
        <v>55</v>
      </c>
      <c r="I206" s="13">
        <v>34.941409196400002</v>
      </c>
      <c r="J206" s="13">
        <v>34.941409196400002</v>
      </c>
      <c r="K206" s="13">
        <v>0</v>
      </c>
      <c r="L206" s="13">
        <v>0</v>
      </c>
      <c r="M206" s="13">
        <v>34.941409196400002</v>
      </c>
      <c r="N206" s="10" t="s">
        <v>795</v>
      </c>
      <c r="O206" s="14">
        <v>3.5</v>
      </c>
      <c r="P206" s="10" t="s">
        <v>43</v>
      </c>
      <c r="Q206" s="14" t="s">
        <v>44</v>
      </c>
      <c r="R206" s="10" t="s">
        <v>35</v>
      </c>
      <c r="S206" s="10" t="s">
        <v>793</v>
      </c>
      <c r="T206" s="14">
        <f>IF(O206="","",(1/Metadata!$B$5)^(O206-1))</f>
        <v>316.22776601683825</v>
      </c>
      <c r="U206" s="13">
        <f t="shared" si="3"/>
        <v>11049.44377165778</v>
      </c>
      <c r="V206" s="21" t="s">
        <v>203</v>
      </c>
      <c r="W206" s="20" t="s">
        <v>241</v>
      </c>
      <c r="X206" s="21" t="s">
        <v>203</v>
      </c>
      <c r="Y206" s="20" t="s">
        <v>241</v>
      </c>
    </row>
    <row r="207" spans="1:25" ht="18" customHeight="1">
      <c r="A207" s="10" t="s">
        <v>25</v>
      </c>
      <c r="B207" s="10" t="s">
        <v>26</v>
      </c>
      <c r="C207" s="10" t="s">
        <v>27</v>
      </c>
      <c r="D207" s="12">
        <v>2019</v>
      </c>
      <c r="E207" s="10" t="s">
        <v>796</v>
      </c>
      <c r="F207" s="10" t="s">
        <v>797</v>
      </c>
      <c r="G207" s="10" t="s">
        <v>311</v>
      </c>
      <c r="H207" s="10" t="s">
        <v>55</v>
      </c>
      <c r="I207" s="13">
        <v>31.547693979600002</v>
      </c>
      <c r="J207" s="13">
        <v>31.547693979600002</v>
      </c>
      <c r="K207" s="13">
        <v>0</v>
      </c>
      <c r="L207" s="13">
        <v>8.1940937666</v>
      </c>
      <c r="M207" s="13">
        <v>23.353600213</v>
      </c>
      <c r="N207" s="10" t="s">
        <v>798</v>
      </c>
      <c r="O207" s="14">
        <v>3.63</v>
      </c>
      <c r="P207" s="10" t="s">
        <v>33</v>
      </c>
      <c r="Q207" s="14" t="s">
        <v>34</v>
      </c>
      <c r="R207" s="10" t="s">
        <v>35</v>
      </c>
      <c r="S207" s="10" t="s">
        <v>796</v>
      </c>
      <c r="T207" s="14">
        <f>IF(O207="","",(1/Metadata!$B$5)^(O207-1))</f>
        <v>426.57951880159294</v>
      </c>
      <c r="U207" s="13">
        <f t="shared" si="3"/>
        <v>13457.600117117679</v>
      </c>
      <c r="V207" s="22" t="s">
        <v>119</v>
      </c>
      <c r="W207" s="20" t="s">
        <v>799</v>
      </c>
      <c r="X207" s="22" t="s">
        <v>119</v>
      </c>
      <c r="Y207" s="20" t="s">
        <v>799</v>
      </c>
    </row>
    <row r="208" spans="1:25" ht="18" customHeight="1">
      <c r="A208" s="10" t="s">
        <v>25</v>
      </c>
      <c r="B208" s="10" t="s">
        <v>26</v>
      </c>
      <c r="C208" s="10" t="s">
        <v>27</v>
      </c>
      <c r="D208" s="12">
        <v>2019</v>
      </c>
      <c r="E208" s="10" t="s">
        <v>800</v>
      </c>
      <c r="F208" s="10" t="s">
        <v>801</v>
      </c>
      <c r="G208" s="10" t="s">
        <v>194</v>
      </c>
      <c r="H208" s="10" t="s">
        <v>55</v>
      </c>
      <c r="I208" s="13">
        <v>31.128784712800002</v>
      </c>
      <c r="J208" s="13">
        <v>30.031293960199999</v>
      </c>
      <c r="K208" s="13">
        <v>1.0974907526</v>
      </c>
      <c r="L208" s="13">
        <v>24.554144946099999</v>
      </c>
      <c r="M208" s="13">
        <v>6.5746397666999998</v>
      </c>
      <c r="N208" s="10" t="s">
        <v>802</v>
      </c>
      <c r="O208" s="14">
        <v>2</v>
      </c>
      <c r="P208" s="10" t="s">
        <v>33</v>
      </c>
      <c r="Q208" s="14" t="s">
        <v>34</v>
      </c>
      <c r="R208" s="10" t="s">
        <v>35</v>
      </c>
      <c r="S208" s="10" t="s">
        <v>800</v>
      </c>
      <c r="T208" s="14">
        <f>IF(O208="","",(1/Metadata!$B$5)^(O208-1))</f>
        <v>10</v>
      </c>
      <c r="U208" s="13">
        <f t="shared" si="3"/>
        <v>311.28784712800001</v>
      </c>
      <c r="V208" s="19" t="s">
        <v>36</v>
      </c>
      <c r="W208" s="20" t="s">
        <v>803</v>
      </c>
      <c r="X208" s="19" t="s">
        <v>36</v>
      </c>
      <c r="Y208" s="20" t="s">
        <v>803</v>
      </c>
    </row>
    <row r="209" spans="1:25" ht="18" customHeight="1">
      <c r="A209" s="10" t="s">
        <v>25</v>
      </c>
      <c r="B209" s="10" t="s">
        <v>26</v>
      </c>
      <c r="C209" s="10" t="s">
        <v>27</v>
      </c>
      <c r="D209" s="12">
        <v>2019</v>
      </c>
      <c r="E209" s="10" t="s">
        <v>804</v>
      </c>
      <c r="F209" s="10" t="s">
        <v>805</v>
      </c>
      <c r="G209" s="10" t="s">
        <v>96</v>
      </c>
      <c r="H209" s="10" t="s">
        <v>97</v>
      </c>
      <c r="I209" s="13">
        <v>29.937267144700002</v>
      </c>
      <c r="J209" s="13">
        <v>0</v>
      </c>
      <c r="K209" s="13">
        <v>29.937267144700002</v>
      </c>
      <c r="L209" s="13">
        <v>0</v>
      </c>
      <c r="M209" s="13">
        <v>29.937267144700002</v>
      </c>
      <c r="N209" s="10" t="s">
        <v>806</v>
      </c>
      <c r="O209" s="14">
        <v>2.71</v>
      </c>
      <c r="P209" s="10" t="s">
        <v>33</v>
      </c>
      <c r="Q209" s="14" t="s">
        <v>34</v>
      </c>
      <c r="R209" s="10" t="s">
        <v>35</v>
      </c>
      <c r="S209" s="10" t="s">
        <v>804</v>
      </c>
      <c r="T209" s="14">
        <f>IF(O209="","",(1/Metadata!$B$5)^(O209-1))</f>
        <v>51.28613839913649</v>
      </c>
      <c r="U209" s="13">
        <f t="shared" si="3"/>
        <v>1535.366826075006</v>
      </c>
      <c r="V209" s="21" t="s">
        <v>96</v>
      </c>
      <c r="W209" s="20" t="s">
        <v>807</v>
      </c>
      <c r="X209" s="21" t="s">
        <v>96</v>
      </c>
      <c r="Y209" s="20" t="s">
        <v>807</v>
      </c>
    </row>
    <row r="210" spans="1:25" ht="18" customHeight="1">
      <c r="A210" s="10" t="s">
        <v>25</v>
      </c>
      <c r="B210" s="10" t="s">
        <v>26</v>
      </c>
      <c r="C210" s="10" t="s">
        <v>27</v>
      </c>
      <c r="D210" s="12">
        <v>2019</v>
      </c>
      <c r="E210" s="10" t="s">
        <v>808</v>
      </c>
      <c r="F210" s="10" t="s">
        <v>809</v>
      </c>
      <c r="G210" s="10" t="s">
        <v>49</v>
      </c>
      <c r="H210" s="10" t="s">
        <v>55</v>
      </c>
      <c r="I210" s="13">
        <v>24.583188016000001</v>
      </c>
      <c r="J210" s="13">
        <v>24.583188016000001</v>
      </c>
      <c r="K210" s="13">
        <v>0</v>
      </c>
      <c r="L210" s="13">
        <v>0</v>
      </c>
      <c r="M210" s="13">
        <v>24.583188016000001</v>
      </c>
      <c r="N210" s="10" t="s">
        <v>810</v>
      </c>
      <c r="O210" s="14">
        <v>3.68</v>
      </c>
      <c r="P210" s="10" t="s">
        <v>43</v>
      </c>
      <c r="Q210" s="14" t="s">
        <v>44</v>
      </c>
      <c r="R210" s="10" t="s">
        <v>35</v>
      </c>
      <c r="S210" s="10" t="s">
        <v>808</v>
      </c>
      <c r="T210" s="14">
        <f>IF(O210="","",(1/Metadata!$B$5)^(O210-1))</f>
        <v>478.63009232263886</v>
      </c>
      <c r="U210" s="13">
        <f t="shared" si="3"/>
        <v>11766.25354968287</v>
      </c>
      <c r="V210" s="21" t="s">
        <v>119</v>
      </c>
      <c r="W210" s="20" t="s">
        <v>661</v>
      </c>
      <c r="X210" s="21" t="s">
        <v>119</v>
      </c>
      <c r="Y210" s="20" t="s">
        <v>661</v>
      </c>
    </row>
    <row r="211" spans="1:25" ht="18" customHeight="1">
      <c r="A211" s="10" t="s">
        <v>25</v>
      </c>
      <c r="B211" s="10" t="s">
        <v>26</v>
      </c>
      <c r="C211" s="10" t="s">
        <v>27</v>
      </c>
      <c r="D211" s="12">
        <v>2019</v>
      </c>
      <c r="E211" s="10" t="s">
        <v>811</v>
      </c>
      <c r="F211" s="10" t="s">
        <v>812</v>
      </c>
      <c r="G211" s="10" t="s">
        <v>77</v>
      </c>
      <c r="H211" s="10" t="s">
        <v>78</v>
      </c>
      <c r="I211" s="13">
        <v>23.2421793874</v>
      </c>
      <c r="J211" s="13">
        <v>23.2421793874</v>
      </c>
      <c r="K211" s="13">
        <v>0</v>
      </c>
      <c r="L211" s="13">
        <v>23.2421793874</v>
      </c>
      <c r="M211" s="13">
        <v>0</v>
      </c>
      <c r="N211" s="10" t="s">
        <v>813</v>
      </c>
      <c r="O211" s="14">
        <v>2</v>
      </c>
      <c r="P211" s="10" t="s">
        <v>33</v>
      </c>
      <c r="Q211" s="14" t="s">
        <v>34</v>
      </c>
      <c r="R211" s="10" t="s">
        <v>35</v>
      </c>
      <c r="S211" s="10" t="s">
        <v>811</v>
      </c>
      <c r="T211" s="14">
        <f>IF(O211="","",(1/Metadata!$B$5)^(O211-1))</f>
        <v>10</v>
      </c>
      <c r="U211" s="13">
        <f t="shared" si="3"/>
        <v>232.421793874</v>
      </c>
      <c r="V211" s="21" t="s">
        <v>80</v>
      </c>
      <c r="W211" s="20" t="s">
        <v>81</v>
      </c>
      <c r="X211" s="21" t="s">
        <v>80</v>
      </c>
      <c r="Y211" s="20" t="s">
        <v>81</v>
      </c>
    </row>
    <row r="212" spans="1:25" ht="18" customHeight="1">
      <c r="A212" s="10" t="s">
        <v>25</v>
      </c>
      <c r="B212" s="10" t="s">
        <v>26</v>
      </c>
      <c r="C212" s="10" t="s">
        <v>27</v>
      </c>
      <c r="D212" s="12">
        <v>2019</v>
      </c>
      <c r="E212" s="10" t="s">
        <v>814</v>
      </c>
      <c r="F212" s="10" t="s">
        <v>815</v>
      </c>
      <c r="G212" s="10" t="s">
        <v>142</v>
      </c>
      <c r="H212" s="10" t="s">
        <v>220</v>
      </c>
      <c r="I212" s="13">
        <v>20.253885817600001</v>
      </c>
      <c r="J212" s="13">
        <v>20.208840699900001</v>
      </c>
      <c r="K212" s="13">
        <v>4.5045117699999998E-2</v>
      </c>
      <c r="L212" s="13">
        <v>20.208840699900001</v>
      </c>
      <c r="M212" s="13">
        <v>4.5045117699999998E-2</v>
      </c>
      <c r="N212" s="10" t="s">
        <v>816</v>
      </c>
      <c r="O212" s="14">
        <v>4.4800000000000004</v>
      </c>
      <c r="P212" s="10" t="s">
        <v>33</v>
      </c>
      <c r="Q212" s="14" t="s">
        <v>34</v>
      </c>
      <c r="R212" s="10" t="s">
        <v>35</v>
      </c>
      <c r="S212" s="10" t="s">
        <v>814</v>
      </c>
      <c r="T212" s="14">
        <f>IF(O212="","",(1/Metadata!$B$5)^(O212-1))</f>
        <v>3019.9517204020231</v>
      </c>
      <c r="U212" s="13">
        <f t="shared" si="3"/>
        <v>61165.757319687254</v>
      </c>
      <c r="V212" s="22" t="s">
        <v>92</v>
      </c>
      <c r="W212" s="20" t="s">
        <v>222</v>
      </c>
      <c r="X212" s="22" t="s">
        <v>92</v>
      </c>
      <c r="Y212" s="20" t="s">
        <v>222</v>
      </c>
    </row>
    <row r="213" spans="1:25" ht="18" customHeight="1">
      <c r="A213" s="10" t="s">
        <v>25</v>
      </c>
      <c r="B213" s="10" t="s">
        <v>26</v>
      </c>
      <c r="C213" s="10" t="s">
        <v>27</v>
      </c>
      <c r="D213" s="12">
        <v>2019</v>
      </c>
      <c r="E213" s="10" t="s">
        <v>817</v>
      </c>
      <c r="F213" s="10" t="s">
        <v>818</v>
      </c>
      <c r="G213" s="10" t="s">
        <v>142</v>
      </c>
      <c r="H213" s="10" t="s">
        <v>55</v>
      </c>
      <c r="I213" s="13">
        <v>15.7995005534</v>
      </c>
      <c r="J213" s="13">
        <v>15.7995005534</v>
      </c>
      <c r="K213" s="13">
        <v>0</v>
      </c>
      <c r="L213" s="13">
        <v>12.4883007897</v>
      </c>
      <c r="M213" s="13">
        <v>3.3111997636999999</v>
      </c>
      <c r="N213" s="10" t="s">
        <v>819</v>
      </c>
      <c r="O213" s="14">
        <v>4.4000000000000004</v>
      </c>
      <c r="P213" s="10" t="s">
        <v>33</v>
      </c>
      <c r="Q213" s="14" t="s">
        <v>34</v>
      </c>
      <c r="R213" s="10" t="s">
        <v>35</v>
      </c>
      <c r="S213" s="10" t="s">
        <v>817</v>
      </c>
      <c r="T213" s="14">
        <f>IF(O213="","",(1/Metadata!$B$5)^(O213-1))</f>
        <v>2511.8864315095834</v>
      </c>
      <c r="U213" s="13">
        <f t="shared" si="3"/>
        <v>39686.551064713611</v>
      </c>
      <c r="V213" s="22" t="s">
        <v>92</v>
      </c>
      <c r="W213" s="20" t="s">
        <v>745</v>
      </c>
      <c r="X213" s="22" t="s">
        <v>92</v>
      </c>
      <c r="Y213" s="20" t="s">
        <v>745</v>
      </c>
    </row>
    <row r="214" spans="1:25" ht="18" customHeight="1">
      <c r="A214" s="10" t="s">
        <v>25</v>
      </c>
      <c r="B214" s="10" t="s">
        <v>26</v>
      </c>
      <c r="C214" s="10" t="s">
        <v>27</v>
      </c>
      <c r="D214" s="12">
        <v>2019</v>
      </c>
      <c r="E214" s="10" t="s">
        <v>820</v>
      </c>
      <c r="F214" s="10" t="s">
        <v>821</v>
      </c>
      <c r="G214" s="10" t="s">
        <v>123</v>
      </c>
      <c r="H214" s="10" t="s">
        <v>97</v>
      </c>
      <c r="I214" s="13">
        <v>14.816450745799999</v>
      </c>
      <c r="J214" s="13">
        <v>0</v>
      </c>
      <c r="K214" s="13">
        <v>14.816450745799999</v>
      </c>
      <c r="L214" s="13">
        <v>0</v>
      </c>
      <c r="M214" s="13">
        <v>14.816450745799999</v>
      </c>
      <c r="N214" s="10" t="s">
        <v>822</v>
      </c>
      <c r="O214" s="14">
        <v>3.17</v>
      </c>
      <c r="P214" s="10" t="s">
        <v>33</v>
      </c>
      <c r="Q214" s="14" t="s">
        <v>34</v>
      </c>
      <c r="R214" s="10" t="s">
        <v>35</v>
      </c>
      <c r="S214" s="10" t="s">
        <v>820</v>
      </c>
      <c r="T214" s="14">
        <f>IF(O214="","",(1/Metadata!$B$5)^(O214-1))</f>
        <v>147.91083881682084</v>
      </c>
      <c r="U214" s="13">
        <f t="shared" si="3"/>
        <v>2191.5136580993885</v>
      </c>
      <c r="V214" s="21" t="s">
        <v>125</v>
      </c>
      <c r="W214" s="20" t="s">
        <v>823</v>
      </c>
      <c r="X214" s="21" t="s">
        <v>125</v>
      </c>
      <c r="Y214" s="20" t="s">
        <v>823</v>
      </c>
    </row>
    <row r="215" spans="1:25" ht="18" customHeight="1">
      <c r="A215" s="10" t="s">
        <v>25</v>
      </c>
      <c r="B215" s="10" t="s">
        <v>26</v>
      </c>
      <c r="C215" s="10" t="s">
        <v>27</v>
      </c>
      <c r="D215" s="12">
        <v>2019</v>
      </c>
      <c r="E215" s="10" t="s">
        <v>824</v>
      </c>
      <c r="F215" s="10" t="s">
        <v>825</v>
      </c>
      <c r="G215" s="10" t="s">
        <v>194</v>
      </c>
      <c r="H215" s="10" t="s">
        <v>55</v>
      </c>
      <c r="I215" s="13">
        <v>14.3817194644</v>
      </c>
      <c r="J215" s="13">
        <v>0</v>
      </c>
      <c r="K215" s="13">
        <v>14.3817194644</v>
      </c>
      <c r="L215" s="13">
        <v>0</v>
      </c>
      <c r="M215" s="13">
        <v>14.3817194644</v>
      </c>
      <c r="N215" s="10" t="s">
        <v>826</v>
      </c>
      <c r="O215" s="14">
        <v>3.88</v>
      </c>
      <c r="P215" s="10" t="s">
        <v>33</v>
      </c>
      <c r="Q215" s="14" t="s">
        <v>34</v>
      </c>
      <c r="R215" s="10" t="s">
        <v>35</v>
      </c>
      <c r="S215" s="10" t="s">
        <v>824</v>
      </c>
      <c r="T215" s="14">
        <f>IF(O215="","",(1/Metadata!$B$5)^(O215-1))</f>
        <v>758.57757502918378</v>
      </c>
      <c r="U215" s="13">
        <f t="shared" si="3"/>
        <v>10909.649876054564</v>
      </c>
      <c r="V215" s="22" t="s">
        <v>119</v>
      </c>
      <c r="W215" s="20" t="s">
        <v>213</v>
      </c>
      <c r="X215" s="22" t="s">
        <v>119</v>
      </c>
      <c r="Y215" s="20" t="s">
        <v>213</v>
      </c>
    </row>
    <row r="216" spans="1:25" ht="18" customHeight="1">
      <c r="A216" s="10" t="s">
        <v>25</v>
      </c>
      <c r="B216" s="10" t="s">
        <v>26</v>
      </c>
      <c r="C216" s="10" t="s">
        <v>27</v>
      </c>
      <c r="D216" s="12">
        <v>2019</v>
      </c>
      <c r="E216" s="10" t="s">
        <v>827</v>
      </c>
      <c r="F216" s="10" t="s">
        <v>828</v>
      </c>
      <c r="G216" s="10" t="s">
        <v>30</v>
      </c>
      <c r="H216" s="10" t="s">
        <v>55</v>
      </c>
      <c r="I216" s="13">
        <v>13.814894994399999</v>
      </c>
      <c r="J216" s="13">
        <v>0</v>
      </c>
      <c r="K216" s="13">
        <v>13.814894994399999</v>
      </c>
      <c r="L216" s="13">
        <v>0</v>
      </c>
      <c r="M216" s="13">
        <v>13.814894994399999</v>
      </c>
      <c r="N216" s="10" t="s">
        <v>829</v>
      </c>
      <c r="O216" s="14">
        <v>3.43</v>
      </c>
      <c r="P216" s="10" t="s">
        <v>43</v>
      </c>
      <c r="Q216" s="14" t="s">
        <v>44</v>
      </c>
      <c r="R216" s="10" t="s">
        <v>35</v>
      </c>
      <c r="S216" s="10" t="s">
        <v>827</v>
      </c>
      <c r="T216" s="14">
        <f>IF(O216="","",(1/Metadata!$B$5)^(O216-1))</f>
        <v>269.15348039269179</v>
      </c>
      <c r="U216" s="13">
        <f t="shared" si="3"/>
        <v>3718.3270690023364</v>
      </c>
      <c r="V216" s="21" t="s">
        <v>203</v>
      </c>
      <c r="W216" s="20" t="s">
        <v>830</v>
      </c>
      <c r="X216" s="21" t="s">
        <v>203</v>
      </c>
      <c r="Y216" s="20" t="s">
        <v>830</v>
      </c>
    </row>
    <row r="217" spans="1:25" ht="18" customHeight="1">
      <c r="A217" s="10" t="s">
        <v>25</v>
      </c>
      <c r="B217" s="10" t="s">
        <v>26</v>
      </c>
      <c r="C217" s="10" t="s">
        <v>27</v>
      </c>
      <c r="D217" s="12">
        <v>2019</v>
      </c>
      <c r="E217" s="10" t="s">
        <v>831</v>
      </c>
      <c r="F217" s="10" t="s">
        <v>832</v>
      </c>
      <c r="G217" s="10" t="s">
        <v>40</v>
      </c>
      <c r="H217" s="10" t="s">
        <v>31</v>
      </c>
      <c r="I217" s="13">
        <v>12.677621671500001</v>
      </c>
      <c r="J217" s="13">
        <v>12.677621671500001</v>
      </c>
      <c r="K217" s="13">
        <v>0</v>
      </c>
      <c r="L217" s="13">
        <v>5.2295205729000003</v>
      </c>
      <c r="M217" s="13">
        <v>7.4481010985999996</v>
      </c>
      <c r="N217" s="10" t="s">
        <v>833</v>
      </c>
      <c r="O217" s="14">
        <v>3.4</v>
      </c>
      <c r="P217" s="10" t="s">
        <v>33</v>
      </c>
      <c r="Q217" s="14" t="s">
        <v>34</v>
      </c>
      <c r="R217" s="10" t="s">
        <v>35</v>
      </c>
      <c r="S217" s="10" t="s">
        <v>831</v>
      </c>
      <c r="T217" s="14">
        <f>IF(O217="","",(1/Metadata!$B$5)^(O217-1))</f>
        <v>251.18864315095806</v>
      </c>
      <c r="U217" s="13">
        <f t="shared" si="3"/>
        <v>3184.4745860452663</v>
      </c>
      <c r="V217" s="22" t="s">
        <v>203</v>
      </c>
      <c r="W217" s="20" t="s">
        <v>469</v>
      </c>
      <c r="X217" s="22" t="s">
        <v>203</v>
      </c>
      <c r="Y217" s="20" t="s">
        <v>469</v>
      </c>
    </row>
    <row r="218" spans="1:25" ht="18" customHeight="1">
      <c r="A218" s="10" t="s">
        <v>25</v>
      </c>
      <c r="B218" s="10" t="s">
        <v>26</v>
      </c>
      <c r="C218" s="10" t="s">
        <v>27</v>
      </c>
      <c r="D218" s="12">
        <v>2019</v>
      </c>
      <c r="E218" s="10" t="s">
        <v>834</v>
      </c>
      <c r="F218" s="10" t="s">
        <v>835</v>
      </c>
      <c r="G218" s="10" t="s">
        <v>123</v>
      </c>
      <c r="H218" s="10" t="s">
        <v>97</v>
      </c>
      <c r="I218" s="13">
        <v>12.566686521799999</v>
      </c>
      <c r="J218" s="13">
        <v>12.466989336599999</v>
      </c>
      <c r="K218" s="13">
        <v>9.9697185199999996E-2</v>
      </c>
      <c r="L218" s="13">
        <v>8.6393259928999999</v>
      </c>
      <c r="M218" s="13">
        <v>3.9273605289</v>
      </c>
      <c r="N218" s="10" t="s">
        <v>836</v>
      </c>
      <c r="O218" s="14">
        <v>3.17</v>
      </c>
      <c r="P218" s="10" t="s">
        <v>43</v>
      </c>
      <c r="Q218" s="14" t="s">
        <v>44</v>
      </c>
      <c r="R218" s="10" t="s">
        <v>35</v>
      </c>
      <c r="S218" s="10" t="s">
        <v>834</v>
      </c>
      <c r="T218" s="14">
        <f>IF(O218="","",(1/Metadata!$B$5)^(O218-1))</f>
        <v>147.91083881682084</v>
      </c>
      <c r="U218" s="13">
        <f t="shared" si="3"/>
        <v>1858.7491445874746</v>
      </c>
      <c r="V218" s="21" t="s">
        <v>125</v>
      </c>
      <c r="W218" s="20" t="s">
        <v>823</v>
      </c>
      <c r="X218" s="21" t="s">
        <v>125</v>
      </c>
      <c r="Y218" s="20" t="s">
        <v>823</v>
      </c>
    </row>
    <row r="219" spans="1:25" ht="18" customHeight="1">
      <c r="A219" s="10" t="s">
        <v>25</v>
      </c>
      <c r="B219" s="10" t="s">
        <v>26</v>
      </c>
      <c r="C219" s="10" t="s">
        <v>27</v>
      </c>
      <c r="D219" s="12">
        <v>2019</v>
      </c>
      <c r="E219" s="10" t="s">
        <v>837</v>
      </c>
      <c r="F219" s="10" t="s">
        <v>838</v>
      </c>
      <c r="G219" s="10" t="s">
        <v>96</v>
      </c>
      <c r="H219" s="10" t="s">
        <v>97</v>
      </c>
      <c r="I219" s="13">
        <v>10.4857018996</v>
      </c>
      <c r="J219" s="13">
        <v>9.4413128004000004</v>
      </c>
      <c r="K219" s="13">
        <v>1.0443890992</v>
      </c>
      <c r="L219" s="13">
        <v>6.9015774633999998</v>
      </c>
      <c r="M219" s="13">
        <v>3.5841244362000002</v>
      </c>
      <c r="N219" s="10" t="s">
        <v>839</v>
      </c>
      <c r="O219" s="14">
        <v>2.6</v>
      </c>
      <c r="P219" s="10" t="s">
        <v>33</v>
      </c>
      <c r="Q219" s="14" t="s">
        <v>34</v>
      </c>
      <c r="R219" s="10" t="s">
        <v>35</v>
      </c>
      <c r="S219" s="10" t="s">
        <v>837</v>
      </c>
      <c r="T219" s="14">
        <f>IF(O219="","",(1/Metadata!$B$5)^(O219-1))</f>
        <v>39.810717055349755</v>
      </c>
      <c r="U219" s="13">
        <f t="shared" si="3"/>
        <v>417.44331145171907</v>
      </c>
      <c r="V219" s="21" t="s">
        <v>96</v>
      </c>
      <c r="W219" s="20" t="s">
        <v>107</v>
      </c>
      <c r="X219" s="21" t="s">
        <v>96</v>
      </c>
      <c r="Y219" s="20" t="s">
        <v>107</v>
      </c>
    </row>
    <row r="220" spans="1:25" ht="18" customHeight="1">
      <c r="A220" s="10" t="s">
        <v>25</v>
      </c>
      <c r="B220" s="10" t="s">
        <v>26</v>
      </c>
      <c r="C220" s="10" t="s">
        <v>27</v>
      </c>
      <c r="D220" s="12">
        <v>2019</v>
      </c>
      <c r="E220" s="10" t="s">
        <v>840</v>
      </c>
      <c r="F220" s="10" t="s">
        <v>841</v>
      </c>
      <c r="G220" s="10" t="s">
        <v>49</v>
      </c>
      <c r="H220" s="10" t="s">
        <v>55</v>
      </c>
      <c r="I220" s="13">
        <v>8.874925039699999</v>
      </c>
      <c r="J220" s="13">
        <v>8.874925039699999</v>
      </c>
      <c r="K220" s="13">
        <v>0</v>
      </c>
      <c r="L220" s="13">
        <v>2.2784478180000001</v>
      </c>
      <c r="M220" s="13">
        <v>6.5964772216999998</v>
      </c>
      <c r="N220" s="10" t="s">
        <v>842</v>
      </c>
      <c r="O220" s="14">
        <v>4.4000000000000004</v>
      </c>
      <c r="P220" s="10" t="s">
        <v>33</v>
      </c>
      <c r="Q220" s="14" t="s">
        <v>34</v>
      </c>
      <c r="R220" s="10" t="s">
        <v>35</v>
      </c>
      <c r="S220" s="10" t="s">
        <v>840</v>
      </c>
      <c r="T220" s="14">
        <f>IF(O220="","",(1/Metadata!$B$5)^(O220-1))</f>
        <v>2511.8864315095834</v>
      </c>
      <c r="U220" s="13">
        <f t="shared" si="3"/>
        <v>22292.803787887078</v>
      </c>
      <c r="V220" s="22" t="s">
        <v>119</v>
      </c>
      <c r="W220" s="20" t="s">
        <v>213</v>
      </c>
      <c r="X220" s="22" t="s">
        <v>119</v>
      </c>
      <c r="Y220" s="20" t="s">
        <v>213</v>
      </c>
    </row>
    <row r="221" spans="1:25" ht="18" customHeight="1">
      <c r="A221" s="10" t="s">
        <v>25</v>
      </c>
      <c r="B221" s="10" t="s">
        <v>26</v>
      </c>
      <c r="C221" s="10" t="s">
        <v>27</v>
      </c>
      <c r="D221" s="12">
        <v>2019</v>
      </c>
      <c r="E221" s="10" t="s">
        <v>843</v>
      </c>
      <c r="F221" s="10" t="s">
        <v>844</v>
      </c>
      <c r="G221" s="10" t="s">
        <v>142</v>
      </c>
      <c r="H221" s="10" t="s">
        <v>55</v>
      </c>
      <c r="I221" s="13">
        <v>7.9199319461000002</v>
      </c>
      <c r="J221" s="13">
        <v>4.0704521496999986</v>
      </c>
      <c r="K221" s="13">
        <v>3.8494797963999998</v>
      </c>
      <c r="L221" s="13">
        <v>4.0704521496999986</v>
      </c>
      <c r="M221" s="13">
        <v>3.8494797963999998</v>
      </c>
      <c r="N221" s="10" t="s">
        <v>845</v>
      </c>
      <c r="O221" s="14">
        <v>3.96</v>
      </c>
      <c r="P221" s="10" t="s">
        <v>43</v>
      </c>
      <c r="Q221" s="14" t="s">
        <v>44</v>
      </c>
      <c r="R221" s="10" t="s">
        <v>35</v>
      </c>
      <c r="S221" s="10" t="s">
        <v>843</v>
      </c>
      <c r="T221" s="14">
        <f>IF(O221="","",(1/Metadata!$B$5)^(O221-1))</f>
        <v>912.01083935590987</v>
      </c>
      <c r="U221" s="13">
        <f t="shared" si="3"/>
        <v>7223.063781804346</v>
      </c>
      <c r="V221" s="22" t="s">
        <v>92</v>
      </c>
      <c r="W221" s="20" t="s">
        <v>222</v>
      </c>
      <c r="X221" s="22" t="s">
        <v>92</v>
      </c>
      <c r="Y221" s="20" t="s">
        <v>222</v>
      </c>
    </row>
    <row r="222" spans="1:25" ht="18" customHeight="1">
      <c r="A222" s="10" t="s">
        <v>25</v>
      </c>
      <c r="B222" s="10" t="s">
        <v>26</v>
      </c>
      <c r="C222" s="10" t="s">
        <v>27</v>
      </c>
      <c r="D222" s="12">
        <v>2019</v>
      </c>
      <c r="E222" s="10" t="s">
        <v>846</v>
      </c>
      <c r="F222" s="10" t="s">
        <v>847</v>
      </c>
      <c r="G222" s="10" t="s">
        <v>96</v>
      </c>
      <c r="H222" s="10" t="s">
        <v>97</v>
      </c>
      <c r="I222" s="13">
        <v>7.0782484013999998</v>
      </c>
      <c r="J222" s="13">
        <v>0</v>
      </c>
      <c r="K222" s="13">
        <v>7.0782484013999998</v>
      </c>
      <c r="L222" s="13">
        <v>0</v>
      </c>
      <c r="M222" s="13">
        <v>7.0782484013999998</v>
      </c>
      <c r="N222" s="10" t="s">
        <v>848</v>
      </c>
      <c r="O222" s="14">
        <v>2.93</v>
      </c>
      <c r="P222" s="10" t="s">
        <v>33</v>
      </c>
      <c r="Q222" s="14" t="s">
        <v>34</v>
      </c>
      <c r="R222" s="10" t="s">
        <v>35</v>
      </c>
      <c r="S222" s="10" t="s">
        <v>846</v>
      </c>
      <c r="T222" s="14">
        <f>IF(O222="","",(1/Metadata!$B$5)^(O222-1))</f>
        <v>85.113803820237734</v>
      </c>
      <c r="U222" s="13">
        <f t="shared" si="3"/>
        <v>602.45664582767097</v>
      </c>
      <c r="V222" s="21" t="s">
        <v>96</v>
      </c>
      <c r="W222" s="20" t="s">
        <v>849</v>
      </c>
      <c r="X222" s="21" t="s">
        <v>96</v>
      </c>
      <c r="Y222" s="20" t="s">
        <v>849</v>
      </c>
    </row>
    <row r="223" spans="1:25" ht="18" customHeight="1">
      <c r="A223" s="10" t="s">
        <v>25</v>
      </c>
      <c r="B223" s="10" t="s">
        <v>26</v>
      </c>
      <c r="C223" s="10" t="s">
        <v>27</v>
      </c>
      <c r="D223" s="12">
        <v>2019</v>
      </c>
      <c r="E223" s="10" t="s">
        <v>850</v>
      </c>
      <c r="F223" s="10" t="s">
        <v>851</v>
      </c>
      <c r="G223" s="10" t="s">
        <v>279</v>
      </c>
      <c r="H223" s="10" t="s">
        <v>280</v>
      </c>
      <c r="I223" s="13">
        <v>6.8711133157000006</v>
      </c>
      <c r="J223" s="13">
        <v>0</v>
      </c>
      <c r="K223" s="13">
        <v>6.8711133157000006</v>
      </c>
      <c r="L223" s="13">
        <v>0</v>
      </c>
      <c r="M223" s="13">
        <v>6.8711133157000006</v>
      </c>
      <c r="N223" s="10" t="s">
        <v>852</v>
      </c>
      <c r="O223" s="14">
        <v>4.3899999999999997</v>
      </c>
      <c r="P223" s="10" t="s">
        <v>43</v>
      </c>
      <c r="Q223" s="14" t="s">
        <v>44</v>
      </c>
      <c r="R223" s="10" t="s">
        <v>35</v>
      </c>
      <c r="S223" s="10" t="s">
        <v>850</v>
      </c>
      <c r="T223" s="14">
        <f>IF(O223="","",(1/Metadata!$B$5)^(O223-1))</f>
        <v>2454.7089156850293</v>
      </c>
      <c r="U223" s="13">
        <f t="shared" si="3"/>
        <v>16866.583116730915</v>
      </c>
      <c r="V223" s="22" t="s">
        <v>92</v>
      </c>
      <c r="W223" s="20" t="s">
        <v>853</v>
      </c>
      <c r="X223" s="22" t="s">
        <v>92</v>
      </c>
      <c r="Y223" s="20" t="s">
        <v>853</v>
      </c>
    </row>
    <row r="224" spans="1:25" ht="18" customHeight="1">
      <c r="A224" s="10" t="s">
        <v>25</v>
      </c>
      <c r="B224" s="10" t="s">
        <v>26</v>
      </c>
      <c r="C224" s="10" t="s">
        <v>27</v>
      </c>
      <c r="D224" s="12">
        <v>2019</v>
      </c>
      <c r="E224" s="10" t="s">
        <v>854</v>
      </c>
      <c r="F224" s="10" t="s">
        <v>855</v>
      </c>
      <c r="G224" s="10" t="s">
        <v>142</v>
      </c>
      <c r="H224" s="10" t="s">
        <v>220</v>
      </c>
      <c r="I224" s="13">
        <v>6.3813283970999999</v>
      </c>
      <c r="J224" s="13">
        <v>4.9139577918999997</v>
      </c>
      <c r="K224" s="13">
        <v>1.4673706052</v>
      </c>
      <c r="L224" s="13">
        <v>4.9139577918999997</v>
      </c>
      <c r="M224" s="13">
        <v>1.4673706052</v>
      </c>
      <c r="N224" s="10" t="s">
        <v>856</v>
      </c>
      <c r="O224" s="14">
        <v>4.5</v>
      </c>
      <c r="P224" s="10" t="s">
        <v>43</v>
      </c>
      <c r="Q224" s="14" t="s">
        <v>44</v>
      </c>
      <c r="R224" s="10" t="s">
        <v>35</v>
      </c>
      <c r="S224" s="10" t="s">
        <v>854</v>
      </c>
      <c r="T224" s="14">
        <f>IF(O224="","",(1/Metadata!$B$5)^(O224-1))</f>
        <v>3162.2776601683804</v>
      </c>
      <c r="U224" s="13">
        <f t="shared" si="3"/>
        <v>20179.532232347428</v>
      </c>
      <c r="V224" s="22" t="s">
        <v>92</v>
      </c>
      <c r="W224" s="20" t="s">
        <v>222</v>
      </c>
      <c r="X224" s="22" t="s">
        <v>92</v>
      </c>
      <c r="Y224" s="20" t="s">
        <v>222</v>
      </c>
    </row>
    <row r="225" spans="1:25" ht="18" customHeight="1">
      <c r="A225" s="10" t="s">
        <v>25</v>
      </c>
      <c r="B225" s="10" t="s">
        <v>26</v>
      </c>
      <c r="C225" s="10" t="s">
        <v>27</v>
      </c>
      <c r="D225" s="12">
        <v>2019</v>
      </c>
      <c r="E225" s="10" t="s">
        <v>857</v>
      </c>
      <c r="F225" s="10" t="s">
        <v>858</v>
      </c>
      <c r="G225" s="10" t="s">
        <v>142</v>
      </c>
      <c r="H225" s="10" t="s">
        <v>55</v>
      </c>
      <c r="I225" s="13">
        <v>6.2233310728000006</v>
      </c>
      <c r="J225" s="13">
        <v>0</v>
      </c>
      <c r="K225" s="13">
        <v>6.2233310728000006</v>
      </c>
      <c r="L225" s="13">
        <v>0</v>
      </c>
      <c r="M225" s="13">
        <v>6.2233310728000006</v>
      </c>
      <c r="N225" s="10" t="s">
        <v>859</v>
      </c>
      <c r="O225" s="14">
        <v>4.49</v>
      </c>
      <c r="P225" s="10" t="s">
        <v>43</v>
      </c>
      <c r="Q225" s="14" t="s">
        <v>44</v>
      </c>
      <c r="R225" s="10" t="s">
        <v>35</v>
      </c>
      <c r="S225" s="10" t="s">
        <v>857</v>
      </c>
      <c r="T225" s="14">
        <f>IF(O225="","",(1/Metadata!$B$5)^(O225-1))</f>
        <v>3090.295432513592</v>
      </c>
      <c r="U225" s="13">
        <f t="shared" si="3"/>
        <v>19231.931589293756</v>
      </c>
      <c r="V225" s="22" t="s">
        <v>92</v>
      </c>
      <c r="W225" s="20" t="s">
        <v>745</v>
      </c>
      <c r="X225" s="22" t="s">
        <v>92</v>
      </c>
      <c r="Y225" s="20" t="s">
        <v>745</v>
      </c>
    </row>
    <row r="226" spans="1:25" ht="18" customHeight="1">
      <c r="A226" s="10" t="s">
        <v>25</v>
      </c>
      <c r="B226" s="10" t="s">
        <v>26</v>
      </c>
      <c r="C226" s="10" t="s">
        <v>27</v>
      </c>
      <c r="D226" s="12">
        <v>2019</v>
      </c>
      <c r="E226" s="10" t="s">
        <v>860</v>
      </c>
      <c r="F226" s="10" t="s">
        <v>861</v>
      </c>
      <c r="G226" s="10" t="s">
        <v>358</v>
      </c>
      <c r="H226" s="10" t="s">
        <v>31</v>
      </c>
      <c r="I226" s="13">
        <v>5.2431525049000003</v>
      </c>
      <c r="J226" s="13">
        <v>0</v>
      </c>
      <c r="K226" s="13">
        <v>5.2431525049000003</v>
      </c>
      <c r="L226" s="13">
        <v>0</v>
      </c>
      <c r="M226" s="13">
        <v>5.2431525049000003</v>
      </c>
      <c r="N226" s="10" t="s">
        <v>862</v>
      </c>
      <c r="O226" s="14">
        <v>2.81</v>
      </c>
      <c r="P226" s="10" t="s">
        <v>33</v>
      </c>
      <c r="Q226" s="14" t="s">
        <v>34</v>
      </c>
      <c r="R226" s="10" t="s">
        <v>35</v>
      </c>
      <c r="S226" s="10" t="s">
        <v>860</v>
      </c>
      <c r="T226" s="14">
        <f>IF(O226="","",(1/Metadata!$B$5)^(O226-1))</f>
        <v>64.565422903465588</v>
      </c>
      <c r="U226" s="13">
        <f t="shared" si="3"/>
        <v>338.52635882623343</v>
      </c>
      <c r="V226" s="21" t="s">
        <v>119</v>
      </c>
      <c r="W226" s="20" t="s">
        <v>863</v>
      </c>
      <c r="X226" s="21" t="s">
        <v>119</v>
      </c>
      <c r="Y226" s="20" t="s">
        <v>863</v>
      </c>
    </row>
    <row r="227" spans="1:25" ht="18" customHeight="1">
      <c r="A227" s="10" t="s">
        <v>25</v>
      </c>
      <c r="B227" s="10" t="s">
        <v>26</v>
      </c>
      <c r="C227" s="10" t="s">
        <v>27</v>
      </c>
      <c r="D227" s="12">
        <v>2019</v>
      </c>
      <c r="E227" s="10" t="s">
        <v>864</v>
      </c>
      <c r="F227" s="10" t="s">
        <v>865</v>
      </c>
      <c r="G227" s="10" t="s">
        <v>358</v>
      </c>
      <c r="H227" s="10" t="s">
        <v>55</v>
      </c>
      <c r="I227" s="13">
        <v>4.7103308358999998</v>
      </c>
      <c r="J227" s="13">
        <v>0</v>
      </c>
      <c r="K227" s="13">
        <v>4.7103308358999998</v>
      </c>
      <c r="L227" s="13">
        <v>0</v>
      </c>
      <c r="M227" s="13">
        <v>4.7103308358999998</v>
      </c>
      <c r="N227" s="10" t="s">
        <v>866</v>
      </c>
      <c r="O227" s="14">
        <v>4.16</v>
      </c>
      <c r="P227" s="10" t="s">
        <v>43</v>
      </c>
      <c r="Q227" s="14" t="s">
        <v>44</v>
      </c>
      <c r="R227" s="10" t="s">
        <v>35</v>
      </c>
      <c r="S227" s="10" t="s">
        <v>864</v>
      </c>
      <c r="T227" s="14">
        <f>IF(O227="","",(1/Metadata!$B$5)^(O227-1))</f>
        <v>1445.4397707459289</v>
      </c>
      <c r="U227" s="13">
        <f t="shared" si="3"/>
        <v>6808.4995235807755</v>
      </c>
      <c r="V227" s="22" t="s">
        <v>92</v>
      </c>
      <c r="W227" s="20" t="s">
        <v>217</v>
      </c>
      <c r="X227" s="22" t="s">
        <v>92</v>
      </c>
      <c r="Y227" s="20" t="s">
        <v>217</v>
      </c>
    </row>
    <row r="228" spans="1:25" ht="18" customHeight="1">
      <c r="A228" s="10" t="s">
        <v>25</v>
      </c>
      <c r="B228" s="10" t="s">
        <v>26</v>
      </c>
      <c r="C228" s="10" t="s">
        <v>27</v>
      </c>
      <c r="D228" s="12">
        <v>2019</v>
      </c>
      <c r="E228" s="10" t="s">
        <v>867</v>
      </c>
      <c r="F228" s="10" t="s">
        <v>868</v>
      </c>
      <c r="G228" s="10" t="s">
        <v>142</v>
      </c>
      <c r="H228" s="10" t="s">
        <v>220</v>
      </c>
      <c r="I228" s="13">
        <v>4.6362855199000004</v>
      </c>
      <c r="J228" s="13">
        <v>0</v>
      </c>
      <c r="K228" s="13">
        <v>4.6362855199000004</v>
      </c>
      <c r="L228" s="13">
        <v>0</v>
      </c>
      <c r="M228" s="13">
        <v>4.6362855199000004</v>
      </c>
      <c r="N228" s="10" t="s">
        <v>869</v>
      </c>
      <c r="O228" s="14">
        <v>4.5</v>
      </c>
      <c r="P228" s="10" t="s">
        <v>43</v>
      </c>
      <c r="Q228" s="14" t="s">
        <v>44</v>
      </c>
      <c r="R228" s="10" t="s">
        <v>35</v>
      </c>
      <c r="S228" s="10" t="s">
        <v>867</v>
      </c>
      <c r="T228" s="14">
        <f>IF(O228="","",(1/Metadata!$B$5)^(O228-1))</f>
        <v>3162.2776601683804</v>
      </c>
      <c r="U228" s="13">
        <f t="shared" si="3"/>
        <v>14661.222125741917</v>
      </c>
      <c r="V228" s="22" t="s">
        <v>92</v>
      </c>
      <c r="W228" s="20" t="s">
        <v>222</v>
      </c>
      <c r="X228" s="22" t="s">
        <v>92</v>
      </c>
      <c r="Y228" s="20" t="s">
        <v>222</v>
      </c>
    </row>
    <row r="229" spans="1:25" ht="18" customHeight="1">
      <c r="A229" s="10" t="s">
        <v>25</v>
      </c>
      <c r="B229" s="10" t="s">
        <v>26</v>
      </c>
      <c r="C229" s="10" t="s">
        <v>27</v>
      </c>
      <c r="D229" s="12">
        <v>2019</v>
      </c>
      <c r="E229" s="10" t="s">
        <v>870</v>
      </c>
      <c r="F229" s="10" t="s">
        <v>871</v>
      </c>
      <c r="G229" s="10" t="s">
        <v>40</v>
      </c>
      <c r="H229" s="10" t="s">
        <v>41</v>
      </c>
      <c r="I229" s="13">
        <v>4.3974868131999996</v>
      </c>
      <c r="J229" s="13">
        <v>0</v>
      </c>
      <c r="K229" s="13">
        <v>4.3974868131999996</v>
      </c>
      <c r="L229" s="13">
        <v>0</v>
      </c>
      <c r="M229" s="13">
        <v>4.3974868131999996</v>
      </c>
      <c r="N229" s="10" t="s">
        <v>872</v>
      </c>
      <c r="O229" s="14">
        <v>3.25</v>
      </c>
      <c r="P229" s="10" t="s">
        <v>33</v>
      </c>
      <c r="Q229" s="14" t="s">
        <v>34</v>
      </c>
      <c r="R229" s="10" t="s">
        <v>35</v>
      </c>
      <c r="S229" s="10" t="s">
        <v>870</v>
      </c>
      <c r="T229" s="14">
        <f>IF(O229="","",(1/Metadata!$B$5)^(O229-1))</f>
        <v>177.82794100389242</v>
      </c>
      <c r="U229" s="13">
        <f t="shared" si="3"/>
        <v>781.99602558312438</v>
      </c>
      <c r="V229" s="21" t="s">
        <v>45</v>
      </c>
      <c r="W229" s="20" t="s">
        <v>46</v>
      </c>
      <c r="X229" s="21" t="s">
        <v>45</v>
      </c>
      <c r="Y229" s="20" t="s">
        <v>46</v>
      </c>
    </row>
    <row r="230" spans="1:25" ht="18" customHeight="1">
      <c r="A230" s="10" t="s">
        <v>25</v>
      </c>
      <c r="B230" s="10" t="s">
        <v>26</v>
      </c>
      <c r="C230" s="10" t="s">
        <v>27</v>
      </c>
      <c r="D230" s="12">
        <v>2019</v>
      </c>
      <c r="E230" s="10" t="s">
        <v>873</v>
      </c>
      <c r="F230" s="10" t="s">
        <v>874</v>
      </c>
      <c r="G230" s="10" t="s">
        <v>49</v>
      </c>
      <c r="H230" s="10" t="s">
        <v>220</v>
      </c>
      <c r="I230" s="13">
        <v>4.3940620953999998</v>
      </c>
      <c r="J230" s="13">
        <v>0</v>
      </c>
      <c r="K230" s="13">
        <v>4.3940620953999998</v>
      </c>
      <c r="L230" s="13">
        <v>0</v>
      </c>
      <c r="M230" s="13">
        <v>4.3940620953999998</v>
      </c>
      <c r="N230" s="10" t="s">
        <v>875</v>
      </c>
      <c r="O230" s="14">
        <v>4.37</v>
      </c>
      <c r="P230" s="10" t="s">
        <v>43</v>
      </c>
      <c r="Q230" s="14" t="s">
        <v>44</v>
      </c>
      <c r="R230" s="10" t="s">
        <v>35</v>
      </c>
      <c r="S230" s="10" t="s">
        <v>873</v>
      </c>
      <c r="T230" s="14">
        <f>IF(O230="","",(1/Metadata!$B$5)^(O230-1))</f>
        <v>2344.2288153199238</v>
      </c>
      <c r="U230" s="13">
        <f t="shared" si="3"/>
        <v>10300.686980341723</v>
      </c>
      <c r="V230" s="21" t="s">
        <v>92</v>
      </c>
      <c r="W230" s="20" t="s">
        <v>331</v>
      </c>
      <c r="X230" s="21" t="s">
        <v>92</v>
      </c>
      <c r="Y230" s="20" t="s">
        <v>331</v>
      </c>
    </row>
    <row r="231" spans="1:25" ht="18" customHeight="1">
      <c r="A231" s="10" t="s">
        <v>25</v>
      </c>
      <c r="B231" s="10" t="s">
        <v>26</v>
      </c>
      <c r="C231" s="10" t="s">
        <v>27</v>
      </c>
      <c r="D231" s="12">
        <v>2019</v>
      </c>
      <c r="E231" s="10" t="s">
        <v>876</v>
      </c>
      <c r="F231" s="10" t="s">
        <v>877</v>
      </c>
      <c r="G231" s="10" t="s">
        <v>194</v>
      </c>
      <c r="H231" s="10" t="s">
        <v>55</v>
      </c>
      <c r="I231" s="13">
        <v>4.0413802046000002</v>
      </c>
      <c r="J231" s="13">
        <v>3.6656188352000001</v>
      </c>
      <c r="K231" s="13">
        <v>0.37576136939999999</v>
      </c>
      <c r="L231" s="13">
        <v>2.2559265357</v>
      </c>
      <c r="M231" s="13">
        <v>1.7854536689</v>
      </c>
      <c r="N231" s="10" t="s">
        <v>878</v>
      </c>
      <c r="O231" s="14">
        <v>4.1900000000000004</v>
      </c>
      <c r="P231" s="10" t="s">
        <v>43</v>
      </c>
      <c r="Q231" s="14" t="s">
        <v>44</v>
      </c>
      <c r="R231" s="10" t="s">
        <v>35</v>
      </c>
      <c r="S231" s="10" t="s">
        <v>876</v>
      </c>
      <c r="T231" s="14">
        <f>IF(O231="","",(1/Metadata!$B$5)^(O231-1))</f>
        <v>1548.8166189124836</v>
      </c>
      <c r="U231" s="13">
        <f t="shared" si="3"/>
        <v>6259.3568242284136</v>
      </c>
      <c r="V231" s="22" t="s">
        <v>92</v>
      </c>
      <c r="W231" s="20" t="s">
        <v>879</v>
      </c>
      <c r="X231" s="22" t="s">
        <v>92</v>
      </c>
      <c r="Y231" s="20" t="s">
        <v>879</v>
      </c>
    </row>
    <row r="232" spans="1:25" ht="18" customHeight="1">
      <c r="A232" s="10" t="s">
        <v>25</v>
      </c>
      <c r="B232" s="10" t="s">
        <v>26</v>
      </c>
      <c r="C232" s="10" t="s">
        <v>27</v>
      </c>
      <c r="D232" s="12">
        <v>2019</v>
      </c>
      <c r="E232" s="10" t="s">
        <v>880</v>
      </c>
      <c r="F232" s="10" t="s">
        <v>881</v>
      </c>
      <c r="G232" s="10" t="s">
        <v>96</v>
      </c>
      <c r="H232" s="10" t="s">
        <v>97</v>
      </c>
      <c r="I232" s="13">
        <v>3.0226031556000001</v>
      </c>
      <c r="J232" s="13">
        <v>0</v>
      </c>
      <c r="K232" s="13">
        <v>3.0226031556000001</v>
      </c>
      <c r="L232" s="13">
        <v>0</v>
      </c>
      <c r="M232" s="13">
        <v>3.0226031556000001</v>
      </c>
      <c r="N232" s="10" t="s">
        <v>882</v>
      </c>
      <c r="O232" s="14">
        <v>2.7</v>
      </c>
      <c r="P232" s="10" t="s">
        <v>33</v>
      </c>
      <c r="Q232" s="14" t="s">
        <v>34</v>
      </c>
      <c r="R232" s="10" t="s">
        <v>35</v>
      </c>
      <c r="S232" s="10" t="s">
        <v>880</v>
      </c>
      <c r="T232" s="14">
        <f>IF(O232="","",(1/Metadata!$B$5)^(O232-1))</f>
        <v>50.118723362727259</v>
      </c>
      <c r="U232" s="13">
        <f t="shared" si="3"/>
        <v>151.48901139082287</v>
      </c>
      <c r="V232" s="21" t="s">
        <v>96</v>
      </c>
      <c r="W232" s="20" t="s">
        <v>849</v>
      </c>
      <c r="X232" s="21" t="s">
        <v>96</v>
      </c>
      <c r="Y232" s="20" t="s">
        <v>849</v>
      </c>
    </row>
    <row r="233" spans="1:25" ht="18" customHeight="1">
      <c r="A233" s="10" t="s">
        <v>25</v>
      </c>
      <c r="B233" s="10" t="s">
        <v>26</v>
      </c>
      <c r="C233" s="10" t="s">
        <v>27</v>
      </c>
      <c r="D233" s="12">
        <v>2019</v>
      </c>
      <c r="E233" s="10" t="s">
        <v>883</v>
      </c>
      <c r="F233" s="10" t="s">
        <v>884</v>
      </c>
      <c r="G233" s="10" t="s">
        <v>358</v>
      </c>
      <c r="H233" s="10" t="s">
        <v>55</v>
      </c>
      <c r="I233" s="13">
        <v>2.8460769218999999</v>
      </c>
      <c r="J233" s="13">
        <v>0</v>
      </c>
      <c r="K233" s="13">
        <v>2.8460769218999999</v>
      </c>
      <c r="L233" s="13">
        <v>0</v>
      </c>
      <c r="M233" s="13">
        <v>2.8460769218999999</v>
      </c>
      <c r="N233" s="10" t="s">
        <v>885</v>
      </c>
      <c r="O233" s="14">
        <v>3.11</v>
      </c>
      <c r="P233" s="10" t="s">
        <v>33</v>
      </c>
      <c r="Q233" s="14" t="s">
        <v>34</v>
      </c>
      <c r="R233" s="10" t="s">
        <v>35</v>
      </c>
      <c r="S233" s="10" t="s">
        <v>883</v>
      </c>
      <c r="T233" s="14">
        <f>IF(O233="","",(1/Metadata!$B$5)^(O233-1))</f>
        <v>128.82495516931343</v>
      </c>
      <c r="U233" s="13">
        <f t="shared" si="3"/>
        <v>366.64573187218502</v>
      </c>
      <c r="V233" s="22" t="s">
        <v>45</v>
      </c>
      <c r="W233" s="20" t="s">
        <v>191</v>
      </c>
      <c r="X233" s="22" t="s">
        <v>45</v>
      </c>
      <c r="Y233" s="20" t="s">
        <v>191</v>
      </c>
    </row>
    <row r="234" spans="1:25" ht="18" customHeight="1">
      <c r="A234" s="10" t="s">
        <v>25</v>
      </c>
      <c r="B234" s="10" t="s">
        <v>26</v>
      </c>
      <c r="C234" s="10" t="s">
        <v>27</v>
      </c>
      <c r="D234" s="12">
        <v>2019</v>
      </c>
      <c r="E234" s="10" t="s">
        <v>886</v>
      </c>
      <c r="F234" s="10" t="s">
        <v>887</v>
      </c>
      <c r="G234" s="10" t="s">
        <v>709</v>
      </c>
      <c r="H234" s="10" t="s">
        <v>409</v>
      </c>
      <c r="I234" s="13">
        <v>2.4882256702999999</v>
      </c>
      <c r="J234" s="13">
        <v>0</v>
      </c>
      <c r="K234" s="13">
        <v>2.4882256702999999</v>
      </c>
      <c r="L234" s="13">
        <v>0</v>
      </c>
      <c r="M234" s="13">
        <v>2.4882256702999999</v>
      </c>
      <c r="N234" s="10" t="s">
        <v>888</v>
      </c>
      <c r="O234" s="14">
        <v>3.84</v>
      </c>
      <c r="P234" s="10" t="s">
        <v>33</v>
      </c>
      <c r="Q234" s="14" t="s">
        <v>34</v>
      </c>
      <c r="R234" s="10" t="s">
        <v>35</v>
      </c>
      <c r="S234" s="10" t="s">
        <v>886</v>
      </c>
      <c r="T234" s="14">
        <f>IF(O234="","",(1/Metadata!$B$5)^(O234-1))</f>
        <v>691.83097091893671</v>
      </c>
      <c r="U234" s="13">
        <f t="shared" si="3"/>
        <v>1721.4315813490709</v>
      </c>
      <c r="V234" s="22" t="s">
        <v>130</v>
      </c>
      <c r="W234" s="20" t="s">
        <v>889</v>
      </c>
      <c r="X234" s="22" t="s">
        <v>130</v>
      </c>
      <c r="Y234" s="20" t="s">
        <v>889</v>
      </c>
    </row>
    <row r="235" spans="1:25" ht="18" customHeight="1">
      <c r="A235" s="10" t="s">
        <v>25</v>
      </c>
      <c r="B235" s="10" t="s">
        <v>26</v>
      </c>
      <c r="C235" s="10" t="s">
        <v>27</v>
      </c>
      <c r="D235" s="12">
        <v>2019</v>
      </c>
      <c r="E235" s="10" t="s">
        <v>890</v>
      </c>
      <c r="F235" s="10" t="s">
        <v>891</v>
      </c>
      <c r="G235" s="10" t="s">
        <v>49</v>
      </c>
      <c r="H235" s="10" t="s">
        <v>31</v>
      </c>
      <c r="I235" s="13">
        <v>2.2531685930999998</v>
      </c>
      <c r="J235" s="13">
        <v>0</v>
      </c>
      <c r="K235" s="13">
        <v>2.2531685930999998</v>
      </c>
      <c r="L235" s="13">
        <v>0</v>
      </c>
      <c r="M235" s="13">
        <v>2.2531685930999998</v>
      </c>
      <c r="N235" s="10" t="s">
        <v>892</v>
      </c>
      <c r="O235" s="14">
        <v>3.7</v>
      </c>
      <c r="P235" s="10" t="s">
        <v>33</v>
      </c>
      <c r="Q235" s="14" t="s">
        <v>34</v>
      </c>
      <c r="R235" s="10" t="s">
        <v>35</v>
      </c>
      <c r="S235" s="10" t="s">
        <v>890</v>
      </c>
      <c r="T235" s="14">
        <f>IF(O235="","",(1/Metadata!$B$5)^(O235-1))</f>
        <v>501.18723362727269</v>
      </c>
      <c r="U235" s="13">
        <f t="shared" si="3"/>
        <v>1129.259334071643</v>
      </c>
      <c r="V235" s="22" t="s">
        <v>203</v>
      </c>
      <c r="W235" s="20" t="s">
        <v>469</v>
      </c>
      <c r="X235" s="22" t="s">
        <v>203</v>
      </c>
      <c r="Y235" s="20" t="s">
        <v>469</v>
      </c>
    </row>
    <row r="236" spans="1:25" ht="18" customHeight="1">
      <c r="A236" s="10" t="s">
        <v>25</v>
      </c>
      <c r="B236" s="10" t="s">
        <v>26</v>
      </c>
      <c r="C236" s="10" t="s">
        <v>27</v>
      </c>
      <c r="D236" s="12">
        <v>2019</v>
      </c>
      <c r="E236" s="10" t="s">
        <v>893</v>
      </c>
      <c r="F236" s="10" t="s">
        <v>894</v>
      </c>
      <c r="G236" s="10" t="s">
        <v>96</v>
      </c>
      <c r="H236" s="10" t="s">
        <v>97</v>
      </c>
      <c r="I236" s="13">
        <v>1.2550072316000001</v>
      </c>
      <c r="J236" s="13">
        <v>0</v>
      </c>
      <c r="K236" s="13">
        <v>1.2550072316000001</v>
      </c>
      <c r="L236" s="13">
        <v>0</v>
      </c>
      <c r="M236" s="13">
        <v>1.2550072316000001</v>
      </c>
      <c r="N236" s="10" t="s">
        <v>895</v>
      </c>
      <c r="O236" s="14">
        <v>2.7</v>
      </c>
      <c r="P236" s="10" t="s">
        <v>33</v>
      </c>
      <c r="Q236" s="14" t="s">
        <v>34</v>
      </c>
      <c r="R236" s="10" t="s">
        <v>35</v>
      </c>
      <c r="S236" s="10" t="s">
        <v>893</v>
      </c>
      <c r="T236" s="14">
        <f>IF(O236="","",(1/Metadata!$B$5)^(O236-1))</f>
        <v>50.118723362727259</v>
      </c>
      <c r="U236" s="13">
        <f t="shared" si="3"/>
        <v>62.899360258782579</v>
      </c>
      <c r="V236" s="21" t="s">
        <v>96</v>
      </c>
      <c r="W236" s="20" t="s">
        <v>717</v>
      </c>
      <c r="X236" s="21" t="s">
        <v>96</v>
      </c>
      <c r="Y236" s="20" t="s">
        <v>717</v>
      </c>
    </row>
    <row r="237" spans="1:25" ht="18" customHeight="1">
      <c r="A237" s="10" t="s">
        <v>25</v>
      </c>
      <c r="B237" s="10" t="s">
        <v>26</v>
      </c>
      <c r="C237" s="10" t="s">
        <v>27</v>
      </c>
      <c r="D237" s="12">
        <v>2019</v>
      </c>
      <c r="E237" s="10" t="s">
        <v>896</v>
      </c>
      <c r="F237" s="10" t="s">
        <v>897</v>
      </c>
      <c r="G237" s="10" t="s">
        <v>194</v>
      </c>
      <c r="H237" s="10" t="s">
        <v>55</v>
      </c>
      <c r="I237" s="13">
        <v>1.2409956336000001</v>
      </c>
      <c r="J237" s="13">
        <v>0</v>
      </c>
      <c r="K237" s="13">
        <v>1.2409956336000001</v>
      </c>
      <c r="L237" s="13">
        <v>0</v>
      </c>
      <c r="M237" s="13">
        <v>1.2409956336000001</v>
      </c>
      <c r="N237" s="10" t="s">
        <v>898</v>
      </c>
      <c r="O237" s="14">
        <v>3.22</v>
      </c>
      <c r="P237" s="10" t="s">
        <v>43</v>
      </c>
      <c r="Q237" s="14" t="s">
        <v>44</v>
      </c>
      <c r="R237" s="10" t="s">
        <v>35</v>
      </c>
      <c r="S237" s="10" t="s">
        <v>896</v>
      </c>
      <c r="T237" s="14">
        <f>IF(O237="","",(1/Metadata!$B$5)^(O237-1))</f>
        <v>165.95869074375622</v>
      </c>
      <c r="U237" s="13">
        <f t="shared" si="3"/>
        <v>205.95401057097422</v>
      </c>
      <c r="V237" s="22" t="s">
        <v>130</v>
      </c>
      <c r="W237" s="20" t="s">
        <v>602</v>
      </c>
      <c r="X237" s="22" t="s">
        <v>130</v>
      </c>
      <c r="Y237" s="20" t="s">
        <v>602</v>
      </c>
    </row>
    <row r="238" spans="1:25" ht="18" customHeight="1">
      <c r="A238" s="10" t="s">
        <v>25</v>
      </c>
      <c r="B238" s="10" t="s">
        <v>26</v>
      </c>
      <c r="C238" s="10" t="s">
        <v>27</v>
      </c>
      <c r="D238" s="12">
        <v>2019</v>
      </c>
      <c r="E238" s="10" t="s">
        <v>899</v>
      </c>
      <c r="F238" s="10" t="s">
        <v>900</v>
      </c>
      <c r="G238" s="10" t="s">
        <v>49</v>
      </c>
      <c r="H238" s="10" t="s">
        <v>31</v>
      </c>
      <c r="I238" s="13">
        <v>1.1177630005999999</v>
      </c>
      <c r="J238" s="13">
        <v>1.1169655707999999</v>
      </c>
      <c r="K238" s="13">
        <v>7.9742979999999995E-4</v>
      </c>
      <c r="L238" s="13">
        <v>1.1169655707999999</v>
      </c>
      <c r="M238" s="13">
        <v>7.9742979999999995E-4</v>
      </c>
      <c r="N238" s="10" t="s">
        <v>901</v>
      </c>
      <c r="O238" s="14">
        <v>3.35</v>
      </c>
      <c r="P238" s="10" t="s">
        <v>33</v>
      </c>
      <c r="Q238" s="14" t="s">
        <v>34</v>
      </c>
      <c r="R238" s="10" t="s">
        <v>35</v>
      </c>
      <c r="S238" s="10" t="s">
        <v>899</v>
      </c>
      <c r="T238" s="14">
        <f>IF(O238="","",(1/Metadata!$B$5)^(O238-1))</f>
        <v>223.87211385683412</v>
      </c>
      <c r="U238" s="13">
        <f t="shared" si="3"/>
        <v>250.23596573527971</v>
      </c>
      <c r="V238" s="19" t="s">
        <v>36</v>
      </c>
      <c r="W238" s="20" t="s">
        <v>37</v>
      </c>
      <c r="X238" s="19" t="s">
        <v>36</v>
      </c>
      <c r="Y238" s="20" t="s">
        <v>37</v>
      </c>
    </row>
    <row r="239" spans="1:25" ht="18" customHeight="1">
      <c r="A239" s="10" t="s">
        <v>25</v>
      </c>
      <c r="B239" s="10" t="s">
        <v>26</v>
      </c>
      <c r="C239" s="10" t="s">
        <v>27</v>
      </c>
      <c r="D239" s="12">
        <v>2019</v>
      </c>
      <c r="E239" s="10" t="s">
        <v>902</v>
      </c>
      <c r="F239" s="10" t="s">
        <v>903</v>
      </c>
      <c r="G239" s="10" t="s">
        <v>30</v>
      </c>
      <c r="H239" s="10" t="s">
        <v>31</v>
      </c>
      <c r="I239" s="13">
        <v>0.96089057280000001</v>
      </c>
      <c r="J239" s="13">
        <v>0</v>
      </c>
      <c r="K239" s="13">
        <v>0.96089057280000001</v>
      </c>
      <c r="L239" s="13">
        <v>0</v>
      </c>
      <c r="M239" s="13">
        <v>0.96089057280000001</v>
      </c>
      <c r="N239" s="10" t="s">
        <v>904</v>
      </c>
      <c r="O239" s="14">
        <v>4.46</v>
      </c>
      <c r="P239" s="10" t="s">
        <v>43</v>
      </c>
      <c r="Q239" s="14" t="s">
        <v>44</v>
      </c>
      <c r="R239" s="10" t="s">
        <v>35</v>
      </c>
      <c r="S239" s="10" t="s">
        <v>902</v>
      </c>
      <c r="T239" s="14">
        <f>IF(O239="","",(1/Metadata!$B$5)^(O239-1))</f>
        <v>2884.0315031266077</v>
      </c>
      <c r="U239" s="13">
        <f t="shared" si="3"/>
        <v>2771.2386830125711</v>
      </c>
      <c r="V239" s="21" t="s">
        <v>92</v>
      </c>
      <c r="W239" s="20" t="s">
        <v>562</v>
      </c>
      <c r="X239" s="21" t="s">
        <v>92</v>
      </c>
      <c r="Y239" s="20" t="s">
        <v>562</v>
      </c>
    </row>
    <row r="240" spans="1:25" ht="18" customHeight="1">
      <c r="A240" s="10" t="s">
        <v>25</v>
      </c>
      <c r="B240" s="10" t="s">
        <v>26</v>
      </c>
      <c r="C240" s="10" t="s">
        <v>27</v>
      </c>
      <c r="D240" s="12">
        <v>2019</v>
      </c>
      <c r="E240" s="10" t="s">
        <v>905</v>
      </c>
      <c r="F240" s="10" t="s">
        <v>906</v>
      </c>
      <c r="G240" s="10" t="s">
        <v>77</v>
      </c>
      <c r="H240" s="10" t="s">
        <v>31</v>
      </c>
      <c r="I240" s="13">
        <v>0.73436050500000005</v>
      </c>
      <c r="J240" s="13">
        <v>0.73436050500000005</v>
      </c>
      <c r="K240" s="13">
        <v>0</v>
      </c>
      <c r="L240" s="13">
        <v>0</v>
      </c>
      <c r="M240" s="13">
        <v>0.73436050500000005</v>
      </c>
      <c r="N240" s="10" t="s">
        <v>907</v>
      </c>
      <c r="O240" s="14">
        <v>2</v>
      </c>
      <c r="P240" s="10" t="s">
        <v>33</v>
      </c>
      <c r="Q240" s="14" t="s">
        <v>34</v>
      </c>
      <c r="R240" s="10" t="s">
        <v>35</v>
      </c>
      <c r="S240" s="10" t="s">
        <v>905</v>
      </c>
      <c r="T240" s="14">
        <f>IF(O240="","",(1/Metadata!$B$5)^(O240-1))</f>
        <v>10</v>
      </c>
      <c r="U240" s="13">
        <f t="shared" si="3"/>
        <v>7.3436050500000007</v>
      </c>
      <c r="V240" s="21" t="s">
        <v>376</v>
      </c>
      <c r="W240" s="20" t="s">
        <v>377</v>
      </c>
      <c r="X240" s="21" t="s">
        <v>376</v>
      </c>
      <c r="Y240" s="20" t="s">
        <v>377</v>
      </c>
    </row>
    <row r="241" spans="1:25" ht="18" customHeight="1">
      <c r="A241" s="10" t="s">
        <v>25</v>
      </c>
      <c r="B241" s="10" t="s">
        <v>26</v>
      </c>
      <c r="C241" s="10" t="s">
        <v>27</v>
      </c>
      <c r="D241" s="12">
        <v>2019</v>
      </c>
      <c r="E241" s="10" t="s">
        <v>908</v>
      </c>
      <c r="F241" s="10" t="s">
        <v>909</v>
      </c>
      <c r="G241" s="10" t="s">
        <v>408</v>
      </c>
      <c r="H241" s="10" t="s">
        <v>409</v>
      </c>
      <c r="I241" s="13">
        <v>0.71154006869999997</v>
      </c>
      <c r="J241" s="13">
        <v>0.55168370659999999</v>
      </c>
      <c r="K241" s="13">
        <v>0.15985636210000001</v>
      </c>
      <c r="L241" s="13">
        <v>0.54996129569999996</v>
      </c>
      <c r="M241" s="13">
        <v>0.16157877300000001</v>
      </c>
      <c r="N241" s="10" t="s">
        <v>910</v>
      </c>
      <c r="O241" s="14">
        <v>4.3499999999999996</v>
      </c>
      <c r="P241" s="10" t="s">
        <v>43</v>
      </c>
      <c r="Q241" s="14" t="s">
        <v>44</v>
      </c>
      <c r="R241" s="10" t="s">
        <v>35</v>
      </c>
      <c r="S241" s="10" t="s">
        <v>908</v>
      </c>
      <c r="T241" s="14">
        <f>IF(O241="","",(1/Metadata!$B$5)^(O241-1))</f>
        <v>2238.7211385683395</v>
      </c>
      <c r="U241" s="13">
        <f t="shared" si="3"/>
        <v>1592.9397927370585</v>
      </c>
      <c r="V241" s="21" t="s">
        <v>768</v>
      </c>
      <c r="W241" s="20" t="s">
        <v>769</v>
      </c>
      <c r="X241" s="21" t="s">
        <v>768</v>
      </c>
      <c r="Y241" s="20" t="s">
        <v>769</v>
      </c>
    </row>
    <row r="242" spans="1:25" ht="18" customHeight="1">
      <c r="A242" s="10" t="s">
        <v>25</v>
      </c>
      <c r="B242" s="10" t="s">
        <v>26</v>
      </c>
      <c r="C242" s="10" t="s">
        <v>27</v>
      </c>
      <c r="D242" s="12">
        <v>2019</v>
      </c>
      <c r="E242" s="10" t="s">
        <v>911</v>
      </c>
      <c r="F242" s="10" t="s">
        <v>912</v>
      </c>
      <c r="G242" s="10" t="s">
        <v>30</v>
      </c>
      <c r="H242" s="10" t="s">
        <v>55</v>
      </c>
      <c r="I242" s="13">
        <v>0.69520756379999993</v>
      </c>
      <c r="J242" s="13">
        <v>0</v>
      </c>
      <c r="K242" s="13">
        <v>0.69520756379999993</v>
      </c>
      <c r="L242" s="13">
        <v>0</v>
      </c>
      <c r="M242" s="13">
        <v>0.69520756379999993</v>
      </c>
      <c r="N242" s="10" t="s">
        <v>913</v>
      </c>
      <c r="O242" s="14">
        <v>3.33</v>
      </c>
      <c r="P242" s="10" t="s">
        <v>43</v>
      </c>
      <c r="Q242" s="14" t="s">
        <v>44</v>
      </c>
      <c r="R242" s="10" t="s">
        <v>35</v>
      </c>
      <c r="S242" s="10" t="s">
        <v>911</v>
      </c>
      <c r="T242" s="14">
        <f>IF(O242="","",(1/Metadata!$B$5)^(O242-1))</f>
        <v>213.79620895022339</v>
      </c>
      <c r="U242" s="13">
        <f t="shared" si="3"/>
        <v>148.63274157396054</v>
      </c>
      <c r="V242" s="22" t="s">
        <v>130</v>
      </c>
      <c r="W242" s="20" t="s">
        <v>671</v>
      </c>
      <c r="X242" s="22" t="s">
        <v>130</v>
      </c>
      <c r="Y242" s="20" t="s">
        <v>671</v>
      </c>
    </row>
    <row r="243" spans="1:25" ht="18" customHeight="1">
      <c r="A243" s="10" t="s">
        <v>25</v>
      </c>
      <c r="B243" s="10" t="s">
        <v>26</v>
      </c>
      <c r="C243" s="10" t="s">
        <v>27</v>
      </c>
      <c r="D243" s="12">
        <v>2019</v>
      </c>
      <c r="E243" s="10" t="s">
        <v>914</v>
      </c>
      <c r="F243" s="10" t="s">
        <v>915</v>
      </c>
      <c r="G243" s="10" t="s">
        <v>194</v>
      </c>
      <c r="H243" s="10" t="s">
        <v>55</v>
      </c>
      <c r="I243" s="13">
        <v>0.58169386609999996</v>
      </c>
      <c r="J243" s="13">
        <v>0</v>
      </c>
      <c r="K243" s="13">
        <v>0.58169386609999996</v>
      </c>
      <c r="L243" s="13">
        <v>0</v>
      </c>
      <c r="M243" s="13">
        <v>0.58169386609999996</v>
      </c>
      <c r="N243" s="10" t="s">
        <v>916</v>
      </c>
      <c r="O243" s="14">
        <v>4.2699999999999996</v>
      </c>
      <c r="P243" s="10" t="s">
        <v>43</v>
      </c>
      <c r="Q243" s="14" t="s">
        <v>44</v>
      </c>
      <c r="R243" s="10" t="s">
        <v>35</v>
      </c>
      <c r="S243" s="10" t="s">
        <v>914</v>
      </c>
      <c r="T243" s="14">
        <f>IF(O243="","",(1/Metadata!$B$5)^(O243-1))</f>
        <v>1862.0871366628671</v>
      </c>
      <c r="U243" s="13">
        <f t="shared" si="3"/>
        <v>1083.1646655405023</v>
      </c>
      <c r="V243" s="22" t="s">
        <v>92</v>
      </c>
      <c r="W243" s="20" t="s">
        <v>678</v>
      </c>
      <c r="X243" s="22" t="s">
        <v>92</v>
      </c>
      <c r="Y243" s="20" t="s">
        <v>678</v>
      </c>
    </row>
    <row r="244" spans="1:25" ht="18" customHeight="1">
      <c r="A244" s="10" t="s">
        <v>25</v>
      </c>
      <c r="B244" s="10" t="s">
        <v>26</v>
      </c>
      <c r="C244" s="10" t="s">
        <v>27</v>
      </c>
      <c r="D244" s="12">
        <v>2019</v>
      </c>
      <c r="E244" s="10" t="s">
        <v>917</v>
      </c>
      <c r="F244" s="10" t="s">
        <v>676</v>
      </c>
      <c r="G244" s="10" t="s">
        <v>194</v>
      </c>
      <c r="H244" s="10" t="s">
        <v>55</v>
      </c>
      <c r="I244" s="13">
        <v>0.54253063840000004</v>
      </c>
      <c r="J244" s="13">
        <v>0</v>
      </c>
      <c r="K244" s="13">
        <v>0.54253063840000004</v>
      </c>
      <c r="L244" s="13">
        <v>0</v>
      </c>
      <c r="M244" s="13">
        <v>0.54253063840000004</v>
      </c>
      <c r="N244" s="10" t="s">
        <v>918</v>
      </c>
      <c r="O244" s="14">
        <v>4.0199999999999996</v>
      </c>
      <c r="P244" s="10" t="s">
        <v>33</v>
      </c>
      <c r="Q244" s="14" t="s">
        <v>34</v>
      </c>
      <c r="R244" s="10" t="s">
        <v>35</v>
      </c>
      <c r="S244" s="10" t="s">
        <v>917</v>
      </c>
      <c r="T244" s="14">
        <f>IF(O244="","",(1/Metadata!$B$5)^(O244-1))</f>
        <v>1047.1285480508991</v>
      </c>
      <c r="U244" s="13">
        <f t="shared" si="3"/>
        <v>568.09931966091938</v>
      </c>
      <c r="V244" s="22" t="s">
        <v>92</v>
      </c>
      <c r="W244" s="20" t="s">
        <v>678</v>
      </c>
      <c r="X244" s="22" t="s">
        <v>92</v>
      </c>
      <c r="Y244" s="20" t="s">
        <v>678</v>
      </c>
    </row>
    <row r="245" spans="1:25" ht="18" customHeight="1">
      <c r="A245" s="10" t="s">
        <v>25</v>
      </c>
      <c r="B245" s="10" t="s">
        <v>26</v>
      </c>
      <c r="C245" s="10" t="s">
        <v>27</v>
      </c>
      <c r="D245" s="12">
        <v>2019</v>
      </c>
      <c r="E245" s="10" t="s">
        <v>919</v>
      </c>
      <c r="F245" s="10" t="s">
        <v>920</v>
      </c>
      <c r="G245" s="10" t="s">
        <v>40</v>
      </c>
      <c r="H245" s="10" t="s">
        <v>50</v>
      </c>
      <c r="I245" s="13">
        <v>0.38845318369999998</v>
      </c>
      <c r="J245" s="13">
        <v>0.38845318369999998</v>
      </c>
      <c r="K245" s="13">
        <v>0</v>
      </c>
      <c r="L245" s="13">
        <v>9.9727074400000004E-2</v>
      </c>
      <c r="M245" s="13">
        <v>0.28872610929999998</v>
      </c>
      <c r="N245" s="10" t="s">
        <v>921</v>
      </c>
      <c r="O245" s="14">
        <v>3.4</v>
      </c>
      <c r="P245" s="10" t="s">
        <v>43</v>
      </c>
      <c r="Q245" s="14" t="s">
        <v>44</v>
      </c>
      <c r="R245" s="10" t="s">
        <v>35</v>
      </c>
      <c r="S245" s="10" t="s">
        <v>919</v>
      </c>
      <c r="T245" s="14">
        <f>IF(O245="","",(1/Metadata!$B$5)^(O245-1))</f>
        <v>251.18864315095806</v>
      </c>
      <c r="U245" s="13">
        <f t="shared" si="3"/>
        <v>97.575028141272853</v>
      </c>
      <c r="V245" s="22" t="s">
        <v>45</v>
      </c>
      <c r="W245" s="20" t="s">
        <v>191</v>
      </c>
      <c r="X245" s="22" t="s">
        <v>45</v>
      </c>
      <c r="Y245" s="20" t="s">
        <v>191</v>
      </c>
    </row>
    <row r="246" spans="1:25" ht="18" customHeight="1">
      <c r="A246" s="10" t="s">
        <v>25</v>
      </c>
      <c r="B246" s="10" t="s">
        <v>26</v>
      </c>
      <c r="C246" s="10" t="s">
        <v>27</v>
      </c>
      <c r="D246" s="12">
        <v>2019</v>
      </c>
      <c r="E246" s="10" t="s">
        <v>922</v>
      </c>
      <c r="F246" s="10" t="s">
        <v>923</v>
      </c>
      <c r="G246" s="10" t="s">
        <v>408</v>
      </c>
      <c r="H246" s="10" t="s">
        <v>409</v>
      </c>
      <c r="I246" s="13">
        <v>0.3550511777</v>
      </c>
      <c r="J246" s="13">
        <v>1.0617517700000001E-2</v>
      </c>
      <c r="K246" s="13">
        <v>0.34443365999999997</v>
      </c>
      <c r="L246" s="13">
        <v>1.0617517700000001E-2</v>
      </c>
      <c r="M246" s="13">
        <v>0.34443365999999997</v>
      </c>
      <c r="N246" s="10" t="s">
        <v>924</v>
      </c>
      <c r="O246" s="14">
        <v>4.51</v>
      </c>
      <c r="P246" s="10" t="s">
        <v>43</v>
      </c>
      <c r="Q246" s="14" t="s">
        <v>44</v>
      </c>
      <c r="R246" s="10" t="s">
        <v>35</v>
      </c>
      <c r="S246" s="10" t="s">
        <v>922</v>
      </c>
      <c r="T246" s="14">
        <f>IF(O246="","",(1/Metadata!$B$5)^(O246-1))</f>
        <v>3235.9365692962833</v>
      </c>
      <c r="U246" s="13">
        <f t="shared" si="3"/>
        <v>1148.923089891143</v>
      </c>
      <c r="V246" s="21" t="s">
        <v>768</v>
      </c>
      <c r="W246" s="20" t="s">
        <v>769</v>
      </c>
      <c r="X246" s="21" t="s">
        <v>768</v>
      </c>
      <c r="Y246" s="20" t="s">
        <v>769</v>
      </c>
    </row>
    <row r="247" spans="1:25" ht="18" customHeight="1">
      <c r="A247" s="10" t="s">
        <v>25</v>
      </c>
      <c r="B247" s="10" t="s">
        <v>26</v>
      </c>
      <c r="C247" s="10" t="s">
        <v>27</v>
      </c>
      <c r="D247" s="12">
        <v>2019</v>
      </c>
      <c r="E247" s="10" t="s">
        <v>925</v>
      </c>
      <c r="F247" s="10" t="s">
        <v>926</v>
      </c>
      <c r="G247" s="10" t="s">
        <v>156</v>
      </c>
      <c r="H247" s="10" t="s">
        <v>31</v>
      </c>
      <c r="I247" s="13">
        <v>0.2325580525</v>
      </c>
      <c r="J247" s="13">
        <v>0.2325580525</v>
      </c>
      <c r="K247" s="13">
        <v>0</v>
      </c>
      <c r="L247" s="13">
        <v>0</v>
      </c>
      <c r="M247" s="13">
        <v>0.2325580525</v>
      </c>
      <c r="N247" s="10" t="s">
        <v>927</v>
      </c>
      <c r="O247" s="14">
        <v>3.46</v>
      </c>
      <c r="P247" s="10" t="s">
        <v>33</v>
      </c>
      <c r="Q247" s="14" t="s">
        <v>34</v>
      </c>
      <c r="R247" s="10" t="s">
        <v>35</v>
      </c>
      <c r="S247" s="10" t="s">
        <v>925</v>
      </c>
      <c r="T247" s="14">
        <f>IF(O247="","",(1/Metadata!$B$5)^(O247-1))</f>
        <v>288.40315031266073</v>
      </c>
      <c r="U247" s="13">
        <f t="shared" si="3"/>
        <v>67.070474971577141</v>
      </c>
      <c r="V247" s="21" t="s">
        <v>158</v>
      </c>
      <c r="W247" s="20" t="s">
        <v>159</v>
      </c>
      <c r="X247" s="21" t="s">
        <v>158</v>
      </c>
      <c r="Y247" s="20" t="s">
        <v>159</v>
      </c>
    </row>
    <row r="248" spans="1:25" ht="18" customHeight="1">
      <c r="A248" s="10" t="s">
        <v>25</v>
      </c>
      <c r="B248" s="10" t="s">
        <v>26</v>
      </c>
      <c r="C248" s="10" t="s">
        <v>27</v>
      </c>
      <c r="D248" s="12">
        <v>2019</v>
      </c>
      <c r="E248" s="10" t="s">
        <v>928</v>
      </c>
      <c r="F248" s="10" t="s">
        <v>929</v>
      </c>
      <c r="G248" s="10" t="s">
        <v>123</v>
      </c>
      <c r="H248" s="10" t="s">
        <v>97</v>
      </c>
      <c r="I248" s="13">
        <v>0.2041989293</v>
      </c>
      <c r="J248" s="13">
        <v>0.2041989293</v>
      </c>
      <c r="K248" s="13">
        <v>0</v>
      </c>
      <c r="L248" s="13">
        <v>0.2041989293</v>
      </c>
      <c r="M248" s="13">
        <v>0</v>
      </c>
      <c r="N248" s="10" t="s">
        <v>930</v>
      </c>
      <c r="O248" s="14">
        <v>3.74</v>
      </c>
      <c r="P248" s="10" t="s">
        <v>43</v>
      </c>
      <c r="Q248" s="14" t="s">
        <v>44</v>
      </c>
      <c r="R248" s="10" t="s">
        <v>35</v>
      </c>
      <c r="S248" s="10" t="s">
        <v>928</v>
      </c>
      <c r="T248" s="14">
        <f>IF(O248="","",(1/Metadata!$B$5)^(O248-1))</f>
        <v>549.54087385762534</v>
      </c>
      <c r="U248" s="13">
        <f t="shared" si="3"/>
        <v>112.21565804831346</v>
      </c>
      <c r="V248" s="21" t="s">
        <v>125</v>
      </c>
      <c r="W248" s="20" t="s">
        <v>931</v>
      </c>
      <c r="X248" s="21" t="s">
        <v>125</v>
      </c>
      <c r="Y248" s="20" t="s">
        <v>931</v>
      </c>
    </row>
    <row r="249" spans="1:25" ht="18" customHeight="1">
      <c r="A249" s="10" t="s">
        <v>25</v>
      </c>
      <c r="B249" s="10" t="s">
        <v>26</v>
      </c>
      <c r="C249" s="10" t="s">
        <v>27</v>
      </c>
      <c r="D249" s="12">
        <v>2019</v>
      </c>
      <c r="E249" s="10" t="s">
        <v>932</v>
      </c>
      <c r="F249" s="10" t="s">
        <v>933</v>
      </c>
      <c r="G249" s="10" t="s">
        <v>77</v>
      </c>
      <c r="H249" s="10" t="s">
        <v>31</v>
      </c>
      <c r="I249" s="13">
        <v>3.9223069399999998E-2</v>
      </c>
      <c r="J249" s="13">
        <v>0</v>
      </c>
      <c r="K249" s="13">
        <v>3.9223069399999998E-2</v>
      </c>
      <c r="L249" s="13">
        <v>0</v>
      </c>
      <c r="M249" s="13">
        <v>3.9223069399999998E-2</v>
      </c>
      <c r="N249" s="10" t="s">
        <v>934</v>
      </c>
      <c r="O249" s="14">
        <v>2</v>
      </c>
      <c r="P249" s="10" t="s">
        <v>33</v>
      </c>
      <c r="Q249" s="14" t="s">
        <v>34</v>
      </c>
      <c r="R249" s="10" t="s">
        <v>35</v>
      </c>
      <c r="S249" s="10" t="s">
        <v>932</v>
      </c>
      <c r="T249" s="14">
        <f>IF(O249="","",(1/Metadata!$B$5)^(O249-1))</f>
        <v>10</v>
      </c>
      <c r="U249" s="13">
        <f t="shared" si="3"/>
        <v>0.39223069399999999</v>
      </c>
      <c r="V249" s="21" t="s">
        <v>376</v>
      </c>
      <c r="W249" s="20" t="s">
        <v>377</v>
      </c>
      <c r="X249" s="21" t="s">
        <v>376</v>
      </c>
      <c r="Y249" s="20" t="s">
        <v>377</v>
      </c>
    </row>
    <row r="250" spans="1:25" ht="18" customHeight="1">
      <c r="A250" s="10" t="s">
        <v>25</v>
      </c>
      <c r="B250" s="10" t="s">
        <v>26</v>
      </c>
      <c r="C250" s="10" t="s">
        <v>27</v>
      </c>
      <c r="D250" s="12">
        <v>2019</v>
      </c>
      <c r="E250" s="10" t="s">
        <v>935</v>
      </c>
      <c r="F250" s="10" t="s">
        <v>936</v>
      </c>
      <c r="G250" s="10" t="s">
        <v>142</v>
      </c>
      <c r="H250" s="10" t="s">
        <v>55</v>
      </c>
      <c r="I250" s="13">
        <v>2.5118080399999999E-2</v>
      </c>
      <c r="J250" s="13">
        <v>0</v>
      </c>
      <c r="K250" s="13">
        <v>2.5118080399999999E-2</v>
      </c>
      <c r="L250" s="13">
        <v>0</v>
      </c>
      <c r="M250" s="13">
        <v>2.5118080399999999E-2</v>
      </c>
      <c r="N250" s="10" t="s">
        <v>937</v>
      </c>
      <c r="O250" s="14">
        <v>4.26</v>
      </c>
      <c r="P250" s="10" t="s">
        <v>43</v>
      </c>
      <c r="Q250" s="14" t="s">
        <v>44</v>
      </c>
      <c r="R250" s="10" t="s">
        <v>35</v>
      </c>
      <c r="S250" s="10" t="s">
        <v>935</v>
      </c>
      <c r="T250" s="14">
        <f>IF(O250="","",(1/Metadata!$B$5)^(O250-1))</f>
        <v>1819.7008586099832</v>
      </c>
      <c r="U250" s="13">
        <f t="shared" si="3"/>
        <v>45.707392470514591</v>
      </c>
      <c r="V250" s="22" t="s">
        <v>92</v>
      </c>
      <c r="W250" s="20" t="s">
        <v>222</v>
      </c>
      <c r="X250" s="22" t="s">
        <v>92</v>
      </c>
      <c r="Y250" s="20" t="s">
        <v>222</v>
      </c>
    </row>
    <row r="251" spans="1:25" ht="18" customHeight="1">
      <c r="A251" s="10" t="s">
        <v>25</v>
      </c>
      <c r="B251" s="10" t="s">
        <v>26</v>
      </c>
      <c r="C251" s="10" t="s">
        <v>27</v>
      </c>
      <c r="D251" s="12">
        <v>2019</v>
      </c>
      <c r="E251" s="10" t="s">
        <v>938</v>
      </c>
      <c r="F251" s="10" t="s">
        <v>939</v>
      </c>
      <c r="G251" s="10" t="s">
        <v>123</v>
      </c>
      <c r="H251" s="10" t="s">
        <v>97</v>
      </c>
      <c r="I251" s="13">
        <v>9.5713272000000002E-3</v>
      </c>
      <c r="J251" s="13">
        <v>9.4261200999999992E-3</v>
      </c>
      <c r="K251" s="13">
        <v>1.4520709999999999E-4</v>
      </c>
      <c r="L251" s="13">
        <v>9.4261200999999992E-3</v>
      </c>
      <c r="M251" s="13">
        <v>1.4520709999999999E-4</v>
      </c>
      <c r="N251" s="10" t="s">
        <v>940</v>
      </c>
      <c r="O251" s="14">
        <v>3.54</v>
      </c>
      <c r="P251" s="10" t="s">
        <v>43</v>
      </c>
      <c r="Q251" s="14" t="s">
        <v>44</v>
      </c>
      <c r="R251" s="10" t="s">
        <v>35</v>
      </c>
      <c r="S251" s="10" t="s">
        <v>938</v>
      </c>
      <c r="T251" s="14">
        <f>IF(O251="","",(1/Metadata!$B$5)^(O251-1))</f>
        <v>346.73685045253183</v>
      </c>
      <c r="U251" s="13">
        <f t="shared" si="3"/>
        <v>3.3187318479786501</v>
      </c>
      <c r="V251" s="21" t="s">
        <v>125</v>
      </c>
      <c r="W251" s="20" t="s">
        <v>931</v>
      </c>
      <c r="X251" s="21" t="s">
        <v>125</v>
      </c>
      <c r="Y251" s="20" t="s">
        <v>931</v>
      </c>
    </row>
    <row r="252" spans="1:25" ht="18" customHeight="1">
      <c r="A252" s="10" t="s">
        <v>25</v>
      </c>
      <c r="B252" s="10" t="s">
        <v>26</v>
      </c>
      <c r="C252" s="10" t="s">
        <v>27</v>
      </c>
      <c r="D252" s="12">
        <v>2019</v>
      </c>
      <c r="E252" s="10" t="s">
        <v>941</v>
      </c>
      <c r="F252" s="10" t="s">
        <v>942</v>
      </c>
      <c r="G252" s="10" t="s">
        <v>408</v>
      </c>
      <c r="H252" s="10" t="s">
        <v>409</v>
      </c>
      <c r="I252" s="13">
        <v>6.8913309999999997E-3</v>
      </c>
      <c r="J252" s="13">
        <v>3.4590340000000003E-4</v>
      </c>
      <c r="K252" s="13">
        <v>6.5454275999999997E-3</v>
      </c>
      <c r="L252" s="13">
        <v>3.4590340000000003E-4</v>
      </c>
      <c r="M252" s="13">
        <v>6.5454275999999997E-3</v>
      </c>
      <c r="N252" s="10" t="s">
        <v>943</v>
      </c>
      <c r="O252" s="14">
        <v>4.16</v>
      </c>
      <c r="P252" s="10" t="s">
        <v>43</v>
      </c>
      <c r="Q252" s="14" t="s">
        <v>44</v>
      </c>
      <c r="R252" s="10" t="s">
        <v>35</v>
      </c>
      <c r="S252" s="10" t="s">
        <v>941</v>
      </c>
      <c r="T252" s="14">
        <f>IF(O252="","",(1/Metadata!$B$5)^(O252-1))</f>
        <v>1445.4397707459289</v>
      </c>
      <c r="U252" s="13">
        <f t="shared" si="3"/>
        <v>9.9610039007743119</v>
      </c>
      <c r="V252" s="21" t="s">
        <v>768</v>
      </c>
      <c r="W252" s="20" t="s">
        <v>769</v>
      </c>
      <c r="X252" s="21" t="s">
        <v>768</v>
      </c>
      <c r="Y252" s="20" t="s">
        <v>769</v>
      </c>
    </row>
    <row r="253" spans="1:25" ht="18" customHeight="1">
      <c r="A253" s="10" t="s">
        <v>25</v>
      </c>
      <c r="B253" s="10" t="s">
        <v>26</v>
      </c>
      <c r="C253" s="10" t="s">
        <v>27</v>
      </c>
      <c r="D253" s="12">
        <v>2019</v>
      </c>
      <c r="E253" s="10" t="s">
        <v>944</v>
      </c>
      <c r="F253" s="10" t="s">
        <v>945</v>
      </c>
      <c r="G253" s="10" t="s">
        <v>408</v>
      </c>
      <c r="H253" s="10" t="s">
        <v>409</v>
      </c>
      <c r="I253" s="13">
        <v>5.0666723999999996E-3</v>
      </c>
      <c r="J253" s="13">
        <v>4.1683987E-3</v>
      </c>
      <c r="K253" s="13">
        <v>8.9827370000000002E-4</v>
      </c>
      <c r="L253" s="13">
        <v>4.1683987E-3</v>
      </c>
      <c r="M253" s="13">
        <v>8.9827370000000002E-4</v>
      </c>
      <c r="N253" s="10" t="s">
        <v>946</v>
      </c>
      <c r="O253" s="14">
        <v>4.5</v>
      </c>
      <c r="P253" s="10" t="s">
        <v>33</v>
      </c>
      <c r="Q253" s="14" t="s">
        <v>34</v>
      </c>
      <c r="R253" s="10" t="s">
        <v>35</v>
      </c>
      <c r="S253" s="10" t="s">
        <v>944</v>
      </c>
      <c r="T253" s="14">
        <f>IF(O253="","",(1/Metadata!$B$5)^(O253-1))</f>
        <v>3162.2776601683804</v>
      </c>
      <c r="U253" s="13">
        <f t="shared" si="3"/>
        <v>16.022224941911713</v>
      </c>
      <c r="V253" s="21" t="s">
        <v>768</v>
      </c>
      <c r="W253" s="20" t="s">
        <v>769</v>
      </c>
      <c r="X253" s="21" t="s">
        <v>768</v>
      </c>
      <c r="Y253" s="20" t="s">
        <v>769</v>
      </c>
    </row>
    <row r="254" spans="1:25" ht="18" customHeight="1">
      <c r="A254" s="10" t="s">
        <v>25</v>
      </c>
      <c r="B254" s="10" t="s">
        <v>26</v>
      </c>
      <c r="C254" s="10" t="s">
        <v>27</v>
      </c>
      <c r="D254" s="12">
        <v>2019</v>
      </c>
      <c r="E254" s="10" t="s">
        <v>947</v>
      </c>
      <c r="F254" s="10" t="s">
        <v>948</v>
      </c>
      <c r="G254" s="10" t="s">
        <v>408</v>
      </c>
      <c r="H254" s="10" t="s">
        <v>409</v>
      </c>
      <c r="I254" s="13">
        <v>2.9469918000000002E-3</v>
      </c>
      <c r="J254" s="13">
        <v>2.9469918000000002E-3</v>
      </c>
      <c r="K254" s="13">
        <v>0</v>
      </c>
      <c r="L254" s="13">
        <v>0</v>
      </c>
      <c r="M254" s="13">
        <v>2.9469918000000002E-3</v>
      </c>
      <c r="N254" s="10" t="s">
        <v>949</v>
      </c>
      <c r="O254" s="14">
        <v>4.5</v>
      </c>
      <c r="P254" s="10" t="s">
        <v>43</v>
      </c>
      <c r="Q254" s="14" t="s">
        <v>44</v>
      </c>
      <c r="R254" s="10" t="s">
        <v>35</v>
      </c>
      <c r="S254" s="10" t="s">
        <v>947</v>
      </c>
      <c r="T254" s="14">
        <f>IF(O254="","",(1/Metadata!$B$5)^(O254-1))</f>
        <v>3162.2776601683804</v>
      </c>
      <c r="U254" s="13">
        <f t="shared" si="3"/>
        <v>9.3192063338394036</v>
      </c>
      <c r="V254" s="21" t="s">
        <v>768</v>
      </c>
      <c r="W254" s="20" t="s">
        <v>769</v>
      </c>
      <c r="X254" s="21" t="s">
        <v>768</v>
      </c>
      <c r="Y254" s="20" t="s">
        <v>769</v>
      </c>
    </row>
    <row r="255" spans="1:25" ht="18" customHeight="1">
      <c r="A255" s="10" t="s">
        <v>25</v>
      </c>
      <c r="B255" s="10" t="s">
        <v>26</v>
      </c>
      <c r="C255" s="10" t="s">
        <v>27</v>
      </c>
      <c r="D255" s="12">
        <v>2019</v>
      </c>
      <c r="E255" s="10" t="s">
        <v>950</v>
      </c>
      <c r="F255" s="10" t="s">
        <v>951</v>
      </c>
      <c r="G255" s="10" t="s">
        <v>408</v>
      </c>
      <c r="H255" s="10" t="s">
        <v>409</v>
      </c>
      <c r="I255" s="13">
        <v>2.1753421999999999E-3</v>
      </c>
      <c r="J255" s="13">
        <v>2.1753421999999999E-3</v>
      </c>
      <c r="K255" s="13">
        <v>0</v>
      </c>
      <c r="L255" s="13">
        <v>2.1753421999999999E-3</v>
      </c>
      <c r="M255" s="13">
        <v>0</v>
      </c>
      <c r="N255" s="10" t="s">
        <v>952</v>
      </c>
      <c r="O255" s="14">
        <v>4.2</v>
      </c>
      <c r="P255" s="10" t="s">
        <v>33</v>
      </c>
      <c r="Q255" s="14" t="s">
        <v>34</v>
      </c>
      <c r="R255" s="10" t="s">
        <v>35</v>
      </c>
      <c r="S255" s="10" t="s">
        <v>950</v>
      </c>
      <c r="T255" s="14">
        <f>IF(O255="","",(1/Metadata!$B$5)^(O255-1))</f>
        <v>1584.8931924611156</v>
      </c>
      <c r="U255" s="13">
        <f t="shared" si="3"/>
        <v>3.4476850440533866</v>
      </c>
      <c r="V255" s="21" t="s">
        <v>768</v>
      </c>
      <c r="W255" s="20" t="s">
        <v>769</v>
      </c>
      <c r="X255" s="21" t="s">
        <v>768</v>
      </c>
      <c r="Y255" s="20" t="s">
        <v>769</v>
      </c>
    </row>
  </sheetData>
  <conditionalFormatting sqref="R2:R255">
    <cfRule type="containsText" dxfId="2" priority="1" operator="containsText" text="low"/>
  </conditionalFormatting>
  <pageMargins left="0.7" right="0.7" top="0.75" bottom="0.75" header="0.3" footer="0.3"/>
  <headerFooter>
    <oddHeader>&amp;C&amp;"Aptos"&amp;10&amp;K000000 - בלמ"ס -&amp;1#_x000D_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
  <sheetViews>
    <sheetView showGridLines="0" workbookViewId="0"/>
  </sheetViews>
  <sheetFormatPr defaultColWidth="8.83203125" defaultRowHeight="14"/>
  <cols>
    <col min="1" max="1" width="26" customWidth="1"/>
    <col min="2" max="3" width="22" customWidth="1"/>
    <col min="4" max="6" width="18" customWidth="1"/>
    <col min="7" max="7" width="16" customWidth="1"/>
    <col min="8" max="9" width="18" customWidth="1"/>
    <col min="10" max="10" width="15" customWidth="1"/>
    <col min="11" max="13" width="18" customWidth="1"/>
    <col min="14" max="15" width="16" customWidth="1"/>
  </cols>
  <sheetData>
    <row r="1" spans="1:15" ht="32" customHeight="1">
      <c r="A1" s="11" t="s">
        <v>7</v>
      </c>
      <c r="B1" s="11" t="s">
        <v>953</v>
      </c>
      <c r="C1" s="11" t="s">
        <v>954</v>
      </c>
      <c r="D1" s="11" t="s">
        <v>955</v>
      </c>
      <c r="E1" s="11" t="s">
        <v>956</v>
      </c>
      <c r="F1" s="11" t="s">
        <v>957</v>
      </c>
      <c r="G1" s="11" t="s">
        <v>958</v>
      </c>
      <c r="H1" s="11" t="s">
        <v>959</v>
      </c>
      <c r="I1" s="11" t="s">
        <v>960</v>
      </c>
      <c r="J1" s="11" t="s">
        <v>961</v>
      </c>
      <c r="K1" s="11" t="s">
        <v>962</v>
      </c>
      <c r="L1" s="11" t="s">
        <v>963</v>
      </c>
      <c r="M1" s="11" t="s">
        <v>964</v>
      </c>
      <c r="N1" s="11" t="s">
        <v>965</v>
      </c>
      <c r="O1" s="11" t="s">
        <v>966</v>
      </c>
    </row>
    <row r="2" spans="1:15" ht="18" customHeight="1">
      <c r="A2" s="10" t="s">
        <v>41</v>
      </c>
      <c r="B2" s="15">
        <v>3</v>
      </c>
      <c r="C2" s="15">
        <v>3</v>
      </c>
      <c r="D2" s="13">
        <v>454628.96301613387</v>
      </c>
      <c r="E2" s="13">
        <v>454628.96301613387</v>
      </c>
      <c r="F2" s="14">
        <v>0</v>
      </c>
      <c r="G2" s="16">
        <v>1</v>
      </c>
      <c r="H2" s="14">
        <f t="shared" ref="H2:H13" si="0">IF(E2=0,"",I2/E2)</f>
        <v>138.05882413293057</v>
      </c>
      <c r="I2" s="13">
        <f>SUMIF(Species!$H$2:$H$255,A2,Species!$U$2:$U$255)</f>
        <v>62765540.050781026</v>
      </c>
      <c r="J2" s="14">
        <v>3.1400597786971209</v>
      </c>
      <c r="K2" s="14">
        <f>IF(J2="","",(1/Metadata!$B$5)^(J2-1))</f>
        <v>138.05742814132557</v>
      </c>
      <c r="L2" s="13">
        <f t="shared" ref="L2:L13" si="1">IF(E2=0,"",E2*K2)</f>
        <v>62764905.392565265</v>
      </c>
      <c r="M2" s="13">
        <f t="shared" ref="M2:M13" si="2">I2-L2</f>
        <v>634.65821576118469</v>
      </c>
      <c r="N2" s="14">
        <f t="shared" ref="N2:N13" si="3">IF(L2=0,"",I2/L2)</f>
        <v>1.0000101116732638</v>
      </c>
      <c r="O2" s="16">
        <f t="shared" ref="O2:O13" si="4">IF(L2=0,"",M2/L2)</f>
        <v>1.0111673263772055E-5</v>
      </c>
    </row>
    <row r="3" spans="1:15" ht="18" customHeight="1">
      <c r="A3" s="10" t="s">
        <v>207</v>
      </c>
      <c r="B3" s="15">
        <v>3</v>
      </c>
      <c r="C3" s="15">
        <v>3</v>
      </c>
      <c r="D3" s="13">
        <v>38524.959247930608</v>
      </c>
      <c r="E3" s="13">
        <v>38524.959247930608</v>
      </c>
      <c r="F3" s="14">
        <v>0</v>
      </c>
      <c r="G3" s="16">
        <v>1</v>
      </c>
      <c r="H3" s="14">
        <f t="shared" si="0"/>
        <v>1419.3137191859482</v>
      </c>
      <c r="I3" s="13">
        <f>SUMIF(Species!$H$2:$H$255,A3,Species!$U$2:$U$255)</f>
        <v>54679003.191667482</v>
      </c>
      <c r="J3" s="14">
        <v>4.1475339672931533</v>
      </c>
      <c r="K3" s="14">
        <f>IF(J3="","",(1/Metadata!$B$5)^(J3-1))</f>
        <v>1404.5395319466581</v>
      </c>
      <c r="L3" s="13">
        <f t="shared" si="1"/>
        <v>54109828.230352536</v>
      </c>
      <c r="M3" s="13">
        <f t="shared" si="2"/>
        <v>569174.96131494641</v>
      </c>
      <c r="N3" s="14">
        <f t="shared" si="3"/>
        <v>1.0105188831665091</v>
      </c>
      <c r="O3" s="16">
        <f t="shared" si="4"/>
        <v>1.0518883166508957E-2</v>
      </c>
    </row>
    <row r="4" spans="1:15" ht="18" customHeight="1">
      <c r="A4" s="10" t="s">
        <v>97</v>
      </c>
      <c r="B4" s="15">
        <v>31</v>
      </c>
      <c r="C4" s="15">
        <v>31</v>
      </c>
      <c r="D4" s="13">
        <v>675289.65481106436</v>
      </c>
      <c r="E4" s="13">
        <v>675289.65481106436</v>
      </c>
      <c r="F4" s="14">
        <v>0</v>
      </c>
      <c r="G4" s="16">
        <v>1</v>
      </c>
      <c r="H4" s="14">
        <f t="shared" si="0"/>
        <v>156.52912937187247</v>
      </c>
      <c r="I4" s="13">
        <f>SUMIF(Species!$H$2:$H$255,A4,Species!$U$2:$U$255)</f>
        <v>105702501.7414082</v>
      </c>
      <c r="J4" s="14">
        <v>2.8492268810827932</v>
      </c>
      <c r="K4" s="14">
        <f>IF(J4="","",(1/Metadata!$B$5)^(J4-1))</f>
        <v>70.668664013405163</v>
      </c>
      <c r="L4" s="13">
        <f t="shared" si="1"/>
        <v>47721817.727571458</v>
      </c>
      <c r="M4" s="13">
        <f t="shared" si="2"/>
        <v>57980684.013836741</v>
      </c>
      <c r="N4" s="14">
        <f t="shared" si="3"/>
        <v>2.2149722448719338</v>
      </c>
      <c r="O4" s="16">
        <f t="shared" si="4"/>
        <v>1.2149722448719338</v>
      </c>
    </row>
    <row r="5" spans="1:15" ht="18" customHeight="1">
      <c r="A5" s="10" t="s">
        <v>280</v>
      </c>
      <c r="B5" s="15">
        <v>6</v>
      </c>
      <c r="C5" s="15">
        <v>6</v>
      </c>
      <c r="D5" s="13">
        <v>23310.993256819202</v>
      </c>
      <c r="E5" s="13">
        <v>23310.993256819202</v>
      </c>
      <c r="F5" s="14">
        <v>0</v>
      </c>
      <c r="G5" s="16">
        <v>1</v>
      </c>
      <c r="H5" s="14">
        <f t="shared" si="0"/>
        <v>790.76899021266934</v>
      </c>
      <c r="I5" s="13">
        <f>SUMIF(Species!$H$2:$H$255,A5,Species!$U$2:$U$255)</f>
        <v>18433610.598549265</v>
      </c>
      <c r="J5" s="14">
        <v>3.7539228886580989</v>
      </c>
      <c r="K5" s="14">
        <f>IF(J5="","",(1/Metadata!$B$5)^(J5-1))</f>
        <v>567.44384372981051</v>
      </c>
      <c r="L5" s="13">
        <f t="shared" si="1"/>
        <v>13227679.614809182</v>
      </c>
      <c r="M5" s="13">
        <f t="shared" si="2"/>
        <v>5205930.9837400839</v>
      </c>
      <c r="N5" s="14">
        <f t="shared" si="3"/>
        <v>1.3935634317837371</v>
      </c>
      <c r="O5" s="16">
        <f t="shared" si="4"/>
        <v>0.39356343178373715</v>
      </c>
    </row>
    <row r="6" spans="1:15" ht="18" customHeight="1">
      <c r="A6" s="10" t="s">
        <v>50</v>
      </c>
      <c r="B6" s="15">
        <v>10</v>
      </c>
      <c r="C6" s="15">
        <v>10</v>
      </c>
      <c r="D6" s="13">
        <v>531385.44808650308</v>
      </c>
      <c r="E6" s="13">
        <v>531385.44808650308</v>
      </c>
      <c r="F6" s="14">
        <v>0</v>
      </c>
      <c r="G6" s="16">
        <v>1</v>
      </c>
      <c r="H6" s="14">
        <f t="shared" si="0"/>
        <v>107.95428447905496</v>
      </c>
      <c r="I6" s="13">
        <f>SUMIF(Species!$H$2:$H$255,A6,Species!$U$2:$U$255)</f>
        <v>57365335.830760449</v>
      </c>
      <c r="J6" s="14">
        <v>2.935386381176468</v>
      </c>
      <c r="K6" s="14">
        <f>IF(J6="","",(1/Metadata!$B$5)^(J6-1))</f>
        <v>86.176009811262162</v>
      </c>
      <c r="L6" s="13">
        <f t="shared" si="1"/>
        <v>45792677.587864429</v>
      </c>
      <c r="M6" s="13">
        <f t="shared" si="2"/>
        <v>11572658.24289602</v>
      </c>
      <c r="N6" s="14">
        <f t="shared" si="3"/>
        <v>1.252718531706102</v>
      </c>
      <c r="O6" s="16">
        <f t="shared" si="4"/>
        <v>0.25271853170610192</v>
      </c>
    </row>
    <row r="7" spans="1:15" ht="18" customHeight="1">
      <c r="A7" s="10" t="s">
        <v>78</v>
      </c>
      <c r="B7" s="15">
        <v>20</v>
      </c>
      <c r="C7" s="15">
        <v>20</v>
      </c>
      <c r="D7" s="13">
        <v>237555.41546484589</v>
      </c>
      <c r="E7" s="13">
        <v>237555.41546484589</v>
      </c>
      <c r="F7" s="14">
        <v>0</v>
      </c>
      <c r="G7" s="16">
        <v>1</v>
      </c>
      <c r="H7" s="14">
        <f t="shared" si="0"/>
        <v>13.437349585521808</v>
      </c>
      <c r="I7" s="13">
        <f>SUMIF(Species!$H$2:$H$255,A7,Species!$U$2:$U$255)</f>
        <v>3192115.1635350077</v>
      </c>
      <c r="J7" s="14">
        <v>2.046236537757145</v>
      </c>
      <c r="K7" s="14">
        <f>IF(J7="","",(1/Metadata!$B$5)^(J7-1))</f>
        <v>11.123373950149382</v>
      </c>
      <c r="L7" s="13">
        <f t="shared" si="1"/>
        <v>2642417.7200985807</v>
      </c>
      <c r="M7" s="13">
        <f t="shared" si="2"/>
        <v>549697.44343642704</v>
      </c>
      <c r="N7" s="14">
        <f t="shared" si="3"/>
        <v>1.2080282156963129</v>
      </c>
      <c r="O7" s="16">
        <f t="shared" si="4"/>
        <v>0.20802821569631294</v>
      </c>
    </row>
    <row r="8" spans="1:15" ht="18" customHeight="1">
      <c r="A8" s="10" t="s">
        <v>31</v>
      </c>
      <c r="B8" s="15">
        <v>53</v>
      </c>
      <c r="C8" s="15">
        <v>53</v>
      </c>
      <c r="D8" s="13">
        <v>1467729.639868438</v>
      </c>
      <c r="E8" s="13">
        <v>1467729.639868438</v>
      </c>
      <c r="F8" s="14">
        <v>0</v>
      </c>
      <c r="G8" s="16">
        <v>1</v>
      </c>
      <c r="H8" s="14">
        <f t="shared" si="0"/>
        <v>610.58551262608046</v>
      </c>
      <c r="I8" s="13">
        <f>SUMIF(Species!$H$2:$H$255,A8,Species!$U$2:$U$255)</f>
        <v>896174454.55556273</v>
      </c>
      <c r="J8" s="14">
        <v>3.5627522733235062</v>
      </c>
      <c r="K8" s="14">
        <f>IF(J8="","",(1/Metadata!$B$5)^(J8-1))</f>
        <v>365.3863115127636</v>
      </c>
      <c r="L8" s="13">
        <f t="shared" si="1"/>
        <v>536288319.4094854</v>
      </c>
      <c r="M8" s="13">
        <f t="shared" si="2"/>
        <v>359886135.14607733</v>
      </c>
      <c r="N8" s="14">
        <f t="shared" si="3"/>
        <v>1.6710683826609407</v>
      </c>
      <c r="O8" s="16">
        <f t="shared" si="4"/>
        <v>0.67106838266094071</v>
      </c>
    </row>
    <row r="9" spans="1:15" ht="18" customHeight="1">
      <c r="A9" s="10" t="s">
        <v>55</v>
      </c>
      <c r="B9" s="15">
        <v>91</v>
      </c>
      <c r="C9" s="15">
        <v>91</v>
      </c>
      <c r="D9" s="13">
        <v>2114850.914990555</v>
      </c>
      <c r="E9" s="13">
        <v>2114850.914990555</v>
      </c>
      <c r="F9" s="14">
        <v>0</v>
      </c>
      <c r="G9" s="16">
        <v>1</v>
      </c>
      <c r="H9" s="14">
        <f t="shared" si="0"/>
        <v>945.78928907579484</v>
      </c>
      <c r="I9" s="13">
        <f>SUMIF(Species!$H$2:$H$255,A9,Species!$U$2:$U$255)</f>
        <v>2000203343.3902113</v>
      </c>
      <c r="J9" s="14">
        <v>3.6997918258146201</v>
      </c>
      <c r="K9" s="14">
        <f>IF(J9="","",(1/Metadata!$B$5)^(J9-1))</f>
        <v>500.94705272076749</v>
      </c>
      <c r="L9" s="13">
        <f t="shared" si="1"/>
        <v>1059428332.808337</v>
      </c>
      <c r="M9" s="13">
        <f t="shared" si="2"/>
        <v>940775010.58187437</v>
      </c>
      <c r="N9" s="14">
        <f t="shared" si="3"/>
        <v>1.8880025023382792</v>
      </c>
      <c r="O9" s="16">
        <f t="shared" si="4"/>
        <v>0.88800250233827904</v>
      </c>
    </row>
    <row r="10" spans="1:15" ht="18" customHeight="1">
      <c r="A10" s="10" t="s">
        <v>228</v>
      </c>
      <c r="B10" s="15">
        <v>3</v>
      </c>
      <c r="C10" s="15">
        <v>3</v>
      </c>
      <c r="D10" s="13">
        <v>25523.513257132301</v>
      </c>
      <c r="E10" s="13">
        <v>25523.513257132301</v>
      </c>
      <c r="F10" s="14">
        <v>0</v>
      </c>
      <c r="G10" s="16">
        <v>1</v>
      </c>
      <c r="H10" s="14">
        <f t="shared" si="0"/>
        <v>847.23588377338012</v>
      </c>
      <c r="I10" s="13">
        <f>SUMIF(Species!$H$2:$H$255,A10,Species!$U$2:$U$255)</f>
        <v>21624436.311408069</v>
      </c>
      <c r="J10" s="14">
        <v>3.9030115137737278</v>
      </c>
      <c r="K10" s="14">
        <f>IF(J10="","",(1/Metadata!$B$5)^(J10-1))</f>
        <v>799.85546004897674</v>
      </c>
      <c r="L10" s="13">
        <f t="shared" si="1"/>
        <v>20415121.438349713</v>
      </c>
      <c r="M10" s="13">
        <f t="shared" si="2"/>
        <v>1209314.8730583563</v>
      </c>
      <c r="N10" s="14">
        <f t="shared" si="3"/>
        <v>1.059236232158123</v>
      </c>
      <c r="O10" s="16">
        <f t="shared" si="4"/>
        <v>5.9236232158122945E-2</v>
      </c>
    </row>
    <row r="11" spans="1:15" ht="18" customHeight="1">
      <c r="A11" s="10" t="s">
        <v>418</v>
      </c>
      <c r="B11" s="15">
        <v>9</v>
      </c>
      <c r="C11" s="15">
        <v>9</v>
      </c>
      <c r="D11" s="13">
        <v>11817.8142094672</v>
      </c>
      <c r="E11" s="13">
        <v>11817.8142094672</v>
      </c>
      <c r="F11" s="14">
        <v>0</v>
      </c>
      <c r="G11" s="16">
        <v>1</v>
      </c>
      <c r="H11" s="14">
        <f t="shared" si="0"/>
        <v>527.12940668122155</v>
      </c>
      <c r="I11" s="13">
        <f>SUMIF(Species!$H$2:$H$255,A11,Species!$U$2:$U$255)</f>
        <v>6229517.3925053542</v>
      </c>
      <c r="J11" s="14">
        <v>3.702939803774302</v>
      </c>
      <c r="K11" s="14">
        <f>IF(J11="","",(1/Metadata!$B$5)^(J11-1))</f>
        <v>504.59135285692378</v>
      </c>
      <c r="L11" s="13">
        <f t="shared" si="1"/>
        <v>5963166.8597668316</v>
      </c>
      <c r="M11" s="13">
        <f t="shared" si="2"/>
        <v>266350.53273852263</v>
      </c>
      <c r="N11" s="14">
        <f t="shared" si="3"/>
        <v>1.0446659533436127</v>
      </c>
      <c r="O11" s="16">
        <f t="shared" si="4"/>
        <v>4.4665953343612681E-2</v>
      </c>
    </row>
    <row r="12" spans="1:15" ht="18" customHeight="1">
      <c r="A12" s="10" t="s">
        <v>409</v>
      </c>
      <c r="B12" s="15">
        <v>11</v>
      </c>
      <c r="C12" s="15">
        <v>11</v>
      </c>
      <c r="D12" s="13">
        <v>3093.6794243219001</v>
      </c>
      <c r="E12" s="13">
        <v>3093.6794243219001</v>
      </c>
      <c r="F12" s="14">
        <v>0</v>
      </c>
      <c r="G12" s="16">
        <v>1</v>
      </c>
      <c r="H12" s="14">
        <f t="shared" si="0"/>
        <v>1120.9056697104779</v>
      </c>
      <c r="I12" s="13">
        <f>SUMIF(Species!$H$2:$H$255,A12,Species!$U$2:$U$255)</f>
        <v>3467722.8069890654</v>
      </c>
      <c r="J12" s="14">
        <v>4.0397464652929127</v>
      </c>
      <c r="K12" s="14">
        <f>IF(J12="","",(1/Metadata!$B$5)^(J12-1))</f>
        <v>1095.8382751658635</v>
      </c>
      <c r="L12" s="13">
        <f t="shared" si="1"/>
        <v>3390172.3242650325</v>
      </c>
      <c r="M12" s="13">
        <f t="shared" si="2"/>
        <v>77550.48272403283</v>
      </c>
      <c r="N12" s="14">
        <f t="shared" si="3"/>
        <v>1.022875085779259</v>
      </c>
      <c r="O12" s="16">
        <f t="shared" si="4"/>
        <v>2.2875085779259105E-2</v>
      </c>
    </row>
    <row r="13" spans="1:15" ht="18" customHeight="1">
      <c r="A13" s="10" t="s">
        <v>220</v>
      </c>
      <c r="B13" s="15">
        <v>14</v>
      </c>
      <c r="C13" s="15">
        <v>14</v>
      </c>
      <c r="D13" s="13">
        <v>66118.98857698057</v>
      </c>
      <c r="E13" s="13">
        <v>66118.98857698057</v>
      </c>
      <c r="F13" s="14">
        <v>0</v>
      </c>
      <c r="G13" s="16">
        <v>1</v>
      </c>
      <c r="H13" s="14">
        <f t="shared" si="0"/>
        <v>2522.8346366436972</v>
      </c>
      <c r="I13" s="13">
        <f>SUMIF(Species!$H$2:$H$255,A13,Species!$U$2:$U$255)</f>
        <v>166807274.52185553</v>
      </c>
      <c r="J13" s="14">
        <v>4.3952238955788037</v>
      </c>
      <c r="K13" s="14">
        <f>IF(J13="","",(1/Metadata!$B$5)^(J13-1))</f>
        <v>2484.4135863556276</v>
      </c>
      <c r="L13" s="13">
        <f t="shared" si="1"/>
        <v>164266913.53674307</v>
      </c>
      <c r="M13" s="13">
        <f t="shared" si="2"/>
        <v>2540360.9851124585</v>
      </c>
      <c r="N13" s="14">
        <f t="shared" si="3"/>
        <v>1.0154648366516257</v>
      </c>
      <c r="O13" s="16">
        <f t="shared" si="4"/>
        <v>1.5464836651625727E-2</v>
      </c>
    </row>
  </sheetData>
  <conditionalFormatting sqref="G2:G13">
    <cfRule type="cellIs" dxfId="1" priority="1" operator="lessThan">
      <formula>0.9</formula>
    </cfRule>
  </conditionalFormatting>
  <conditionalFormatting sqref="O2:O13">
    <cfRule type="dataBar" priority="2">
      <dataBar>
        <cfvo type="min"/>
        <cfvo type="max"/>
        <color rgb="FFE28A32"/>
      </dataBar>
    </cfRule>
  </conditionalFormatting>
  <pageMargins left="0.7" right="0.7" top="0.75" bottom="0.75" header="0.3" footer="0.3"/>
  <headerFooter>
    <oddHeader>&amp;C&amp;"Aptos"&amp;10&amp;K000000 - בלמ"ס -&amp;1#_x000D_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5"/>
  <sheetViews>
    <sheetView showGridLines="0" workbookViewId="0"/>
  </sheetViews>
  <sheetFormatPr defaultColWidth="8.83203125" defaultRowHeight="14"/>
  <cols>
    <col min="1" max="1" width="34" customWidth="1"/>
    <col min="2" max="3" width="22" customWidth="1"/>
    <col min="4" max="6" width="18" customWidth="1"/>
    <col min="7" max="7" width="16" customWidth="1"/>
    <col min="8" max="9" width="18" customWidth="1"/>
    <col min="10" max="10" width="15" customWidth="1"/>
    <col min="11" max="13" width="18" customWidth="1"/>
    <col min="14" max="15" width="16" customWidth="1"/>
  </cols>
  <sheetData>
    <row r="1" spans="1:15" ht="32" customHeight="1">
      <c r="A1" s="11" t="s">
        <v>6</v>
      </c>
      <c r="B1" s="11" t="s">
        <v>953</v>
      </c>
      <c r="C1" s="11" t="s">
        <v>954</v>
      </c>
      <c r="D1" s="11" t="s">
        <v>955</v>
      </c>
      <c r="E1" s="11" t="s">
        <v>956</v>
      </c>
      <c r="F1" s="11" t="s">
        <v>957</v>
      </c>
      <c r="G1" s="11" t="s">
        <v>958</v>
      </c>
      <c r="H1" s="11" t="s">
        <v>959</v>
      </c>
      <c r="I1" s="11" t="s">
        <v>960</v>
      </c>
      <c r="J1" s="11" t="s">
        <v>961</v>
      </c>
      <c r="K1" s="11" t="s">
        <v>962</v>
      </c>
      <c r="L1" s="11" t="s">
        <v>963</v>
      </c>
      <c r="M1" s="11" t="s">
        <v>964</v>
      </c>
      <c r="N1" s="11" t="s">
        <v>965</v>
      </c>
      <c r="O1" s="11" t="s">
        <v>966</v>
      </c>
    </row>
    <row r="2" spans="1:15" ht="18" customHeight="1">
      <c r="A2" s="10" t="s">
        <v>151</v>
      </c>
      <c r="B2" s="15">
        <v>12</v>
      </c>
      <c r="C2" s="15">
        <v>12</v>
      </c>
      <c r="D2" s="13">
        <v>244503.2242732434</v>
      </c>
      <c r="E2" s="13">
        <v>244503.2242732434</v>
      </c>
      <c r="F2" s="14">
        <v>0</v>
      </c>
      <c r="G2" s="16">
        <v>1</v>
      </c>
      <c r="H2" s="14">
        <f t="shared" ref="H2:H25" si="0">IF(E2=0,"",I2/E2)</f>
        <v>982.59536412322382</v>
      </c>
      <c r="I2" s="13">
        <f>SUMIF(Species!$G$2:$G$255,A2,Species!$U$2:$U$255)</f>
        <v>240247734.68406984</v>
      </c>
      <c r="J2" s="14">
        <v>3.9132250246698681</v>
      </c>
      <c r="K2" s="14">
        <f>IF(J2="","",(1/Metadata!$B$5)^(J2-1))</f>
        <v>818.8889760963732</v>
      </c>
      <c r="L2" s="13">
        <f t="shared" ref="L2:L25" si="1">IF(E2=0,"",E2*K2)</f>
        <v>200220994.97737819</v>
      </c>
      <c r="M2" s="13">
        <f t="shared" ref="M2:M25" si="2">I2-L2</f>
        <v>40026739.706691653</v>
      </c>
      <c r="N2" s="14">
        <f t="shared" ref="N2:N25" si="3">IF(L2=0,"",I2/L2)</f>
        <v>1.1999127999099897</v>
      </c>
      <c r="O2" s="16">
        <f t="shared" ref="O2:O25" si="4">IF(L2=0,"",M2/L2)</f>
        <v>0.19991279990998967</v>
      </c>
    </row>
    <row r="3" spans="1:15" ht="18" customHeight="1">
      <c r="A3" s="10" t="s">
        <v>156</v>
      </c>
      <c r="B3" s="15">
        <v>4</v>
      </c>
      <c r="C3" s="15">
        <v>4</v>
      </c>
      <c r="D3" s="13">
        <v>162114.01245256959</v>
      </c>
      <c r="E3" s="13">
        <v>162114.01245256959</v>
      </c>
      <c r="F3" s="14">
        <v>0</v>
      </c>
      <c r="G3" s="16">
        <v>1</v>
      </c>
      <c r="H3" s="14">
        <f t="shared" si="0"/>
        <v>244.20613358393567</v>
      </c>
      <c r="I3" s="13">
        <f>SUMIF(Species!$G$2:$G$255,A3,Species!$U$2:$U$255)</f>
        <v>39589236.180820018</v>
      </c>
      <c r="J3" s="14">
        <v>3.330054953624773</v>
      </c>
      <c r="K3" s="14">
        <f>IF(J3="","",(1/Metadata!$B$5)^(J3-1))</f>
        <v>213.82326345008437</v>
      </c>
      <c r="L3" s="13">
        <f t="shared" si="1"/>
        <v>34663747.193596043</v>
      </c>
      <c r="M3" s="13">
        <f t="shared" si="2"/>
        <v>4925488.9872239754</v>
      </c>
      <c r="N3" s="14">
        <f t="shared" si="3"/>
        <v>1.1420933795678598</v>
      </c>
      <c r="O3" s="16">
        <f t="shared" si="4"/>
        <v>0.14209337956785975</v>
      </c>
    </row>
    <row r="4" spans="1:15" ht="18" customHeight="1">
      <c r="A4" s="10" t="s">
        <v>61</v>
      </c>
      <c r="B4" s="15">
        <v>8</v>
      </c>
      <c r="C4" s="15">
        <v>8</v>
      </c>
      <c r="D4" s="13">
        <v>476355.10137950542</v>
      </c>
      <c r="E4" s="13">
        <v>476355.10137950542</v>
      </c>
      <c r="F4" s="14">
        <v>0</v>
      </c>
      <c r="G4" s="16">
        <v>1</v>
      </c>
      <c r="H4" s="14">
        <f t="shared" si="0"/>
        <v>2333.8645125820531</v>
      </c>
      <c r="I4" s="13">
        <f>SUMIF(Species!$G$2:$G$255,A4,Species!$U$2:$U$255)</f>
        <v>1111748266.4970539</v>
      </c>
      <c r="J4" s="14">
        <v>4.2473576378668279</v>
      </c>
      <c r="K4" s="14">
        <f>IF(J4="","",(1/Metadata!$B$5)^(J4-1))</f>
        <v>1767.492737007082</v>
      </c>
      <c r="L4" s="13">
        <f t="shared" si="1"/>
        <v>841954181.92454803</v>
      </c>
      <c r="M4" s="13">
        <f t="shared" si="2"/>
        <v>269794084.57250583</v>
      </c>
      <c r="N4" s="14">
        <f t="shared" si="3"/>
        <v>1.3204379648733469</v>
      </c>
      <c r="O4" s="16">
        <f t="shared" si="4"/>
        <v>0.32043796487334686</v>
      </c>
    </row>
    <row r="5" spans="1:15" ht="18" customHeight="1">
      <c r="A5" s="10" t="s">
        <v>90</v>
      </c>
      <c r="B5" s="15">
        <v>8</v>
      </c>
      <c r="C5" s="15">
        <v>8</v>
      </c>
      <c r="D5" s="13">
        <v>176147.42237189031</v>
      </c>
      <c r="E5" s="13">
        <v>176147.42237189031</v>
      </c>
      <c r="F5" s="14">
        <v>0</v>
      </c>
      <c r="G5" s="16">
        <v>1</v>
      </c>
      <c r="H5" s="14">
        <f t="shared" si="0"/>
        <v>1960.8820069983142</v>
      </c>
      <c r="I5" s="13">
        <f>SUMIF(Species!$G$2:$G$255,A5,Species!$U$2:$U$255)</f>
        <v>345404311.108172</v>
      </c>
      <c r="J5" s="14">
        <v>4.2520819243915993</v>
      </c>
      <c r="K5" s="14">
        <f>IF(J5="","",(1/Metadata!$B$5)^(J5-1))</f>
        <v>1786.824605873318</v>
      </c>
      <c r="L5" s="13">
        <f t="shared" si="1"/>
        <v>314744548.5552538</v>
      </c>
      <c r="M5" s="13">
        <f t="shared" si="2"/>
        <v>30659762.552918196</v>
      </c>
      <c r="N5" s="14">
        <f t="shared" si="3"/>
        <v>1.0974115761294458</v>
      </c>
      <c r="O5" s="16">
        <f t="shared" si="4"/>
        <v>9.7411576129445926E-2</v>
      </c>
    </row>
    <row r="6" spans="1:15" ht="18" customHeight="1">
      <c r="A6" s="10" t="s">
        <v>340</v>
      </c>
      <c r="B6" s="15">
        <v>1</v>
      </c>
      <c r="C6" s="15">
        <v>1</v>
      </c>
      <c r="D6" s="13">
        <v>6225.5744773235001</v>
      </c>
      <c r="E6" s="13">
        <v>6225.5744773235001</v>
      </c>
      <c r="F6" s="14">
        <v>0</v>
      </c>
      <c r="G6" s="16">
        <v>1</v>
      </c>
      <c r="H6" s="14">
        <f t="shared" si="0"/>
        <v>1778.2794100389244</v>
      </c>
      <c r="I6" s="13">
        <f>SUMIF(Species!$G$2:$G$255,A6,Species!$U$2:$U$255)</f>
        <v>11070810.908688219</v>
      </c>
      <c r="J6" s="14">
        <v>4.25</v>
      </c>
      <c r="K6" s="14">
        <f>IF(J6="","",(1/Metadata!$B$5)^(J6-1))</f>
        <v>1778.2794100389244</v>
      </c>
      <c r="L6" s="13">
        <f t="shared" si="1"/>
        <v>11070810.908688219</v>
      </c>
      <c r="M6" s="13">
        <f t="shared" si="2"/>
        <v>0</v>
      </c>
      <c r="N6" s="14">
        <f t="shared" si="3"/>
        <v>1</v>
      </c>
      <c r="O6" s="16">
        <f t="shared" si="4"/>
        <v>0</v>
      </c>
    </row>
    <row r="7" spans="1:15" ht="18" customHeight="1">
      <c r="A7" s="10" t="s">
        <v>142</v>
      </c>
      <c r="B7" s="15">
        <v>22</v>
      </c>
      <c r="C7" s="15">
        <v>22</v>
      </c>
      <c r="D7" s="13">
        <v>202034.05612440169</v>
      </c>
      <c r="E7" s="13">
        <v>202034.05612440169</v>
      </c>
      <c r="F7" s="14">
        <v>0</v>
      </c>
      <c r="G7" s="16">
        <v>1</v>
      </c>
      <c r="H7" s="14">
        <f t="shared" si="0"/>
        <v>2581.86457266056</v>
      </c>
      <c r="I7" s="13">
        <f>SUMIF(Species!$G$2:$G$255,A7,Species!$U$2:$U$255)</f>
        <v>521624571.97850794</v>
      </c>
      <c r="J7" s="14">
        <v>4.4055812237734786</v>
      </c>
      <c r="K7" s="14">
        <f>IF(J7="","",(1/Metadata!$B$5)^(J7-1))</f>
        <v>2544.3756095915842</v>
      </c>
      <c r="L7" s="13">
        <f t="shared" si="1"/>
        <v>514050524.70978487</v>
      </c>
      <c r="M7" s="13">
        <f t="shared" si="2"/>
        <v>7574047.2687230706</v>
      </c>
      <c r="N7" s="14">
        <f t="shared" si="3"/>
        <v>1.0147340522081931</v>
      </c>
      <c r="O7" s="16">
        <f t="shared" si="4"/>
        <v>1.4734052208193184E-2</v>
      </c>
    </row>
    <row r="8" spans="1:15" ht="18" customHeight="1">
      <c r="A8" s="10" t="s">
        <v>709</v>
      </c>
      <c r="B8" s="15">
        <v>2</v>
      </c>
      <c r="C8" s="15">
        <v>2</v>
      </c>
      <c r="D8" s="13">
        <v>123.59276146489999</v>
      </c>
      <c r="E8" s="13">
        <v>123.59276146489999</v>
      </c>
      <c r="F8" s="14">
        <v>0</v>
      </c>
      <c r="G8" s="16">
        <v>1</v>
      </c>
      <c r="H8" s="14">
        <f t="shared" si="0"/>
        <v>528.17005351061425</v>
      </c>
      <c r="I8" s="13">
        <f>SUMIF(Species!$G$2:$G$255,A8,Species!$U$2:$U$255)</f>
        <v>65277.995436440811</v>
      </c>
      <c r="J8" s="14">
        <v>3.7224158945628929</v>
      </c>
      <c r="K8" s="14">
        <f>IF(J8="","",(1/Metadata!$B$5)^(J8-1))</f>
        <v>527.7349957647267</v>
      </c>
      <c r="L8" s="13">
        <f t="shared" si="1"/>
        <v>65224.225448229874</v>
      </c>
      <c r="M8" s="13">
        <f t="shared" si="2"/>
        <v>53.769988210937299</v>
      </c>
      <c r="N8" s="14">
        <f t="shared" si="3"/>
        <v>1.0008243867649087</v>
      </c>
      <c r="O8" s="16">
        <f t="shared" si="4"/>
        <v>8.2438676490862904E-4</v>
      </c>
    </row>
    <row r="9" spans="1:15" ht="18" customHeight="1">
      <c r="A9" s="10" t="s">
        <v>358</v>
      </c>
      <c r="B9" s="15">
        <v>9</v>
      </c>
      <c r="C9" s="15">
        <v>9</v>
      </c>
      <c r="D9" s="13">
        <v>8538.7138993152003</v>
      </c>
      <c r="E9" s="13">
        <v>8538.7138993152003</v>
      </c>
      <c r="F9" s="14">
        <v>0</v>
      </c>
      <c r="G9" s="16">
        <v>1</v>
      </c>
      <c r="H9" s="14">
        <f t="shared" si="0"/>
        <v>617.83925686245004</v>
      </c>
      <c r="I9" s="13">
        <f>SUMIF(Species!$G$2:$G$255,A9,Species!$U$2:$U$255)</f>
        <v>5275552.6501139766</v>
      </c>
      <c r="J9" s="14">
        <v>3.6942471646665931</v>
      </c>
      <c r="K9" s="14">
        <f>IF(J9="","",(1/Metadata!$B$5)^(J9-1))</f>
        <v>494.59208800418844</v>
      </c>
      <c r="L9" s="13">
        <f t="shared" si="1"/>
        <v>4223180.3363326909</v>
      </c>
      <c r="M9" s="13">
        <f t="shared" si="2"/>
        <v>1052372.3137812857</v>
      </c>
      <c r="N9" s="14">
        <f t="shared" si="3"/>
        <v>1.2491895277896516</v>
      </c>
      <c r="O9" s="16">
        <f t="shared" si="4"/>
        <v>0.2491895277896517</v>
      </c>
    </row>
    <row r="10" spans="1:15" ht="18" customHeight="1">
      <c r="A10" s="10" t="s">
        <v>408</v>
      </c>
      <c r="B10" s="15">
        <v>9</v>
      </c>
      <c r="C10" s="15">
        <v>9</v>
      </c>
      <c r="D10" s="13">
        <v>2970.0866628570002</v>
      </c>
      <c r="E10" s="13">
        <v>2970.0866628570002</v>
      </c>
      <c r="F10" s="14">
        <v>0</v>
      </c>
      <c r="G10" s="16">
        <v>1</v>
      </c>
      <c r="H10" s="14">
        <f t="shared" si="0"/>
        <v>1145.5708865679119</v>
      </c>
      <c r="I10" s="13">
        <f>SUMIF(Species!$G$2:$G$255,A10,Species!$U$2:$U$255)</f>
        <v>3402444.8115526247</v>
      </c>
      <c r="J10" s="14">
        <v>4.0529513868947724</v>
      </c>
      <c r="K10" s="14">
        <f>IF(J10="","",(1/Metadata!$B$5)^(J10-1))</f>
        <v>1129.6694571280457</v>
      </c>
      <c r="L10" s="13">
        <f t="shared" si="1"/>
        <v>3355216.1880529164</v>
      </c>
      <c r="M10" s="13">
        <f t="shared" si="2"/>
        <v>47228.62349970825</v>
      </c>
      <c r="N10" s="14">
        <f t="shared" si="3"/>
        <v>1.014076178956181</v>
      </c>
      <c r="O10" s="16">
        <f t="shared" si="4"/>
        <v>1.4076178956180987E-2</v>
      </c>
    </row>
    <row r="11" spans="1:15" ht="18" customHeight="1">
      <c r="A11" s="10" t="s">
        <v>123</v>
      </c>
      <c r="B11" s="15">
        <v>14</v>
      </c>
      <c r="C11" s="15">
        <v>14</v>
      </c>
      <c r="D11" s="13">
        <v>190068.90743903539</v>
      </c>
      <c r="E11" s="13">
        <v>190068.90743903539</v>
      </c>
      <c r="F11" s="14">
        <v>0</v>
      </c>
      <c r="G11" s="16">
        <v>1</v>
      </c>
      <c r="H11" s="14">
        <f t="shared" si="0"/>
        <v>348.71701100930062</v>
      </c>
      <c r="I11" s="13">
        <f>SUMIF(Species!$G$2:$G$255,A11,Species!$U$2:$U$255)</f>
        <v>66280261.287943847</v>
      </c>
      <c r="J11" s="14">
        <v>3.3796739103888802</v>
      </c>
      <c r="K11" s="14">
        <f>IF(J11="","",(1/Metadata!$B$5)^(J11-1))</f>
        <v>239.70324335660726</v>
      </c>
      <c r="L11" s="13">
        <f t="shared" si="1"/>
        <v>45560133.574383564</v>
      </c>
      <c r="M11" s="13">
        <f t="shared" si="2"/>
        <v>20720127.713560283</v>
      </c>
      <c r="N11" s="14">
        <f t="shared" si="3"/>
        <v>1.4547863688707507</v>
      </c>
      <c r="O11" s="16">
        <f t="shared" si="4"/>
        <v>0.45478636887075086</v>
      </c>
    </row>
    <row r="12" spans="1:15" ht="18" customHeight="1">
      <c r="A12" s="10" t="s">
        <v>762</v>
      </c>
      <c r="B12" s="15">
        <v>1</v>
      </c>
      <c r="C12" s="15">
        <v>1</v>
      </c>
      <c r="D12" s="13">
        <v>51.015088738599999</v>
      </c>
      <c r="E12" s="13">
        <v>51.015088738599999</v>
      </c>
      <c r="F12" s="14">
        <v>0</v>
      </c>
      <c r="G12" s="16">
        <v>1</v>
      </c>
      <c r="H12" s="14">
        <f t="shared" si="0"/>
        <v>954.99258602143675</v>
      </c>
      <c r="I12" s="13">
        <f>SUMIF(Species!$G$2:$G$255,A12,Species!$U$2:$U$255)</f>
        <v>48719.031520588687</v>
      </c>
      <c r="J12" s="14">
        <v>3.98</v>
      </c>
      <c r="K12" s="14">
        <f>IF(J12="","",(1/Metadata!$B$5)^(J12-1))</f>
        <v>954.99258602143675</v>
      </c>
      <c r="L12" s="13">
        <f t="shared" si="1"/>
        <v>48719.031520588687</v>
      </c>
      <c r="M12" s="13">
        <f t="shared" si="2"/>
        <v>0</v>
      </c>
      <c r="N12" s="14">
        <f t="shared" si="3"/>
        <v>1</v>
      </c>
      <c r="O12" s="16">
        <f t="shared" si="4"/>
        <v>0</v>
      </c>
    </row>
    <row r="13" spans="1:15" ht="18" customHeight="1">
      <c r="A13" s="10" t="s">
        <v>71</v>
      </c>
      <c r="B13" s="15">
        <v>14</v>
      </c>
      <c r="C13" s="15">
        <v>14</v>
      </c>
      <c r="D13" s="13">
        <v>491914.49299355957</v>
      </c>
      <c r="E13" s="13">
        <v>491914.49299355957</v>
      </c>
      <c r="F13" s="14">
        <v>0</v>
      </c>
      <c r="G13" s="16">
        <v>1</v>
      </c>
      <c r="H13" s="14">
        <f t="shared" si="0"/>
        <v>485.09163749377797</v>
      </c>
      <c r="I13" s="13">
        <f>SUMIF(Species!$G$2:$G$255,A13,Species!$U$2:$U$255)</f>
        <v>238623606.91316739</v>
      </c>
      <c r="J13" s="14">
        <v>3.6012211679290038</v>
      </c>
      <c r="K13" s="14">
        <f>IF(J13="","",(1/Metadata!$B$5)^(J13-1))</f>
        <v>399.22816072752079</v>
      </c>
      <c r="L13" s="13">
        <f t="shared" si="1"/>
        <v>196386118.27302969</v>
      </c>
      <c r="M13" s="13">
        <f t="shared" si="2"/>
        <v>42237488.640137702</v>
      </c>
      <c r="N13" s="14">
        <f t="shared" si="3"/>
        <v>1.2150736977316094</v>
      </c>
      <c r="O13" s="16">
        <f t="shared" si="4"/>
        <v>0.2150736977316095</v>
      </c>
    </row>
    <row r="14" spans="1:15" ht="18" customHeight="1">
      <c r="A14" s="10" t="s">
        <v>30</v>
      </c>
      <c r="B14" s="15">
        <v>31</v>
      </c>
      <c r="C14" s="15">
        <v>31</v>
      </c>
      <c r="D14" s="13">
        <v>802517.45163721405</v>
      </c>
      <c r="E14" s="13">
        <v>802517.45163721405</v>
      </c>
      <c r="F14" s="14">
        <v>0</v>
      </c>
      <c r="G14" s="16">
        <v>1</v>
      </c>
      <c r="H14" s="14">
        <f t="shared" si="0"/>
        <v>253.27292279218412</v>
      </c>
      <c r="I14" s="13">
        <f>SUMIF(Species!$G$2:$G$255,A14,Species!$U$2:$U$255)</f>
        <v>203255940.56789246</v>
      </c>
      <c r="J14" s="14">
        <v>3.2791069818779719</v>
      </c>
      <c r="K14" s="14">
        <f>IF(J14="","",(1/Metadata!$B$5)^(J14-1))</f>
        <v>190.15466394926671</v>
      </c>
      <c r="L14" s="13">
        <f t="shared" si="1"/>
        <v>152602436.32949632</v>
      </c>
      <c r="M14" s="13">
        <f t="shared" si="2"/>
        <v>50653504.238396138</v>
      </c>
      <c r="N14" s="14">
        <f t="shared" si="3"/>
        <v>1.3319311634646909</v>
      </c>
      <c r="O14" s="16">
        <f t="shared" si="4"/>
        <v>0.33193116346469098</v>
      </c>
    </row>
    <row r="15" spans="1:15" ht="18" customHeight="1">
      <c r="A15" s="10" t="s">
        <v>49</v>
      </c>
      <c r="B15" s="15">
        <v>23</v>
      </c>
      <c r="C15" s="15">
        <v>23</v>
      </c>
      <c r="D15" s="13">
        <v>1256219.3690349171</v>
      </c>
      <c r="E15" s="13">
        <v>1256219.3690349171</v>
      </c>
      <c r="F15" s="14">
        <v>0</v>
      </c>
      <c r="G15" s="16">
        <v>1</v>
      </c>
      <c r="H15" s="14">
        <f t="shared" si="0"/>
        <v>276.60974895499385</v>
      </c>
      <c r="I15" s="13">
        <f>SUMIF(Species!$G$2:$G$255,A15,Species!$U$2:$U$255)</f>
        <v>347482524.30114919</v>
      </c>
      <c r="J15" s="14">
        <v>3.2927416588252809</v>
      </c>
      <c r="K15" s="14">
        <f>IF(J15="","",(1/Metadata!$B$5)^(J15-1))</f>
        <v>196.21927142909269</v>
      </c>
      <c r="L15" s="13">
        <f t="shared" si="1"/>
        <v>246494449.34714594</v>
      </c>
      <c r="M15" s="13">
        <f t="shared" si="2"/>
        <v>100988074.95400324</v>
      </c>
      <c r="N15" s="14">
        <f t="shared" si="3"/>
        <v>1.4096971563516976</v>
      </c>
      <c r="O15" s="16">
        <f t="shared" si="4"/>
        <v>0.40969715635169757</v>
      </c>
    </row>
    <row r="16" spans="1:15" ht="18" customHeight="1">
      <c r="A16" s="10" t="s">
        <v>194</v>
      </c>
      <c r="B16" s="15">
        <v>24</v>
      </c>
      <c r="C16" s="15">
        <v>24</v>
      </c>
      <c r="D16" s="13">
        <v>142021.1774306962</v>
      </c>
      <c r="E16" s="13">
        <v>142021.1774306962</v>
      </c>
      <c r="F16" s="14">
        <v>0</v>
      </c>
      <c r="G16" s="16">
        <v>1</v>
      </c>
      <c r="H16" s="14">
        <f t="shared" si="0"/>
        <v>325.97577230303364</v>
      </c>
      <c r="I16" s="13">
        <f>SUMIF(Species!$G$2:$G$255,A16,Species!$U$2:$U$255)</f>
        <v>46295462.996357366</v>
      </c>
      <c r="J16" s="14">
        <v>3.3429902839988852</v>
      </c>
      <c r="K16" s="14">
        <f>IF(J16="","",(1/Metadata!$B$5)^(J16-1))</f>
        <v>220.28771799116157</v>
      </c>
      <c r="L16" s="13">
        <f t="shared" si="1"/>
        <v>31285521.082625926</v>
      </c>
      <c r="M16" s="13">
        <f t="shared" si="2"/>
        <v>15009941.913731441</v>
      </c>
      <c r="N16" s="14">
        <f t="shared" si="3"/>
        <v>1.4797727956676754</v>
      </c>
      <c r="O16" s="16">
        <f t="shared" si="4"/>
        <v>0.47977279566767544</v>
      </c>
    </row>
    <row r="17" spans="1:15" ht="18" customHeight="1">
      <c r="A17" s="10" t="s">
        <v>77</v>
      </c>
      <c r="B17" s="15">
        <v>26</v>
      </c>
      <c r="C17" s="15">
        <v>26</v>
      </c>
      <c r="D17" s="13">
        <v>267441.11875896627</v>
      </c>
      <c r="E17" s="13">
        <v>267441.11875896627</v>
      </c>
      <c r="F17" s="14">
        <v>0</v>
      </c>
      <c r="G17" s="16">
        <v>1</v>
      </c>
      <c r="H17" s="14">
        <f t="shared" si="0"/>
        <v>14.873814671489249</v>
      </c>
      <c r="I17" s="13">
        <f>SUMIF(Species!$G$2:$G$255,A17,Species!$U$2:$U$255)</f>
        <v>3977869.6359566115</v>
      </c>
      <c r="J17" s="14">
        <v>2.0873580673741108</v>
      </c>
      <c r="K17" s="14">
        <f>IF(J17="","",(1/Metadata!$B$5)^(J17-1))</f>
        <v>12.228074256636805</v>
      </c>
      <c r="L17" s="13">
        <f t="shared" si="1"/>
        <v>3270289.8594626621</v>
      </c>
      <c r="M17" s="13">
        <f t="shared" si="2"/>
        <v>707579.77649394935</v>
      </c>
      <c r="N17" s="14">
        <f t="shared" si="3"/>
        <v>1.216366073620829</v>
      </c>
      <c r="O17" s="16">
        <f t="shared" si="4"/>
        <v>0.21636607362082913</v>
      </c>
    </row>
    <row r="18" spans="1:15" ht="18" customHeight="1">
      <c r="A18" s="10" t="s">
        <v>96</v>
      </c>
      <c r="B18" s="15">
        <v>17</v>
      </c>
      <c r="C18" s="15">
        <v>17</v>
      </c>
      <c r="D18" s="13">
        <v>485220.74737202912</v>
      </c>
      <c r="E18" s="13">
        <v>485220.74737202912</v>
      </c>
      <c r="F18" s="14">
        <v>0</v>
      </c>
      <c r="G18" s="16">
        <v>1</v>
      </c>
      <c r="H18" s="14">
        <f t="shared" si="0"/>
        <v>81.245990957675332</v>
      </c>
      <c r="I18" s="13">
        <f>SUMIF(Species!$G$2:$G$255,A18,Species!$U$2:$U$255)</f>
        <v>39422240.453464344</v>
      </c>
      <c r="J18" s="14">
        <v>2.6414420988768739</v>
      </c>
      <c r="K18" s="14">
        <f>IF(J18="","",(1/Metadata!$B$5)^(J18-1))</f>
        <v>43.796771643072184</v>
      </c>
      <c r="L18" s="13">
        <f t="shared" si="1"/>
        <v>21251102.269133575</v>
      </c>
      <c r="M18" s="13">
        <f t="shared" si="2"/>
        <v>18171138.184330769</v>
      </c>
      <c r="N18" s="14">
        <f t="shared" si="3"/>
        <v>1.8550680314932964</v>
      </c>
      <c r="O18" s="16">
        <f t="shared" si="4"/>
        <v>0.85506803149329635</v>
      </c>
    </row>
    <row r="19" spans="1:15" ht="18" customHeight="1">
      <c r="A19" s="10" t="s">
        <v>550</v>
      </c>
      <c r="B19" s="15">
        <v>1</v>
      </c>
      <c r="C19" s="15">
        <v>1</v>
      </c>
      <c r="D19" s="13">
        <v>821.87291905270001</v>
      </c>
      <c r="E19" s="13">
        <v>821.87291905270001</v>
      </c>
      <c r="F19" s="14">
        <v>0</v>
      </c>
      <c r="G19" s="16">
        <v>1</v>
      </c>
      <c r="H19" s="14">
        <f t="shared" si="0"/>
        <v>323.59365692962825</v>
      </c>
      <c r="I19" s="13">
        <f>SUMIF(Species!$G$2:$G$255,A19,Species!$U$2:$U$255)</f>
        <v>265952.86340769153</v>
      </c>
      <c r="J19" s="14">
        <v>3.51</v>
      </c>
      <c r="K19" s="14">
        <f>IF(J19="","",(1/Metadata!$B$5)^(J19-1))</f>
        <v>323.59365692962825</v>
      </c>
      <c r="L19" s="13">
        <f t="shared" si="1"/>
        <v>265952.86340769153</v>
      </c>
      <c r="M19" s="13">
        <f t="shared" si="2"/>
        <v>0</v>
      </c>
      <c r="N19" s="14">
        <f t="shared" si="3"/>
        <v>1</v>
      </c>
      <c r="O19" s="16">
        <f t="shared" si="4"/>
        <v>0</v>
      </c>
    </row>
    <row r="20" spans="1:15" ht="18" customHeight="1">
      <c r="A20" s="10" t="s">
        <v>512</v>
      </c>
      <c r="B20" s="15">
        <v>1</v>
      </c>
      <c r="C20" s="15">
        <v>1</v>
      </c>
      <c r="D20" s="13">
        <v>1098.2277475731</v>
      </c>
      <c r="E20" s="13">
        <v>1098.2277475731</v>
      </c>
      <c r="F20" s="14">
        <v>0</v>
      </c>
      <c r="G20" s="16">
        <v>1</v>
      </c>
      <c r="H20" s="14">
        <f t="shared" si="0"/>
        <v>125.89254117941678</v>
      </c>
      <c r="I20" s="13">
        <f>SUMIF(Species!$G$2:$G$255,A20,Species!$U$2:$U$255)</f>
        <v>138258.68193572463</v>
      </c>
      <c r="J20" s="14">
        <v>3.1</v>
      </c>
      <c r="K20" s="14">
        <f>IF(J20="","",(1/Metadata!$B$5)^(J20-1))</f>
        <v>125.89254117941677</v>
      </c>
      <c r="L20" s="13">
        <f t="shared" si="1"/>
        <v>138258.68193572463</v>
      </c>
      <c r="M20" s="13">
        <f t="shared" si="2"/>
        <v>0</v>
      </c>
      <c r="N20" s="14">
        <f t="shared" si="3"/>
        <v>1</v>
      </c>
      <c r="O20" s="16">
        <f t="shared" si="4"/>
        <v>0</v>
      </c>
    </row>
    <row r="21" spans="1:15" ht="18" customHeight="1">
      <c r="A21" s="10" t="s">
        <v>311</v>
      </c>
      <c r="B21" s="15">
        <v>3</v>
      </c>
      <c r="C21" s="15">
        <v>3</v>
      </c>
      <c r="D21" s="13">
        <v>18813.6042749636</v>
      </c>
      <c r="E21" s="13">
        <v>18813.6042749636</v>
      </c>
      <c r="F21" s="14">
        <v>0</v>
      </c>
      <c r="G21" s="16">
        <v>1</v>
      </c>
      <c r="H21" s="14">
        <f t="shared" si="0"/>
        <v>701.06280561403685</v>
      </c>
      <c r="I21" s="13">
        <f>SUMIF(Species!$G$2:$G$255,A21,Species!$U$2:$U$255)</f>
        <v>13189518.19671822</v>
      </c>
      <c r="J21" s="14">
        <v>3.80520223130672</v>
      </c>
      <c r="K21" s="14">
        <f>IF(J21="","",(1/Metadata!$B$5)^(J21-1))</f>
        <v>638.56076585105154</v>
      </c>
      <c r="L21" s="13">
        <f t="shared" si="1"/>
        <v>12013629.554239374</v>
      </c>
      <c r="M21" s="13">
        <f t="shared" si="2"/>
        <v>1175888.642478846</v>
      </c>
      <c r="N21" s="14">
        <f t="shared" si="3"/>
        <v>1.0978795489880824</v>
      </c>
      <c r="O21" s="16">
        <f t="shared" si="4"/>
        <v>9.7879548988082293E-2</v>
      </c>
    </row>
    <row r="22" spans="1:15" ht="18" customHeight="1">
      <c r="A22" s="10" t="s">
        <v>84</v>
      </c>
      <c r="B22" s="15">
        <v>4</v>
      </c>
      <c r="C22" s="15">
        <v>4</v>
      </c>
      <c r="D22" s="13">
        <v>147151.05580121759</v>
      </c>
      <c r="E22" s="13">
        <v>147151.05580121759</v>
      </c>
      <c r="F22" s="14">
        <v>0</v>
      </c>
      <c r="G22" s="16">
        <v>1</v>
      </c>
      <c r="H22" s="14">
        <f t="shared" si="0"/>
        <v>462.75091896397817</v>
      </c>
      <c r="I22" s="13">
        <f>SUMIF(Species!$G$2:$G$255,A22,Species!$U$2:$U$255)</f>
        <v>68094286.298533067</v>
      </c>
      <c r="J22" s="14">
        <v>3.6277016413314138</v>
      </c>
      <c r="K22" s="14">
        <f>IF(J22="","",(1/Metadata!$B$5)^(J22-1))</f>
        <v>424.327952089409</v>
      </c>
      <c r="L22" s="13">
        <f t="shared" si="1"/>
        <v>62440306.155925006</v>
      </c>
      <c r="M22" s="13">
        <f t="shared" si="2"/>
        <v>5653980.1426080614</v>
      </c>
      <c r="N22" s="14">
        <f t="shared" si="3"/>
        <v>1.0905501668824145</v>
      </c>
      <c r="O22" s="16">
        <f t="shared" si="4"/>
        <v>9.0550166882414476E-2</v>
      </c>
    </row>
    <row r="23" spans="1:15" ht="18" customHeight="1">
      <c r="A23" s="10" t="s">
        <v>40</v>
      </c>
      <c r="B23" s="15">
        <v>14</v>
      </c>
      <c r="C23" s="15">
        <v>14</v>
      </c>
      <c r="D23" s="13">
        <v>549933.59889584978</v>
      </c>
      <c r="E23" s="13">
        <v>549933.59889584978</v>
      </c>
      <c r="F23" s="14">
        <v>0</v>
      </c>
      <c r="G23" s="16">
        <v>1</v>
      </c>
      <c r="H23" s="14">
        <f t="shared" si="0"/>
        <v>152.23643411784929</v>
      </c>
      <c r="I23" s="13">
        <f>SUMIF(Species!$G$2:$G$255,A23,Species!$U$2:$U$255)</f>
        <v>83719930.097499788</v>
      </c>
      <c r="J23" s="14">
        <v>3.1724028457962969</v>
      </c>
      <c r="K23" s="14">
        <f>IF(J23="","",(1/Metadata!$B$5)^(J23-1))</f>
        <v>148.73146159234309</v>
      </c>
      <c r="L23" s="13">
        <f t="shared" si="1"/>
        <v>81792427.942517087</v>
      </c>
      <c r="M23" s="13">
        <f t="shared" si="2"/>
        <v>1927502.1549827009</v>
      </c>
      <c r="N23" s="14">
        <f t="shared" si="3"/>
        <v>1.0235657774621549</v>
      </c>
      <c r="O23" s="16">
        <f t="shared" si="4"/>
        <v>2.3565777462154939E-2</v>
      </c>
    </row>
    <row r="24" spans="1:15" ht="18" customHeight="1">
      <c r="A24" s="10" t="s">
        <v>596</v>
      </c>
      <c r="B24" s="15">
        <v>1</v>
      </c>
      <c r="C24" s="15">
        <v>1</v>
      </c>
      <c r="D24" s="13">
        <v>460.141634313</v>
      </c>
      <c r="E24" s="13">
        <v>460.141634313</v>
      </c>
      <c r="F24" s="14">
        <v>0</v>
      </c>
      <c r="G24" s="16">
        <v>1</v>
      </c>
      <c r="H24" s="14">
        <f t="shared" si="0"/>
        <v>128.82495516931343</v>
      </c>
      <c r="I24" s="13">
        <f>SUMIF(Species!$G$2:$G$255,A24,Species!$U$2:$U$255)</f>
        <v>59277.725411906838</v>
      </c>
      <c r="J24" s="14">
        <v>3.11</v>
      </c>
      <c r="K24" s="14">
        <f>IF(J24="","",(1/Metadata!$B$5)^(J24-1))</f>
        <v>128.82495516931343</v>
      </c>
      <c r="L24" s="13">
        <f t="shared" si="1"/>
        <v>59277.725411906838</v>
      </c>
      <c r="M24" s="13">
        <f t="shared" si="2"/>
        <v>0</v>
      </c>
      <c r="N24" s="14">
        <f t="shared" si="3"/>
        <v>1</v>
      </c>
      <c r="O24" s="16">
        <f t="shared" si="4"/>
        <v>0</v>
      </c>
    </row>
    <row r="25" spans="1:15" ht="18" customHeight="1">
      <c r="A25" s="10" t="s">
        <v>279</v>
      </c>
      <c r="B25" s="15">
        <v>5</v>
      </c>
      <c r="C25" s="15">
        <v>5</v>
      </c>
      <c r="D25" s="13">
        <v>17085.4187794957</v>
      </c>
      <c r="E25" s="13">
        <v>17085.4187794957</v>
      </c>
      <c r="F25" s="14">
        <v>0</v>
      </c>
      <c r="G25" s="16">
        <v>1</v>
      </c>
      <c r="H25" s="14">
        <f t="shared" si="0"/>
        <v>430.94054555438692</v>
      </c>
      <c r="I25" s="13">
        <f>SUMIF(Species!$G$2:$G$255,A25,Species!$U$2:$U$255)</f>
        <v>7362799.6898610443</v>
      </c>
      <c r="J25" s="14">
        <v>3.573162613302082</v>
      </c>
      <c r="K25" s="14">
        <f>IF(J25="","",(1/Metadata!$B$5)^(J25-1))</f>
        <v>374.25069308890187</v>
      </c>
      <c r="L25" s="13">
        <f t="shared" si="1"/>
        <v>6394229.8199404059</v>
      </c>
      <c r="M25" s="13">
        <f t="shared" si="2"/>
        <v>968569.86992063839</v>
      </c>
      <c r="N25" s="14">
        <f t="shared" si="3"/>
        <v>1.1514756111674549</v>
      </c>
      <c r="O25" s="16">
        <f t="shared" si="4"/>
        <v>0.15147561116745495</v>
      </c>
    </row>
  </sheetData>
  <conditionalFormatting sqref="G2:G25">
    <cfRule type="cellIs" dxfId="0" priority="1" operator="lessThan">
      <formula>0.9</formula>
    </cfRule>
  </conditionalFormatting>
  <conditionalFormatting sqref="O2:O25">
    <cfRule type="dataBar" priority="2">
      <dataBar>
        <cfvo type="min"/>
        <cfvo type="max"/>
        <color rgb="FFE28A32"/>
      </dataBar>
    </cfRule>
  </conditionalFormatting>
  <pageMargins left="0.7" right="0.7" top="0.75" bottom="0.75" header="0.3" footer="0.3"/>
  <headerFooter>
    <oddHeader>&amp;C&amp;"Aptos"&amp;10&amp;K000000 - בלמ"ס -&amp;1#_x000D_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
  <sheetViews>
    <sheetView showGridLines="0" workbookViewId="0"/>
  </sheetViews>
  <sheetFormatPr defaultColWidth="8.83203125" defaultRowHeight="14"/>
  <cols>
    <col min="1" max="3" width="22" customWidth="1"/>
    <col min="4" max="4" width="15" customWidth="1"/>
    <col min="5" max="5" width="25" customWidth="1"/>
    <col min="6" max="8" width="22" customWidth="1"/>
    <col min="9" max="13" width="18" customWidth="1"/>
    <col min="14" max="14" width="22" customWidth="1"/>
    <col min="15" max="15" width="15" customWidth="1"/>
    <col min="16" max="16" width="22" customWidth="1"/>
    <col min="17" max="17" width="36" customWidth="1"/>
    <col min="18" max="19" width="22" customWidth="1"/>
    <col min="20" max="21" width="18" customWidth="1"/>
  </cols>
  <sheetData>
    <row r="1" spans="1:21" ht="32" customHeigh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row>
  </sheetData>
  <pageMargins left="0.7" right="0.7" top="0.75" bottom="0.75" header="0.3" footer="0.3"/>
  <headerFooter>
    <oddHeader>&amp;C&amp;"Aptos"&amp;10&amp;K000000 - בלמ"ס -&amp;1#_x000D_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showGridLines="0" workbookViewId="0"/>
  </sheetViews>
  <sheetFormatPr defaultColWidth="8.83203125" defaultRowHeight="14"/>
  <cols>
    <col min="1" max="1" width="22" customWidth="1"/>
    <col min="2" max="2" width="34" customWidth="1"/>
    <col min="3" max="3" width="15" customWidth="1"/>
    <col min="4" max="4" width="34" customWidth="1"/>
  </cols>
  <sheetData>
    <row r="1" spans="1:4" ht="32" customHeight="1">
      <c r="A1" s="11" t="s">
        <v>0</v>
      </c>
      <c r="B1" s="11" t="s">
        <v>967</v>
      </c>
      <c r="C1" s="11" t="s">
        <v>968</v>
      </c>
      <c r="D1" s="11" t="s">
        <v>969</v>
      </c>
    </row>
    <row r="2" spans="1:4" ht="18" customHeight="1">
      <c r="A2" s="10" t="s">
        <v>25</v>
      </c>
      <c r="B2" s="10" t="s">
        <v>970</v>
      </c>
      <c r="C2" s="10">
        <v>5649829.9842101932</v>
      </c>
      <c r="D2" s="10" t="s">
        <v>971</v>
      </c>
    </row>
    <row r="3" spans="1:4" ht="18" customHeight="1">
      <c r="A3" s="10" t="s">
        <v>25</v>
      </c>
      <c r="B3" s="10" t="s">
        <v>972</v>
      </c>
      <c r="C3" s="10">
        <v>5649829.9842101932</v>
      </c>
      <c r="D3" s="10" t="s">
        <v>971</v>
      </c>
    </row>
    <row r="4" spans="1:4" ht="18" customHeight="1">
      <c r="A4" s="10" t="s">
        <v>25</v>
      </c>
      <c r="B4" s="10" t="s">
        <v>973</v>
      </c>
      <c r="C4" s="10">
        <v>0</v>
      </c>
      <c r="D4" s="10" t="s">
        <v>971</v>
      </c>
    </row>
    <row r="5" spans="1:4" ht="18" customHeight="1">
      <c r="A5" s="10" t="s">
        <v>25</v>
      </c>
      <c r="B5" s="10" t="s">
        <v>974</v>
      </c>
      <c r="C5" s="10" t="s">
        <v>975</v>
      </c>
      <c r="D5" s="10" t="s">
        <v>976</v>
      </c>
    </row>
    <row r="6" spans="1:4" ht="18" customHeight="1">
      <c r="A6" s="10" t="s">
        <v>25</v>
      </c>
      <c r="B6" s="10" t="s">
        <v>977</v>
      </c>
      <c r="C6" s="10">
        <v>5649829.9842101932</v>
      </c>
      <c r="D6" s="10" t="s">
        <v>971</v>
      </c>
    </row>
    <row r="7" spans="1:4" ht="18" customHeight="1">
      <c r="A7" s="10" t="s">
        <v>25</v>
      </c>
      <c r="B7" s="10" t="s">
        <v>958</v>
      </c>
      <c r="C7" s="10">
        <v>1</v>
      </c>
      <c r="D7" s="10" t="s">
        <v>978</v>
      </c>
    </row>
    <row r="8" spans="1:4" ht="18" customHeight="1">
      <c r="A8" s="10" t="s">
        <v>25</v>
      </c>
      <c r="B8" s="10" t="s">
        <v>979</v>
      </c>
      <c r="C8" s="10">
        <v>254</v>
      </c>
      <c r="D8" s="10" t="s">
        <v>980</v>
      </c>
    </row>
    <row r="9" spans="1:4" ht="18" customHeight="1">
      <c r="A9" s="10" t="s">
        <v>25</v>
      </c>
      <c r="B9" s="10" t="s">
        <v>981</v>
      </c>
      <c r="C9" s="10">
        <v>254</v>
      </c>
      <c r="D9" s="10" t="s">
        <v>980</v>
      </c>
    </row>
    <row r="10" spans="1:4" ht="18" customHeight="1">
      <c r="A10" s="10" t="s">
        <v>25</v>
      </c>
      <c r="B10" s="10" t="s">
        <v>982</v>
      </c>
      <c r="C10" s="10">
        <v>0</v>
      </c>
      <c r="D10" s="10" t="s">
        <v>980</v>
      </c>
    </row>
    <row r="11" spans="1:4" ht="18" customHeight="1">
      <c r="A11" s="10" t="s">
        <v>25</v>
      </c>
      <c r="B11" s="10" t="s">
        <v>983</v>
      </c>
      <c r="C11" s="10">
        <v>3396644855.555232</v>
      </c>
      <c r="D11" s="10" t="s">
        <v>984</v>
      </c>
    </row>
    <row r="12" spans="1:4" ht="18" customHeight="1">
      <c r="A12" s="10" t="s">
        <v>25</v>
      </c>
      <c r="B12" s="10" t="s">
        <v>985</v>
      </c>
      <c r="C12" s="10">
        <v>3396644855.555232</v>
      </c>
      <c r="D12" s="10" t="s">
        <v>984</v>
      </c>
    </row>
    <row r="13" spans="1:4" ht="18" customHeight="1">
      <c r="A13" s="10" t="s">
        <v>25</v>
      </c>
      <c r="B13" s="10" t="s">
        <v>986</v>
      </c>
      <c r="C13" s="10">
        <v>3396644855.555233</v>
      </c>
      <c r="D13" s="10" t="s">
        <v>984</v>
      </c>
    </row>
    <row r="14" spans="1:4" ht="18" customHeight="1">
      <c r="A14" s="10" t="s">
        <v>25</v>
      </c>
      <c r="B14" s="10" t="s">
        <v>987</v>
      </c>
      <c r="C14" s="10">
        <v>4.76837158203125E-7</v>
      </c>
      <c r="D14" s="10" t="s">
        <v>984</v>
      </c>
    </row>
    <row r="15" spans="1:4" ht="18" customHeight="1">
      <c r="A15" s="10" t="s">
        <v>25</v>
      </c>
      <c r="B15" s="10" t="s">
        <v>988</v>
      </c>
      <c r="C15" s="10">
        <v>1.430511474609375E-6</v>
      </c>
      <c r="D15" s="10" t="s">
        <v>984</v>
      </c>
    </row>
    <row r="16" spans="1:4" ht="18" customHeight="1">
      <c r="A16" s="10" t="s">
        <v>25</v>
      </c>
      <c r="B16" s="10" t="s">
        <v>989</v>
      </c>
      <c r="C16" s="10" t="s">
        <v>975</v>
      </c>
      <c r="D16" s="10" t="s">
        <v>976</v>
      </c>
    </row>
    <row r="17" spans="1:4" ht="18" customHeight="1">
      <c r="A17" s="10" t="s">
        <v>25</v>
      </c>
      <c r="B17" s="10" t="s">
        <v>990</v>
      </c>
      <c r="C17" s="10" t="s">
        <v>975</v>
      </c>
      <c r="D17" s="10" t="s">
        <v>976</v>
      </c>
    </row>
    <row r="18" spans="1:4" ht="18" customHeight="1">
      <c r="A18" s="10" t="s">
        <v>25</v>
      </c>
      <c r="B18" s="10" t="s">
        <v>991</v>
      </c>
      <c r="C18" s="10">
        <v>0</v>
      </c>
      <c r="D18" s="10" t="s">
        <v>980</v>
      </c>
    </row>
    <row r="19" spans="1:4" ht="18" customHeight="1">
      <c r="A19" s="10" t="s">
        <v>25</v>
      </c>
      <c r="B19" s="10" t="s">
        <v>992</v>
      </c>
      <c r="C19" s="10">
        <v>0</v>
      </c>
      <c r="D19" s="10" t="s">
        <v>980</v>
      </c>
    </row>
  </sheetData>
  <pageMargins left="0.7" right="0.7" top="0.75" bottom="0.75" header="0.3" footer="0.3"/>
  <headerFooter>
    <oddHeader>&amp;C&amp;"Aptos"&amp;10&amp;K000000 - בלמ"ס -&amp;1#_x000D_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showGridLines="0" workbookViewId="0"/>
  </sheetViews>
  <sheetFormatPr defaultColWidth="8.83203125" defaultRowHeight="14"/>
  <cols>
    <col min="1" max="1" width="31" customWidth="1"/>
    <col min="2" max="2" width="28" customWidth="1"/>
    <col min="3" max="3" width="68" customWidth="1"/>
  </cols>
  <sheetData>
    <row r="1" spans="1:3" ht="30" customHeight="1">
      <c r="A1" s="23" t="s">
        <v>993</v>
      </c>
      <c r="B1" s="24"/>
      <c r="C1" s="24"/>
    </row>
    <row r="3" spans="1:3">
      <c r="A3" s="1" t="s">
        <v>994</v>
      </c>
      <c r="B3" s="2" t="s">
        <v>995</v>
      </c>
      <c r="C3" s="3" t="s">
        <v>996</v>
      </c>
    </row>
    <row r="4" spans="1:3">
      <c r="A4" s="8" t="s">
        <v>997</v>
      </c>
      <c r="B4" s="4" t="s">
        <v>25</v>
      </c>
      <c r="C4" s="5" t="s">
        <v>998</v>
      </c>
    </row>
    <row r="5" spans="1:3">
      <c r="A5" s="8" t="s">
        <v>999</v>
      </c>
      <c r="B5" s="17">
        <v>0.1</v>
      </c>
      <c r="C5" s="5" t="s">
        <v>1000</v>
      </c>
    </row>
    <row r="6" spans="1:3">
      <c r="A6" s="8" t="s">
        <v>1001</v>
      </c>
      <c r="B6" s="4">
        <v>2019</v>
      </c>
      <c r="C6" s="5" t="s">
        <v>1002</v>
      </c>
    </row>
    <row r="7" spans="1:3">
      <c r="A7" s="8" t="s">
        <v>1003</v>
      </c>
      <c r="B7" s="4" t="s">
        <v>27</v>
      </c>
      <c r="C7" s="5" t="s">
        <v>1004</v>
      </c>
    </row>
    <row r="8" spans="1:3">
      <c r="A8" s="8" t="s">
        <v>1005</v>
      </c>
      <c r="B8" s="4" t="s">
        <v>1006</v>
      </c>
      <c r="C8" s="5" t="s">
        <v>1007</v>
      </c>
    </row>
    <row r="9" spans="1:3">
      <c r="A9" s="8" t="s">
        <v>1008</v>
      </c>
      <c r="B9" s="4" t="s">
        <v>1009</v>
      </c>
      <c r="C9" s="5" t="s">
        <v>1010</v>
      </c>
    </row>
    <row r="10" spans="1:3">
      <c r="A10" s="8" t="s">
        <v>1011</v>
      </c>
      <c r="B10" s="4" t="s">
        <v>1012</v>
      </c>
      <c r="C10" s="5" t="s">
        <v>1013</v>
      </c>
    </row>
    <row r="11" spans="1:3">
      <c r="A11" s="8" t="s">
        <v>1014</v>
      </c>
      <c r="B11" s="4" t="s">
        <v>1015</v>
      </c>
      <c r="C11" s="5" t="s">
        <v>1016</v>
      </c>
    </row>
    <row r="12" spans="1:3">
      <c r="A12" s="8" t="s">
        <v>1017</v>
      </c>
      <c r="B12" s="4" t="s">
        <v>44</v>
      </c>
      <c r="C12" s="5" t="s">
        <v>1018</v>
      </c>
    </row>
    <row r="13" spans="1:3">
      <c r="A13" s="8" t="s">
        <v>1019</v>
      </c>
      <c r="B13" s="4" t="s">
        <v>34</v>
      </c>
      <c r="C13" s="5" t="s">
        <v>1020</v>
      </c>
    </row>
    <row r="14" spans="1:3">
      <c r="A14" s="8" t="s">
        <v>1021</v>
      </c>
      <c r="B14" s="4" t="s">
        <v>1022</v>
      </c>
      <c r="C14" s="5" t="s">
        <v>1023</v>
      </c>
    </row>
    <row r="15" spans="1:3">
      <c r="A15" s="9" t="s">
        <v>1024</v>
      </c>
      <c r="B15" s="6" t="s">
        <v>1025</v>
      </c>
      <c r="C15" s="7" t="s">
        <v>1026</v>
      </c>
    </row>
  </sheetData>
  <mergeCells count="1">
    <mergeCell ref="A1:C1"/>
  </mergeCells>
  <pageMargins left="0.7" right="0.7" top="0.75" bottom="0.75" header="0.3" footer="0.3"/>
  <headerFooter>
    <oddHeader>&amp;C&amp;"Aptos"&amp;10&amp;K000000 - בלמ"ס -&amp;1#_x000D_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9"/>
  <sheetViews>
    <sheetView workbookViewId="0"/>
  </sheetViews>
  <sheetFormatPr defaultColWidth="8.83203125" defaultRowHeight="14"/>
  <cols>
    <col min="1" max="2" width="20" customWidth="1"/>
    <col min="3" max="3" width="26" customWidth="1"/>
    <col min="4" max="4" width="10" customWidth="1"/>
    <col min="5" max="5" width="34" customWidth="1"/>
    <col min="6" max="6" width="60" customWidth="1"/>
    <col min="7" max="7" width="70" customWidth="1"/>
    <col min="8" max="9" width="40" customWidth="1"/>
    <col min="10" max="11" width="34" customWidth="1"/>
    <col min="12" max="12" width="60" customWidth="1"/>
  </cols>
  <sheetData>
    <row r="1" spans="1:12" ht="14.5">
      <c r="A1" s="18" t="s">
        <v>1027</v>
      </c>
      <c r="B1" s="18" t="s">
        <v>1028</v>
      </c>
      <c r="C1" s="18" t="s">
        <v>6</v>
      </c>
      <c r="D1" s="18" t="s">
        <v>1029</v>
      </c>
      <c r="E1" s="18" t="s">
        <v>1030</v>
      </c>
      <c r="F1" s="18" t="s">
        <v>1031</v>
      </c>
      <c r="G1" s="18" t="s">
        <v>1032</v>
      </c>
      <c r="H1" s="18" t="s">
        <v>1033</v>
      </c>
      <c r="I1" s="18" t="s">
        <v>1034</v>
      </c>
      <c r="J1" s="18" t="s">
        <v>1035</v>
      </c>
      <c r="K1" s="18" t="s">
        <v>1036</v>
      </c>
      <c r="L1" s="18" t="s">
        <v>1037</v>
      </c>
    </row>
    <row r="2" spans="1:12" ht="70">
      <c r="A2" t="s">
        <v>1038</v>
      </c>
      <c r="B2" t="s">
        <v>1039</v>
      </c>
      <c r="C2" t="s">
        <v>1040</v>
      </c>
      <c r="D2">
        <v>1</v>
      </c>
      <c r="E2" t="s">
        <v>1041</v>
      </c>
      <c r="F2" s="20" t="s">
        <v>1042</v>
      </c>
      <c r="G2" s="20" t="s">
        <v>1043</v>
      </c>
      <c r="H2" s="20" t="s">
        <v>1044</v>
      </c>
      <c r="I2" s="20" t="s">
        <v>1045</v>
      </c>
      <c r="J2" t="s">
        <v>1046</v>
      </c>
      <c r="K2" t="s">
        <v>1047</v>
      </c>
      <c r="L2" s="20" t="s">
        <v>1048</v>
      </c>
    </row>
    <row r="3" spans="1:12" ht="70">
      <c r="A3" t="s">
        <v>1038</v>
      </c>
      <c r="B3" t="s">
        <v>1039</v>
      </c>
      <c r="C3" t="s">
        <v>1049</v>
      </c>
      <c r="D3">
        <v>2</v>
      </c>
      <c r="E3" t="s">
        <v>1050</v>
      </c>
      <c r="F3" s="20" t="s">
        <v>1051</v>
      </c>
      <c r="G3" s="20" t="s">
        <v>1043</v>
      </c>
      <c r="H3" s="20" t="s">
        <v>1044</v>
      </c>
      <c r="I3" s="20" t="s">
        <v>1045</v>
      </c>
      <c r="J3" t="s">
        <v>1046</v>
      </c>
      <c r="K3" t="s">
        <v>1047</v>
      </c>
      <c r="L3" s="20" t="s">
        <v>1048</v>
      </c>
    </row>
    <row r="4" spans="1:12" ht="70">
      <c r="A4" t="s">
        <v>1038</v>
      </c>
      <c r="B4" t="s">
        <v>1039</v>
      </c>
      <c r="C4" t="s">
        <v>1052</v>
      </c>
      <c r="D4">
        <v>2</v>
      </c>
      <c r="E4" t="s">
        <v>1053</v>
      </c>
      <c r="F4" s="20" t="s">
        <v>1054</v>
      </c>
      <c r="G4" s="20" t="s">
        <v>1043</v>
      </c>
      <c r="H4" s="20" t="s">
        <v>1044</v>
      </c>
      <c r="I4" s="20" t="s">
        <v>1045</v>
      </c>
      <c r="J4" t="s">
        <v>1046</v>
      </c>
      <c r="K4" t="s">
        <v>1047</v>
      </c>
      <c r="L4" s="20" t="s">
        <v>1048</v>
      </c>
    </row>
    <row r="5" spans="1:12" ht="70">
      <c r="A5" t="s">
        <v>1038</v>
      </c>
      <c r="B5" t="s">
        <v>1039</v>
      </c>
      <c r="C5" t="s">
        <v>80</v>
      </c>
      <c r="D5">
        <v>2.169</v>
      </c>
      <c r="E5" t="s">
        <v>1055</v>
      </c>
      <c r="F5" s="20" t="s">
        <v>1056</v>
      </c>
      <c r="G5" s="20" t="s">
        <v>1043</v>
      </c>
      <c r="H5" s="20" t="s">
        <v>1044</v>
      </c>
      <c r="I5" s="20" t="s">
        <v>1045</v>
      </c>
      <c r="J5" t="s">
        <v>1046</v>
      </c>
      <c r="K5" t="s">
        <v>1047</v>
      </c>
      <c r="L5" s="20" t="s">
        <v>1048</v>
      </c>
    </row>
    <row r="6" spans="1:12" ht="70">
      <c r="A6" t="s">
        <v>1038</v>
      </c>
      <c r="B6" t="s">
        <v>1039</v>
      </c>
      <c r="C6" t="s">
        <v>1057</v>
      </c>
      <c r="D6">
        <v>2.161</v>
      </c>
      <c r="E6" t="s">
        <v>1058</v>
      </c>
      <c r="F6" s="20" t="s">
        <v>1059</v>
      </c>
      <c r="G6" s="20" t="s">
        <v>1043</v>
      </c>
      <c r="H6" s="20" t="s">
        <v>1044</v>
      </c>
      <c r="I6" s="20" t="s">
        <v>1045</v>
      </c>
      <c r="J6" t="s">
        <v>1046</v>
      </c>
      <c r="K6" t="s">
        <v>1047</v>
      </c>
      <c r="L6" s="20" t="s">
        <v>1048</v>
      </c>
    </row>
    <row r="7" spans="1:12" ht="70">
      <c r="A7" t="s">
        <v>1038</v>
      </c>
      <c r="B7" t="s">
        <v>1039</v>
      </c>
      <c r="C7" t="s">
        <v>376</v>
      </c>
      <c r="D7">
        <v>2.2200000000000002</v>
      </c>
      <c r="E7" t="s">
        <v>1053</v>
      </c>
      <c r="F7" s="20" t="s">
        <v>1060</v>
      </c>
      <c r="G7" s="20" t="s">
        <v>1043</v>
      </c>
      <c r="H7" s="20" t="s">
        <v>1044</v>
      </c>
      <c r="I7" s="20" t="s">
        <v>1045</v>
      </c>
      <c r="J7" t="s">
        <v>1046</v>
      </c>
      <c r="K7" t="s">
        <v>1047</v>
      </c>
      <c r="L7" s="20" t="s">
        <v>1048</v>
      </c>
    </row>
    <row r="8" spans="1:12" ht="70">
      <c r="A8" t="s">
        <v>1038</v>
      </c>
      <c r="B8" t="s">
        <v>1039</v>
      </c>
      <c r="C8" t="s">
        <v>158</v>
      </c>
      <c r="D8">
        <v>2</v>
      </c>
      <c r="E8" t="s">
        <v>1061</v>
      </c>
      <c r="F8" s="20" t="s">
        <v>1062</v>
      </c>
      <c r="G8" s="20" t="s">
        <v>1043</v>
      </c>
      <c r="H8" s="20" t="s">
        <v>1044</v>
      </c>
      <c r="I8" s="20" t="s">
        <v>1045</v>
      </c>
      <c r="J8" t="s">
        <v>1046</v>
      </c>
      <c r="K8" t="s">
        <v>1047</v>
      </c>
      <c r="L8" s="20" t="s">
        <v>1048</v>
      </c>
    </row>
    <row r="9" spans="1:12" ht="70">
      <c r="A9" t="s">
        <v>1038</v>
      </c>
      <c r="B9" t="s">
        <v>1039</v>
      </c>
      <c r="C9" t="s">
        <v>125</v>
      </c>
      <c r="D9">
        <v>2.3220000000000001</v>
      </c>
      <c r="E9" t="s">
        <v>1063</v>
      </c>
      <c r="F9" s="20" t="s">
        <v>1064</v>
      </c>
      <c r="G9" s="20" t="s">
        <v>1043</v>
      </c>
      <c r="H9" s="20" t="s">
        <v>1044</v>
      </c>
      <c r="I9" s="20" t="s">
        <v>1045</v>
      </c>
      <c r="J9" t="s">
        <v>1046</v>
      </c>
      <c r="K9" t="s">
        <v>1047</v>
      </c>
      <c r="L9" s="20" t="s">
        <v>1048</v>
      </c>
    </row>
    <row r="10" spans="1:12" ht="70">
      <c r="A10" t="s">
        <v>1038</v>
      </c>
      <c r="B10" t="s">
        <v>1039</v>
      </c>
      <c r="C10" t="s">
        <v>96</v>
      </c>
      <c r="D10">
        <v>2.3140000000000001</v>
      </c>
      <c r="E10" t="s">
        <v>1065</v>
      </c>
      <c r="F10" s="20" t="s">
        <v>1066</v>
      </c>
      <c r="G10" s="20" t="s">
        <v>1043</v>
      </c>
      <c r="H10" s="20" t="s">
        <v>1044</v>
      </c>
      <c r="I10" s="20" t="s">
        <v>1045</v>
      </c>
      <c r="J10" t="s">
        <v>1046</v>
      </c>
      <c r="K10" t="s">
        <v>1047</v>
      </c>
      <c r="L10" s="20" t="s">
        <v>1048</v>
      </c>
    </row>
    <row r="11" spans="1:12" ht="70">
      <c r="A11" t="s">
        <v>1038</v>
      </c>
      <c r="B11" t="s">
        <v>1039</v>
      </c>
      <c r="C11" t="s">
        <v>151</v>
      </c>
      <c r="D11">
        <v>2.8180000000000001</v>
      </c>
      <c r="E11" t="s">
        <v>1053</v>
      </c>
      <c r="F11" s="20" t="s">
        <v>1067</v>
      </c>
      <c r="G11" s="20" t="s">
        <v>1043</v>
      </c>
      <c r="H11" s="20" t="s">
        <v>1044</v>
      </c>
      <c r="I11" s="20" t="s">
        <v>1045</v>
      </c>
      <c r="J11" t="s">
        <v>1046</v>
      </c>
      <c r="K11" t="s">
        <v>1047</v>
      </c>
      <c r="L11" s="20" t="s">
        <v>1048</v>
      </c>
    </row>
    <row r="12" spans="1:12" ht="84">
      <c r="A12" t="s">
        <v>1038</v>
      </c>
      <c r="B12" t="s">
        <v>1039</v>
      </c>
      <c r="C12" t="s">
        <v>45</v>
      </c>
      <c r="D12">
        <v>2.9529999999999998</v>
      </c>
      <c r="E12" t="s">
        <v>1068</v>
      </c>
      <c r="F12" s="20" t="s">
        <v>1069</v>
      </c>
      <c r="G12" s="20" t="s">
        <v>1070</v>
      </c>
      <c r="H12" s="20" t="s">
        <v>1044</v>
      </c>
      <c r="I12" s="20" t="s">
        <v>1045</v>
      </c>
      <c r="J12" t="s">
        <v>1046</v>
      </c>
      <c r="K12" t="s">
        <v>1047</v>
      </c>
      <c r="L12" s="20" t="s">
        <v>1048</v>
      </c>
    </row>
    <row r="13" spans="1:12" ht="70">
      <c r="A13" t="s">
        <v>1038</v>
      </c>
      <c r="B13" t="s">
        <v>1039</v>
      </c>
      <c r="C13" t="s">
        <v>130</v>
      </c>
      <c r="D13">
        <v>2.8479999999999999</v>
      </c>
      <c r="E13" t="s">
        <v>1071</v>
      </c>
      <c r="F13" s="20" t="s">
        <v>1072</v>
      </c>
      <c r="G13" s="20" t="s">
        <v>1043</v>
      </c>
      <c r="H13" s="20" t="s">
        <v>1044</v>
      </c>
      <c r="I13" s="20" t="s">
        <v>1045</v>
      </c>
      <c r="J13" t="s">
        <v>1046</v>
      </c>
      <c r="K13" t="s">
        <v>1047</v>
      </c>
      <c r="L13" s="20" t="s">
        <v>1048</v>
      </c>
    </row>
    <row r="14" spans="1:12" ht="140">
      <c r="A14" t="s">
        <v>1038</v>
      </c>
      <c r="B14" t="s">
        <v>1039</v>
      </c>
      <c r="C14" t="s">
        <v>92</v>
      </c>
      <c r="D14">
        <v>3.5710000000000002</v>
      </c>
      <c r="E14" t="s">
        <v>1073</v>
      </c>
      <c r="F14" s="20" t="s">
        <v>1074</v>
      </c>
      <c r="G14" s="20" t="s">
        <v>1075</v>
      </c>
      <c r="H14" s="20" t="s">
        <v>1044</v>
      </c>
      <c r="I14" s="20" t="s">
        <v>1045</v>
      </c>
      <c r="J14" t="s">
        <v>1046</v>
      </c>
      <c r="K14" t="s">
        <v>1047</v>
      </c>
      <c r="L14" s="20" t="s">
        <v>1048</v>
      </c>
    </row>
    <row r="15" spans="1:12" ht="84">
      <c r="A15" t="s">
        <v>1038</v>
      </c>
      <c r="B15" t="s">
        <v>1039</v>
      </c>
      <c r="C15" t="s">
        <v>63</v>
      </c>
      <c r="D15">
        <v>3.169</v>
      </c>
      <c r="E15" t="s">
        <v>1076</v>
      </c>
      <c r="F15" s="20" t="s">
        <v>59</v>
      </c>
      <c r="G15" s="20" t="s">
        <v>1070</v>
      </c>
      <c r="H15" s="20" t="s">
        <v>1044</v>
      </c>
      <c r="I15" s="20" t="s">
        <v>1045</v>
      </c>
      <c r="J15" t="s">
        <v>1046</v>
      </c>
      <c r="K15" t="s">
        <v>1047</v>
      </c>
      <c r="L15" s="20" t="s">
        <v>1048</v>
      </c>
    </row>
    <row r="16" spans="1:12" ht="112">
      <c r="A16" t="s">
        <v>1038</v>
      </c>
      <c r="B16" t="s">
        <v>1039</v>
      </c>
      <c r="C16" t="s">
        <v>170</v>
      </c>
      <c r="D16">
        <v>2.9049999999999998</v>
      </c>
      <c r="E16" t="s">
        <v>1076</v>
      </c>
      <c r="F16" s="20" t="s">
        <v>167</v>
      </c>
      <c r="G16" s="20" t="s">
        <v>1077</v>
      </c>
      <c r="H16" s="20" t="s">
        <v>1044</v>
      </c>
      <c r="I16" s="20" t="s">
        <v>1045</v>
      </c>
      <c r="J16" t="s">
        <v>1046</v>
      </c>
      <c r="K16" t="s">
        <v>1047</v>
      </c>
      <c r="L16" s="20" t="s">
        <v>1048</v>
      </c>
    </row>
    <row r="17" spans="1:12" ht="84">
      <c r="A17" t="s">
        <v>1038</v>
      </c>
      <c r="B17" t="s">
        <v>1039</v>
      </c>
      <c r="C17" t="s">
        <v>57</v>
      </c>
      <c r="D17">
        <v>2.9580000000000002</v>
      </c>
      <c r="E17" t="s">
        <v>1078</v>
      </c>
      <c r="F17" s="20" t="s">
        <v>1079</v>
      </c>
      <c r="G17" s="20" t="s">
        <v>1080</v>
      </c>
      <c r="H17" s="20" t="s">
        <v>1044</v>
      </c>
      <c r="I17" s="20" t="s">
        <v>1045</v>
      </c>
      <c r="J17" t="s">
        <v>1046</v>
      </c>
      <c r="K17" t="s">
        <v>1047</v>
      </c>
      <c r="L17" s="20" t="s">
        <v>1048</v>
      </c>
    </row>
    <row r="18" spans="1:12" ht="98">
      <c r="A18" t="s">
        <v>1038</v>
      </c>
      <c r="B18" t="s">
        <v>1039</v>
      </c>
      <c r="C18" t="s">
        <v>119</v>
      </c>
      <c r="D18">
        <v>3.1160000000000001</v>
      </c>
      <c r="E18" t="s">
        <v>1081</v>
      </c>
      <c r="F18" s="20" t="s">
        <v>1082</v>
      </c>
      <c r="G18" s="20" t="s">
        <v>1083</v>
      </c>
      <c r="H18" s="20" t="s">
        <v>1044</v>
      </c>
      <c r="I18" s="20" t="s">
        <v>1045</v>
      </c>
      <c r="J18" t="s">
        <v>1046</v>
      </c>
      <c r="K18" t="s">
        <v>1047</v>
      </c>
      <c r="L18" s="20" t="s">
        <v>1048</v>
      </c>
    </row>
    <row r="19" spans="1:12" ht="98">
      <c r="A19" t="s">
        <v>1038</v>
      </c>
      <c r="B19" t="s">
        <v>1039</v>
      </c>
      <c r="C19" t="s">
        <v>86</v>
      </c>
      <c r="D19">
        <v>3.1389999999999998</v>
      </c>
      <c r="E19" t="s">
        <v>1084</v>
      </c>
      <c r="F19" s="20" t="s">
        <v>1085</v>
      </c>
      <c r="G19" s="20" t="s">
        <v>1086</v>
      </c>
      <c r="H19" s="20" t="s">
        <v>1044</v>
      </c>
      <c r="I19" s="20" t="s">
        <v>1045</v>
      </c>
      <c r="J19" t="s">
        <v>1046</v>
      </c>
      <c r="K19" t="s">
        <v>1047</v>
      </c>
      <c r="L19" s="20" t="s">
        <v>1048</v>
      </c>
    </row>
    <row r="20" spans="1:12" ht="70">
      <c r="A20" t="s">
        <v>1038</v>
      </c>
      <c r="B20" t="s">
        <v>1039</v>
      </c>
      <c r="C20" t="s">
        <v>203</v>
      </c>
      <c r="D20">
        <v>3.1360000000000001</v>
      </c>
      <c r="E20" t="s">
        <v>1087</v>
      </c>
      <c r="F20" s="20" t="s">
        <v>1088</v>
      </c>
      <c r="G20" s="20" t="s">
        <v>1043</v>
      </c>
      <c r="H20" s="20" t="s">
        <v>1044</v>
      </c>
      <c r="I20" s="20" t="s">
        <v>1045</v>
      </c>
      <c r="J20" t="s">
        <v>1046</v>
      </c>
      <c r="K20" t="s">
        <v>1047</v>
      </c>
      <c r="L20" s="20" t="s">
        <v>1048</v>
      </c>
    </row>
    <row r="21" spans="1:12" ht="70">
      <c r="A21" t="s">
        <v>1038</v>
      </c>
      <c r="B21" t="s">
        <v>1039</v>
      </c>
      <c r="C21" t="s">
        <v>245</v>
      </c>
      <c r="D21">
        <v>3.379</v>
      </c>
      <c r="E21" t="s">
        <v>1076</v>
      </c>
      <c r="F21" s="20" t="s">
        <v>242</v>
      </c>
      <c r="G21" s="20" t="s">
        <v>1043</v>
      </c>
      <c r="H21" s="20" t="s">
        <v>1044</v>
      </c>
      <c r="I21" s="20" t="s">
        <v>1045</v>
      </c>
      <c r="J21" t="s">
        <v>1046</v>
      </c>
      <c r="K21" t="s">
        <v>1047</v>
      </c>
      <c r="L21" s="20" t="s">
        <v>1048</v>
      </c>
    </row>
    <row r="22" spans="1:12" ht="70">
      <c r="A22" t="s">
        <v>1038</v>
      </c>
      <c r="B22" t="s">
        <v>1039</v>
      </c>
      <c r="C22" t="s">
        <v>73</v>
      </c>
      <c r="D22">
        <v>3.085</v>
      </c>
      <c r="E22" t="s">
        <v>1076</v>
      </c>
      <c r="F22" s="20" t="s">
        <v>69</v>
      </c>
      <c r="G22" s="20" t="s">
        <v>1043</v>
      </c>
      <c r="H22" s="20" t="s">
        <v>1044</v>
      </c>
      <c r="I22" s="20" t="s">
        <v>1045</v>
      </c>
      <c r="J22" t="s">
        <v>1046</v>
      </c>
      <c r="K22" t="s">
        <v>1047</v>
      </c>
      <c r="L22" s="20" t="s">
        <v>1048</v>
      </c>
    </row>
    <row r="23" spans="1:12" ht="70">
      <c r="A23" t="s">
        <v>1038</v>
      </c>
      <c r="B23" t="s">
        <v>1039</v>
      </c>
      <c r="C23" t="s">
        <v>768</v>
      </c>
      <c r="D23">
        <v>4.0350000000000001</v>
      </c>
      <c r="E23" t="s">
        <v>1089</v>
      </c>
      <c r="F23" s="20" t="s">
        <v>1090</v>
      </c>
      <c r="G23" s="20" t="s">
        <v>1043</v>
      </c>
      <c r="H23" s="20" t="s">
        <v>1044</v>
      </c>
      <c r="I23" s="20" t="s">
        <v>1045</v>
      </c>
      <c r="J23" t="s">
        <v>1046</v>
      </c>
      <c r="K23" t="s">
        <v>1047</v>
      </c>
      <c r="L23" s="20" t="s">
        <v>1048</v>
      </c>
    </row>
    <row r="24" spans="1:12" ht="70">
      <c r="A24" t="s">
        <v>1038</v>
      </c>
      <c r="B24" t="s">
        <v>1039</v>
      </c>
      <c r="C24" t="s">
        <v>1091</v>
      </c>
      <c r="D24">
        <v>3.8090000000000002</v>
      </c>
      <c r="E24" t="s">
        <v>1053</v>
      </c>
      <c r="F24" s="20" t="s">
        <v>1092</v>
      </c>
      <c r="G24" s="20" t="s">
        <v>1043</v>
      </c>
      <c r="H24" s="20" t="s">
        <v>1044</v>
      </c>
      <c r="I24" s="20" t="s">
        <v>1045</v>
      </c>
      <c r="J24" t="s">
        <v>1046</v>
      </c>
      <c r="K24" t="s">
        <v>1047</v>
      </c>
      <c r="L24" s="20" t="s">
        <v>1048</v>
      </c>
    </row>
    <row r="25" spans="1:12" ht="70">
      <c r="A25" t="s">
        <v>1038</v>
      </c>
      <c r="B25" t="s">
        <v>1039</v>
      </c>
      <c r="C25" t="s">
        <v>1093</v>
      </c>
      <c r="D25">
        <v>1</v>
      </c>
      <c r="E25" t="s">
        <v>1094</v>
      </c>
      <c r="F25" s="20" t="s">
        <v>1042</v>
      </c>
      <c r="G25" s="20" t="s">
        <v>1043</v>
      </c>
      <c r="H25" s="20" t="s">
        <v>1044</v>
      </c>
      <c r="I25" s="20" t="s">
        <v>1045</v>
      </c>
      <c r="J25" t="s">
        <v>1046</v>
      </c>
      <c r="K25" t="s">
        <v>1047</v>
      </c>
      <c r="L25" s="20" t="s">
        <v>1048</v>
      </c>
    </row>
    <row r="26" spans="1:12" ht="70">
      <c r="A26" t="s">
        <v>1038</v>
      </c>
      <c r="B26" t="s">
        <v>1095</v>
      </c>
      <c r="C26" t="s">
        <v>1040</v>
      </c>
      <c r="D26">
        <v>1</v>
      </c>
      <c r="E26" t="s">
        <v>1041</v>
      </c>
      <c r="F26" s="20" t="s">
        <v>1042</v>
      </c>
      <c r="G26" s="20" t="s">
        <v>1043</v>
      </c>
      <c r="H26" s="20" t="s">
        <v>1044</v>
      </c>
      <c r="I26" s="20" t="s">
        <v>1045</v>
      </c>
      <c r="J26" t="s">
        <v>1046</v>
      </c>
      <c r="K26" t="s">
        <v>1047</v>
      </c>
      <c r="L26" s="20" t="s">
        <v>1048</v>
      </c>
    </row>
    <row r="27" spans="1:12" ht="70">
      <c r="A27" t="s">
        <v>1038</v>
      </c>
      <c r="B27" t="s">
        <v>1095</v>
      </c>
      <c r="C27" t="s">
        <v>1049</v>
      </c>
      <c r="D27">
        <v>2</v>
      </c>
      <c r="E27" t="s">
        <v>1050</v>
      </c>
      <c r="F27" s="20" t="s">
        <v>1051</v>
      </c>
      <c r="G27" s="20" t="s">
        <v>1043</v>
      </c>
      <c r="H27" s="20" t="s">
        <v>1044</v>
      </c>
      <c r="I27" s="20" t="s">
        <v>1045</v>
      </c>
      <c r="J27" t="s">
        <v>1046</v>
      </c>
      <c r="K27" t="s">
        <v>1047</v>
      </c>
      <c r="L27" s="20" t="s">
        <v>1048</v>
      </c>
    </row>
    <row r="28" spans="1:12" ht="70">
      <c r="A28" t="s">
        <v>1038</v>
      </c>
      <c r="B28" t="s">
        <v>1095</v>
      </c>
      <c r="C28" t="s">
        <v>1052</v>
      </c>
      <c r="D28">
        <v>2</v>
      </c>
      <c r="E28" t="s">
        <v>1053</v>
      </c>
      <c r="F28" s="20" t="s">
        <v>1054</v>
      </c>
      <c r="G28" s="20" t="s">
        <v>1043</v>
      </c>
      <c r="H28" s="20" t="s">
        <v>1044</v>
      </c>
      <c r="I28" s="20" t="s">
        <v>1045</v>
      </c>
      <c r="J28" t="s">
        <v>1046</v>
      </c>
      <c r="K28" t="s">
        <v>1047</v>
      </c>
      <c r="L28" s="20" t="s">
        <v>1048</v>
      </c>
    </row>
    <row r="29" spans="1:12" ht="70">
      <c r="A29" t="s">
        <v>1038</v>
      </c>
      <c r="B29" t="s">
        <v>1095</v>
      </c>
      <c r="C29" t="s">
        <v>80</v>
      </c>
      <c r="D29">
        <v>2.169</v>
      </c>
      <c r="E29" t="s">
        <v>1055</v>
      </c>
      <c r="F29" s="20" t="s">
        <v>1056</v>
      </c>
      <c r="G29" s="20" t="s">
        <v>1043</v>
      </c>
      <c r="H29" s="20" t="s">
        <v>1044</v>
      </c>
      <c r="I29" s="20" t="s">
        <v>1045</v>
      </c>
      <c r="J29" t="s">
        <v>1046</v>
      </c>
      <c r="K29" t="s">
        <v>1047</v>
      </c>
      <c r="L29" s="20" t="s">
        <v>1048</v>
      </c>
    </row>
    <row r="30" spans="1:12" ht="70">
      <c r="A30" t="s">
        <v>1038</v>
      </c>
      <c r="B30" t="s">
        <v>1095</v>
      </c>
      <c r="C30" t="s">
        <v>1057</v>
      </c>
      <c r="D30">
        <v>2.1509999999999998</v>
      </c>
      <c r="E30" t="s">
        <v>1058</v>
      </c>
      <c r="F30" s="20" t="s">
        <v>1059</v>
      </c>
      <c r="G30" s="20" t="s">
        <v>1043</v>
      </c>
      <c r="H30" s="20" t="s">
        <v>1044</v>
      </c>
      <c r="I30" s="20" t="s">
        <v>1045</v>
      </c>
      <c r="J30" t="s">
        <v>1046</v>
      </c>
      <c r="K30" t="s">
        <v>1047</v>
      </c>
      <c r="L30" s="20" t="s">
        <v>1048</v>
      </c>
    </row>
    <row r="31" spans="1:12" ht="70">
      <c r="A31" t="s">
        <v>1038</v>
      </c>
      <c r="B31" t="s">
        <v>1095</v>
      </c>
      <c r="C31" t="s">
        <v>376</v>
      </c>
      <c r="D31">
        <v>2.2120000000000002</v>
      </c>
      <c r="E31" t="s">
        <v>1053</v>
      </c>
      <c r="F31" s="20" t="s">
        <v>1060</v>
      </c>
      <c r="G31" s="20" t="s">
        <v>1043</v>
      </c>
      <c r="H31" s="20" t="s">
        <v>1044</v>
      </c>
      <c r="I31" s="20" t="s">
        <v>1045</v>
      </c>
      <c r="J31" t="s">
        <v>1046</v>
      </c>
      <c r="K31" t="s">
        <v>1047</v>
      </c>
      <c r="L31" s="20" t="s">
        <v>1048</v>
      </c>
    </row>
    <row r="32" spans="1:12" ht="70">
      <c r="A32" t="s">
        <v>1038</v>
      </c>
      <c r="B32" t="s">
        <v>1095</v>
      </c>
      <c r="C32" t="s">
        <v>158</v>
      </c>
      <c r="D32">
        <v>2</v>
      </c>
      <c r="E32" t="s">
        <v>1061</v>
      </c>
      <c r="F32" s="20" t="s">
        <v>1062</v>
      </c>
      <c r="G32" s="20" t="s">
        <v>1043</v>
      </c>
      <c r="H32" s="20" t="s">
        <v>1044</v>
      </c>
      <c r="I32" s="20" t="s">
        <v>1045</v>
      </c>
      <c r="J32" t="s">
        <v>1046</v>
      </c>
      <c r="K32" t="s">
        <v>1047</v>
      </c>
      <c r="L32" s="20" t="s">
        <v>1048</v>
      </c>
    </row>
    <row r="33" spans="1:12" ht="70">
      <c r="A33" t="s">
        <v>1038</v>
      </c>
      <c r="B33" t="s">
        <v>1095</v>
      </c>
      <c r="C33" t="s">
        <v>125</v>
      </c>
      <c r="D33">
        <v>2.3340000000000001</v>
      </c>
      <c r="E33" t="s">
        <v>1063</v>
      </c>
      <c r="F33" s="20" t="s">
        <v>1064</v>
      </c>
      <c r="G33" s="20" t="s">
        <v>1043</v>
      </c>
      <c r="H33" s="20" t="s">
        <v>1044</v>
      </c>
      <c r="I33" s="20" t="s">
        <v>1045</v>
      </c>
      <c r="J33" t="s">
        <v>1046</v>
      </c>
      <c r="K33" t="s">
        <v>1047</v>
      </c>
      <c r="L33" s="20" t="s">
        <v>1048</v>
      </c>
    </row>
    <row r="34" spans="1:12" ht="70">
      <c r="A34" t="s">
        <v>1038</v>
      </c>
      <c r="B34" t="s">
        <v>1095</v>
      </c>
      <c r="C34" t="s">
        <v>96</v>
      </c>
      <c r="D34">
        <v>2.3140000000000001</v>
      </c>
      <c r="E34" t="s">
        <v>1065</v>
      </c>
      <c r="F34" s="20" t="s">
        <v>1066</v>
      </c>
      <c r="G34" s="20" t="s">
        <v>1043</v>
      </c>
      <c r="H34" s="20" t="s">
        <v>1044</v>
      </c>
      <c r="I34" s="20" t="s">
        <v>1045</v>
      </c>
      <c r="J34" t="s">
        <v>1046</v>
      </c>
      <c r="K34" t="s">
        <v>1047</v>
      </c>
      <c r="L34" s="20" t="s">
        <v>1048</v>
      </c>
    </row>
    <row r="35" spans="1:12" ht="70">
      <c r="A35" t="s">
        <v>1038</v>
      </c>
      <c r="B35" t="s">
        <v>1095</v>
      </c>
      <c r="C35" t="s">
        <v>151</v>
      </c>
      <c r="D35">
        <v>2.9550000000000001</v>
      </c>
      <c r="E35" t="s">
        <v>1053</v>
      </c>
      <c r="F35" s="20" t="s">
        <v>1067</v>
      </c>
      <c r="G35" s="20" t="s">
        <v>1043</v>
      </c>
      <c r="H35" s="20" t="s">
        <v>1044</v>
      </c>
      <c r="I35" s="20" t="s">
        <v>1045</v>
      </c>
      <c r="J35" t="s">
        <v>1046</v>
      </c>
      <c r="K35" t="s">
        <v>1047</v>
      </c>
      <c r="L35" s="20" t="s">
        <v>1048</v>
      </c>
    </row>
    <row r="36" spans="1:12" ht="84">
      <c r="A36" t="s">
        <v>1038</v>
      </c>
      <c r="B36" t="s">
        <v>1095</v>
      </c>
      <c r="C36" t="s">
        <v>45</v>
      </c>
      <c r="D36">
        <v>2.919</v>
      </c>
      <c r="E36" t="s">
        <v>1068</v>
      </c>
      <c r="F36" s="20" t="s">
        <v>1069</v>
      </c>
      <c r="G36" s="20" t="s">
        <v>1070</v>
      </c>
      <c r="H36" s="20" t="s">
        <v>1044</v>
      </c>
      <c r="I36" s="20" t="s">
        <v>1045</v>
      </c>
      <c r="J36" t="s">
        <v>1046</v>
      </c>
      <c r="K36" t="s">
        <v>1047</v>
      </c>
      <c r="L36" s="20" t="s">
        <v>1048</v>
      </c>
    </row>
    <row r="37" spans="1:12" ht="70">
      <c r="A37" t="s">
        <v>1038</v>
      </c>
      <c r="B37" t="s">
        <v>1095</v>
      </c>
      <c r="C37" t="s">
        <v>130</v>
      </c>
      <c r="D37">
        <v>2.8759999999999999</v>
      </c>
      <c r="E37" t="s">
        <v>1071</v>
      </c>
      <c r="F37" s="20" t="s">
        <v>1072</v>
      </c>
      <c r="G37" s="20" t="s">
        <v>1043</v>
      </c>
      <c r="H37" s="20" t="s">
        <v>1044</v>
      </c>
      <c r="I37" s="20" t="s">
        <v>1045</v>
      </c>
      <c r="J37" t="s">
        <v>1046</v>
      </c>
      <c r="K37" t="s">
        <v>1047</v>
      </c>
      <c r="L37" s="20" t="s">
        <v>1048</v>
      </c>
    </row>
    <row r="38" spans="1:12" ht="140">
      <c r="A38" t="s">
        <v>1038</v>
      </c>
      <c r="B38" t="s">
        <v>1095</v>
      </c>
      <c r="C38" t="s">
        <v>92</v>
      </c>
      <c r="D38">
        <v>3.94</v>
      </c>
      <c r="E38" t="s">
        <v>1073</v>
      </c>
      <c r="F38" s="20" t="s">
        <v>1074</v>
      </c>
      <c r="G38" s="20" t="s">
        <v>1075</v>
      </c>
      <c r="H38" s="20" t="s">
        <v>1044</v>
      </c>
      <c r="I38" s="20" t="s">
        <v>1045</v>
      </c>
      <c r="J38" t="s">
        <v>1046</v>
      </c>
      <c r="K38" t="s">
        <v>1047</v>
      </c>
      <c r="L38" s="20" t="s">
        <v>1048</v>
      </c>
    </row>
    <row r="39" spans="1:12" ht="84">
      <c r="A39" t="s">
        <v>1038</v>
      </c>
      <c r="B39" t="s">
        <v>1095</v>
      </c>
      <c r="C39" t="s">
        <v>63</v>
      </c>
      <c r="D39">
        <v>3.3690000000000002</v>
      </c>
      <c r="E39" t="s">
        <v>1076</v>
      </c>
      <c r="F39" s="20" t="s">
        <v>59</v>
      </c>
      <c r="G39" s="20" t="s">
        <v>1070</v>
      </c>
      <c r="H39" s="20" t="s">
        <v>1044</v>
      </c>
      <c r="I39" s="20" t="s">
        <v>1045</v>
      </c>
      <c r="J39" t="s">
        <v>1046</v>
      </c>
      <c r="K39" t="s">
        <v>1047</v>
      </c>
      <c r="L39" s="20" t="s">
        <v>1048</v>
      </c>
    </row>
    <row r="40" spans="1:12" ht="112">
      <c r="A40" t="s">
        <v>1038</v>
      </c>
      <c r="B40" t="s">
        <v>1095</v>
      </c>
      <c r="C40" t="s">
        <v>170</v>
      </c>
      <c r="D40">
        <v>3.42</v>
      </c>
      <c r="E40" t="s">
        <v>1076</v>
      </c>
      <c r="F40" s="20" t="s">
        <v>167</v>
      </c>
      <c r="G40" s="20" t="s">
        <v>1077</v>
      </c>
      <c r="H40" s="20" t="s">
        <v>1044</v>
      </c>
      <c r="I40" s="20" t="s">
        <v>1045</v>
      </c>
      <c r="J40" t="s">
        <v>1046</v>
      </c>
      <c r="K40" t="s">
        <v>1047</v>
      </c>
      <c r="L40" s="20" t="s">
        <v>1048</v>
      </c>
    </row>
    <row r="41" spans="1:12" ht="84">
      <c r="A41" t="s">
        <v>1038</v>
      </c>
      <c r="B41" t="s">
        <v>1095</v>
      </c>
      <c r="C41" t="s">
        <v>57</v>
      </c>
      <c r="D41">
        <v>2.964</v>
      </c>
      <c r="E41" t="s">
        <v>1078</v>
      </c>
      <c r="F41" s="20" t="s">
        <v>1079</v>
      </c>
      <c r="G41" s="20" t="s">
        <v>1080</v>
      </c>
      <c r="H41" s="20" t="s">
        <v>1044</v>
      </c>
      <c r="I41" s="20" t="s">
        <v>1045</v>
      </c>
      <c r="J41" t="s">
        <v>1046</v>
      </c>
      <c r="K41" t="s">
        <v>1047</v>
      </c>
      <c r="L41" s="20" t="s">
        <v>1048</v>
      </c>
    </row>
    <row r="42" spans="1:12" ht="98">
      <c r="A42" t="s">
        <v>1038</v>
      </c>
      <c r="B42" t="s">
        <v>1095</v>
      </c>
      <c r="C42" t="s">
        <v>119</v>
      </c>
      <c r="D42">
        <v>3.5219999999999998</v>
      </c>
      <c r="E42" t="s">
        <v>1081</v>
      </c>
      <c r="F42" s="20" t="s">
        <v>1082</v>
      </c>
      <c r="G42" s="20" t="s">
        <v>1083</v>
      </c>
      <c r="H42" s="20" t="s">
        <v>1044</v>
      </c>
      <c r="I42" s="20" t="s">
        <v>1045</v>
      </c>
      <c r="J42" t="s">
        <v>1046</v>
      </c>
      <c r="K42" t="s">
        <v>1047</v>
      </c>
      <c r="L42" s="20" t="s">
        <v>1048</v>
      </c>
    </row>
    <row r="43" spans="1:12" ht="98">
      <c r="A43" t="s">
        <v>1038</v>
      </c>
      <c r="B43" t="s">
        <v>1095</v>
      </c>
      <c r="C43" t="s">
        <v>86</v>
      </c>
      <c r="D43">
        <v>3.4590000000000001</v>
      </c>
      <c r="E43" t="s">
        <v>1084</v>
      </c>
      <c r="F43" s="20" t="s">
        <v>1085</v>
      </c>
      <c r="G43" s="20" t="s">
        <v>1086</v>
      </c>
      <c r="H43" s="20" t="s">
        <v>1044</v>
      </c>
      <c r="I43" s="20" t="s">
        <v>1045</v>
      </c>
      <c r="J43" t="s">
        <v>1046</v>
      </c>
      <c r="K43" t="s">
        <v>1047</v>
      </c>
      <c r="L43" s="20" t="s">
        <v>1048</v>
      </c>
    </row>
    <row r="44" spans="1:12" ht="70">
      <c r="A44" t="s">
        <v>1038</v>
      </c>
      <c r="B44" t="s">
        <v>1095</v>
      </c>
      <c r="C44" t="s">
        <v>203</v>
      </c>
      <c r="D44">
        <v>3.4329999999999998</v>
      </c>
      <c r="E44" t="s">
        <v>1087</v>
      </c>
      <c r="F44" s="20" t="s">
        <v>1088</v>
      </c>
      <c r="G44" s="20" t="s">
        <v>1043</v>
      </c>
      <c r="H44" s="20" t="s">
        <v>1044</v>
      </c>
      <c r="I44" s="20" t="s">
        <v>1045</v>
      </c>
      <c r="J44" t="s">
        <v>1046</v>
      </c>
      <c r="K44" t="s">
        <v>1047</v>
      </c>
      <c r="L44" s="20" t="s">
        <v>1048</v>
      </c>
    </row>
    <row r="45" spans="1:12" ht="70">
      <c r="A45" t="s">
        <v>1038</v>
      </c>
      <c r="B45" t="s">
        <v>1095</v>
      </c>
      <c r="C45" t="s">
        <v>245</v>
      </c>
      <c r="D45">
        <v>3.4980000000000002</v>
      </c>
      <c r="E45" t="s">
        <v>1076</v>
      </c>
      <c r="F45" s="20" t="s">
        <v>242</v>
      </c>
      <c r="G45" s="20" t="s">
        <v>1043</v>
      </c>
      <c r="H45" s="20" t="s">
        <v>1044</v>
      </c>
      <c r="I45" s="20" t="s">
        <v>1045</v>
      </c>
      <c r="J45" t="s">
        <v>1046</v>
      </c>
      <c r="K45" t="s">
        <v>1047</v>
      </c>
      <c r="L45" s="20" t="s">
        <v>1048</v>
      </c>
    </row>
    <row r="46" spans="1:12" ht="70">
      <c r="A46" t="s">
        <v>1038</v>
      </c>
      <c r="B46" t="s">
        <v>1095</v>
      </c>
      <c r="C46" t="s">
        <v>73</v>
      </c>
      <c r="D46">
        <v>3.206</v>
      </c>
      <c r="E46" t="s">
        <v>1076</v>
      </c>
      <c r="F46" s="20" t="s">
        <v>69</v>
      </c>
      <c r="G46" s="20" t="s">
        <v>1043</v>
      </c>
      <c r="H46" s="20" t="s">
        <v>1044</v>
      </c>
      <c r="I46" s="20" t="s">
        <v>1045</v>
      </c>
      <c r="J46" t="s">
        <v>1046</v>
      </c>
      <c r="K46" t="s">
        <v>1047</v>
      </c>
      <c r="L46" s="20" t="s">
        <v>1048</v>
      </c>
    </row>
    <row r="47" spans="1:12" ht="70">
      <c r="A47" t="s">
        <v>1038</v>
      </c>
      <c r="B47" t="s">
        <v>1095</v>
      </c>
      <c r="C47" t="s">
        <v>768</v>
      </c>
      <c r="D47">
        <v>4.2359999999999998</v>
      </c>
      <c r="E47" t="s">
        <v>1089</v>
      </c>
      <c r="F47" s="20" t="s">
        <v>1090</v>
      </c>
      <c r="G47" s="20" t="s">
        <v>1043</v>
      </c>
      <c r="H47" s="20" t="s">
        <v>1044</v>
      </c>
      <c r="I47" s="20" t="s">
        <v>1045</v>
      </c>
      <c r="J47" t="s">
        <v>1046</v>
      </c>
      <c r="K47" t="s">
        <v>1047</v>
      </c>
      <c r="L47" s="20" t="s">
        <v>1048</v>
      </c>
    </row>
    <row r="48" spans="1:12" ht="70">
      <c r="A48" t="s">
        <v>1038</v>
      </c>
      <c r="B48" t="s">
        <v>1095</v>
      </c>
      <c r="C48" t="s">
        <v>1091</v>
      </c>
      <c r="D48">
        <v>3.9390000000000001</v>
      </c>
      <c r="E48" t="s">
        <v>1053</v>
      </c>
      <c r="F48" s="20" t="s">
        <v>1092</v>
      </c>
      <c r="G48" s="20" t="s">
        <v>1043</v>
      </c>
      <c r="H48" s="20" t="s">
        <v>1044</v>
      </c>
      <c r="I48" s="20" t="s">
        <v>1045</v>
      </c>
      <c r="J48" t="s">
        <v>1046</v>
      </c>
      <c r="K48" t="s">
        <v>1047</v>
      </c>
      <c r="L48" s="20" t="s">
        <v>1048</v>
      </c>
    </row>
    <row r="49" spans="1:12" ht="70">
      <c r="A49" t="s">
        <v>1038</v>
      </c>
      <c r="B49" t="s">
        <v>1095</v>
      </c>
      <c r="C49" t="s">
        <v>1093</v>
      </c>
      <c r="D49">
        <v>1</v>
      </c>
      <c r="E49" t="s">
        <v>1094</v>
      </c>
      <c r="F49" s="20" t="s">
        <v>1042</v>
      </c>
      <c r="G49" s="20" t="s">
        <v>1043</v>
      </c>
      <c r="H49" s="20" t="s">
        <v>1044</v>
      </c>
      <c r="I49" s="20" t="s">
        <v>1045</v>
      </c>
      <c r="J49" t="s">
        <v>1046</v>
      </c>
      <c r="K49" t="s">
        <v>1047</v>
      </c>
      <c r="L49" s="20" t="s">
        <v>1048</v>
      </c>
    </row>
  </sheetData>
  <pageMargins left="0.75" right="0.75" top="1" bottom="1" header="0.5" footer="0.5"/>
  <headerFooter>
    <oddHeader>&amp;C&amp;"Aptos"&amp;10&amp;K000000 - בלמ"ס -&amp;1#_x000D_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7</vt:i4>
      </vt:variant>
    </vt:vector>
  </HeadingPairs>
  <TitlesOfParts>
    <vt:vector size="7" baseType="lpstr">
      <vt:lpstr>Species</vt:lpstr>
      <vt:lpstr>Commercial</vt:lpstr>
      <vt:lpstr>Functional</vt:lpstr>
      <vt:lpstr>Missing TL</vt:lpstr>
      <vt:lpstr>Validation</vt:lpstr>
      <vt:lpstr>Metadata</vt:lpstr>
      <vt:lpstr>EwE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Ido Carmel</cp:lastModifiedBy>
  <dcterms:created xsi:type="dcterms:W3CDTF">2026-09-05T06:34:39Z</dcterms:created>
  <dcterms:modified xsi:type="dcterms:W3CDTF">2026-09-05T07:47:23Z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1b9bfc-c426-492e-a46c-1a922d5fe54b_Enabled">
    <vt:lpwstr>true</vt:lpwstr>
  </property>
  <property fmtid="{D5CDD505-2E9C-101B-9397-08002B2CF9AE}" pid="3" name="MSIP_Label_701b9bfc-c426-492e-a46c-1a922d5fe54b_SetDate">
    <vt:lpwstr>2026-09-05T06:37:35Z</vt:lpwstr>
  </property>
  <property fmtid="{D5CDD505-2E9C-101B-9397-08002B2CF9AE}" pid="4" name="MSIP_Label_701b9bfc-c426-492e-a46c-1a922d5fe54b_Method">
    <vt:lpwstr>Privileged</vt:lpwstr>
  </property>
  <property fmtid="{D5CDD505-2E9C-101B-9397-08002B2CF9AE}" pid="5" name="MSIP_Label_701b9bfc-c426-492e-a46c-1a922d5fe54b_Name">
    <vt:lpwstr>בלמ"ס</vt:lpwstr>
  </property>
  <property fmtid="{D5CDD505-2E9C-101B-9397-08002B2CF9AE}" pid="6" name="MSIP_Label_701b9bfc-c426-492e-a46c-1a922d5fe54b_SiteId">
    <vt:lpwstr>78820852-55fa-450b-908d-45c0d911e76b</vt:lpwstr>
  </property>
  <property fmtid="{D5CDD505-2E9C-101B-9397-08002B2CF9AE}" pid="7" name="MSIP_Label_701b9bfc-c426-492e-a46c-1a922d5fe54b_ActionId">
    <vt:lpwstr>4c8b2265-f966-4365-b195-799a63747527</vt:lpwstr>
  </property>
  <property fmtid="{D5CDD505-2E9C-101B-9397-08002B2CF9AE}" pid="8" name="MSIP_Label_701b9bfc-c426-492e-a46c-1a922d5fe54b_ContentBits">
    <vt:lpwstr>1</vt:lpwstr>
  </property>
  <property fmtid="{D5CDD505-2E9C-101B-9397-08002B2CF9AE}" pid="9" name="MSIP_Label_701b9bfc-c426-492e-a46c-1a922d5fe54b_Tag">
    <vt:lpwstr>50, 0, 1, 1</vt:lpwstr>
  </property>
</Properties>
</file>